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ts" sheetId="1" state="visible" r:id="rId1"/>
    <sheet name="Home" sheetId="2" state="visible" r:id="rId2"/>
    <sheet name="New Mission" sheetId="3" state="visible" r:id="rId3"/>
    <sheet name="Work Register" sheetId="4" state="visible" r:id="rId4"/>
    <sheet name="Missions" sheetId="5" state="visible" r:id="rId5"/>
    <sheet name="Task Finder" sheetId="6" state="visible" r:id="rId6"/>
    <sheet name="Today" sheetId="7" state="visible" r:id="rId7"/>
    <sheet name="Current Focus" sheetId="8" state="visible" r:id="rId8"/>
    <sheet name="Weekly Review" sheetId="9" state="visible" r:id="rId9"/>
    <sheet name="Archive" sheetId="10" state="visible" r:id="rId10"/>
  </sheets>
  <definedNames>
    <definedName name="StatusList">Lists!$A$2:$A$8</definedName>
    <definedName name="PriorityList">Lists!$C$2:$C$4</definedName>
    <definedName name="EnergyList">Lists!$E$2:$E$6</definedName>
    <definedName name="TimeList">Lists!$G$2:$G$6</definedName>
    <definedName name="PriorityWeights">Lists!$L$2:$M$4</definedName>
    <definedName name="TimeMinutes">Lists!$N$2:$O$6</definedName>
    <definedName name="FocusThemes">Lists!$P$2:$Q$6</definedName>
    <definedName name="FilterOptions">'Task Finder'!$T$1:$T$9</definedName>
  </definedNames>
  <calcPr calcId="124519" fullCalcOnLoad="1"/>
</workbook>
</file>

<file path=xl/styles.xml><?xml version="1.0" encoding="utf-8"?>
<styleSheet xmlns="http://schemas.openxmlformats.org/spreadsheetml/2006/main">
  <numFmts count="2">
    <numFmt numFmtId="164" formatCode="yyyy-mm-dd h:mm:ss"/>
    <numFmt numFmtId="165" formatCode="yyyy-mm-dd"/>
  </numFmts>
  <fonts count="28">
    <font>
      <name val="Calibri"/>
      <family val="2"/>
      <color theme="1"/>
      <sz val="11"/>
      <scheme val="minor"/>
    </font>
    <font>
      <name val="Calibri"/>
      <b val="1"/>
      <sz val="11"/>
    </font>
    <font>
      <name val="Calibri"/>
      <b val="1"/>
      <color rgb="FF4472C4"/>
      <sz val="18"/>
    </font>
    <font>
      <name val="Calibri"/>
      <b val="1"/>
      <color rgb="FFFFFFFF"/>
      <sz val="11"/>
    </font>
    <font>
      <b val="1"/>
      <sz val="14"/>
    </font>
    <font>
      <name val="Calibri"/>
      <b val="1"/>
      <color rgb="FF4472C4"/>
      <sz val="14"/>
    </font>
    <font>
      <name val="Calibri"/>
      <b val="1"/>
      <color rgb="FFFFFFFF"/>
      <sz val="10"/>
    </font>
    <font>
      <name val="Calibri"/>
      <sz val="10"/>
    </font>
    <font>
      <name val="Calibri"/>
      <i val="1"/>
      <color rgb="FF808080"/>
      <sz val="11"/>
    </font>
    <font>
      <b val="1"/>
      <sz val="10"/>
    </font>
    <font>
      <i val="1"/>
      <color rgb="FF808080"/>
      <sz val="9"/>
    </font>
    <font>
      <b val="1"/>
      <sz val="11"/>
    </font>
    <font>
      <b val="1"/>
      <sz val="9"/>
    </font>
    <font>
      <i val="1"/>
      <sz val="9"/>
    </font>
    <font>
      <name val="Calibri"/>
      <i val="1"/>
      <color rgb="FF808080"/>
      <sz val="9"/>
    </font>
    <font>
      <name val="Calibri"/>
      <sz val="11"/>
    </font>
    <font>
      <name val="Calibri"/>
      <i val="1"/>
      <color rgb="FFBFBFBF"/>
      <sz val="8"/>
    </font>
    <font>
      <name val="Calibri"/>
      <b val="1"/>
      <sz val="12"/>
    </font>
    <font>
      <name val="Calibri"/>
      <b val="1"/>
      <color rgb="FF4472C4"/>
      <sz val="12"/>
    </font>
    <font>
      <name val="Calibri"/>
      <b val="1"/>
      <sz val="14"/>
    </font>
    <font>
      <name val="Calibri"/>
      <b val="1"/>
    </font>
    <font>
      <name val="Calibri"/>
      <i val="1"/>
      <color rgb="FF595959"/>
      <sz val="9"/>
    </font>
    <font>
      <name val="Calibri"/>
      <b val="1"/>
      <color rgb="FFFFFFFF"/>
      <sz val="9"/>
    </font>
    <font>
      <name val="Calibri"/>
      <b val="1"/>
      <sz val="13"/>
    </font>
    <font>
      <name val="Calibri"/>
      <i val="1"/>
      <color rgb="FF595959"/>
      <sz val="10"/>
    </font>
    <font>
      <name val="Calibri"/>
      <b val="1"/>
      <color rgb="FF4472C4"/>
      <sz val="10"/>
    </font>
    <font>
      <name val="Calibri"/>
      <i val="1"/>
      <color rgb="FF808080"/>
      <sz val="8"/>
    </font>
    <font>
      <name val="Calibri"/>
      <b val="1"/>
      <color rgb="FF4472C4"/>
      <sz val="11"/>
    </font>
  </fonts>
  <fills count="4">
    <fill>
      <patternFill/>
    </fill>
    <fill>
      <patternFill patternType="gray125"/>
    </fill>
    <fill>
      <patternFill patternType="solid">
        <fgColor rgb="FF4472C4"/>
        <bgColor rgb="FF4472C4"/>
      </patternFill>
    </fill>
    <fill>
      <patternFill patternType="solid">
        <fgColor rgb="FFF2F2F2"/>
        <bgColor rgb="FFF2F2F2"/>
      </patternFill>
    </fill>
  </fills>
  <borders count="8">
    <border>
      <left/>
      <right/>
      <top/>
      <bottom/>
      <diagonal/>
    </border>
    <border>
      <left style="thin">
        <color rgb="FFD3D3D3"/>
      </left>
      <right style="thin">
        <color rgb="FFD3D3D3"/>
      </right>
      <top style="thin">
        <color rgb="FFD3D3D3"/>
      </top>
      <bottom style="thin">
        <color rgb="FFD3D3D3"/>
      </bottom>
    </border>
    <border>
      <left/>
      <right/>
      <top style="thin">
        <color rgb="FFD3D3D3"/>
      </top>
      <bottom/>
      <diagonal/>
    </border>
    <border>
      <left/>
      <right style="thin">
        <color rgb="FFD3D3D3"/>
      </right>
      <top style="thin">
        <color rgb="FFD3D3D3"/>
      </top>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
    <border>
      <right/>
      <bottom/>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1" fillId="3" borderId="0" pivotButton="0" quotePrefix="0" xfId="0"/>
    <xf numFmtId="0" fontId="0" fillId="0" borderId="1" pivotButton="0" quotePrefix="0" xfId="0"/>
    <xf numFmtId="0" fontId="0" fillId="0" borderId="4" pivotButton="0" quotePrefix="0" xfId="0"/>
    <xf numFmtId="0" fontId="0" fillId="0" borderId="5" pivotButton="0" quotePrefix="0" xfId="0"/>
    <xf numFmtId="0" fontId="1" fillId="3" borderId="1" pivotButton="0" quotePrefix="0" xfId="0"/>
    <xf numFmtId="0" fontId="4" fillId="0" borderId="1" applyAlignment="1" pivotButton="0" quotePrefix="0" xfId="0">
      <alignment horizontal="center"/>
    </xf>
    <xf numFmtId="0" fontId="5" fillId="0" borderId="0" pivotButton="0" quotePrefix="0" xfId="0"/>
    <xf numFmtId="0" fontId="6" fillId="2" borderId="0"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xf>
    <xf numFmtId="0" fontId="7" fillId="0" borderId="0" applyAlignment="1" pivotButton="0" quotePrefix="0" xfId="0">
      <alignment horizontal="center"/>
    </xf>
    <xf numFmtId="0" fontId="0" fillId="0" borderId="1" applyAlignment="1" applyProtection="1" pivotButton="0" quotePrefix="0" xfId="0">
      <alignment horizontal="left" vertical="top" wrapText="1"/>
      <protection locked="0" hidden="0"/>
    </xf>
    <xf numFmtId="0" fontId="3" fillId="2" borderId="0" applyAlignment="1" pivotButton="0" quotePrefix="0" xfId="0">
      <alignment horizontal="center" vertical="center" wrapText="1"/>
    </xf>
    <xf numFmtId="0" fontId="0" fillId="0" borderId="1" applyAlignment="1" applyProtection="1" pivotButton="0" quotePrefix="0" xfId="0">
      <alignment horizontal="center"/>
      <protection locked="0" hidden="0"/>
    </xf>
    <xf numFmtId="164" fontId="0" fillId="0" borderId="1"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8"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7" fillId="0" borderId="0" pivotButton="0" quotePrefix="0" xfId="0"/>
    <xf numFmtId="0" fontId="0" fillId="0" borderId="4" applyProtection="1" pivotButton="0" quotePrefix="0" xfId="0">
      <protection locked="0" hidden="0"/>
    </xf>
    <xf numFmtId="0" fontId="0" fillId="0" borderId="5" applyProtection="1" pivotButton="0" quotePrefix="0" xfId="0">
      <protection locked="0" hidden="0"/>
    </xf>
    <xf numFmtId="0" fontId="10" fillId="0" borderId="0" pivotButton="0" quotePrefix="0" xfId="0"/>
    <xf numFmtId="0" fontId="9" fillId="0" borderId="0" pivotButton="0" quotePrefix="0" xfId="0"/>
    <xf numFmtId="0" fontId="1" fillId="3" borderId="1" applyAlignment="1" pivotButton="0" quotePrefix="0" xfId="0">
      <alignment horizontal="center"/>
    </xf>
    <xf numFmtId="0" fontId="0" fillId="0" borderId="1" applyAlignment="1" pivotButton="0" quotePrefix="0" xfId="0">
      <alignment horizontal="left" vertical="center" wrapText="1"/>
    </xf>
    <xf numFmtId="0" fontId="3" fillId="2" borderId="1" applyAlignment="1" pivotButton="0" quotePrefix="0" xfId="0">
      <alignment horizontal="center" vertical="center" wrapText="1"/>
    </xf>
    <xf numFmtId="0" fontId="10" fillId="0" borderId="0" applyProtection="1" pivotButton="0" quotePrefix="0" xfId="0">
      <protection locked="0" hidden="0"/>
    </xf>
    <xf numFmtId="0" fontId="14" fillId="0" borderId="0" pivotButton="0" quotePrefix="0" xfId="0"/>
    <xf numFmtId="165" fontId="0" fillId="0" borderId="1" applyProtection="1" pivotButton="0" quotePrefix="0" xfId="0">
      <protection locked="0" hidden="0"/>
    </xf>
    <xf numFmtId="0" fontId="0" fillId="0" borderId="1" applyProtection="1" pivotButton="0" quotePrefix="0" xfId="0">
      <protection locked="0" hidden="0"/>
    </xf>
    <xf numFmtId="0" fontId="0" fillId="0" borderId="1" applyAlignment="1" pivotButton="0" quotePrefix="0" xfId="0">
      <alignment horizontal="center"/>
    </xf>
    <xf numFmtId="165" fontId="0" fillId="0" borderId="1" applyAlignment="1" pivotButton="0" quotePrefix="0" xfId="0">
      <alignment horizontal="center"/>
    </xf>
    <xf numFmtId="0" fontId="16" fillId="0" borderId="0" pivotButton="0" quotePrefix="0" xfId="0"/>
    <xf numFmtId="0" fontId="15" fillId="0" borderId="6" pivotButton="0" quotePrefix="0" xfId="0"/>
    <xf numFmtId="0" fontId="5" fillId="0" borderId="6" pivotButton="0" quotePrefix="0" xfId="0"/>
    <xf numFmtId="0" fontId="15" fillId="0" borderId="1" applyAlignment="1" pivotButton="0" quotePrefix="0" xfId="0">
      <alignment horizontal="center"/>
    </xf>
    <xf numFmtId="0" fontId="15" fillId="0" borderId="1" applyAlignment="1" pivotButton="0" quotePrefix="0" xfId="0">
      <alignment horizontal="left" vertical="center" wrapText="1"/>
    </xf>
    <xf numFmtId="0" fontId="17" fillId="3" borderId="1" pivotButton="0" quotePrefix="0" xfId="0"/>
    <xf numFmtId="0" fontId="18" fillId="0" borderId="1" applyAlignment="1" pivotButton="0" quotePrefix="0" xfId="0">
      <alignment horizontal="left" vertical="center" wrapText="1"/>
    </xf>
    <xf numFmtId="0" fontId="1" fillId="3" borderId="1" applyAlignment="1" pivotButton="0" quotePrefix="0" xfId="0">
      <alignment horizontal="center" wrapText="1"/>
    </xf>
    <xf numFmtId="0" fontId="19" fillId="0" borderId="1" applyAlignment="1" pivotButton="0" quotePrefix="0" xfId="0">
      <alignment horizontal="center"/>
    </xf>
    <xf numFmtId="0" fontId="15" fillId="0" borderId="1" pivotButton="0" quotePrefix="0" xfId="0"/>
    <xf numFmtId="9" fontId="15" fillId="0" borderId="1" applyAlignment="1" pivotButton="0" quotePrefix="0" xfId="0">
      <alignment horizontal="center"/>
    </xf>
    <xf numFmtId="0" fontId="20" fillId="0" borderId="1" pivotButton="0" quotePrefix="0" xfId="0"/>
    <xf numFmtId="0" fontId="20" fillId="0" borderId="1" applyAlignment="1" pivotButton="0" quotePrefix="0" xfId="0">
      <alignment horizontal="center"/>
    </xf>
    <xf numFmtId="9" fontId="20" fillId="0" borderId="1" applyAlignment="1" pivotButton="0" quotePrefix="0" xfId="0">
      <alignment horizontal="center"/>
    </xf>
    <xf numFmtId="0" fontId="18" fillId="3" borderId="1" applyAlignment="1" pivotButton="0" quotePrefix="0" xfId="0">
      <alignment horizontal="left" vertical="center" wrapText="1"/>
    </xf>
    <xf numFmtId="0" fontId="1" fillId="3" borderId="1" applyAlignment="1" pivotButton="0" quotePrefix="0" xfId="0">
      <alignment horizontal="left" vertical="center"/>
    </xf>
    <xf numFmtId="0" fontId="21" fillId="0" borderId="6" applyAlignment="1" pivotButton="0" quotePrefix="0" xfId="0">
      <alignment horizontal="left" vertical="top" wrapText="1"/>
    </xf>
    <xf numFmtId="0" fontId="22" fillId="2" borderId="6" applyAlignment="1" pivotButton="0" quotePrefix="0" xfId="0">
      <alignment horizontal="center" vertical="center"/>
    </xf>
    <xf numFmtId="0" fontId="23" fillId="3" borderId="1" applyAlignment="1" pivotButton="0" quotePrefix="0" xfId="0">
      <alignment horizontal="left" vertical="center" wrapText="1"/>
    </xf>
    <xf numFmtId="0" fontId="24" fillId="0" borderId="6" applyAlignment="1" applyProtection="1" pivotButton="0" quotePrefix="0" xfId="0">
      <alignment horizontal="left" vertical="center" wrapText="1"/>
      <protection locked="0" hidden="0"/>
    </xf>
    <xf numFmtId="0" fontId="25" fillId="0" borderId="6" applyAlignment="1" applyProtection="1" pivotButton="0" quotePrefix="0" xfId="0">
      <alignment horizontal="right" vertical="center"/>
      <protection locked="0" hidden="0"/>
    </xf>
    <xf numFmtId="0" fontId="15" fillId="0" borderId="6" applyProtection="1" pivotButton="0" quotePrefix="0" xfId="0">
      <protection locked="0" hidden="0"/>
    </xf>
    <xf numFmtId="0" fontId="5" fillId="0" borderId="6" applyProtection="1" pivotButton="0" quotePrefix="0" xfId="0">
      <protection locked="0" hidden="0"/>
    </xf>
    <xf numFmtId="0" fontId="26" fillId="0" borderId="6" pivotButton="0" quotePrefix="0" xfId="0"/>
    <xf numFmtId="0" fontId="15" fillId="0" borderId="1" applyAlignment="1" pivotButton="0" quotePrefix="0" xfId="0">
      <alignment horizontal="left" vertical="top" wrapText="1"/>
    </xf>
    <xf numFmtId="0" fontId="15" fillId="0" borderId="1" applyAlignment="1" applyProtection="1" pivotButton="0" quotePrefix="0" xfId="0">
      <alignment horizontal="left" vertical="top" wrapText="1"/>
      <protection locked="0" hidden="0"/>
    </xf>
    <xf numFmtId="0" fontId="15" fillId="0" borderId="1" applyAlignment="1" pivotButton="0" quotePrefix="0" xfId="0">
      <alignment horizontal="center" vertical="center" wrapText="1"/>
    </xf>
    <xf numFmtId="0" fontId="27" fillId="0" borderId="1" applyAlignment="1" pivotButton="0" quotePrefix="0" xfId="0">
      <alignment horizontal="center"/>
    </xf>
    <xf numFmtId="0" fontId="24" fillId="0" borderId="0" pivotButton="0" quotePrefix="0" xfId="0"/>
    <xf numFmtId="0" fontId="0" fillId="0" borderId="1" applyAlignment="1" pivotButton="0" quotePrefix="0" xfId="0">
      <alignment horizontal="center" vertical="center" wrapText="1"/>
    </xf>
    <xf numFmtId="0" fontId="24" fillId="0" borderId="7" applyAlignment="1" applyProtection="1" pivotButton="0" quotePrefix="0" xfId="0">
      <alignment horizontal="left" vertical="center" wrapText="1"/>
      <protection locked="0" hidden="0"/>
    </xf>
    <xf numFmtId="0" fontId="15" fillId="0" borderId="1" applyAlignment="1" applyProtection="1" pivotButton="0" quotePrefix="0" xfId="0">
      <alignment horizontal="center"/>
      <protection locked="0" hidden="0"/>
    </xf>
    <xf numFmtId="0" fontId="27" fillId="0" borderId="1" applyAlignment="1" applyProtection="1" pivotButton="0" quotePrefix="0" xfId="0">
      <alignment horizontal="center"/>
      <protection locked="0" hidden="0"/>
    </xf>
    <xf numFmtId="0" fontId="24" fillId="0" borderId="7" applyAlignment="1" pivotButton="0" quotePrefix="0" xfId="0">
      <alignment horizontal="left" vertical="center" wrapText="1"/>
    </xf>
    <xf numFmtId="0" fontId="25" fillId="0" borderId="6" applyAlignment="1" pivotButton="0" quotePrefix="0" xfId="0">
      <alignment horizontal="right" vertical="center"/>
    </xf>
  </cellXfs>
  <cellStyles count="1">
    <cellStyle name="Normal" xfId="0" builtinId="0" hidden="0"/>
  </cellStyles>
  <dxfs count="6">
    <dxf>
      <font>
        <b val="1"/>
        <color rgb="FFFFFFFF"/>
      </font>
      <fill>
        <patternFill patternType="solid">
          <fgColor rgb="FF70AD47"/>
          <bgColor rgb="FF70AD47"/>
        </patternFill>
      </fill>
    </dxf>
    <dxf>
      <font>
        <b val="1"/>
        <color rgb="FFFFFFFF"/>
      </font>
      <fill>
        <patternFill patternType="solid">
          <fgColor rgb="FF4472C4"/>
          <bgColor rgb="FF4472C4"/>
        </patternFill>
      </fill>
    </dxf>
    <dxf>
      <font>
        <b val="1"/>
        <color rgb="FFFFFFFF"/>
      </font>
      <fill>
        <patternFill patternType="solid">
          <fgColor rgb="FFFFC000"/>
          <bgColor rgb="FFFFC000"/>
        </patternFill>
      </fill>
    </dxf>
    <dxf>
      <font>
        <b val="1"/>
        <color rgb="FFFFFFFF"/>
      </font>
      <fill>
        <patternFill patternType="solid">
          <fgColor rgb="FFFF0000"/>
          <bgColor rgb="FFFF0000"/>
        </patternFill>
      </fill>
    </dxf>
    <dxf>
      <font>
        <b val="1"/>
        <color rgb="FFFFFFFF"/>
      </font>
      <fill>
        <patternFill patternType="solid">
          <fgColor rgb="FF808080"/>
          <bgColor rgb="FF808080"/>
        </patternFill>
      </fill>
    </dxf>
    <dxf>
      <fill>
        <patternFill patternType="solid">
          <fgColor rgb="FFFFF2CC"/>
          <bgColor rgb="FFFFF2CC"/>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New Mission!A1" TargetMode="External" Id="rId1" /><Relationship Type="http://schemas.openxmlformats.org/officeDocument/2006/relationships/hyperlink" Target="#Today!A1" TargetMode="External" Id="rId2" /><Relationship Type="http://schemas.openxmlformats.org/officeDocument/2006/relationships/hyperlink" Target="#Work Register!A1" TargetMode="External" Id="rId3" /><Relationship Type="http://schemas.openxmlformats.org/officeDocument/2006/relationships/hyperlink" Target="#'Weekly Review'!A1" TargetMode="External" Id="rId4" /><Relationship Type="http://schemas.openxmlformats.org/officeDocument/2006/relationships/hyperlink" Target="#'Current Focus'!A1" TargetMode="External" Id="rId5" /><Relationship Type="http://schemas.openxmlformats.org/officeDocument/2006/relationships/hyperlink" Target="#'Weekly Review'!A1" TargetMode="External" Id="rId6" /><Relationship Type="http://schemas.openxmlformats.org/officeDocument/2006/relationships/hyperlink" Target="#Archive!A1" TargetMode="External" Id="rId7" /><Relationship Type="http://schemas.openxmlformats.org/officeDocument/2006/relationships/hyperlink" Target="#'Current Focus'!A1" TargetMode="External" Id="rId8" /><Relationship Type="http://schemas.openxmlformats.org/officeDocument/2006/relationships/hyperlink" Target="#'Weekly Review'!A1" TargetMode="External" Id="rId9" /><Relationship Type="http://schemas.openxmlformats.org/officeDocument/2006/relationships/hyperlink" Target="#'Task Finder'!A1" TargetMode="External" Id="rId10" /><Relationship Type="http://schemas.openxmlformats.org/officeDocument/2006/relationships/hyperlink" Target="#Missions!A1" TargetMode="External" Id="rId11" /><Relationship Type="http://schemas.openxmlformats.org/officeDocument/2006/relationships/hyperlink" Target="#Archive!A1" TargetMode="External" Id="rId12" /></Relationships>
</file>

<file path=xl/worksheets/_rels/sheet3.xml.rels><Relationships xmlns="http://schemas.openxmlformats.org/package/2006/relationships"><Relationship Type="http://schemas.openxmlformats.org/officeDocument/2006/relationships/hyperlink" Target="#Home!A1" TargetMode="External" Id="rId1" /></Relationships>
</file>

<file path=xl/worksheets/_rels/sheet4.xml.rels><Relationships xmlns="http://schemas.openxmlformats.org/package/2006/relationships"><Relationship Type="http://schemas.openxmlformats.org/officeDocument/2006/relationships/hyperlink" Target="#Home!A1" TargetMode="External" Id="rId1" /></Relationships>
</file>

<file path=xl/worksheets/_rels/sheet5.xml.rels><Relationships xmlns="http://schemas.openxmlformats.org/package/2006/relationships"><Relationship Type="http://schemas.openxmlformats.org/officeDocument/2006/relationships/hyperlink" Target="#Home!A1" TargetMode="External" Id="rId1" /></Relationships>
</file>

<file path=xl/worksheets/_rels/sheet6.xml.rels><Relationships xmlns="http://schemas.openxmlformats.org/package/2006/relationships"><Relationship Type="http://schemas.openxmlformats.org/officeDocument/2006/relationships/hyperlink" Target="#Home!A1" TargetMode="External" Id="rId1" /></Relationships>
</file>

<file path=xl/worksheets/_rels/sheet7.xml.rels><Relationships xmlns="http://schemas.openxmlformats.org/package/2006/relationships"><Relationship Type="http://schemas.openxmlformats.org/officeDocument/2006/relationships/hyperlink" Target="#Home!A1" TargetMode="External" Id="rId1" /></Relationships>
</file>

<file path=xl/worksheets/_rels/sheet8.xml.rels><Relationships xmlns="http://schemas.openxmlformats.org/package/2006/relationships"><Relationship Type="http://schemas.openxmlformats.org/officeDocument/2006/relationships/hyperlink" Target="#Home!A1" TargetMode="External" Id="rId1" /></Relationships>
</file>

<file path=xl/worksheets/_rels/sheet9.xml.rels><Relationships xmlns="http://schemas.openxmlformats.org/package/2006/relationships"><Relationship Type="http://schemas.openxmlformats.org/officeDocument/2006/relationships/hyperlink" Target="#Home!A1" TargetMode="External" Id="rId1" /></Relationships>
</file>

<file path=xl/worksheets/_rels/sheet10.xml.rels><Relationships xmlns="http://schemas.openxmlformats.org/package/2006/relationships"><Relationship Type="http://schemas.openxmlformats.org/officeDocument/2006/relationships/hyperlink" Target="#Home!A1" TargetMode="External" Id="rId1" /></Relationships>
</file>

<file path=xl/worksheets/sheet1.xml><?xml version="1.0" encoding="utf-8"?>
<worksheet xmlns="http://schemas.openxmlformats.org/spreadsheetml/2006/main">
  <sheetPr>
    <outlinePr summaryBelow="1" summaryRight="1"/>
    <pageSetUpPr/>
  </sheetPr>
  <dimension ref="A1:Q8"/>
  <sheetViews>
    <sheetView showGridLines="0" workbookViewId="0">
      <selection activeCell="A1" sqref="A1"/>
    </sheetView>
  </sheetViews>
  <sheetFormatPr baseColWidth="8" defaultRowHeight="15"/>
  <cols>
    <col width="20" customWidth="1" min="1" max="1"/>
    <col width="20" customWidth="1" min="3" max="3"/>
    <col width="20" customWidth="1" min="5" max="5"/>
    <col width="20" customWidth="1" min="7" max="7"/>
    <col width="18" customWidth="1" min="9" max="9"/>
    <col width="35" customWidth="1" min="10" max="10"/>
    <col width="14" customWidth="1" min="12" max="12"/>
    <col width="10" customWidth="1" min="13" max="13"/>
    <col width="14" customWidth="1" min="14" max="14"/>
    <col width="10" customWidth="1" min="15" max="15"/>
    <col width="16" customWidth="1" min="16" max="16"/>
    <col width="32" customWidth="1" min="17" max="17"/>
  </cols>
  <sheetData>
    <row r="1">
      <c r="A1" s="1" t="inlineStr">
        <is>
          <t>Status</t>
        </is>
      </c>
      <c r="C1" s="1" t="inlineStr">
        <is>
          <t>Priority</t>
        </is>
      </c>
      <c r="E1" s="1" t="inlineStr">
        <is>
          <t>Energy</t>
        </is>
      </c>
      <c r="G1" s="1" t="inlineStr">
        <is>
          <t>Estimated Time</t>
        </is>
      </c>
      <c r="I1" s="21" t="inlineStr">
        <is>
          <t>Energy Guidelines</t>
        </is>
      </c>
      <c r="L1" s="1" t="inlineStr">
        <is>
          <t>Priority</t>
        </is>
      </c>
      <c r="M1" s="1" t="inlineStr">
        <is>
          <t>Weight</t>
        </is>
      </c>
      <c r="N1" s="1" t="inlineStr">
        <is>
          <t>Time Label</t>
        </is>
      </c>
      <c r="O1" s="1" t="inlineStr">
        <is>
          <t>Minutes</t>
        </is>
      </c>
      <c r="P1" s="1" t="inlineStr">
        <is>
          <t>Energy</t>
        </is>
      </c>
      <c r="Q1" s="1" t="inlineStr">
        <is>
          <t>Suggested Focus</t>
        </is>
      </c>
    </row>
    <row r="2">
      <c r="A2" t="inlineStr">
        <is>
          <t>Captured</t>
        </is>
      </c>
      <c r="C2" t="inlineStr">
        <is>
          <t>High</t>
        </is>
      </c>
      <c r="E2" t="inlineStr">
        <is>
          <t>Deep Thinking</t>
        </is>
      </c>
      <c r="G2" t="inlineStr">
        <is>
          <t>5 mins</t>
        </is>
      </c>
      <c r="I2" s="22" t="inlineStr">
        <is>
          <t>Deep Thinking</t>
        </is>
      </c>
      <c r="J2" s="23" t="inlineStr">
        <is>
          <t>Complex problems, strategic work, decision-making</t>
        </is>
      </c>
      <c r="L2" t="inlineStr">
        <is>
          <t>High</t>
        </is>
      </c>
      <c r="M2" t="n">
        <v>30</v>
      </c>
      <c r="N2" t="inlineStr">
        <is>
          <t>5 mins</t>
        </is>
      </c>
      <c r="O2" t="n">
        <v>5</v>
      </c>
      <c r="P2" t="inlineStr">
        <is>
          <t>Deep Thinking</t>
        </is>
      </c>
      <c r="Q2" t="inlineStr">
        <is>
          <t>Framework Design &amp; Strategic Work</t>
        </is>
      </c>
    </row>
    <row r="3">
      <c r="A3" t="inlineStr">
        <is>
          <t>Next</t>
        </is>
      </c>
      <c r="C3" t="inlineStr">
        <is>
          <t>Medium</t>
        </is>
      </c>
      <c r="E3" t="inlineStr">
        <is>
          <t>Processing</t>
        </is>
      </c>
      <c r="G3" t="inlineStr">
        <is>
          <t>15 mins</t>
        </is>
      </c>
      <c r="I3" s="22" t="inlineStr">
        <is>
          <t>Processing</t>
        </is>
      </c>
      <c r="J3" s="23" t="inlineStr">
        <is>
          <t>Routine analysis, execution, review</t>
        </is>
      </c>
      <c r="L3" t="inlineStr">
        <is>
          <t>Medium</t>
        </is>
      </c>
      <c r="M3" t="n">
        <v>20</v>
      </c>
      <c r="N3" t="inlineStr">
        <is>
          <t>15 mins</t>
        </is>
      </c>
      <c r="O3" t="n">
        <v>15</v>
      </c>
      <c r="P3" t="inlineStr">
        <is>
          <t>Processing</t>
        </is>
      </c>
      <c r="Q3" t="inlineStr">
        <is>
          <t>Documentation &amp; Review</t>
        </is>
      </c>
    </row>
    <row r="4">
      <c r="A4" t="inlineStr">
        <is>
          <t>In Progress</t>
        </is>
      </c>
      <c r="C4" t="inlineStr">
        <is>
          <t>Low</t>
        </is>
      </c>
      <c r="E4" t="inlineStr">
        <is>
          <t>Admin</t>
        </is>
      </c>
      <c r="G4" t="inlineStr">
        <is>
          <t>30 mins</t>
        </is>
      </c>
      <c r="I4" s="22" t="inlineStr">
        <is>
          <t>Admin</t>
        </is>
      </c>
      <c r="J4" s="23" t="inlineStr">
        <is>
          <t>Emails, scheduling, admin tasks</t>
        </is>
      </c>
      <c r="L4" t="inlineStr">
        <is>
          <t>Low</t>
        </is>
      </c>
      <c r="M4" t="n">
        <v>10</v>
      </c>
      <c r="N4" t="inlineStr">
        <is>
          <t>30 mins</t>
        </is>
      </c>
      <c r="O4" t="n">
        <v>30</v>
      </c>
      <c r="P4" t="inlineStr">
        <is>
          <t>Admin</t>
        </is>
      </c>
      <c r="Q4" t="inlineStr">
        <is>
          <t>Administration &amp; Housekeeping</t>
        </is>
      </c>
    </row>
    <row r="5">
      <c r="A5" t="inlineStr">
        <is>
          <t>Waiting</t>
        </is>
      </c>
      <c r="E5" t="inlineStr">
        <is>
          <t>Meeting</t>
        </is>
      </c>
      <c r="G5" t="inlineStr">
        <is>
          <t>60 mins</t>
        </is>
      </c>
      <c r="I5" s="22" t="inlineStr">
        <is>
          <t>Meeting</t>
        </is>
      </c>
      <c r="J5" s="23" t="inlineStr">
        <is>
          <t>Meetings, calls, collaboration</t>
        </is>
      </c>
      <c r="N5" t="inlineStr">
        <is>
          <t>60 mins</t>
        </is>
      </c>
      <c r="O5" t="n">
        <v>60</v>
      </c>
      <c r="P5" t="inlineStr">
        <is>
          <t>Meeting</t>
        </is>
      </c>
      <c r="Q5" t="inlineStr">
        <is>
          <t>Stakeholder Review &amp; Collaboration</t>
        </is>
      </c>
    </row>
    <row r="6">
      <c r="A6" t="inlineStr">
        <is>
          <t>Blocked</t>
        </is>
      </c>
      <c r="E6" t="inlineStr">
        <is>
          <t>Low Energy</t>
        </is>
      </c>
      <c r="G6" t="inlineStr">
        <is>
          <t>90+ mins</t>
        </is>
      </c>
      <c r="N6" t="inlineStr">
        <is>
          <t>90+ mins</t>
        </is>
      </c>
      <c r="O6" t="n">
        <v>90</v>
      </c>
      <c r="P6" t="inlineStr">
        <is>
          <t>Low Energy</t>
        </is>
      </c>
      <c r="Q6" t="inlineStr">
        <is>
          <t>Knowledge Capture &amp; Light Tasks</t>
        </is>
      </c>
    </row>
    <row r="7">
      <c r="A7" t="inlineStr">
        <is>
          <t>Done</t>
        </is>
      </c>
    </row>
    <row r="8">
      <c r="A8" t="inlineStr">
        <is>
          <t>Archive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0"/>
  <sheetViews>
    <sheetView showGridLines="0" workbookViewId="0">
      <selection activeCell="A1" sqref="A1"/>
    </sheetView>
  </sheetViews>
  <sheetFormatPr baseColWidth="8" defaultRowHeight="15"/>
  <cols>
    <col width="3" customWidth="1" min="1" max="1"/>
    <col width="20" customWidth="1" min="2" max="2"/>
    <col width="20" customWidth="1" min="3" max="3"/>
    <col width="20" customWidth="1" min="4" max="4"/>
    <col width="20" customWidth="1" min="5" max="5"/>
    <col width="18" customWidth="1" min="6" max="6"/>
  </cols>
  <sheetData>
    <row r="1">
      <c r="Y1" s="38" t="inlineStr">
        <is>
          <t>system — do not edit</t>
        </is>
      </c>
      <c r="Z1" s="38">
        <f>IF(MAX('Work Register'!$N$5:$N$200)&lt;=-9000,0,MATCH(MAX('Work Register'!$N$5:$N$200),'Work Register'!$N$5:$N$200,0)+4)</f>
        <v/>
      </c>
    </row>
    <row r="2" ht="25" customHeight="1">
      <c r="B2" s="2" t="inlineStr">
        <is>
          <t>Work Operating System</t>
        </is>
      </c>
    </row>
    <row r="4" ht="25" customHeight="1">
      <c r="B4" s="3" t="inlineStr">
        <is>
          <t>New Mission</t>
        </is>
      </c>
      <c r="C4" s="3" t="inlineStr">
        <is>
          <t>Today</t>
        </is>
      </c>
      <c r="D4" s="3" t="inlineStr">
        <is>
          <t>Work Register</t>
        </is>
      </c>
      <c r="E4" s="3" t="inlineStr">
        <is>
          <t>Weekly Review</t>
        </is>
      </c>
    </row>
    <row r="6">
      <c r="A6" s="39" t="n"/>
      <c r="B6" s="40" t="inlineStr">
        <is>
          <t>Work Selection</t>
        </is>
      </c>
      <c r="C6" s="39" t="n"/>
      <c r="D6" s="39" t="n"/>
      <c r="E6" s="39" t="n"/>
      <c r="F6" s="39" t="n"/>
      <c r="G6" s="39" t="n"/>
      <c r="H6" s="39" t="n"/>
      <c r="I6" s="39" t="n"/>
      <c r="J6" s="39" t="n"/>
      <c r="K6" s="39" t="n"/>
      <c r="L6" s="39" t="n"/>
      <c r="M6" s="39" t="n"/>
      <c r="N6" s="39" t="n"/>
      <c r="O6" s="39" t="n"/>
      <c r="P6" s="39" t="n"/>
      <c r="Q6" s="39" t="n"/>
      <c r="R6" s="39" t="n"/>
      <c r="S6" s="39" t="n"/>
      <c r="T6" s="39" t="n"/>
      <c r="U6" s="39" t="n"/>
      <c r="V6" s="39" t="n"/>
      <c r="W6" s="39" t="n"/>
      <c r="X6" s="39" t="n"/>
      <c r="Y6" s="39" t="n"/>
      <c r="Z6" s="39" t="n"/>
    </row>
    <row r="7" ht="20" customHeight="1">
      <c r="A7" s="39" t="n"/>
      <c r="B7" s="8" t="inlineStr">
        <is>
          <t>Available Time</t>
        </is>
      </c>
      <c r="C7" s="69" t="inlineStr">
        <is>
          <t>30 mins</t>
        </is>
      </c>
      <c r="D7" s="8" t="inlineStr">
        <is>
          <t>Current Energy</t>
        </is>
      </c>
      <c r="E7" s="69" t="inlineStr">
        <is>
          <t>Processing</t>
        </is>
      </c>
      <c r="F7" s="39" t="n"/>
      <c r="G7" s="39" t="n"/>
      <c r="H7" s="39" t="n"/>
      <c r="I7" s="39" t="n"/>
      <c r="J7" s="39" t="n"/>
      <c r="K7" s="39" t="n"/>
      <c r="L7" s="39" t="n"/>
      <c r="M7" s="39" t="n"/>
      <c r="N7" s="39" t="n"/>
      <c r="O7" s="39" t="n"/>
      <c r="P7" s="39" t="n"/>
      <c r="Q7" s="39" t="n"/>
      <c r="R7" s="39" t="n"/>
      <c r="S7" s="39" t="n"/>
      <c r="T7" s="39" t="n"/>
      <c r="U7" s="39" t="n"/>
      <c r="V7" s="39" t="n"/>
      <c r="W7" s="39" t="n"/>
      <c r="X7" s="39" t="n"/>
      <c r="Y7" s="39" t="n"/>
      <c r="Z7" s="39" t="n"/>
    </row>
    <row r="8">
      <c r="A8" s="39" t="n"/>
      <c r="B8" s="39" t="n"/>
      <c r="C8" s="39" t="n"/>
      <c r="D8" s="39" t="n"/>
      <c r="E8" s="39" t="n"/>
      <c r="F8" s="39" t="n"/>
      <c r="G8" s="39" t="n"/>
      <c r="H8" s="39" t="n"/>
      <c r="I8" s="39" t="n"/>
      <c r="J8" s="39" t="n"/>
      <c r="K8" s="39" t="n"/>
      <c r="L8" s="39" t="n"/>
      <c r="M8" s="39" t="n"/>
      <c r="N8" s="39" t="n"/>
      <c r="O8" s="39" t="n"/>
      <c r="P8" s="39" t="n"/>
      <c r="Q8" s="39" t="n"/>
      <c r="R8" s="39" t="n"/>
      <c r="S8" s="39" t="n"/>
      <c r="T8" s="39" t="n"/>
      <c r="U8" s="39" t="n"/>
      <c r="V8" s="39" t="n"/>
      <c r="W8" s="39" t="n"/>
      <c r="X8" s="39" t="n"/>
      <c r="Y8" s="39" t="n"/>
      <c r="Z8" s="39" t="n"/>
    </row>
    <row r="9">
      <c r="A9" s="39" t="n"/>
      <c r="B9" s="40" t="inlineStr">
        <is>
          <t>Recommended Next Task</t>
        </is>
      </c>
      <c r="F9" s="39" t="n"/>
      <c r="G9" s="39" t="n"/>
      <c r="H9" s="39" t="n"/>
      <c r="I9" s="39" t="n"/>
      <c r="J9" s="39" t="n"/>
      <c r="K9" s="39" t="n"/>
      <c r="L9" s="39" t="n"/>
      <c r="M9" s="39" t="n"/>
      <c r="N9" s="39" t="n"/>
      <c r="O9" s="39" t="n"/>
      <c r="P9" s="39" t="n"/>
      <c r="Q9" s="39" t="n"/>
      <c r="R9" s="39" t="n"/>
      <c r="S9" s="39" t="n"/>
      <c r="T9" s="39" t="n"/>
      <c r="U9" s="39" t="n"/>
      <c r="V9" s="39" t="n"/>
      <c r="W9" s="39" t="n"/>
      <c r="X9" s="39" t="n"/>
      <c r="Y9" s="39" t="n"/>
      <c r="Z9" s="39" t="n"/>
    </row>
    <row r="10" ht="22" customHeight="1">
      <c r="A10" s="39" t="n"/>
      <c r="B10" s="8" t="inlineStr">
        <is>
          <t>Mission</t>
        </is>
      </c>
      <c r="C10" s="42">
        <f>IF($Z$1=0,"No actionable tasks",INDEX('Work Register'!A:A,$Z$1))</f>
        <v/>
      </c>
      <c r="D10" s="6" t="n"/>
      <c r="E10" s="7" t="n"/>
      <c r="F10" s="39" t="n"/>
      <c r="G10" s="39" t="n"/>
      <c r="H10" s="39" t="n"/>
      <c r="I10" s="39" t="n"/>
      <c r="J10" s="39" t="n"/>
      <c r="K10" s="39" t="n"/>
      <c r="L10" s="39" t="n"/>
      <c r="M10" s="39" t="n"/>
      <c r="N10" s="39" t="n"/>
      <c r="O10" s="39" t="n"/>
      <c r="P10" s="39" t="n"/>
      <c r="Q10" s="39" t="n"/>
      <c r="R10" s="39" t="n"/>
      <c r="S10" s="39" t="n"/>
      <c r="T10" s="39" t="n"/>
      <c r="U10" s="39" t="n"/>
      <c r="V10" s="39" t="n"/>
      <c r="W10" s="39" t="n"/>
      <c r="X10" s="39" t="n"/>
      <c r="Y10" s="39" t="n"/>
      <c r="Z10" s="39" t="n"/>
    </row>
    <row r="11" ht="22" customHeight="1">
      <c r="A11" s="39" t="n"/>
      <c r="B11" s="8" t="inlineStr">
        <is>
          <t>Component</t>
        </is>
      </c>
      <c r="C11" s="42">
        <f>IF($Z$1=0,"—",INDEX('Work Register'!C:C,$Z$1))</f>
        <v/>
      </c>
      <c r="D11" s="6" t="n"/>
      <c r="E11" s="7" t="n"/>
      <c r="F11" s="39" t="n"/>
      <c r="G11" s="39" t="n"/>
      <c r="H11" s="39" t="n"/>
      <c r="I11" s="39" t="n"/>
      <c r="J11" s="39" t="n"/>
      <c r="K11" s="39" t="n"/>
      <c r="L11" s="39" t="n"/>
      <c r="M11" s="39" t="n"/>
      <c r="N11" s="39" t="n"/>
      <c r="O11" s="39" t="n"/>
      <c r="P11" s="39" t="n"/>
      <c r="Q11" s="39" t="n"/>
      <c r="R11" s="39" t="n"/>
      <c r="S11" s="39" t="n"/>
      <c r="T11" s="39" t="n"/>
      <c r="U11" s="39" t="n"/>
      <c r="V11" s="39" t="n"/>
      <c r="W11" s="39" t="n"/>
      <c r="X11" s="39" t="n"/>
      <c r="Y11" s="39" t="n"/>
      <c r="Z11" s="39" t="n"/>
    </row>
    <row r="12" ht="22" customHeight="1">
      <c r="A12" s="39" t="n"/>
      <c r="B12" s="43" t="inlineStr">
        <is>
          <t>Task</t>
        </is>
      </c>
      <c r="C12" s="44">
        <f>IF($Z$1=0,"—",INDEX('Work Register'!D:D,$Z$1))</f>
        <v/>
      </c>
      <c r="D12" s="6" t="n"/>
      <c r="E12" s="7"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row>
    <row r="13" ht="32" customHeight="1">
      <c r="A13" s="39" t="n"/>
      <c r="B13" s="8" t="inlineStr">
        <is>
          <t>Reason</t>
        </is>
      </c>
      <c r="C13" s="42">
        <f>IF($Z$1=0,"Nothing actionable — review Blocked and Waiting items.",INDEX('Work Register'!O:O,$Z$1))</f>
        <v/>
      </c>
      <c r="D13" s="6" t="n"/>
      <c r="E13" s="7" t="n"/>
      <c r="F13" s="39" t="n"/>
      <c r="G13" s="39" t="n"/>
      <c r="H13" s="39" t="n"/>
      <c r="I13" s="39" t="n"/>
      <c r="J13" s="39" t="n"/>
      <c r="K13" s="39" t="n"/>
      <c r="L13" s="39" t="n"/>
      <c r="M13" s="39" t="n"/>
      <c r="N13" s="39" t="n"/>
      <c r="O13" s="39" t="n"/>
      <c r="P13" s="39" t="n"/>
      <c r="Q13" s="39" t="n"/>
      <c r="R13" s="39" t="n"/>
      <c r="S13" s="39" t="n"/>
      <c r="T13" s="39" t="n"/>
      <c r="U13" s="39" t="n"/>
      <c r="V13" s="39" t="n"/>
      <c r="W13" s="39" t="n"/>
      <c r="X13" s="39" t="n"/>
      <c r="Y13" s="39" t="n"/>
      <c r="Z13" s="39" t="n"/>
    </row>
    <row r="14" ht="22" customHeight="1">
      <c r="A14" s="39" t="n"/>
      <c r="B14" s="8" t="inlineStr">
        <is>
          <t>Estimated Duration</t>
        </is>
      </c>
      <c r="C14" s="42">
        <f>IF($Z$1=0,"—",INDEX('Work Register'!H:H,$Z$1))</f>
        <v/>
      </c>
      <c r="D14" s="6" t="n"/>
      <c r="E14" s="7"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39" t="n"/>
    </row>
    <row r="15">
      <c r="A15" s="39" t="n"/>
      <c r="B15" s="39" t="n"/>
      <c r="C15" s="39" t="n"/>
      <c r="D15" s="39" t="n"/>
      <c r="E15" s="39" t="n"/>
      <c r="F15" s="39" t="n"/>
      <c r="G15" s="39" t="n"/>
      <c r="H15" s="39" t="n"/>
      <c r="I15" s="39" t="n"/>
      <c r="J15" s="39" t="n"/>
      <c r="K15" s="39" t="n"/>
      <c r="L15" s="39" t="n"/>
      <c r="M15" s="39" t="n"/>
      <c r="N15" s="39" t="n"/>
      <c r="O15" s="39" t="n"/>
      <c r="P15" s="39" t="n"/>
      <c r="Q15" s="39" t="n"/>
      <c r="R15" s="39" t="n"/>
      <c r="S15" s="39" t="n"/>
      <c r="T15" s="39" t="n"/>
      <c r="U15" s="39" t="n"/>
      <c r="V15" s="39" t="n"/>
      <c r="W15" s="39" t="n"/>
      <c r="X15" s="39" t="n"/>
      <c r="Y15" s="39" t="n"/>
      <c r="Z15" s="39" t="n"/>
    </row>
    <row r="16">
      <c r="A16" s="39" t="n"/>
      <c r="B16" s="45" t="inlineStr">
        <is>
          <t>Active Missions</t>
        </is>
      </c>
      <c r="C16" s="45" t="inlineStr">
        <is>
          <t>Due Today</t>
        </is>
      </c>
      <c r="D16" s="45" t="inlineStr">
        <is>
          <t>Blocked</t>
        </is>
      </c>
      <c r="E16" s="45" t="inlineStr">
        <is>
          <t>Waiting</t>
        </is>
      </c>
      <c r="F16" s="45" t="inlineStr">
        <is>
          <t>Completed This Week</t>
        </is>
      </c>
      <c r="G16" s="39" t="n"/>
      <c r="H16" s="39" t="n"/>
      <c r="I16" s="39" t="n"/>
      <c r="J16" s="39" t="n"/>
      <c r="K16" s="39" t="n"/>
      <c r="L16" s="39" t="n"/>
      <c r="M16" s="39" t="n"/>
      <c r="N16" s="39" t="n"/>
      <c r="O16" s="39" t="n"/>
      <c r="P16" s="39" t="n"/>
      <c r="Q16" s="39" t="n"/>
      <c r="R16" s="39" t="n"/>
      <c r="S16" s="39" t="n"/>
      <c r="T16" s="39" t="n"/>
      <c r="U16" s="39" t="n"/>
      <c r="V16" s="39" t="n"/>
      <c r="W16" s="39" t="n"/>
      <c r="X16" s="39" t="n"/>
      <c r="Y16" s="39" t="n"/>
      <c r="Z16" s="39" t="n"/>
    </row>
    <row r="17">
      <c r="A17" s="39" t="n"/>
      <c r="B17" s="46">
        <f>COUNTIFS('Work Register'!$E:$E,"&lt;&gt;Done",'Work Register'!$E:$E,"&lt;&gt;Archive",'Work Register'!$E:$E,"&lt;&gt;Blocked")</f>
        <v/>
      </c>
      <c r="C17" s="46">
        <f>COUNTIFS('Work Register'!$I:$I,"&gt;="&amp;TODAY(),'Work Register'!$I:$I,"&lt;"&amp;TODAY()+1,'Work Register'!$E:$E,"&lt;&gt;Done")</f>
        <v/>
      </c>
      <c r="D17" s="46">
        <f>COUNTIF('Work Register'!$E:$E,"Blocked")</f>
        <v/>
      </c>
      <c r="E17" s="46">
        <f>COUNTIF('Work Register'!$E:$E,"Waiting")</f>
        <v/>
      </c>
      <c r="F17" s="46">
        <f>COUNTIF('Work Register'!$E:$E,"Done")</f>
        <v/>
      </c>
      <c r="G17" s="39" t="n"/>
      <c r="H17" s="39" t="n"/>
      <c r="I17" s="39" t="n"/>
      <c r="J17" s="39" t="n"/>
      <c r="K17" s="39" t="n"/>
      <c r="L17" s="39" t="n"/>
      <c r="M17" s="39" t="n"/>
      <c r="N17" s="39" t="n"/>
      <c r="O17" s="39" t="n"/>
      <c r="P17" s="39" t="n"/>
      <c r="Q17" s="39" t="n"/>
      <c r="R17" s="39" t="n"/>
      <c r="S17" s="39" t="n"/>
      <c r="T17" s="39" t="n"/>
      <c r="U17" s="39" t="n"/>
      <c r="V17" s="39" t="n"/>
      <c r="W17" s="39" t="n"/>
      <c r="X17" s="39" t="n"/>
      <c r="Y17" s="39" t="n"/>
      <c r="Z17" s="39" t="n"/>
    </row>
    <row r="18">
      <c r="A18" s="39" t="n"/>
      <c r="B18" s="39" t="n"/>
      <c r="C18" s="39" t="n"/>
      <c r="D18" s="39" t="n"/>
      <c r="E18" s="39" t="n"/>
      <c r="F18" s="39" t="n"/>
      <c r="G18" s="39" t="n"/>
      <c r="H18" s="39" t="n"/>
      <c r="I18" s="39" t="n"/>
      <c r="J18" s="39" t="n"/>
      <c r="K18" s="39" t="n"/>
      <c r="L18" s="39" t="n"/>
      <c r="M18" s="39" t="n"/>
      <c r="N18" s="39" t="n"/>
      <c r="O18" s="39" t="n"/>
      <c r="P18" s="39" t="n"/>
      <c r="Q18" s="39" t="n"/>
      <c r="R18" s="39" t="n"/>
      <c r="S18" s="39" t="n"/>
      <c r="T18" s="39" t="n"/>
      <c r="U18" s="39" t="n"/>
      <c r="V18" s="39" t="n"/>
      <c r="W18" s="39" t="n"/>
      <c r="X18" s="39" t="n"/>
      <c r="Y18" s="39" t="n"/>
      <c r="Z18" s="39" t="n"/>
    </row>
    <row r="19">
      <c r="A19" s="39" t="n"/>
      <c r="B19" s="40" t="inlineStr">
        <is>
          <t>Workload Balance</t>
        </is>
      </c>
      <c r="C19" s="39" t="n"/>
      <c r="D19" s="39" t="n"/>
      <c r="E19" s="39" t="n"/>
      <c r="F19" s="39" t="n"/>
      <c r="G19" s="39" t="n"/>
      <c r="H19" s="39" t="n"/>
      <c r="I19" s="39" t="n"/>
      <c r="J19" s="39" t="n"/>
      <c r="K19" s="39" t="n"/>
      <c r="L19" s="39" t="n"/>
      <c r="M19" s="39" t="n"/>
      <c r="N19" s="39" t="n"/>
      <c r="O19" s="39" t="n"/>
      <c r="P19" s="39" t="n"/>
      <c r="Q19" s="39" t="n"/>
      <c r="R19" s="39" t="n"/>
      <c r="S19" s="39" t="n"/>
      <c r="T19" s="39" t="n"/>
      <c r="U19" s="39" t="n"/>
      <c r="V19" s="39" t="n"/>
      <c r="W19" s="39" t="n"/>
      <c r="X19" s="39" t="n"/>
      <c r="Y19" s="39" t="n"/>
      <c r="Z19" s="39" t="n"/>
    </row>
    <row r="20">
      <c r="A20" s="39" t="n"/>
      <c r="B20" s="13" t="inlineStr">
        <is>
          <t>Energy</t>
        </is>
      </c>
      <c r="C20" s="13" t="inlineStr">
        <is>
          <t>Tasks</t>
        </is>
      </c>
      <c r="D20" s="13" t="inlineStr">
        <is>
          <t>Hours</t>
        </is>
      </c>
      <c r="E20" s="13" t="inlineStr">
        <is>
          <t>% of Active</t>
        </is>
      </c>
      <c r="F20" s="39" t="n"/>
      <c r="G20" s="39" t="n"/>
      <c r="H20" s="39" t="n"/>
      <c r="I20" s="39" t="n"/>
      <c r="J20" s="39" t="n"/>
      <c r="K20" s="39" t="n"/>
      <c r="L20" s="39" t="n"/>
      <c r="M20" s="39" t="n"/>
      <c r="N20" s="39" t="n"/>
      <c r="O20" s="39" t="n"/>
      <c r="P20" s="39" t="n"/>
      <c r="Q20" s="39" t="n"/>
      <c r="R20" s="39" t="n"/>
      <c r="S20" s="39" t="n"/>
      <c r="T20" s="39" t="n"/>
      <c r="U20" s="39" t="n"/>
      <c r="V20" s="39" t="n"/>
      <c r="W20" s="39" t="n"/>
      <c r="X20" s="39" t="n"/>
      <c r="Y20" s="39" t="n"/>
      <c r="Z20" s="39" t="n"/>
    </row>
    <row r="21" ht="20" customHeight="1">
      <c r="A21" s="39" t="n"/>
      <c r="B21" s="47" t="inlineStr">
        <is>
          <t>Deep Thinking</t>
        </is>
      </c>
      <c r="C21" s="41">
        <f>SUMPRODUCT(('Work Register'!$G$5:$G$200="Deep Thinking")*(('Work Register'!$E$5:$E$200="Captured")+('Work Register'!$E$5:$E$200="Next")+('Work Register'!$E$5:$E$200="In Progress")+('Work Register'!$E$5:$E$200="Waiting")))</f>
        <v/>
      </c>
      <c r="D21" s="41">
        <f>ROUND(SUMPRODUCT(('Work Register'!$G$5:$G$200="Deep Thinking")*(('Work Register'!$E$5:$E$200="Captured")+('Work Register'!$E$5:$E$200="Next")+('Work Register'!$E$5:$E$200="In Progress")+('Work Register'!$E$5:$E$200="Waiting"))*'Work Register'!$M$5:$M$200)/60,1)</f>
        <v/>
      </c>
      <c r="E21" s="48">
        <f>IFERROR($D21/$D$26,0)</f>
        <v/>
      </c>
      <c r="F21" s="39" t="n"/>
      <c r="G21" s="39" t="n"/>
      <c r="H21" s="39" t="n"/>
      <c r="I21" s="39" t="n"/>
      <c r="J21" s="39" t="n"/>
      <c r="K21" s="39" t="n"/>
      <c r="L21" s="39" t="n"/>
      <c r="M21" s="39" t="n"/>
      <c r="N21" s="39" t="n"/>
      <c r="O21" s="39" t="n"/>
      <c r="P21" s="39" t="n"/>
      <c r="Q21" s="39" t="n"/>
      <c r="R21" s="39" t="n"/>
      <c r="S21" s="39" t="n"/>
      <c r="T21" s="39" t="n"/>
      <c r="U21" s="39" t="n"/>
      <c r="V21" s="39" t="n"/>
      <c r="W21" s="39" t="n"/>
      <c r="X21" s="39" t="n"/>
      <c r="Y21" s="39" t="n"/>
      <c r="Z21" s="39" t="n"/>
    </row>
    <row r="22" ht="20" customHeight="1">
      <c r="A22" s="39" t="n"/>
      <c r="B22" s="47" t="inlineStr">
        <is>
          <t>Processing</t>
        </is>
      </c>
      <c r="C22" s="41">
        <f>SUMPRODUCT(('Work Register'!$G$5:$G$200="Processing")*(('Work Register'!$E$5:$E$200="Captured")+('Work Register'!$E$5:$E$200="Next")+('Work Register'!$E$5:$E$200="In Progress")+('Work Register'!$E$5:$E$200="Waiting")))</f>
        <v/>
      </c>
      <c r="D22" s="41">
        <f>ROUND(SUMPRODUCT(('Work Register'!$G$5:$G$200="Processing")*(('Work Register'!$E$5:$E$200="Captured")+('Work Register'!$E$5:$E$200="Next")+('Work Register'!$E$5:$E$200="In Progress")+('Work Register'!$E$5:$E$200="Waiting"))*'Work Register'!$M$5:$M$200)/60,1)</f>
        <v/>
      </c>
      <c r="E22" s="48">
        <f>IFERROR($D22/$D$26,0)</f>
        <v/>
      </c>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39" t="n"/>
    </row>
    <row r="23" ht="20" customHeight="1">
      <c r="A23" s="39" t="n"/>
      <c r="B23" s="47" t="inlineStr">
        <is>
          <t>Admin</t>
        </is>
      </c>
      <c r="C23" s="41">
        <f>SUMPRODUCT(('Work Register'!$G$5:$G$200="Admin")*(('Work Register'!$E$5:$E$200="Captured")+('Work Register'!$E$5:$E$200="Next")+('Work Register'!$E$5:$E$200="In Progress")+('Work Register'!$E$5:$E$200="Waiting")))</f>
        <v/>
      </c>
      <c r="D23" s="41">
        <f>ROUND(SUMPRODUCT(('Work Register'!$G$5:$G$200="Admin")*(('Work Register'!$E$5:$E$200="Captured")+('Work Register'!$E$5:$E$200="Next")+('Work Register'!$E$5:$E$200="In Progress")+('Work Register'!$E$5:$E$200="Waiting"))*'Work Register'!$M$5:$M$200)/60,1)</f>
        <v/>
      </c>
      <c r="E23" s="48">
        <f>IFERROR($D23/$D$26,0)</f>
        <v/>
      </c>
      <c r="F23" s="39" t="n"/>
      <c r="G23" s="39" t="n"/>
      <c r="H23" s="39" t="n"/>
      <c r="I23" s="39" t="n"/>
      <c r="J23" s="39" t="n"/>
      <c r="K23" s="39" t="n"/>
      <c r="L23" s="39" t="n"/>
      <c r="M23" s="39" t="n"/>
      <c r="N23" s="39" t="n"/>
      <c r="O23" s="39" t="n"/>
      <c r="P23" s="39" t="n"/>
      <c r="Q23" s="39" t="n"/>
      <c r="R23" s="39" t="n"/>
      <c r="S23" s="39" t="n"/>
      <c r="T23" s="39" t="n"/>
      <c r="U23" s="39" t="n"/>
      <c r="V23" s="39" t="n"/>
      <c r="W23" s="39" t="n"/>
      <c r="X23" s="39" t="n"/>
      <c r="Y23" s="39" t="n"/>
      <c r="Z23" s="39" t="n"/>
    </row>
    <row r="24">
      <c r="A24" s="39" t="n"/>
      <c r="B24" s="47" t="inlineStr">
        <is>
          <t>Meeting</t>
        </is>
      </c>
      <c r="C24" s="41">
        <f>SUMPRODUCT(('Work Register'!$G$5:$G$200="Meeting")*(('Work Register'!$E$5:$E$200="Captured")+('Work Register'!$E$5:$E$200="Next")+('Work Register'!$E$5:$E$200="In Progress")+('Work Register'!$E$5:$E$200="Waiting")))</f>
        <v/>
      </c>
      <c r="D24" s="41">
        <f>ROUND(SUMPRODUCT(('Work Register'!$G$5:$G$200="Meeting")*(('Work Register'!$E$5:$E$200="Captured")+('Work Register'!$E$5:$E$200="Next")+('Work Register'!$E$5:$E$200="In Progress")+('Work Register'!$E$5:$E$200="Waiting"))*'Work Register'!$M$5:$M$200)/60,1)</f>
        <v/>
      </c>
      <c r="E24" s="48">
        <f>IFERROR($D24/$D$26,0)</f>
        <v/>
      </c>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39" t="n"/>
    </row>
    <row r="25">
      <c r="A25" s="39" t="n"/>
      <c r="B25" s="47" t="inlineStr">
        <is>
          <t>Low Energy</t>
        </is>
      </c>
      <c r="C25" s="41">
        <f>SUMPRODUCT(('Work Register'!$G$5:$G$200="Low Energy")*(('Work Register'!$E$5:$E$200="Captured")+('Work Register'!$E$5:$E$200="Next")+('Work Register'!$E$5:$E$200="In Progress")+('Work Register'!$E$5:$E$200="Waiting")))</f>
        <v/>
      </c>
      <c r="D25" s="41">
        <f>ROUND(SUMPRODUCT(('Work Register'!$G$5:$G$200="Low Energy")*(('Work Register'!$E$5:$E$200="Captured")+('Work Register'!$E$5:$E$200="Next")+('Work Register'!$E$5:$E$200="In Progress")+('Work Register'!$E$5:$E$200="Waiting"))*'Work Register'!$M$5:$M$200)/60,1)</f>
        <v/>
      </c>
      <c r="E25" s="48">
        <f>IFERROR($D25/$D$26,0)</f>
        <v/>
      </c>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39" t="n"/>
    </row>
    <row r="26">
      <c r="A26" s="39" t="n"/>
      <c r="B26" s="49" t="inlineStr">
        <is>
          <t>Total</t>
        </is>
      </c>
      <c r="C26" s="50">
        <f>SUM(C21:C25)</f>
        <v/>
      </c>
      <c r="D26" s="50">
        <f>SUM(D21:D25)</f>
        <v/>
      </c>
      <c r="E26" s="51">
        <f>IFERROR(SUM(E21:E25),0)</f>
        <v/>
      </c>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39" t="n"/>
    </row>
    <row r="27">
      <c r="A27" s="39" t="n"/>
      <c r="B27" s="39" t="n"/>
      <c r="C27" s="39" t="n"/>
      <c r="D27" s="39" t="n"/>
      <c r="E27" s="39" t="n"/>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39" t="n"/>
    </row>
    <row r="28">
      <c r="A28" s="39" t="n"/>
      <c r="B28" s="40" t="inlineStr">
        <is>
          <t>Today is Best Suited To</t>
        </is>
      </c>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39" t="n"/>
    </row>
    <row r="29" ht="24" customHeight="1">
      <c r="A29" s="39" t="n"/>
      <c r="B29" s="52">
        <f>IFERROR(VLOOKUP(INDEX($B$21:$B25,MATCH(MAX($D$21:$D25),$D$21:$D25,0)),Lists!$P$2:$Q$6,2,FALSE),"Add tasks to Work Register to see a recommendation")</f>
        <v/>
      </c>
      <c r="C29" s="6" t="n"/>
      <c r="D29" s="6" t="n"/>
      <c r="E29" s="7" t="n"/>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39" t="n"/>
    </row>
    <row r="30">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39" t="n"/>
    </row>
    <row r="31">
      <c r="A31" s="39" t="n"/>
      <c r="B31" s="40" t="inlineStr">
        <is>
          <t>Needs Attention</t>
        </is>
      </c>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39" t="n"/>
    </row>
    <row r="32">
      <c r="A32" s="39" t="n"/>
      <c r="B32" s="53">
        <f>COUNTIF(Missions!$O$2:$O$7,TRUE)&amp;" active warning(s)"</f>
        <v/>
      </c>
      <c r="C32" s="6" t="n"/>
      <c r="D32" s="6" t="n"/>
      <c r="E32" s="7"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39" t="n"/>
    </row>
    <row r="33" ht="26" customHeight="1">
      <c r="A33" s="39" t="n"/>
      <c r="B33" s="54">
        <f>IFERROR(TEXTJOIN("; ",TRUE,IF(Missions!$O$2,Missions!$N$2,""),IF(Missions!$O$3,Missions!$N$3,""),IF(Missions!$O$4,Missions!$N$4,""),IF(Missions!$O$5,Missions!$N$5,""),IF(Missions!$O$6,Missions!$N$6,""),IF(Missions!$O$7,Missions!$N$7,"")),"")</f>
        <v/>
      </c>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39" t="n"/>
    </row>
    <row r="34">
      <c r="A34" s="39" t="n"/>
      <c r="B34" s="39" t="n"/>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39" t="n"/>
    </row>
    <row r="35">
      <c r="A35" s="39" t="n"/>
      <c r="B35" s="40" t="inlineStr">
        <is>
          <t>Quick Access</t>
        </is>
      </c>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39" t="n"/>
    </row>
    <row r="36" ht="20" customHeight="1">
      <c r="A36" s="39" t="n"/>
      <c r="B36" s="55" t="inlineStr">
        <is>
          <t>Current Focus</t>
        </is>
      </c>
      <c r="C36" s="55" t="inlineStr">
        <is>
          <t>Weekly Review</t>
        </is>
      </c>
      <c r="D36" s="55" t="inlineStr">
        <is>
          <t>Task Finder</t>
        </is>
      </c>
      <c r="E36" s="55" t="inlineStr">
        <is>
          <t>Missions</t>
        </is>
      </c>
      <c r="F36" s="55" t="inlineStr">
        <is>
          <t>Archive</t>
        </is>
      </c>
      <c r="G36" s="39" t="n"/>
      <c r="H36" s="39" t="n"/>
      <c r="I36" s="39" t="n"/>
      <c r="J36" s="39" t="n"/>
      <c r="K36" s="39" t="n"/>
      <c r="L36" s="39" t="n"/>
      <c r="M36" s="39" t="n"/>
      <c r="N36" s="39" t="n"/>
      <c r="O36" s="39" t="n"/>
      <c r="P36" s="39" t="n"/>
      <c r="Q36" s="39" t="n"/>
      <c r="R36" s="39" t="n"/>
      <c r="S36" s="39" t="n"/>
      <c r="T36" s="39" t="n"/>
      <c r="U36" s="39" t="n"/>
      <c r="V36" s="39" t="n"/>
      <c r="W36" s="39" t="n"/>
      <c r="X36" s="39" t="n"/>
      <c r="Y36" s="39" t="n"/>
      <c r="Z36" s="39" t="n"/>
    </row>
    <row r="37">
      <c r="A37" s="39" t="n"/>
      <c r="B37" s="39" t="n"/>
      <c r="C37" s="39" t="n"/>
      <c r="D37" s="39" t="n"/>
      <c r="E37" s="39" t="n"/>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39" t="n"/>
    </row>
    <row r="38">
      <c r="A38" s="39" t="n"/>
      <c r="B38" s="39" t="n"/>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39" t="n"/>
    </row>
    <row r="39">
      <c r="A39" s="39" t="n"/>
      <c r="B39" s="39" t="n"/>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39" t="n"/>
    </row>
    <row r="40">
      <c r="A40" s="39" t="n"/>
      <c r="B40" s="39" t="n"/>
      <c r="C40" s="39" t="n"/>
      <c r="D40" s="39" t="n"/>
      <c r="E40" s="39" t="n"/>
      <c r="F40" s="39" t="n"/>
      <c r="G40" s="39" t="n"/>
      <c r="H40" s="39" t="n"/>
      <c r="I40" s="39" t="n"/>
      <c r="J40" s="39" t="n"/>
      <c r="K40" s="39" t="n"/>
      <c r="L40" s="39" t="n"/>
      <c r="M40" s="39" t="n"/>
      <c r="N40" s="39" t="n"/>
      <c r="O40" s="39" t="n"/>
      <c r="P40" s="39" t="n"/>
      <c r="Q40" s="39" t="n"/>
      <c r="R40" s="39" t="n"/>
      <c r="S40" s="39" t="n"/>
      <c r="T40" s="39" t="n"/>
      <c r="U40" s="39" t="n"/>
      <c r="V40" s="39" t="n"/>
      <c r="W40" s="39" t="n"/>
      <c r="X40" s="39" t="n"/>
      <c r="Y40" s="39" t="n"/>
      <c r="Z40" s="39" t="n"/>
    </row>
  </sheetData>
  <sheetProtection selectLockedCells="0" selectUnlockedCells="0" sheet="1" objects="0" insertRows="1" insertHyperlinks="1" autoFilter="1" scenarios="0" formatColumns="1" deleteColumns="1" insertColumns="1" pivotTables="1" deleteRows="1" formatCells="1" formatRows="1" sort="1"/>
  <mergeCells count="9">
    <mergeCell ref="B9:E9"/>
    <mergeCell ref="C14:E14"/>
    <mergeCell ref="C11:E11"/>
    <mergeCell ref="C13:E13"/>
    <mergeCell ref="B32:E32"/>
    <mergeCell ref="B29:E29"/>
    <mergeCell ref="B33:E33"/>
    <mergeCell ref="C12:E12"/>
    <mergeCell ref="C10:E10"/>
  </mergeCells>
  <conditionalFormatting sqref="B32:E32">
    <cfRule type="expression" priority="2" dxfId="5">
      <formula>COUNTIF(Missions!$O$2:$O$7,TRUE)&gt;0</formula>
    </cfRule>
  </conditionalFormatting>
  <conditionalFormatting sqref="E21:E25">
    <cfRule type="dataBar" priority="1">
      <dataBar showValue="1">
        <cfvo type="num" val="0"/>
        <cfvo type="num" val="1"/>
        <color rgb="FF4472C4"/>
      </dataBar>
    </cfRule>
  </conditionalFormatting>
  <dataValidations count="2">
    <dataValidation sqref="C7" showDropDown="0" showInputMessage="0" showErrorMessage="0" allowBlank="1" type="list">
      <formula1>TimeList</formula1>
    </dataValidation>
    <dataValidation sqref="E7" showDropDown="0" showInputMessage="0" showErrorMessage="0" allowBlank="1" type="list">
      <formula1>EnergyList</formula1>
    </dataValidation>
  </dataValidations>
  <hyperlinks>
    <hyperlink xmlns:r="http://schemas.openxmlformats.org/officeDocument/2006/relationships" ref="B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 xmlns:r="http://schemas.openxmlformats.org/officeDocument/2006/relationships" ref="B36" r:id="rId8"/>
    <hyperlink xmlns:r="http://schemas.openxmlformats.org/officeDocument/2006/relationships" ref="C36" r:id="rId9"/>
    <hyperlink xmlns:r="http://schemas.openxmlformats.org/officeDocument/2006/relationships" ref="D36" r:id="rId10"/>
    <hyperlink xmlns:r="http://schemas.openxmlformats.org/officeDocument/2006/relationships" ref="E36" r:id="rId11"/>
    <hyperlink xmlns:r="http://schemas.openxmlformats.org/officeDocument/2006/relationships" ref="F36" r:id="rId12"/>
  </hyperlinks>
  <pageMargins left="0.5" right="0.5" top="0.5" bottom="0.5" header="0.5" footer="0.5"/>
  <pageSetup paperSize="1"/>
</worksheet>
</file>

<file path=xl/worksheets/sheet3.xml><?xml version="1.0" encoding="utf-8"?>
<worksheet xmlns="http://schemas.openxmlformats.org/spreadsheetml/2006/main">
  <sheetPr>
    <outlinePr summaryBelow="1" summaryRight="1"/>
    <pageSetUpPr/>
  </sheetPr>
  <dimension ref="B2:E26"/>
  <sheetViews>
    <sheetView showGridLines="0" workbookViewId="0">
      <selection activeCell="A1" sqref="A1"/>
    </sheetView>
  </sheetViews>
  <sheetFormatPr baseColWidth="8" defaultRowHeight="15"/>
  <cols>
    <col width="25" customWidth="1" min="2" max="2"/>
    <col width="40" customWidth="1" min="3" max="3"/>
    <col width="20" customWidth="1" min="4" max="4"/>
    <col width="40" customWidth="1" min="5" max="5"/>
  </cols>
  <sheetData>
    <row r="2" ht="25" customHeight="1">
      <c r="B2" s="10" t="inlineStr">
        <is>
          <t>New Mission</t>
        </is>
      </c>
    </row>
    <row r="3" ht="20" customHeight="1">
      <c r="B3" s="11" t="inlineStr">
        <is>
          <t>← Home</t>
        </is>
      </c>
    </row>
    <row r="5">
      <c r="B5" s="4" t="inlineStr">
        <is>
          <t>Mission Name</t>
        </is>
      </c>
      <c r="C5" s="12" t="n"/>
    </row>
    <row r="6">
      <c r="B6" s="4" t="inlineStr">
        <is>
          <t>Outcome</t>
        </is>
      </c>
      <c r="C6" s="12" t="n"/>
    </row>
    <row r="7">
      <c r="B7" s="4" t="inlineStr">
        <is>
          <t>Why does this exist?</t>
        </is>
      </c>
      <c r="C7" s="12" t="n"/>
    </row>
    <row r="8">
      <c r="B8" s="4" t="inlineStr">
        <is>
          <t>Priority</t>
        </is>
      </c>
      <c r="C8" s="12" t="n"/>
    </row>
    <row r="9">
      <c r="B9" s="4" t="inlineStr">
        <is>
          <t>Due Date</t>
        </is>
      </c>
      <c r="C9" s="12" t="n"/>
    </row>
    <row r="10">
      <c r="B10" s="4" t="inlineStr">
        <is>
          <t>Status</t>
        </is>
      </c>
      <c r="C10" s="12" t="n"/>
    </row>
    <row r="12">
      <c r="B12" s="10" t="inlineStr">
        <is>
          <t>Deliverables</t>
        </is>
      </c>
    </row>
    <row r="13">
      <c r="C13" s="13" t="inlineStr">
        <is>
          <t>Deliverable Name</t>
        </is>
      </c>
      <c r="D13" s="13" t="inlineStr">
        <is>
          <t>Component</t>
        </is>
      </c>
      <c r="E13" s="13" t="inlineStr">
        <is>
          <t>First Next Action</t>
        </is>
      </c>
    </row>
    <row r="14">
      <c r="B14" s="14" t="inlineStr">
        <is>
          <t>D1</t>
        </is>
      </c>
      <c r="C14" s="15" t="n"/>
      <c r="D14" s="15" t="n"/>
      <c r="E14" s="15" t="n"/>
    </row>
    <row r="15">
      <c r="B15" s="14" t="inlineStr">
        <is>
          <t>D2</t>
        </is>
      </c>
      <c r="C15" s="15" t="n"/>
      <c r="D15" s="15" t="n"/>
      <c r="E15" s="15" t="n"/>
    </row>
    <row r="16">
      <c r="B16" s="14" t="inlineStr">
        <is>
          <t>D3</t>
        </is>
      </c>
      <c r="C16" s="15" t="n"/>
      <c r="D16" s="15" t="n"/>
      <c r="E16" s="15" t="n"/>
    </row>
    <row r="17">
      <c r="B17" s="14" t="inlineStr">
        <is>
          <t>D4</t>
        </is>
      </c>
      <c r="C17" s="15" t="n"/>
      <c r="D17" s="15" t="n"/>
      <c r="E17" s="15" t="n"/>
    </row>
    <row r="18">
      <c r="B18" s="14" t="inlineStr">
        <is>
          <t>D5</t>
        </is>
      </c>
      <c r="C18" s="15" t="n"/>
      <c r="D18" s="15" t="n"/>
      <c r="E18" s="15" t="n"/>
    </row>
    <row r="20">
      <c r="B20" s="21" t="inlineStr">
        <is>
          <t>Creating a Mission:</t>
        </is>
      </c>
    </row>
    <row r="21">
      <c r="B21" s="24" t="inlineStr">
        <is>
          <t>1. Fill in Mission Name and Outcome</t>
        </is>
      </c>
    </row>
    <row r="22">
      <c r="B22" s="24" t="inlineStr">
        <is>
          <t>2. Add Priority and Due Date</t>
        </is>
      </c>
    </row>
    <row r="23">
      <c r="B23" s="24" t="inlineStr">
        <is>
          <t>3. Enter up to 5 Deliverables with their Components</t>
        </is>
      </c>
    </row>
    <row r="24">
      <c r="B24" s="24" t="inlineStr">
        <is>
          <t>4. For each Deliverable, add the First Next Action</t>
        </is>
      </c>
    </row>
    <row r="25">
      <c r="B25" s="24" t="inlineStr">
        <is>
          <t>5. Set Status to 'Captured' initially</t>
        </is>
      </c>
    </row>
    <row r="26">
      <c r="B26" s="24" t="inlineStr">
        <is>
          <t>6. Manually add tasks to Work Register or copy from this form</t>
        </is>
      </c>
    </row>
  </sheetData>
  <sheetProtection selectLockedCells="0" selectUnlockedCells="0" sheet="1" objects="0" insertRows="1" insertHyperlinks="1" autoFilter="1" scenarios="0" formatColumns="1" deleteColumns="1" insertColumns="1" pivotTables="1" deleteRows="1" formatCells="1" formatRows="1" sort="1"/>
  <mergeCells count="7">
    <mergeCell ref="B26:E26"/>
    <mergeCell ref="B23:E23"/>
    <mergeCell ref="B12:E12"/>
    <mergeCell ref="B21:E21"/>
    <mergeCell ref="B25:E25"/>
    <mergeCell ref="B24:E24"/>
    <mergeCell ref="B22:E22"/>
  </mergeCells>
  <dataValidations count="2">
    <dataValidation sqref="C8" showDropDown="0" showInputMessage="0" showErrorMessage="0" allowBlank="1" type="list">
      <formula1>PriorityList</formula1>
    </dataValidation>
    <dataValidation sqref="C10" showDropDown="0" showInputMessage="0" showErrorMessage="0" allowBlank="1" type="list">
      <formula1>StatusList</formula1>
    </dataValidation>
  </dataValidations>
  <hyperlinks>
    <hyperlink xmlns:r="http://schemas.openxmlformats.org/officeDocument/2006/relationships" ref="B3"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00"/>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 width="14" customWidth="1" min="12" max="12"/>
    <col width="10" customWidth="1" min="13" max="13"/>
    <col width="9" customWidth="1" min="14" max="14"/>
    <col width="34" customWidth="1" min="15" max="15"/>
    <col width="12" customWidth="1" min="16" max="16"/>
  </cols>
  <sheetData>
    <row r="1">
      <c r="A1" s="10" t="inlineStr">
        <is>
          <t>Work Register</t>
        </is>
      </c>
    </row>
    <row r="2" ht="20" customHeight="1">
      <c r="A2" s="11" t="inlineStr">
        <is>
          <t>← Home</t>
        </is>
      </c>
    </row>
    <row r="3">
      <c r="L3" s="33" t="inlineStr">
        <is>
          <t>Columns L–P power the recommendation engine — formulas only, safe to leave as-is.</t>
        </is>
      </c>
    </row>
    <row r="4">
      <c r="A4" s="16" t="inlineStr">
        <is>
          <t>Mission</t>
        </is>
      </c>
      <c r="B4" s="16" t="inlineStr">
        <is>
          <t>Deliverable</t>
        </is>
      </c>
      <c r="C4" s="16" t="inlineStr">
        <is>
          <t>Component</t>
        </is>
      </c>
      <c r="D4" s="16" t="inlineStr">
        <is>
          <t>Task</t>
        </is>
      </c>
      <c r="E4" s="16" t="inlineStr">
        <is>
          <t>Status</t>
        </is>
      </c>
      <c r="F4" s="16" t="inlineStr">
        <is>
          <t>Priority</t>
        </is>
      </c>
      <c r="G4" s="16" t="inlineStr">
        <is>
          <t>Energy</t>
        </is>
      </c>
      <c r="H4" s="16" t="inlineStr">
        <is>
          <t>Estimated Time</t>
        </is>
      </c>
      <c r="I4" s="16" t="inlineStr">
        <is>
          <t>Due Date</t>
        </is>
      </c>
      <c r="J4" s="16" t="inlineStr">
        <is>
          <t>Owner</t>
        </is>
      </c>
      <c r="K4" s="16" t="inlineStr">
        <is>
          <t>Notes</t>
        </is>
      </c>
      <c r="L4" s="16" t="inlineStr">
        <is>
          <t>Last Updated</t>
        </is>
      </c>
      <c r="M4" s="16" t="inlineStr">
        <is>
          <t>Minutes</t>
        </is>
      </c>
      <c r="N4" s="16" t="inlineStr">
        <is>
          <t>Score</t>
        </is>
      </c>
      <c r="O4" s="16" t="inlineStr">
        <is>
          <t>Reason</t>
        </is>
      </c>
      <c r="P4" s="16" t="inlineStr">
        <is>
          <t>Filter Match</t>
        </is>
      </c>
    </row>
    <row r="5">
      <c r="A5" s="15" t="inlineStr">
        <is>
          <t>Operational Resilience Framework</t>
        </is>
      </c>
      <c r="B5" s="15" t="inlineStr">
        <is>
          <t>Framework</t>
        </is>
      </c>
      <c r="C5" s="15" t="inlineStr">
        <is>
          <t>Role Cards</t>
        </is>
      </c>
      <c r="D5" s="15" t="inlineStr">
        <is>
          <t>Rewrite Coordinator Role</t>
        </is>
      </c>
      <c r="E5" s="17" t="inlineStr">
        <is>
          <t>In Progress</t>
        </is>
      </c>
      <c r="F5" s="17" t="inlineStr">
        <is>
          <t>High</t>
        </is>
      </c>
      <c r="G5" s="17" t="inlineStr">
        <is>
          <t>Deep Thinking</t>
        </is>
      </c>
      <c r="H5" s="17" t="inlineStr">
        <is>
          <t>90+ mins</t>
        </is>
      </c>
      <c r="I5" s="18" t="n">
        <v>46243.24672175926</v>
      </c>
      <c r="J5" s="15" t="inlineStr">
        <is>
          <t>TJR</t>
        </is>
      </c>
      <c r="K5" s="15" t="inlineStr">
        <is>
          <t>Updated role mapping</t>
        </is>
      </c>
      <c r="L5" s="34" t="n">
        <v>46239.24672175926</v>
      </c>
      <c r="M5" s="5">
        <f>IF($D5="","",IFERROR(VLOOKUP($H5,Lists!$N$2:$O$6,2,FALSE),0))</f>
        <v/>
      </c>
      <c r="N5" s="5">
        <f>IF($D5="","",IF(OR($E5="Blocked",$E5="Done",$E5="Archive"),-9999,IF(AND($E5="Waiting",SUMPRODUCT((($E$5:$E$200="Next")+($E$5:$E$200="In Progress")+($E$5:$E$200="Captured"))*($D$5:$D$200&lt;&gt;""))&gt;0),-500,VLOOKUP($F5,Lists!$L$2:$M$4,2,FALSE)+IF($E5="In Progress",10,0)+IF(AND($I5&lt;&gt;"",$I5&lt;TODAY()),25,0)+IF(AND($I5&lt;&gt;"",$I5&gt;=TODAY(),$I5&lt;=TODAY()+7),15,0)+IF($M5&lt;=VLOOKUP(Home!$C$7,Lists!$N$2:$O$6,2,FALSE),20,-10)+IF($G5=Home!$E$7,15,IF(Home!$E$7="",0,-5))-ROW()/100000)))</f>
        <v/>
      </c>
      <c r="O5" s="5">
        <f>IF($D5="","",IF($N5&lt;=-500,"Not recommended right now",TEXTJOIN(" • ",TRUE,IF($F5="High","High Priority",""),IF(AND($I5&lt;&gt;"",$I5&lt;TODAY()),"Overdue",""),IF(AND($I5&lt;&gt;"",$I5&gt;=TODAY(),$I5&lt;=TODAY()+7),"Due This Week",""),IF($M5&lt;=VLOOKUP(Home!$C$7,Lists!$N$2:$O$6,2,FALSE),$H5&amp;" Task",""),IF($G5=Home!$E$7,"Fits Current Energy",""),"No Blockers")))</f>
        <v/>
      </c>
      <c r="P5" s="5">
        <f>IF($D5="","",SWITCH('Task Finder'!$C$6,"High Priority",AND($F5="High",$E5&lt;&gt;"Done",$E5&lt;&gt;"Archive"),"Due This Week",AND($I5&lt;&gt;"",$I5&gt;=TODAY(),$I5&lt;=TODAY()+7,$E5&lt;&gt;"Done"),"Quick Wins (15 mins or less)",AND($M5&lt;=15,$E5&lt;&gt;"Done",$E5&lt;&gt;"Blocked"),"Deep Thinking",AND($G5="Deep Thinking",$E5&lt;&gt;"Done"),"Processing",AND($G5="Processing",$E5&lt;&gt;"Done"),"Blocked",$E5="Blocked","Waiting",$E5="Waiting","Recently Updated",AND($L5&lt;&gt;"",$L5&gt;=TODAY()-7),TRUE))</f>
        <v/>
      </c>
    </row>
    <row r="6">
      <c r="A6" s="15" t="inlineStr">
        <is>
          <t>Operational Resilience Framework</t>
        </is>
      </c>
      <c r="B6" s="15" t="inlineStr">
        <is>
          <t>Framework</t>
        </is>
      </c>
      <c r="C6" s="15" t="inlineStr">
        <is>
          <t>Role Cards</t>
        </is>
      </c>
      <c r="D6" s="15" t="inlineStr">
        <is>
          <t>Review Governance Section</t>
        </is>
      </c>
      <c r="E6" s="17" t="inlineStr">
        <is>
          <t>Waiting</t>
        </is>
      </c>
      <c r="F6" s="17" t="inlineStr">
        <is>
          <t>High</t>
        </is>
      </c>
      <c r="G6" s="17" t="inlineStr">
        <is>
          <t>Processing</t>
        </is>
      </c>
      <c r="H6" s="17" t="inlineStr">
        <is>
          <t>60 mins</t>
        </is>
      </c>
      <c r="I6" s="18" t="n">
        <v>46252.24672175926</v>
      </c>
      <c r="J6" s="15" t="inlineStr">
        <is>
          <t>TJR</t>
        </is>
      </c>
      <c r="K6" s="15" t="inlineStr">
        <is>
          <t>Awaiting feedback</t>
        </is>
      </c>
      <c r="L6" s="34" t="n">
        <v>46234.24672175926</v>
      </c>
      <c r="M6" s="5">
        <f>IF($D6="","",IFERROR(VLOOKUP($H6,Lists!$N$2:$O$6,2,FALSE),0))</f>
        <v/>
      </c>
      <c r="N6" s="5">
        <f>IF($D6="","",IF(OR($E6="Blocked",$E6="Done",$E6="Archive"),-9999,IF(AND($E6="Waiting",SUMPRODUCT((($E$5:$E$200="Next")+($E$5:$E$200="In Progress")+($E$5:$E$200="Captured"))*($D$5:$D$200&lt;&gt;""))&gt;0),-500,VLOOKUP($F6,Lists!$L$2:$M$4,2,FALSE)+IF($E6="In Progress",10,0)+IF(AND($I6&lt;&gt;"",$I6&lt;TODAY()),25,0)+IF(AND($I6&lt;&gt;"",$I6&gt;=TODAY(),$I6&lt;=TODAY()+7),15,0)+IF($M6&lt;=VLOOKUP(Home!$C$7,Lists!$N$2:$O$6,2,FALSE),20,-10)+IF($G6=Home!$E$7,15,IF(Home!$E$7="",0,-5))-ROW()/100000)))</f>
        <v/>
      </c>
      <c r="O6" s="5">
        <f>IF($D6="","",IF($N6&lt;=-500,"Not recommended right now",TEXTJOIN(" • ",TRUE,IF($F6="High","High Priority",""),IF(AND($I6&lt;&gt;"",$I6&lt;TODAY()),"Overdue",""),IF(AND($I6&lt;&gt;"",$I6&gt;=TODAY(),$I6&lt;=TODAY()+7),"Due This Week",""),IF($M6&lt;=VLOOKUP(Home!$C$7,Lists!$N$2:$O$6,2,FALSE),$H6&amp;" Task",""),IF($G6=Home!$E$7,"Fits Current Energy",""),"No Blockers")))</f>
        <v/>
      </c>
      <c r="P6" s="5">
        <f>IF($D6="","",SWITCH('Task Finder'!$C$6,"High Priority",AND($F6="High",$E6&lt;&gt;"Done",$E6&lt;&gt;"Archive"),"Due This Week",AND($I6&lt;&gt;"",$I6&gt;=TODAY(),$I6&lt;=TODAY()+7,$E6&lt;&gt;"Done"),"Quick Wins (15 mins or less)",AND($M6&lt;=15,$E6&lt;&gt;"Done",$E6&lt;&gt;"Blocked"),"Deep Thinking",AND($G6="Deep Thinking",$E6&lt;&gt;"Done"),"Processing",AND($G6="Processing",$E6&lt;&gt;"Done"),"Blocked",$E6="Blocked","Waiting",$E6="Waiting","Recently Updated",AND($L6&lt;&gt;"",$L6&gt;=TODAY()-7),TRUE))</f>
        <v/>
      </c>
    </row>
    <row r="7">
      <c r="A7" s="15" t="inlineStr">
        <is>
          <t>Operational Resilience Framework</t>
        </is>
      </c>
      <c r="B7" s="15" t="inlineStr">
        <is>
          <t>Exercises</t>
        </is>
      </c>
      <c r="C7" s="15" t="inlineStr">
        <is>
          <t>Training</t>
        </is>
      </c>
      <c r="D7" s="15" t="inlineStr">
        <is>
          <t>Draft Exercise Plan</t>
        </is>
      </c>
      <c r="E7" s="17" t="inlineStr">
        <is>
          <t>Captured</t>
        </is>
      </c>
      <c r="F7" s="17" t="inlineStr">
        <is>
          <t>Medium</t>
        </is>
      </c>
      <c r="G7" s="17" t="inlineStr">
        <is>
          <t>Admin</t>
        </is>
      </c>
      <c r="H7" s="17" t="inlineStr">
        <is>
          <t>30 mins</t>
        </is>
      </c>
      <c r="I7" s="18" t="n">
        <v>46238.24672175926</v>
      </c>
      <c r="J7" s="15" t="inlineStr">
        <is>
          <t>TJR</t>
        </is>
      </c>
      <c r="K7" s="15" t="inlineStr">
        <is>
          <t>Initial outline needed</t>
        </is>
      </c>
      <c r="L7" s="34" t="n">
        <v>46224.24672175926</v>
      </c>
      <c r="M7" s="5">
        <f>IF($D7="","",IFERROR(VLOOKUP($H7,Lists!$N$2:$O$6,2,FALSE),0))</f>
        <v/>
      </c>
      <c r="N7" s="5">
        <f>IF($D7="","",IF(OR($E7="Blocked",$E7="Done",$E7="Archive"),-9999,IF(AND($E7="Waiting",SUMPRODUCT((($E$5:$E$200="Next")+($E$5:$E$200="In Progress")+($E$5:$E$200="Captured"))*($D$5:$D$200&lt;&gt;""))&gt;0),-500,VLOOKUP($F7,Lists!$L$2:$M$4,2,FALSE)+IF($E7="In Progress",10,0)+IF(AND($I7&lt;&gt;"",$I7&lt;TODAY()),25,0)+IF(AND($I7&lt;&gt;"",$I7&gt;=TODAY(),$I7&lt;=TODAY()+7),15,0)+IF($M7&lt;=VLOOKUP(Home!$C$7,Lists!$N$2:$O$6,2,FALSE),20,-10)+IF($G7=Home!$E$7,15,IF(Home!$E$7="",0,-5))-ROW()/100000)))</f>
        <v/>
      </c>
      <c r="O7" s="5">
        <f>IF($D7="","",IF($N7&lt;=-500,"Not recommended right now",TEXTJOIN(" • ",TRUE,IF($F7="High","High Priority",""),IF(AND($I7&lt;&gt;"",$I7&lt;TODAY()),"Overdue",""),IF(AND($I7&lt;&gt;"",$I7&gt;=TODAY(),$I7&lt;=TODAY()+7),"Due This Week",""),IF($M7&lt;=VLOOKUP(Home!$C$7,Lists!$N$2:$O$6,2,FALSE),$H7&amp;" Task",""),IF($G7=Home!$E$7,"Fits Current Energy",""),"No Blockers")))</f>
        <v/>
      </c>
      <c r="P7" s="5">
        <f>IF($D7="","",SWITCH('Task Finder'!$C$6,"High Priority",AND($F7="High",$E7&lt;&gt;"Done",$E7&lt;&gt;"Archive"),"Due This Week",AND($I7&lt;&gt;"",$I7&gt;=TODAY(),$I7&lt;=TODAY()+7,$E7&lt;&gt;"Done"),"Quick Wins (15 mins or less)",AND($M7&lt;=15,$E7&lt;&gt;"Done",$E7&lt;&gt;"Blocked"),"Deep Thinking",AND($G7="Deep Thinking",$E7&lt;&gt;"Done"),"Processing",AND($G7="Processing",$E7&lt;&gt;"Done"),"Blocked",$E7="Blocked","Waiting",$E7="Waiting","Recently Updated",AND($L7&lt;&gt;"",$L7&gt;=TODAY()-7),TRUE))</f>
        <v/>
      </c>
    </row>
    <row r="8">
      <c r="A8" s="15" t="inlineStr">
        <is>
          <t>Operational Resilience Framework</t>
        </is>
      </c>
      <c r="B8" s="15" t="inlineStr">
        <is>
          <t>Training</t>
        </is>
      </c>
      <c r="C8" s="15" t="inlineStr">
        <is>
          <t>Training</t>
        </is>
      </c>
      <c r="D8" s="15" t="inlineStr">
        <is>
          <t>Publish Version 1</t>
        </is>
      </c>
      <c r="E8" s="17" t="inlineStr">
        <is>
          <t>Next</t>
        </is>
      </c>
      <c r="F8" s="17" t="inlineStr">
        <is>
          <t>High</t>
        </is>
      </c>
      <c r="G8" s="17" t="inlineStr">
        <is>
          <t>Admin</t>
        </is>
      </c>
      <c r="H8" s="17" t="inlineStr">
        <is>
          <t>15 mins</t>
        </is>
      </c>
      <c r="I8" s="18" t="n">
        <v>46241.24672175926</v>
      </c>
      <c r="J8" s="15" t="inlineStr">
        <is>
          <t>TJR</t>
        </is>
      </c>
      <c r="K8" s="15" t="inlineStr">
        <is>
          <t>Final review pending</t>
        </is>
      </c>
      <c r="L8" s="34" t="n">
        <v>46238.24672175926</v>
      </c>
      <c r="M8" s="5">
        <f>IF($D8="","",IFERROR(VLOOKUP($H8,Lists!$N$2:$O$6,2,FALSE),0))</f>
        <v/>
      </c>
      <c r="N8" s="5">
        <f>IF($D8="","",IF(OR($E8="Blocked",$E8="Done",$E8="Archive"),-9999,IF(AND($E8="Waiting",SUMPRODUCT((($E$5:$E$200="Next")+($E$5:$E$200="In Progress")+($E$5:$E$200="Captured"))*($D$5:$D$200&lt;&gt;""))&gt;0),-500,VLOOKUP($F8,Lists!$L$2:$M$4,2,FALSE)+IF($E8="In Progress",10,0)+IF(AND($I8&lt;&gt;"",$I8&lt;TODAY()),25,0)+IF(AND($I8&lt;&gt;"",$I8&gt;=TODAY(),$I8&lt;=TODAY()+7),15,0)+IF($M8&lt;=VLOOKUP(Home!$C$7,Lists!$N$2:$O$6,2,FALSE),20,-10)+IF($G8=Home!$E$7,15,IF(Home!$E$7="",0,-5))-ROW()/100000)))</f>
        <v/>
      </c>
      <c r="O8" s="5">
        <f>IF($D8="","",IF($N8&lt;=-500,"Not recommended right now",TEXTJOIN(" • ",TRUE,IF($F8="High","High Priority",""),IF(AND($I8&lt;&gt;"",$I8&lt;TODAY()),"Overdue",""),IF(AND($I8&lt;&gt;"",$I8&gt;=TODAY(),$I8&lt;=TODAY()+7),"Due This Week",""),IF($M8&lt;=VLOOKUP(Home!$C$7,Lists!$N$2:$O$6,2,FALSE),$H8&amp;" Task",""),IF($G8=Home!$E$7,"Fits Current Energy",""),"No Blockers")))</f>
        <v/>
      </c>
      <c r="P8" s="5">
        <f>IF($D8="","",SWITCH('Task Finder'!$C$6,"High Priority",AND($F8="High",$E8&lt;&gt;"Done",$E8&lt;&gt;"Archive"),"Due This Week",AND($I8&lt;&gt;"",$I8&gt;=TODAY(),$I8&lt;=TODAY()+7,$E8&lt;&gt;"Done"),"Quick Wins (15 mins or less)",AND($M8&lt;=15,$E8&lt;&gt;"Done",$E8&lt;&gt;"Blocked"),"Deep Thinking",AND($G8="Deep Thinking",$E8&lt;&gt;"Done"),"Processing",AND($G8="Processing",$E8&lt;&gt;"Done"),"Blocked",$E8="Blocked","Waiting",$E8="Waiting","Recently Updated",AND($L8&lt;&gt;"",$L8&gt;=TODAY()-7),TRUE))</f>
        <v/>
      </c>
    </row>
    <row r="9">
      <c r="A9" s="15" t="inlineStr">
        <is>
          <t>Operational Resilience Framework</t>
        </is>
      </c>
      <c r="B9" s="15" t="inlineStr">
        <is>
          <t>Framework</t>
        </is>
      </c>
      <c r="C9" s="15" t="inlineStr">
        <is>
          <t>Role Cards</t>
        </is>
      </c>
      <c r="D9" s="15" t="inlineStr">
        <is>
          <t>Send Role Card for Sign-off</t>
        </is>
      </c>
      <c r="E9" s="17" t="inlineStr">
        <is>
          <t>Waiting</t>
        </is>
      </c>
      <c r="F9" s="17" t="inlineStr">
        <is>
          <t>Medium</t>
        </is>
      </c>
      <c r="G9" s="17" t="inlineStr">
        <is>
          <t>Admin</t>
        </is>
      </c>
      <c r="H9" s="17" t="inlineStr">
        <is>
          <t>15 mins</t>
        </is>
      </c>
      <c r="I9" s="18" t="n">
        <v>46245.24672175926</v>
      </c>
      <c r="J9" s="15" t="inlineStr">
        <is>
          <t>TJR</t>
        </is>
      </c>
      <c r="K9" s="15" t="inlineStr">
        <is>
          <t>Awaiting sponsor sign-off</t>
        </is>
      </c>
      <c r="L9" s="34" t="n">
        <v>46237.24672175926</v>
      </c>
      <c r="M9" s="5">
        <f>IF($D9="","",IFERROR(VLOOKUP($H9,Lists!$N$2:$O$6,2,FALSE),0))</f>
        <v/>
      </c>
      <c r="N9" s="5">
        <f>IF($D9="","",IF(OR($E9="Blocked",$E9="Done",$E9="Archive"),-9999,IF(AND($E9="Waiting",SUMPRODUCT((($E$5:$E$200="Next")+($E$5:$E$200="In Progress")+($E$5:$E$200="Captured"))*($D$5:$D$200&lt;&gt;""))&gt;0),-500,VLOOKUP($F9,Lists!$L$2:$M$4,2,FALSE)+IF($E9="In Progress",10,0)+IF(AND($I9&lt;&gt;"",$I9&lt;TODAY()),25,0)+IF(AND($I9&lt;&gt;"",$I9&gt;=TODAY(),$I9&lt;=TODAY()+7),15,0)+IF($M9&lt;=VLOOKUP(Home!$C$7,Lists!$N$2:$O$6,2,FALSE),20,-10)+IF($G9=Home!$E$7,15,IF(Home!$E$7="",0,-5))-ROW()/100000)))</f>
        <v/>
      </c>
      <c r="O9" s="5">
        <f>IF($D9="","",IF($N9&lt;=-500,"Not recommended right now",TEXTJOIN(" • ",TRUE,IF($F9="High","High Priority",""),IF(AND($I9&lt;&gt;"",$I9&lt;TODAY()),"Overdue",""),IF(AND($I9&lt;&gt;"",$I9&gt;=TODAY(),$I9&lt;=TODAY()+7),"Due This Week",""),IF($M9&lt;=VLOOKUP(Home!$C$7,Lists!$N$2:$O$6,2,FALSE),$H9&amp;" Task",""),IF($G9=Home!$E$7,"Fits Current Energy",""),"No Blockers")))</f>
        <v/>
      </c>
      <c r="P9" s="5">
        <f>IF($D9="","",SWITCH('Task Finder'!$C$6,"High Priority",AND($F9="High",$E9&lt;&gt;"Done",$E9&lt;&gt;"Archive"),"Due This Week",AND($I9&lt;&gt;"",$I9&gt;=TODAY(),$I9&lt;=TODAY()+7,$E9&lt;&gt;"Done"),"Quick Wins (15 mins or less)",AND($M9&lt;=15,$E9&lt;&gt;"Done",$E9&lt;&gt;"Blocked"),"Deep Thinking",AND($G9="Deep Thinking",$E9&lt;&gt;"Done"),"Processing",AND($G9="Processing",$E9&lt;&gt;"Done"),"Blocked",$E9="Blocked","Waiting",$E9="Waiting","Recently Updated",AND($L9&lt;&gt;"",$L9&gt;=TODAY()-7),TRUE))</f>
        <v/>
      </c>
    </row>
    <row r="10">
      <c r="A10" s="15" t="inlineStr">
        <is>
          <t>Operational Resilience Framework</t>
        </is>
      </c>
      <c r="B10" s="15" t="inlineStr">
        <is>
          <t>Exercises</t>
        </is>
      </c>
      <c r="C10" s="15" t="inlineStr">
        <is>
          <t>Training</t>
        </is>
      </c>
      <c r="D10" s="15" t="inlineStr">
        <is>
          <t>Confirm Venue Booking</t>
        </is>
      </c>
      <c r="E10" s="17" t="inlineStr">
        <is>
          <t>Blocked</t>
        </is>
      </c>
      <c r="F10" s="17" t="inlineStr">
        <is>
          <t>Medium</t>
        </is>
      </c>
      <c r="G10" s="17" t="inlineStr">
        <is>
          <t>Admin</t>
        </is>
      </c>
      <c r="H10" s="17" t="inlineStr">
        <is>
          <t>15 mins</t>
        </is>
      </c>
      <c r="I10" s="18" t="n">
        <v>46250.24672175926</v>
      </c>
      <c r="J10" s="15" t="inlineStr">
        <is>
          <t>TJR</t>
        </is>
      </c>
      <c r="K10" s="15" t="inlineStr">
        <is>
          <t>Blocked on facilities team</t>
        </is>
      </c>
      <c r="L10" s="34" t="n">
        <v>46231.24672175926</v>
      </c>
      <c r="M10" s="5">
        <f>IF($D10="","",IFERROR(VLOOKUP($H10,Lists!$N$2:$O$6,2,FALSE),0))</f>
        <v/>
      </c>
      <c r="N10" s="5">
        <f>IF($D10="","",IF(OR($E10="Blocked",$E10="Done",$E10="Archive"),-9999,IF(AND($E10="Waiting",SUMPRODUCT((($E$5:$E$200="Next")+($E$5:$E$200="In Progress")+($E$5:$E$200="Captured"))*($D$5:$D$200&lt;&gt;""))&gt;0),-500,VLOOKUP($F10,Lists!$L$2:$M$4,2,FALSE)+IF($E10="In Progress",10,0)+IF(AND($I10&lt;&gt;"",$I10&lt;TODAY()),25,0)+IF(AND($I10&lt;&gt;"",$I10&gt;=TODAY(),$I10&lt;=TODAY()+7),15,0)+IF($M10&lt;=VLOOKUP(Home!$C$7,Lists!$N$2:$O$6,2,FALSE),20,-10)+IF($G10=Home!$E$7,15,IF(Home!$E$7="",0,-5))-ROW()/100000)))</f>
        <v/>
      </c>
      <c r="O10" s="5">
        <f>IF($D10="","",IF($N10&lt;=-500,"Not recommended right now",TEXTJOIN(" • ",TRUE,IF($F10="High","High Priority",""),IF(AND($I10&lt;&gt;"",$I10&lt;TODAY()),"Overdue",""),IF(AND($I10&lt;&gt;"",$I10&gt;=TODAY(),$I10&lt;=TODAY()+7),"Due This Week",""),IF($M10&lt;=VLOOKUP(Home!$C$7,Lists!$N$2:$O$6,2,FALSE),$H10&amp;" Task",""),IF($G10=Home!$E$7,"Fits Current Energy",""),"No Blockers")))</f>
        <v/>
      </c>
      <c r="P10" s="5">
        <f>IF($D10="","",SWITCH('Task Finder'!$C$6,"High Priority",AND($F10="High",$E10&lt;&gt;"Done",$E10&lt;&gt;"Archive"),"Due This Week",AND($I10&lt;&gt;"",$I10&gt;=TODAY(),$I10&lt;=TODAY()+7,$E10&lt;&gt;"Done"),"Quick Wins (15 mins or less)",AND($M10&lt;=15,$E10&lt;&gt;"Done",$E10&lt;&gt;"Blocked"),"Deep Thinking",AND($G10="Deep Thinking",$E10&lt;&gt;"Done"),"Processing",AND($G10="Processing",$E10&lt;&gt;"Done"),"Blocked",$E10="Blocked","Waiting",$E10="Waiting","Recently Updated",AND($L10&lt;&gt;"",$L10&gt;=TODAY()-7),TRUE))</f>
        <v/>
      </c>
    </row>
    <row r="11">
      <c r="A11" s="15" t="inlineStr">
        <is>
          <t>Operational Resilience Framework</t>
        </is>
      </c>
      <c r="B11" s="15" t="inlineStr">
        <is>
          <t>Framework</t>
        </is>
      </c>
      <c r="C11" s="15" t="inlineStr">
        <is>
          <t>Governance</t>
        </is>
      </c>
      <c r="D11" s="15" t="inlineStr">
        <is>
          <t>Tidy Reference List</t>
        </is>
      </c>
      <c r="E11" s="17" t="inlineStr">
        <is>
          <t>Next</t>
        </is>
      </c>
      <c r="F11" s="17" t="inlineStr">
        <is>
          <t>Low</t>
        </is>
      </c>
      <c r="G11" s="17" t="inlineStr">
        <is>
          <t>Admin</t>
        </is>
      </c>
      <c r="H11" s="17" t="inlineStr">
        <is>
          <t>5 mins</t>
        </is>
      </c>
      <c r="I11" s="15" t="inlineStr"/>
      <c r="J11" s="15" t="inlineStr">
        <is>
          <t>TJR</t>
        </is>
      </c>
      <c r="K11" s="15" t="inlineStr"/>
      <c r="L11" s="34" t="n">
        <v>46239.24672175926</v>
      </c>
      <c r="M11" s="5">
        <f>IF($D11="","",IFERROR(VLOOKUP($H11,Lists!$N$2:$O$6,2,FALSE),0))</f>
        <v/>
      </c>
      <c r="N11" s="5">
        <f>IF($D11="","",IF(OR($E11="Blocked",$E11="Done",$E11="Archive"),-9999,IF(AND($E11="Waiting",SUMPRODUCT((($E$5:$E$200="Next")+($E$5:$E$200="In Progress")+($E$5:$E$200="Captured"))*($D$5:$D$200&lt;&gt;""))&gt;0),-500,VLOOKUP($F11,Lists!$L$2:$M$4,2,FALSE)+IF($E11="In Progress",10,0)+IF(AND($I11&lt;&gt;"",$I11&lt;TODAY()),25,0)+IF(AND($I11&lt;&gt;"",$I11&gt;=TODAY(),$I11&lt;=TODAY()+7),15,0)+IF($M11&lt;=VLOOKUP(Home!$C$7,Lists!$N$2:$O$6,2,FALSE),20,-10)+IF($G11=Home!$E$7,15,IF(Home!$E$7="",0,-5))-ROW()/100000)))</f>
        <v/>
      </c>
      <c r="O11" s="5">
        <f>IF($D11="","",IF($N11&lt;=-500,"Not recommended right now",TEXTJOIN(" • ",TRUE,IF($F11="High","High Priority",""),IF(AND($I11&lt;&gt;"",$I11&lt;TODAY()),"Overdue",""),IF(AND($I11&lt;&gt;"",$I11&gt;=TODAY(),$I11&lt;=TODAY()+7),"Due This Week",""),IF($M11&lt;=VLOOKUP(Home!$C$7,Lists!$N$2:$O$6,2,FALSE),$H11&amp;" Task",""),IF($G11=Home!$E$7,"Fits Current Energy",""),"No Blockers")))</f>
        <v/>
      </c>
      <c r="P11" s="5">
        <f>IF($D11="","",SWITCH('Task Finder'!$C$6,"High Priority",AND($F11="High",$E11&lt;&gt;"Done",$E11&lt;&gt;"Archive"),"Due This Week",AND($I11&lt;&gt;"",$I11&gt;=TODAY(),$I11&lt;=TODAY()+7,$E11&lt;&gt;"Done"),"Quick Wins (15 mins or less)",AND($M11&lt;=15,$E11&lt;&gt;"Done",$E11&lt;&gt;"Blocked"),"Deep Thinking",AND($G11="Deep Thinking",$E11&lt;&gt;"Done"),"Processing",AND($G11="Processing",$E11&lt;&gt;"Done"),"Blocked",$E11="Blocked","Waiting",$E11="Waiting","Recently Updated",AND($L11&lt;&gt;"",$L11&gt;=TODAY()-7),TRUE))</f>
        <v/>
      </c>
    </row>
    <row r="12">
      <c r="A12" s="15" t="inlineStr">
        <is>
          <t>Client Onboarding Playbook</t>
        </is>
      </c>
      <c r="B12" s="15" t="inlineStr">
        <is>
          <t>Playbook</t>
        </is>
      </c>
      <c r="C12" s="15" t="inlineStr">
        <is>
          <t>Welcome Kit</t>
        </is>
      </c>
      <c r="D12" s="15" t="inlineStr">
        <is>
          <t>Draft Welcome Email Template</t>
        </is>
      </c>
      <c r="E12" s="17" t="inlineStr">
        <is>
          <t>In Progress</t>
        </is>
      </c>
      <c r="F12" s="17" t="inlineStr">
        <is>
          <t>High</t>
        </is>
      </c>
      <c r="G12" s="17" t="inlineStr">
        <is>
          <t>Processing</t>
        </is>
      </c>
      <c r="H12" s="17" t="inlineStr">
        <is>
          <t>30 mins</t>
        </is>
      </c>
      <c r="I12" s="18" t="n">
        <v>46242.24672175926</v>
      </c>
      <c r="J12" s="15" t="inlineStr">
        <is>
          <t>TJR</t>
        </is>
      </c>
      <c r="K12" s="15" t="inlineStr">
        <is>
          <t>First draft underway</t>
        </is>
      </c>
      <c r="L12" s="34" t="n">
        <v>46240.24672175926</v>
      </c>
      <c r="M12" s="5">
        <f>IF($D12="","",IFERROR(VLOOKUP($H12,Lists!$N$2:$O$6,2,FALSE),0))</f>
        <v/>
      </c>
      <c r="N12" s="5">
        <f>IF($D12="","",IF(OR($E12="Blocked",$E12="Done",$E12="Archive"),-9999,IF(AND($E12="Waiting",SUMPRODUCT((($E$5:$E$200="Next")+($E$5:$E$200="In Progress")+($E$5:$E$200="Captured"))*($D$5:$D$200&lt;&gt;""))&gt;0),-500,VLOOKUP($F12,Lists!$L$2:$M$4,2,FALSE)+IF($E12="In Progress",10,0)+IF(AND($I12&lt;&gt;"",$I12&lt;TODAY()),25,0)+IF(AND($I12&lt;&gt;"",$I12&gt;=TODAY(),$I12&lt;=TODAY()+7),15,0)+IF($M12&lt;=VLOOKUP(Home!$C$7,Lists!$N$2:$O$6,2,FALSE),20,-10)+IF($G12=Home!$E$7,15,IF(Home!$E$7="",0,-5))-ROW()/100000)))</f>
        <v/>
      </c>
      <c r="O12" s="5">
        <f>IF($D12="","",IF($N12&lt;=-500,"Not recommended right now",TEXTJOIN(" • ",TRUE,IF($F12="High","High Priority",""),IF(AND($I12&lt;&gt;"",$I12&lt;TODAY()),"Overdue",""),IF(AND($I12&lt;&gt;"",$I12&gt;=TODAY(),$I12&lt;=TODAY()+7),"Due This Week",""),IF($M12&lt;=VLOOKUP(Home!$C$7,Lists!$N$2:$O$6,2,FALSE),$H12&amp;" Task",""),IF($G12=Home!$E$7,"Fits Current Energy",""),"No Blockers")))</f>
        <v/>
      </c>
      <c r="P12" s="5">
        <f>IF($D12="","",SWITCH('Task Finder'!$C$6,"High Priority",AND($F12="High",$E12&lt;&gt;"Done",$E12&lt;&gt;"Archive"),"Due This Week",AND($I12&lt;&gt;"",$I12&gt;=TODAY(),$I12&lt;=TODAY()+7,$E12&lt;&gt;"Done"),"Quick Wins (15 mins or less)",AND($M12&lt;=15,$E12&lt;&gt;"Done",$E12&lt;&gt;"Blocked"),"Deep Thinking",AND($G12="Deep Thinking",$E12&lt;&gt;"Done"),"Processing",AND($G12="Processing",$E12&lt;&gt;"Done"),"Blocked",$E12="Blocked","Waiting",$E12="Waiting","Recently Updated",AND($L12&lt;&gt;"",$L12&gt;=TODAY()-7),TRUE))</f>
        <v/>
      </c>
    </row>
    <row r="13">
      <c r="A13" s="15" t="inlineStr">
        <is>
          <t>Client Onboarding Playbook</t>
        </is>
      </c>
      <c r="B13" s="15" t="inlineStr">
        <is>
          <t>Playbook</t>
        </is>
      </c>
      <c r="C13" s="15" t="inlineStr">
        <is>
          <t>Welcome Kit</t>
        </is>
      </c>
      <c r="D13" s="15" t="inlineStr">
        <is>
          <t>List Required Access Requests</t>
        </is>
      </c>
      <c r="E13" s="17" t="inlineStr">
        <is>
          <t>Next</t>
        </is>
      </c>
      <c r="F13" s="17" t="inlineStr">
        <is>
          <t>Medium</t>
        </is>
      </c>
      <c r="G13" s="17" t="inlineStr">
        <is>
          <t>Admin</t>
        </is>
      </c>
      <c r="H13" s="17" t="inlineStr">
        <is>
          <t>15 mins</t>
        </is>
      </c>
      <c r="I13" s="18" t="n">
        <v>46246.24672175926</v>
      </c>
      <c r="J13" s="15" t="inlineStr">
        <is>
          <t>TJR</t>
        </is>
      </c>
      <c r="K13" s="15" t="inlineStr"/>
      <c r="L13" s="34" t="n">
        <v>46236.24672175926</v>
      </c>
      <c r="M13" s="5">
        <f>IF($D13="","",IFERROR(VLOOKUP($H13,Lists!$N$2:$O$6,2,FALSE),0))</f>
        <v/>
      </c>
      <c r="N13" s="5">
        <f>IF($D13="","",IF(OR($E13="Blocked",$E13="Done",$E13="Archive"),-9999,IF(AND($E13="Waiting",SUMPRODUCT((($E$5:$E$200="Next")+($E$5:$E$200="In Progress")+($E$5:$E$200="Captured"))*($D$5:$D$200&lt;&gt;""))&gt;0),-500,VLOOKUP($F13,Lists!$L$2:$M$4,2,FALSE)+IF($E13="In Progress",10,0)+IF(AND($I13&lt;&gt;"",$I13&lt;TODAY()),25,0)+IF(AND($I13&lt;&gt;"",$I13&gt;=TODAY(),$I13&lt;=TODAY()+7),15,0)+IF($M13&lt;=VLOOKUP(Home!$C$7,Lists!$N$2:$O$6,2,FALSE),20,-10)+IF($G13=Home!$E$7,15,IF(Home!$E$7="",0,-5))-ROW()/100000)))</f>
        <v/>
      </c>
      <c r="O13" s="5">
        <f>IF($D13="","",IF($N13&lt;=-500,"Not recommended right now",TEXTJOIN(" • ",TRUE,IF($F13="High","High Priority",""),IF(AND($I13&lt;&gt;"",$I13&lt;TODAY()),"Overdue",""),IF(AND($I13&lt;&gt;"",$I13&gt;=TODAY(),$I13&lt;=TODAY()+7),"Due This Week",""),IF($M13&lt;=VLOOKUP(Home!$C$7,Lists!$N$2:$O$6,2,FALSE),$H13&amp;" Task",""),IF($G13=Home!$E$7,"Fits Current Energy",""),"No Blockers")))</f>
        <v/>
      </c>
      <c r="P13" s="5">
        <f>IF($D13="","",SWITCH('Task Finder'!$C$6,"High Priority",AND($F13="High",$E13&lt;&gt;"Done",$E13&lt;&gt;"Archive"),"Due This Week",AND($I13&lt;&gt;"",$I13&gt;=TODAY(),$I13&lt;=TODAY()+7,$E13&lt;&gt;"Done"),"Quick Wins (15 mins or less)",AND($M13&lt;=15,$E13&lt;&gt;"Done",$E13&lt;&gt;"Blocked"),"Deep Thinking",AND($G13="Deep Thinking",$E13&lt;&gt;"Done"),"Processing",AND($G13="Processing",$E13&lt;&gt;"Done"),"Blocked",$E13="Blocked","Waiting",$E13="Waiting","Recently Updated",AND($L13&lt;&gt;"",$L13&gt;=TODAY()-7),TRUE))</f>
        <v/>
      </c>
    </row>
    <row r="14">
      <c r="A14" s="19" t="n"/>
      <c r="B14" s="19" t="n"/>
      <c r="C14" s="19" t="n"/>
      <c r="D14" s="19" t="n"/>
      <c r="E14" s="19" t="n"/>
      <c r="F14" s="19" t="n"/>
      <c r="G14" s="19" t="n"/>
      <c r="H14" s="19" t="n"/>
      <c r="I14" s="19" t="n"/>
      <c r="J14" s="19" t="n"/>
      <c r="K14" s="19" t="n"/>
      <c r="L14" s="35" t="n"/>
      <c r="M14" s="5">
        <f>IF($D14="","",IFERROR(VLOOKUP($H14,Lists!$N$2:$O$6,2,FALSE),0))</f>
        <v/>
      </c>
      <c r="N14" s="5">
        <f>IF($D14="","",IF(OR($E14="Blocked",$E14="Done",$E14="Archive"),-9999,IF(AND($E14="Waiting",SUMPRODUCT((($E$5:$E$200="Next")+($E$5:$E$200="In Progress")+($E$5:$E$200="Captured"))*($D$5:$D$200&lt;&gt;""))&gt;0),-500,VLOOKUP($F14,Lists!$L$2:$M$4,2,FALSE)+IF($E14="In Progress",10,0)+IF(AND($I14&lt;&gt;"",$I14&lt;TODAY()),25,0)+IF(AND($I14&lt;&gt;"",$I14&gt;=TODAY(),$I14&lt;=TODAY()+7),15,0)+IF($M14&lt;=VLOOKUP(Home!$C$7,Lists!$N$2:$O$6,2,FALSE),20,-10)+IF($G14=Home!$E$7,15,IF(Home!$E$7="",0,-5))-ROW()/100000)))</f>
        <v/>
      </c>
      <c r="O14" s="5">
        <f>IF($D14="","",IF($N14&lt;=-500,"Not recommended right now",TEXTJOIN(" • ",TRUE,IF($F14="High","High Priority",""),IF(AND($I14&lt;&gt;"",$I14&lt;TODAY()),"Overdue",""),IF(AND($I14&lt;&gt;"",$I14&gt;=TODAY(),$I14&lt;=TODAY()+7),"Due This Week",""),IF($M14&lt;=VLOOKUP(Home!$C$7,Lists!$N$2:$O$6,2,FALSE),$H14&amp;" Task",""),IF($G14=Home!$E$7,"Fits Current Energy",""),"No Blockers")))</f>
        <v/>
      </c>
      <c r="P14" s="5">
        <f>IF($D14="","",SWITCH('Task Finder'!$C$6,"High Priority",AND($F14="High",$E14&lt;&gt;"Done",$E14&lt;&gt;"Archive"),"Due This Week",AND($I14&lt;&gt;"",$I14&gt;=TODAY(),$I14&lt;=TODAY()+7,$E14&lt;&gt;"Done"),"Quick Wins (15 mins or less)",AND($M14&lt;=15,$E14&lt;&gt;"Done",$E14&lt;&gt;"Blocked"),"Deep Thinking",AND($G14="Deep Thinking",$E14&lt;&gt;"Done"),"Processing",AND($G14="Processing",$E14&lt;&gt;"Done"),"Blocked",$E14="Blocked","Waiting",$E14="Waiting","Recently Updated",AND($L14&lt;&gt;"",$L14&gt;=TODAY()-7),TRUE))</f>
        <v/>
      </c>
    </row>
    <row r="15">
      <c r="A15" s="19" t="n"/>
      <c r="B15" s="19" t="n"/>
      <c r="C15" s="19" t="n"/>
      <c r="D15" s="19" t="n"/>
      <c r="E15" s="19" t="n"/>
      <c r="F15" s="19" t="n"/>
      <c r="G15" s="19" t="n"/>
      <c r="H15" s="19" t="n"/>
      <c r="I15" s="19" t="n"/>
      <c r="J15" s="19" t="n"/>
      <c r="K15" s="19" t="n"/>
      <c r="L15" s="35" t="n"/>
      <c r="M15" s="5">
        <f>IF($D15="","",IFERROR(VLOOKUP($H15,Lists!$N$2:$O$6,2,FALSE),0))</f>
        <v/>
      </c>
      <c r="N15" s="5">
        <f>IF($D15="","",IF(OR($E15="Blocked",$E15="Done",$E15="Archive"),-9999,IF(AND($E15="Waiting",SUMPRODUCT((($E$5:$E$200="Next")+($E$5:$E$200="In Progress")+($E$5:$E$200="Captured"))*($D$5:$D$200&lt;&gt;""))&gt;0),-500,VLOOKUP($F15,Lists!$L$2:$M$4,2,FALSE)+IF($E15="In Progress",10,0)+IF(AND($I15&lt;&gt;"",$I15&lt;TODAY()),25,0)+IF(AND($I15&lt;&gt;"",$I15&gt;=TODAY(),$I15&lt;=TODAY()+7),15,0)+IF($M15&lt;=VLOOKUP(Home!$C$7,Lists!$N$2:$O$6,2,FALSE),20,-10)+IF($G15=Home!$E$7,15,IF(Home!$E$7="",0,-5))-ROW()/100000)))</f>
        <v/>
      </c>
      <c r="O15" s="5">
        <f>IF($D15="","",IF($N15&lt;=-500,"Not recommended right now",TEXTJOIN(" • ",TRUE,IF($F15="High","High Priority",""),IF(AND($I15&lt;&gt;"",$I15&lt;TODAY()),"Overdue",""),IF(AND($I15&lt;&gt;"",$I15&gt;=TODAY(),$I15&lt;=TODAY()+7),"Due This Week",""),IF($M15&lt;=VLOOKUP(Home!$C$7,Lists!$N$2:$O$6,2,FALSE),$H15&amp;" Task",""),IF($G15=Home!$E$7,"Fits Current Energy",""),"No Blockers")))</f>
        <v/>
      </c>
      <c r="P15" s="5">
        <f>IF($D15="","",SWITCH('Task Finder'!$C$6,"High Priority",AND($F15="High",$E15&lt;&gt;"Done",$E15&lt;&gt;"Archive"),"Due This Week",AND($I15&lt;&gt;"",$I15&gt;=TODAY(),$I15&lt;=TODAY()+7,$E15&lt;&gt;"Done"),"Quick Wins (15 mins or less)",AND($M15&lt;=15,$E15&lt;&gt;"Done",$E15&lt;&gt;"Blocked"),"Deep Thinking",AND($G15="Deep Thinking",$E15&lt;&gt;"Done"),"Processing",AND($G15="Processing",$E15&lt;&gt;"Done"),"Blocked",$E15="Blocked","Waiting",$E15="Waiting","Recently Updated",AND($L15&lt;&gt;"",$L15&gt;=TODAY()-7),TRUE))</f>
        <v/>
      </c>
    </row>
    <row r="16">
      <c r="A16" s="19" t="n"/>
      <c r="B16" s="19" t="n"/>
      <c r="C16" s="19" t="n"/>
      <c r="D16" s="19" t="n"/>
      <c r="E16" s="19" t="n"/>
      <c r="F16" s="19" t="n"/>
      <c r="G16" s="19" t="n"/>
      <c r="H16" s="19" t="n"/>
      <c r="I16" s="19" t="n"/>
      <c r="J16" s="19" t="n"/>
      <c r="K16" s="19" t="n"/>
      <c r="L16" s="35" t="n"/>
      <c r="M16" s="5">
        <f>IF($D16="","",IFERROR(VLOOKUP($H16,Lists!$N$2:$O$6,2,FALSE),0))</f>
        <v/>
      </c>
      <c r="N16" s="5">
        <f>IF($D16="","",IF(OR($E16="Blocked",$E16="Done",$E16="Archive"),-9999,IF(AND($E16="Waiting",SUMPRODUCT((($E$5:$E$200="Next")+($E$5:$E$200="In Progress")+($E$5:$E$200="Captured"))*($D$5:$D$200&lt;&gt;""))&gt;0),-500,VLOOKUP($F16,Lists!$L$2:$M$4,2,FALSE)+IF($E16="In Progress",10,0)+IF(AND($I16&lt;&gt;"",$I16&lt;TODAY()),25,0)+IF(AND($I16&lt;&gt;"",$I16&gt;=TODAY(),$I16&lt;=TODAY()+7),15,0)+IF($M16&lt;=VLOOKUP(Home!$C$7,Lists!$N$2:$O$6,2,FALSE),20,-10)+IF($G16=Home!$E$7,15,IF(Home!$E$7="",0,-5))-ROW()/100000)))</f>
        <v/>
      </c>
      <c r="O16" s="5">
        <f>IF($D16="","",IF($N16&lt;=-500,"Not recommended right now",TEXTJOIN(" • ",TRUE,IF($F16="High","High Priority",""),IF(AND($I16&lt;&gt;"",$I16&lt;TODAY()),"Overdue",""),IF(AND($I16&lt;&gt;"",$I16&gt;=TODAY(),$I16&lt;=TODAY()+7),"Due This Week",""),IF($M16&lt;=VLOOKUP(Home!$C$7,Lists!$N$2:$O$6,2,FALSE),$H16&amp;" Task",""),IF($G16=Home!$E$7,"Fits Current Energy",""),"No Blockers")))</f>
        <v/>
      </c>
      <c r="P16" s="5">
        <f>IF($D16="","",SWITCH('Task Finder'!$C$6,"High Priority",AND($F16="High",$E16&lt;&gt;"Done",$E16&lt;&gt;"Archive"),"Due This Week",AND($I16&lt;&gt;"",$I16&gt;=TODAY(),$I16&lt;=TODAY()+7,$E16&lt;&gt;"Done"),"Quick Wins (15 mins or less)",AND($M16&lt;=15,$E16&lt;&gt;"Done",$E16&lt;&gt;"Blocked"),"Deep Thinking",AND($G16="Deep Thinking",$E16&lt;&gt;"Done"),"Processing",AND($G16="Processing",$E16&lt;&gt;"Done"),"Blocked",$E16="Blocked","Waiting",$E16="Waiting","Recently Updated",AND($L16&lt;&gt;"",$L16&gt;=TODAY()-7),TRUE))</f>
        <v/>
      </c>
    </row>
    <row r="17">
      <c r="A17" s="19" t="n"/>
      <c r="B17" s="19" t="n"/>
      <c r="C17" s="19" t="n"/>
      <c r="D17" s="19" t="n"/>
      <c r="E17" s="19" t="n"/>
      <c r="F17" s="19" t="n"/>
      <c r="G17" s="19" t="n"/>
      <c r="H17" s="19" t="n"/>
      <c r="I17" s="19" t="n"/>
      <c r="J17" s="19" t="n"/>
      <c r="K17" s="19" t="n"/>
      <c r="L17" s="35" t="n"/>
      <c r="M17" s="5">
        <f>IF($D17="","",IFERROR(VLOOKUP($H17,Lists!$N$2:$O$6,2,FALSE),0))</f>
        <v/>
      </c>
      <c r="N17" s="5">
        <f>IF($D17="","",IF(OR($E17="Blocked",$E17="Done",$E17="Archive"),-9999,IF(AND($E17="Waiting",SUMPRODUCT((($E$5:$E$200="Next")+($E$5:$E$200="In Progress")+($E$5:$E$200="Captured"))*($D$5:$D$200&lt;&gt;""))&gt;0),-500,VLOOKUP($F17,Lists!$L$2:$M$4,2,FALSE)+IF($E17="In Progress",10,0)+IF(AND($I17&lt;&gt;"",$I17&lt;TODAY()),25,0)+IF(AND($I17&lt;&gt;"",$I17&gt;=TODAY(),$I17&lt;=TODAY()+7),15,0)+IF($M17&lt;=VLOOKUP(Home!$C$7,Lists!$N$2:$O$6,2,FALSE),20,-10)+IF($G17=Home!$E$7,15,IF(Home!$E$7="",0,-5))-ROW()/100000)))</f>
        <v/>
      </c>
      <c r="O17" s="5">
        <f>IF($D17="","",IF($N17&lt;=-500,"Not recommended right now",TEXTJOIN(" • ",TRUE,IF($F17="High","High Priority",""),IF(AND($I17&lt;&gt;"",$I17&lt;TODAY()),"Overdue",""),IF(AND($I17&lt;&gt;"",$I17&gt;=TODAY(),$I17&lt;=TODAY()+7),"Due This Week",""),IF($M17&lt;=VLOOKUP(Home!$C$7,Lists!$N$2:$O$6,2,FALSE),$H17&amp;" Task",""),IF($G17=Home!$E$7,"Fits Current Energy",""),"No Blockers")))</f>
        <v/>
      </c>
      <c r="P17" s="5">
        <f>IF($D17="","",SWITCH('Task Finder'!$C$6,"High Priority",AND($F17="High",$E17&lt;&gt;"Done",$E17&lt;&gt;"Archive"),"Due This Week",AND($I17&lt;&gt;"",$I17&gt;=TODAY(),$I17&lt;=TODAY()+7,$E17&lt;&gt;"Done"),"Quick Wins (15 mins or less)",AND($M17&lt;=15,$E17&lt;&gt;"Done",$E17&lt;&gt;"Blocked"),"Deep Thinking",AND($G17="Deep Thinking",$E17&lt;&gt;"Done"),"Processing",AND($G17="Processing",$E17&lt;&gt;"Done"),"Blocked",$E17="Blocked","Waiting",$E17="Waiting","Recently Updated",AND($L17&lt;&gt;"",$L17&gt;=TODAY()-7),TRUE))</f>
        <v/>
      </c>
    </row>
    <row r="18">
      <c r="A18" s="19" t="n"/>
      <c r="B18" s="19" t="n"/>
      <c r="C18" s="19" t="n"/>
      <c r="D18" s="19" t="n"/>
      <c r="E18" s="19" t="n"/>
      <c r="F18" s="19" t="n"/>
      <c r="G18" s="19" t="n"/>
      <c r="H18" s="19" t="n"/>
      <c r="I18" s="19" t="n"/>
      <c r="J18" s="19" t="n"/>
      <c r="K18" s="19" t="n"/>
      <c r="L18" s="35" t="n"/>
      <c r="M18" s="5">
        <f>IF($D18="","",IFERROR(VLOOKUP($H18,Lists!$N$2:$O$6,2,FALSE),0))</f>
        <v/>
      </c>
      <c r="N18" s="5">
        <f>IF($D18="","",IF(OR($E18="Blocked",$E18="Done",$E18="Archive"),-9999,IF(AND($E18="Waiting",SUMPRODUCT((($E$5:$E$200="Next")+($E$5:$E$200="In Progress")+($E$5:$E$200="Captured"))*($D$5:$D$200&lt;&gt;""))&gt;0),-500,VLOOKUP($F18,Lists!$L$2:$M$4,2,FALSE)+IF($E18="In Progress",10,0)+IF(AND($I18&lt;&gt;"",$I18&lt;TODAY()),25,0)+IF(AND($I18&lt;&gt;"",$I18&gt;=TODAY(),$I18&lt;=TODAY()+7),15,0)+IF($M18&lt;=VLOOKUP(Home!$C$7,Lists!$N$2:$O$6,2,FALSE),20,-10)+IF($G18=Home!$E$7,15,IF(Home!$E$7="",0,-5))-ROW()/100000)))</f>
        <v/>
      </c>
      <c r="O18" s="5">
        <f>IF($D18="","",IF($N18&lt;=-500,"Not recommended right now",TEXTJOIN(" • ",TRUE,IF($F18="High","High Priority",""),IF(AND($I18&lt;&gt;"",$I18&lt;TODAY()),"Overdue",""),IF(AND($I18&lt;&gt;"",$I18&gt;=TODAY(),$I18&lt;=TODAY()+7),"Due This Week",""),IF($M18&lt;=VLOOKUP(Home!$C$7,Lists!$N$2:$O$6,2,FALSE),$H18&amp;" Task",""),IF($G18=Home!$E$7,"Fits Current Energy",""),"No Blockers")))</f>
        <v/>
      </c>
      <c r="P18" s="5">
        <f>IF($D18="","",SWITCH('Task Finder'!$C$6,"High Priority",AND($F18="High",$E18&lt;&gt;"Done",$E18&lt;&gt;"Archive"),"Due This Week",AND($I18&lt;&gt;"",$I18&gt;=TODAY(),$I18&lt;=TODAY()+7,$E18&lt;&gt;"Done"),"Quick Wins (15 mins or less)",AND($M18&lt;=15,$E18&lt;&gt;"Done",$E18&lt;&gt;"Blocked"),"Deep Thinking",AND($G18="Deep Thinking",$E18&lt;&gt;"Done"),"Processing",AND($G18="Processing",$E18&lt;&gt;"Done"),"Blocked",$E18="Blocked","Waiting",$E18="Waiting","Recently Updated",AND($L18&lt;&gt;"",$L18&gt;=TODAY()-7),TRUE))</f>
        <v/>
      </c>
    </row>
    <row r="19">
      <c r="A19" s="19" t="n"/>
      <c r="B19" s="19" t="n"/>
      <c r="C19" s="19" t="n"/>
      <c r="D19" s="19" t="n"/>
      <c r="E19" s="19" t="n"/>
      <c r="F19" s="19" t="n"/>
      <c r="G19" s="19" t="n"/>
      <c r="H19" s="19" t="n"/>
      <c r="I19" s="19" t="n"/>
      <c r="J19" s="19" t="n"/>
      <c r="K19" s="19" t="n"/>
      <c r="L19" s="35" t="n"/>
      <c r="M19" s="5">
        <f>IF($D19="","",IFERROR(VLOOKUP($H19,Lists!$N$2:$O$6,2,FALSE),0))</f>
        <v/>
      </c>
      <c r="N19" s="5">
        <f>IF($D19="","",IF(OR($E19="Blocked",$E19="Done",$E19="Archive"),-9999,IF(AND($E19="Waiting",SUMPRODUCT((($E$5:$E$200="Next")+($E$5:$E$200="In Progress")+($E$5:$E$200="Captured"))*($D$5:$D$200&lt;&gt;""))&gt;0),-500,VLOOKUP($F19,Lists!$L$2:$M$4,2,FALSE)+IF($E19="In Progress",10,0)+IF(AND($I19&lt;&gt;"",$I19&lt;TODAY()),25,0)+IF(AND($I19&lt;&gt;"",$I19&gt;=TODAY(),$I19&lt;=TODAY()+7),15,0)+IF($M19&lt;=VLOOKUP(Home!$C$7,Lists!$N$2:$O$6,2,FALSE),20,-10)+IF($G19=Home!$E$7,15,IF(Home!$E$7="",0,-5))-ROW()/100000)))</f>
        <v/>
      </c>
      <c r="O19" s="5">
        <f>IF($D19="","",IF($N19&lt;=-500,"Not recommended right now",TEXTJOIN(" • ",TRUE,IF($F19="High","High Priority",""),IF(AND($I19&lt;&gt;"",$I19&lt;TODAY()),"Overdue",""),IF(AND($I19&lt;&gt;"",$I19&gt;=TODAY(),$I19&lt;=TODAY()+7),"Due This Week",""),IF($M19&lt;=VLOOKUP(Home!$C$7,Lists!$N$2:$O$6,2,FALSE),$H19&amp;" Task",""),IF($G19=Home!$E$7,"Fits Current Energy",""),"No Blockers")))</f>
        <v/>
      </c>
      <c r="P19" s="5">
        <f>IF($D19="","",SWITCH('Task Finder'!$C$6,"High Priority",AND($F19="High",$E19&lt;&gt;"Done",$E19&lt;&gt;"Archive"),"Due This Week",AND($I19&lt;&gt;"",$I19&gt;=TODAY(),$I19&lt;=TODAY()+7,$E19&lt;&gt;"Done"),"Quick Wins (15 mins or less)",AND($M19&lt;=15,$E19&lt;&gt;"Done",$E19&lt;&gt;"Blocked"),"Deep Thinking",AND($G19="Deep Thinking",$E19&lt;&gt;"Done"),"Processing",AND($G19="Processing",$E19&lt;&gt;"Done"),"Blocked",$E19="Blocked","Waiting",$E19="Waiting","Recently Updated",AND($L19&lt;&gt;"",$L19&gt;=TODAY()-7),TRUE))</f>
        <v/>
      </c>
    </row>
    <row r="20">
      <c r="A20" s="19" t="n"/>
      <c r="B20" s="19" t="n"/>
      <c r="C20" s="19" t="n"/>
      <c r="D20" s="19" t="n"/>
      <c r="E20" s="19" t="n"/>
      <c r="F20" s="19" t="n"/>
      <c r="G20" s="19" t="n"/>
      <c r="H20" s="19" t="n"/>
      <c r="I20" s="19" t="n"/>
      <c r="J20" s="19" t="n"/>
      <c r="K20" s="19" t="n"/>
      <c r="L20" s="35" t="n"/>
      <c r="M20" s="5">
        <f>IF($D20="","",IFERROR(VLOOKUP($H20,Lists!$N$2:$O$6,2,FALSE),0))</f>
        <v/>
      </c>
      <c r="N20" s="5">
        <f>IF($D20="","",IF(OR($E20="Blocked",$E20="Done",$E20="Archive"),-9999,IF(AND($E20="Waiting",SUMPRODUCT((($E$5:$E$200="Next")+($E$5:$E$200="In Progress")+($E$5:$E$200="Captured"))*($D$5:$D$200&lt;&gt;""))&gt;0),-500,VLOOKUP($F20,Lists!$L$2:$M$4,2,FALSE)+IF($E20="In Progress",10,0)+IF(AND($I20&lt;&gt;"",$I20&lt;TODAY()),25,0)+IF(AND($I20&lt;&gt;"",$I20&gt;=TODAY(),$I20&lt;=TODAY()+7),15,0)+IF($M20&lt;=VLOOKUP(Home!$C$7,Lists!$N$2:$O$6,2,FALSE),20,-10)+IF($G20=Home!$E$7,15,IF(Home!$E$7="",0,-5))-ROW()/100000)))</f>
        <v/>
      </c>
      <c r="O20" s="5">
        <f>IF($D20="","",IF($N20&lt;=-500,"Not recommended right now",TEXTJOIN(" • ",TRUE,IF($F20="High","High Priority",""),IF(AND($I20&lt;&gt;"",$I20&lt;TODAY()),"Overdue",""),IF(AND($I20&lt;&gt;"",$I20&gt;=TODAY(),$I20&lt;=TODAY()+7),"Due This Week",""),IF($M20&lt;=VLOOKUP(Home!$C$7,Lists!$N$2:$O$6,2,FALSE),$H20&amp;" Task",""),IF($G20=Home!$E$7,"Fits Current Energy",""),"No Blockers")))</f>
        <v/>
      </c>
      <c r="P20" s="5">
        <f>IF($D20="","",SWITCH('Task Finder'!$C$6,"High Priority",AND($F20="High",$E20&lt;&gt;"Done",$E20&lt;&gt;"Archive"),"Due This Week",AND($I20&lt;&gt;"",$I20&gt;=TODAY(),$I20&lt;=TODAY()+7,$E20&lt;&gt;"Done"),"Quick Wins (15 mins or less)",AND($M20&lt;=15,$E20&lt;&gt;"Done",$E20&lt;&gt;"Blocked"),"Deep Thinking",AND($G20="Deep Thinking",$E20&lt;&gt;"Done"),"Processing",AND($G20="Processing",$E20&lt;&gt;"Done"),"Blocked",$E20="Blocked","Waiting",$E20="Waiting","Recently Updated",AND($L20&lt;&gt;"",$L20&gt;=TODAY()-7),TRUE))</f>
        <v/>
      </c>
    </row>
    <row r="21">
      <c r="A21" s="19" t="n"/>
      <c r="B21" s="19" t="n"/>
      <c r="C21" s="19" t="n"/>
      <c r="D21" s="19" t="n"/>
      <c r="E21" s="19" t="n"/>
      <c r="F21" s="19" t="n"/>
      <c r="G21" s="19" t="n"/>
      <c r="H21" s="19" t="n"/>
      <c r="I21" s="19" t="n"/>
      <c r="J21" s="19" t="n"/>
      <c r="K21" s="19" t="n"/>
      <c r="L21" s="35" t="n"/>
      <c r="M21" s="5">
        <f>IF($D21="","",IFERROR(VLOOKUP($H21,Lists!$N$2:$O$6,2,FALSE),0))</f>
        <v/>
      </c>
      <c r="N21" s="5">
        <f>IF($D21="","",IF(OR($E21="Blocked",$E21="Done",$E21="Archive"),-9999,IF(AND($E21="Waiting",SUMPRODUCT((($E$5:$E$200="Next")+($E$5:$E$200="In Progress")+($E$5:$E$200="Captured"))*($D$5:$D$200&lt;&gt;""))&gt;0),-500,VLOOKUP($F21,Lists!$L$2:$M$4,2,FALSE)+IF($E21="In Progress",10,0)+IF(AND($I21&lt;&gt;"",$I21&lt;TODAY()),25,0)+IF(AND($I21&lt;&gt;"",$I21&gt;=TODAY(),$I21&lt;=TODAY()+7),15,0)+IF($M21&lt;=VLOOKUP(Home!$C$7,Lists!$N$2:$O$6,2,FALSE),20,-10)+IF($G21=Home!$E$7,15,IF(Home!$E$7="",0,-5))-ROW()/100000)))</f>
        <v/>
      </c>
      <c r="O21" s="5">
        <f>IF($D21="","",IF($N21&lt;=-500,"Not recommended right now",TEXTJOIN(" • ",TRUE,IF($F21="High","High Priority",""),IF(AND($I21&lt;&gt;"",$I21&lt;TODAY()),"Overdue",""),IF(AND($I21&lt;&gt;"",$I21&gt;=TODAY(),$I21&lt;=TODAY()+7),"Due This Week",""),IF($M21&lt;=VLOOKUP(Home!$C$7,Lists!$N$2:$O$6,2,FALSE),$H21&amp;" Task",""),IF($G21=Home!$E$7,"Fits Current Energy",""),"No Blockers")))</f>
        <v/>
      </c>
      <c r="P21" s="5">
        <f>IF($D21="","",SWITCH('Task Finder'!$C$6,"High Priority",AND($F21="High",$E21&lt;&gt;"Done",$E21&lt;&gt;"Archive"),"Due This Week",AND($I21&lt;&gt;"",$I21&gt;=TODAY(),$I21&lt;=TODAY()+7,$E21&lt;&gt;"Done"),"Quick Wins (15 mins or less)",AND($M21&lt;=15,$E21&lt;&gt;"Done",$E21&lt;&gt;"Blocked"),"Deep Thinking",AND($G21="Deep Thinking",$E21&lt;&gt;"Done"),"Processing",AND($G21="Processing",$E21&lt;&gt;"Done"),"Blocked",$E21="Blocked","Waiting",$E21="Waiting","Recently Updated",AND($L21&lt;&gt;"",$L21&gt;=TODAY()-7),TRUE))</f>
        <v/>
      </c>
    </row>
    <row r="22">
      <c r="A22" s="19" t="n"/>
      <c r="B22" s="19" t="n"/>
      <c r="C22" s="19" t="n"/>
      <c r="D22" s="19" t="n"/>
      <c r="E22" s="19" t="n"/>
      <c r="F22" s="19" t="n"/>
      <c r="G22" s="19" t="n"/>
      <c r="H22" s="19" t="n"/>
      <c r="I22" s="19" t="n"/>
      <c r="J22" s="19" t="n"/>
      <c r="K22" s="19" t="n"/>
      <c r="L22" s="35" t="n"/>
      <c r="M22" s="5">
        <f>IF($D22="","",IFERROR(VLOOKUP($H22,Lists!$N$2:$O$6,2,FALSE),0))</f>
        <v/>
      </c>
      <c r="N22" s="5">
        <f>IF($D22="","",IF(OR($E22="Blocked",$E22="Done",$E22="Archive"),-9999,IF(AND($E22="Waiting",SUMPRODUCT((($E$5:$E$200="Next")+($E$5:$E$200="In Progress")+($E$5:$E$200="Captured"))*($D$5:$D$200&lt;&gt;""))&gt;0),-500,VLOOKUP($F22,Lists!$L$2:$M$4,2,FALSE)+IF($E22="In Progress",10,0)+IF(AND($I22&lt;&gt;"",$I22&lt;TODAY()),25,0)+IF(AND($I22&lt;&gt;"",$I22&gt;=TODAY(),$I22&lt;=TODAY()+7),15,0)+IF($M22&lt;=VLOOKUP(Home!$C$7,Lists!$N$2:$O$6,2,FALSE),20,-10)+IF($G22=Home!$E$7,15,IF(Home!$E$7="",0,-5))-ROW()/100000)))</f>
        <v/>
      </c>
      <c r="O22" s="5">
        <f>IF($D22="","",IF($N22&lt;=-500,"Not recommended right now",TEXTJOIN(" • ",TRUE,IF($F22="High","High Priority",""),IF(AND($I22&lt;&gt;"",$I22&lt;TODAY()),"Overdue",""),IF(AND($I22&lt;&gt;"",$I22&gt;=TODAY(),$I22&lt;=TODAY()+7),"Due This Week",""),IF($M22&lt;=VLOOKUP(Home!$C$7,Lists!$N$2:$O$6,2,FALSE),$H22&amp;" Task",""),IF($G22=Home!$E$7,"Fits Current Energy",""),"No Blockers")))</f>
        <v/>
      </c>
      <c r="P22" s="5">
        <f>IF($D22="","",SWITCH('Task Finder'!$C$6,"High Priority",AND($F22="High",$E22&lt;&gt;"Done",$E22&lt;&gt;"Archive"),"Due This Week",AND($I22&lt;&gt;"",$I22&gt;=TODAY(),$I22&lt;=TODAY()+7,$E22&lt;&gt;"Done"),"Quick Wins (15 mins or less)",AND($M22&lt;=15,$E22&lt;&gt;"Done",$E22&lt;&gt;"Blocked"),"Deep Thinking",AND($G22="Deep Thinking",$E22&lt;&gt;"Done"),"Processing",AND($G22="Processing",$E22&lt;&gt;"Done"),"Blocked",$E22="Blocked","Waiting",$E22="Waiting","Recently Updated",AND($L22&lt;&gt;"",$L22&gt;=TODAY()-7),TRUE))</f>
        <v/>
      </c>
    </row>
    <row r="23">
      <c r="A23" s="19" t="n"/>
      <c r="B23" s="19" t="n"/>
      <c r="C23" s="19" t="n"/>
      <c r="D23" s="19" t="n"/>
      <c r="E23" s="19" t="n"/>
      <c r="F23" s="19" t="n"/>
      <c r="G23" s="19" t="n"/>
      <c r="H23" s="19" t="n"/>
      <c r="I23" s="19" t="n"/>
      <c r="J23" s="19" t="n"/>
      <c r="K23" s="19" t="n"/>
      <c r="L23" s="35" t="n"/>
      <c r="M23" s="5">
        <f>IF($D23="","",IFERROR(VLOOKUP($H23,Lists!$N$2:$O$6,2,FALSE),0))</f>
        <v/>
      </c>
      <c r="N23" s="5">
        <f>IF($D23="","",IF(OR($E23="Blocked",$E23="Done",$E23="Archive"),-9999,IF(AND($E23="Waiting",SUMPRODUCT((($E$5:$E$200="Next")+($E$5:$E$200="In Progress")+($E$5:$E$200="Captured"))*($D$5:$D$200&lt;&gt;""))&gt;0),-500,VLOOKUP($F23,Lists!$L$2:$M$4,2,FALSE)+IF($E23="In Progress",10,0)+IF(AND($I23&lt;&gt;"",$I23&lt;TODAY()),25,0)+IF(AND($I23&lt;&gt;"",$I23&gt;=TODAY(),$I23&lt;=TODAY()+7),15,0)+IF($M23&lt;=VLOOKUP(Home!$C$7,Lists!$N$2:$O$6,2,FALSE),20,-10)+IF($G23=Home!$E$7,15,IF(Home!$E$7="",0,-5))-ROW()/100000)))</f>
        <v/>
      </c>
      <c r="O23" s="5">
        <f>IF($D23="","",IF($N23&lt;=-500,"Not recommended right now",TEXTJOIN(" • ",TRUE,IF($F23="High","High Priority",""),IF(AND($I23&lt;&gt;"",$I23&lt;TODAY()),"Overdue",""),IF(AND($I23&lt;&gt;"",$I23&gt;=TODAY(),$I23&lt;=TODAY()+7),"Due This Week",""),IF($M23&lt;=VLOOKUP(Home!$C$7,Lists!$N$2:$O$6,2,FALSE),$H23&amp;" Task",""),IF($G23=Home!$E$7,"Fits Current Energy",""),"No Blockers")))</f>
        <v/>
      </c>
      <c r="P23" s="5">
        <f>IF($D23="","",SWITCH('Task Finder'!$C$6,"High Priority",AND($F23="High",$E23&lt;&gt;"Done",$E23&lt;&gt;"Archive"),"Due This Week",AND($I23&lt;&gt;"",$I23&gt;=TODAY(),$I23&lt;=TODAY()+7,$E23&lt;&gt;"Done"),"Quick Wins (15 mins or less)",AND($M23&lt;=15,$E23&lt;&gt;"Done",$E23&lt;&gt;"Blocked"),"Deep Thinking",AND($G23="Deep Thinking",$E23&lt;&gt;"Done"),"Processing",AND($G23="Processing",$E23&lt;&gt;"Done"),"Blocked",$E23="Blocked","Waiting",$E23="Waiting","Recently Updated",AND($L23&lt;&gt;"",$L23&gt;=TODAY()-7),TRUE))</f>
        <v/>
      </c>
    </row>
    <row r="24">
      <c r="A24" s="19" t="n"/>
      <c r="B24" s="19" t="n"/>
      <c r="C24" s="19" t="n"/>
      <c r="D24" s="19" t="n"/>
      <c r="E24" s="19" t="n"/>
      <c r="F24" s="19" t="n"/>
      <c r="G24" s="19" t="n"/>
      <c r="H24" s="19" t="n"/>
      <c r="I24" s="19" t="n"/>
      <c r="J24" s="19" t="n"/>
      <c r="K24" s="19" t="n"/>
      <c r="L24" s="35" t="n"/>
      <c r="M24" s="5">
        <f>IF($D24="","",IFERROR(VLOOKUP($H24,Lists!$N$2:$O$6,2,FALSE),0))</f>
        <v/>
      </c>
      <c r="N24" s="5">
        <f>IF($D24="","",IF(OR($E24="Blocked",$E24="Done",$E24="Archive"),-9999,IF(AND($E24="Waiting",SUMPRODUCT((($E$5:$E$200="Next")+($E$5:$E$200="In Progress")+($E$5:$E$200="Captured"))*($D$5:$D$200&lt;&gt;""))&gt;0),-500,VLOOKUP($F24,Lists!$L$2:$M$4,2,FALSE)+IF($E24="In Progress",10,0)+IF(AND($I24&lt;&gt;"",$I24&lt;TODAY()),25,0)+IF(AND($I24&lt;&gt;"",$I24&gt;=TODAY(),$I24&lt;=TODAY()+7),15,0)+IF($M24&lt;=VLOOKUP(Home!$C$7,Lists!$N$2:$O$6,2,FALSE),20,-10)+IF($G24=Home!$E$7,15,IF(Home!$E$7="",0,-5))-ROW()/100000)))</f>
        <v/>
      </c>
      <c r="O24" s="5">
        <f>IF($D24="","",IF($N24&lt;=-500,"Not recommended right now",TEXTJOIN(" • ",TRUE,IF($F24="High","High Priority",""),IF(AND($I24&lt;&gt;"",$I24&lt;TODAY()),"Overdue",""),IF(AND($I24&lt;&gt;"",$I24&gt;=TODAY(),$I24&lt;=TODAY()+7),"Due This Week",""),IF($M24&lt;=VLOOKUP(Home!$C$7,Lists!$N$2:$O$6,2,FALSE),$H24&amp;" Task",""),IF($G24=Home!$E$7,"Fits Current Energy",""),"No Blockers")))</f>
        <v/>
      </c>
      <c r="P24" s="5">
        <f>IF($D24="","",SWITCH('Task Finder'!$C$6,"High Priority",AND($F24="High",$E24&lt;&gt;"Done",$E24&lt;&gt;"Archive"),"Due This Week",AND($I24&lt;&gt;"",$I24&gt;=TODAY(),$I24&lt;=TODAY()+7,$E24&lt;&gt;"Done"),"Quick Wins (15 mins or less)",AND($M24&lt;=15,$E24&lt;&gt;"Done",$E24&lt;&gt;"Blocked"),"Deep Thinking",AND($G24="Deep Thinking",$E24&lt;&gt;"Done"),"Processing",AND($G24="Processing",$E24&lt;&gt;"Done"),"Blocked",$E24="Blocked","Waiting",$E24="Waiting","Recently Updated",AND($L24&lt;&gt;"",$L24&gt;=TODAY()-7),TRUE))</f>
        <v/>
      </c>
    </row>
    <row r="25">
      <c r="A25" s="19" t="n"/>
      <c r="B25" s="19" t="n"/>
      <c r="C25" s="19" t="n"/>
      <c r="D25" s="19" t="n"/>
      <c r="E25" s="19" t="n"/>
      <c r="F25" s="19" t="n"/>
      <c r="G25" s="19" t="n"/>
      <c r="H25" s="19" t="n"/>
      <c r="I25" s="19" t="n"/>
      <c r="J25" s="19" t="n"/>
      <c r="K25" s="19" t="n"/>
      <c r="L25" s="35" t="n"/>
      <c r="M25" s="5">
        <f>IF($D25="","",IFERROR(VLOOKUP($H25,Lists!$N$2:$O$6,2,FALSE),0))</f>
        <v/>
      </c>
      <c r="N25" s="5">
        <f>IF($D25="","",IF(OR($E25="Blocked",$E25="Done",$E25="Archive"),-9999,IF(AND($E25="Waiting",SUMPRODUCT((($E$5:$E$200="Next")+($E$5:$E$200="In Progress")+($E$5:$E$200="Captured"))*($D$5:$D$200&lt;&gt;""))&gt;0),-500,VLOOKUP($F25,Lists!$L$2:$M$4,2,FALSE)+IF($E25="In Progress",10,0)+IF(AND($I25&lt;&gt;"",$I25&lt;TODAY()),25,0)+IF(AND($I25&lt;&gt;"",$I25&gt;=TODAY(),$I25&lt;=TODAY()+7),15,0)+IF($M25&lt;=VLOOKUP(Home!$C$7,Lists!$N$2:$O$6,2,FALSE),20,-10)+IF($G25=Home!$E$7,15,IF(Home!$E$7="",0,-5))-ROW()/100000)))</f>
        <v/>
      </c>
      <c r="O25" s="5">
        <f>IF($D25="","",IF($N25&lt;=-500,"Not recommended right now",TEXTJOIN(" • ",TRUE,IF($F25="High","High Priority",""),IF(AND($I25&lt;&gt;"",$I25&lt;TODAY()),"Overdue",""),IF(AND($I25&lt;&gt;"",$I25&gt;=TODAY(),$I25&lt;=TODAY()+7),"Due This Week",""),IF($M25&lt;=VLOOKUP(Home!$C$7,Lists!$N$2:$O$6,2,FALSE),$H25&amp;" Task",""),IF($G25=Home!$E$7,"Fits Current Energy",""),"No Blockers")))</f>
        <v/>
      </c>
      <c r="P25" s="5">
        <f>IF($D25="","",SWITCH('Task Finder'!$C$6,"High Priority",AND($F25="High",$E25&lt;&gt;"Done",$E25&lt;&gt;"Archive"),"Due This Week",AND($I25&lt;&gt;"",$I25&gt;=TODAY(),$I25&lt;=TODAY()+7,$E25&lt;&gt;"Done"),"Quick Wins (15 mins or less)",AND($M25&lt;=15,$E25&lt;&gt;"Done",$E25&lt;&gt;"Blocked"),"Deep Thinking",AND($G25="Deep Thinking",$E25&lt;&gt;"Done"),"Processing",AND($G25="Processing",$E25&lt;&gt;"Done"),"Blocked",$E25="Blocked","Waiting",$E25="Waiting","Recently Updated",AND($L25&lt;&gt;"",$L25&gt;=TODAY()-7),TRUE))</f>
        <v/>
      </c>
    </row>
    <row r="26">
      <c r="A26" s="19" t="n"/>
      <c r="B26" s="19" t="n"/>
      <c r="C26" s="19" t="n"/>
      <c r="D26" s="19" t="n"/>
      <c r="E26" s="19" t="n"/>
      <c r="F26" s="19" t="n"/>
      <c r="G26" s="19" t="n"/>
      <c r="H26" s="19" t="n"/>
      <c r="I26" s="19" t="n"/>
      <c r="J26" s="19" t="n"/>
      <c r="K26" s="19" t="n"/>
      <c r="L26" s="35" t="n"/>
      <c r="M26" s="5">
        <f>IF($D26="","",IFERROR(VLOOKUP($H26,Lists!$N$2:$O$6,2,FALSE),0))</f>
        <v/>
      </c>
      <c r="N26" s="5">
        <f>IF($D26="","",IF(OR($E26="Blocked",$E26="Done",$E26="Archive"),-9999,IF(AND($E26="Waiting",SUMPRODUCT((($E$5:$E$200="Next")+($E$5:$E$200="In Progress")+($E$5:$E$200="Captured"))*($D$5:$D$200&lt;&gt;""))&gt;0),-500,VLOOKUP($F26,Lists!$L$2:$M$4,2,FALSE)+IF($E26="In Progress",10,0)+IF(AND($I26&lt;&gt;"",$I26&lt;TODAY()),25,0)+IF(AND($I26&lt;&gt;"",$I26&gt;=TODAY(),$I26&lt;=TODAY()+7),15,0)+IF($M26&lt;=VLOOKUP(Home!$C$7,Lists!$N$2:$O$6,2,FALSE),20,-10)+IF($G26=Home!$E$7,15,IF(Home!$E$7="",0,-5))-ROW()/100000)))</f>
        <v/>
      </c>
      <c r="O26" s="5">
        <f>IF($D26="","",IF($N26&lt;=-500,"Not recommended right now",TEXTJOIN(" • ",TRUE,IF($F26="High","High Priority",""),IF(AND($I26&lt;&gt;"",$I26&lt;TODAY()),"Overdue",""),IF(AND($I26&lt;&gt;"",$I26&gt;=TODAY(),$I26&lt;=TODAY()+7),"Due This Week",""),IF($M26&lt;=VLOOKUP(Home!$C$7,Lists!$N$2:$O$6,2,FALSE),$H26&amp;" Task",""),IF($G26=Home!$E$7,"Fits Current Energy",""),"No Blockers")))</f>
        <v/>
      </c>
      <c r="P26" s="5">
        <f>IF($D26="","",SWITCH('Task Finder'!$C$6,"High Priority",AND($F26="High",$E26&lt;&gt;"Done",$E26&lt;&gt;"Archive"),"Due This Week",AND($I26&lt;&gt;"",$I26&gt;=TODAY(),$I26&lt;=TODAY()+7,$E26&lt;&gt;"Done"),"Quick Wins (15 mins or less)",AND($M26&lt;=15,$E26&lt;&gt;"Done",$E26&lt;&gt;"Blocked"),"Deep Thinking",AND($G26="Deep Thinking",$E26&lt;&gt;"Done"),"Processing",AND($G26="Processing",$E26&lt;&gt;"Done"),"Blocked",$E26="Blocked","Waiting",$E26="Waiting","Recently Updated",AND($L26&lt;&gt;"",$L26&gt;=TODAY()-7),TRUE))</f>
        <v/>
      </c>
    </row>
    <row r="27">
      <c r="A27" s="19" t="n"/>
      <c r="B27" s="19" t="n"/>
      <c r="C27" s="19" t="n"/>
      <c r="D27" s="19" t="n"/>
      <c r="E27" s="19" t="n"/>
      <c r="F27" s="19" t="n"/>
      <c r="G27" s="19" t="n"/>
      <c r="H27" s="19" t="n"/>
      <c r="I27" s="19" t="n"/>
      <c r="J27" s="19" t="n"/>
      <c r="K27" s="19" t="n"/>
      <c r="L27" s="35" t="n"/>
      <c r="M27" s="5">
        <f>IF($D27="","",IFERROR(VLOOKUP($H27,Lists!$N$2:$O$6,2,FALSE),0))</f>
        <v/>
      </c>
      <c r="N27" s="5">
        <f>IF($D27="","",IF(OR($E27="Blocked",$E27="Done",$E27="Archive"),-9999,IF(AND($E27="Waiting",SUMPRODUCT((($E$5:$E$200="Next")+($E$5:$E$200="In Progress")+($E$5:$E$200="Captured"))*($D$5:$D$200&lt;&gt;""))&gt;0),-500,VLOOKUP($F27,Lists!$L$2:$M$4,2,FALSE)+IF($E27="In Progress",10,0)+IF(AND($I27&lt;&gt;"",$I27&lt;TODAY()),25,0)+IF(AND($I27&lt;&gt;"",$I27&gt;=TODAY(),$I27&lt;=TODAY()+7),15,0)+IF($M27&lt;=VLOOKUP(Home!$C$7,Lists!$N$2:$O$6,2,FALSE),20,-10)+IF($G27=Home!$E$7,15,IF(Home!$E$7="",0,-5))-ROW()/100000)))</f>
        <v/>
      </c>
      <c r="O27" s="5">
        <f>IF($D27="","",IF($N27&lt;=-500,"Not recommended right now",TEXTJOIN(" • ",TRUE,IF($F27="High","High Priority",""),IF(AND($I27&lt;&gt;"",$I27&lt;TODAY()),"Overdue",""),IF(AND($I27&lt;&gt;"",$I27&gt;=TODAY(),$I27&lt;=TODAY()+7),"Due This Week",""),IF($M27&lt;=VLOOKUP(Home!$C$7,Lists!$N$2:$O$6,2,FALSE),$H27&amp;" Task",""),IF($G27=Home!$E$7,"Fits Current Energy",""),"No Blockers")))</f>
        <v/>
      </c>
      <c r="P27" s="5">
        <f>IF($D27="","",SWITCH('Task Finder'!$C$6,"High Priority",AND($F27="High",$E27&lt;&gt;"Done",$E27&lt;&gt;"Archive"),"Due This Week",AND($I27&lt;&gt;"",$I27&gt;=TODAY(),$I27&lt;=TODAY()+7,$E27&lt;&gt;"Done"),"Quick Wins (15 mins or less)",AND($M27&lt;=15,$E27&lt;&gt;"Done",$E27&lt;&gt;"Blocked"),"Deep Thinking",AND($G27="Deep Thinking",$E27&lt;&gt;"Done"),"Processing",AND($G27="Processing",$E27&lt;&gt;"Done"),"Blocked",$E27="Blocked","Waiting",$E27="Waiting","Recently Updated",AND($L27&lt;&gt;"",$L27&gt;=TODAY()-7),TRUE))</f>
        <v/>
      </c>
    </row>
    <row r="28">
      <c r="A28" s="19" t="n"/>
      <c r="B28" s="19" t="n"/>
      <c r="C28" s="19" t="n"/>
      <c r="D28" s="19" t="n"/>
      <c r="E28" s="19" t="n"/>
      <c r="F28" s="19" t="n"/>
      <c r="G28" s="19" t="n"/>
      <c r="H28" s="19" t="n"/>
      <c r="I28" s="19" t="n"/>
      <c r="J28" s="19" t="n"/>
      <c r="K28" s="19" t="n"/>
      <c r="L28" s="35" t="n"/>
      <c r="M28" s="5">
        <f>IF($D28="","",IFERROR(VLOOKUP($H28,Lists!$N$2:$O$6,2,FALSE),0))</f>
        <v/>
      </c>
      <c r="N28" s="5">
        <f>IF($D28="","",IF(OR($E28="Blocked",$E28="Done",$E28="Archive"),-9999,IF(AND($E28="Waiting",SUMPRODUCT((($E$5:$E$200="Next")+($E$5:$E$200="In Progress")+($E$5:$E$200="Captured"))*($D$5:$D$200&lt;&gt;""))&gt;0),-500,VLOOKUP($F28,Lists!$L$2:$M$4,2,FALSE)+IF($E28="In Progress",10,0)+IF(AND($I28&lt;&gt;"",$I28&lt;TODAY()),25,0)+IF(AND($I28&lt;&gt;"",$I28&gt;=TODAY(),$I28&lt;=TODAY()+7),15,0)+IF($M28&lt;=VLOOKUP(Home!$C$7,Lists!$N$2:$O$6,2,FALSE),20,-10)+IF($G28=Home!$E$7,15,IF(Home!$E$7="",0,-5))-ROW()/100000)))</f>
        <v/>
      </c>
      <c r="O28" s="5">
        <f>IF($D28="","",IF($N28&lt;=-500,"Not recommended right now",TEXTJOIN(" • ",TRUE,IF($F28="High","High Priority",""),IF(AND($I28&lt;&gt;"",$I28&lt;TODAY()),"Overdue",""),IF(AND($I28&lt;&gt;"",$I28&gt;=TODAY(),$I28&lt;=TODAY()+7),"Due This Week",""),IF($M28&lt;=VLOOKUP(Home!$C$7,Lists!$N$2:$O$6,2,FALSE),$H28&amp;" Task",""),IF($G28=Home!$E$7,"Fits Current Energy",""),"No Blockers")))</f>
        <v/>
      </c>
      <c r="P28" s="5">
        <f>IF($D28="","",SWITCH('Task Finder'!$C$6,"High Priority",AND($F28="High",$E28&lt;&gt;"Done",$E28&lt;&gt;"Archive"),"Due This Week",AND($I28&lt;&gt;"",$I28&gt;=TODAY(),$I28&lt;=TODAY()+7,$E28&lt;&gt;"Done"),"Quick Wins (15 mins or less)",AND($M28&lt;=15,$E28&lt;&gt;"Done",$E28&lt;&gt;"Blocked"),"Deep Thinking",AND($G28="Deep Thinking",$E28&lt;&gt;"Done"),"Processing",AND($G28="Processing",$E28&lt;&gt;"Done"),"Blocked",$E28="Blocked","Waiting",$E28="Waiting","Recently Updated",AND($L28&lt;&gt;"",$L28&gt;=TODAY()-7),TRUE))</f>
        <v/>
      </c>
    </row>
    <row r="29">
      <c r="A29" s="19" t="n"/>
      <c r="B29" s="19" t="n"/>
      <c r="C29" s="19" t="n"/>
      <c r="D29" s="19" t="n"/>
      <c r="E29" s="19" t="n"/>
      <c r="F29" s="19" t="n"/>
      <c r="G29" s="19" t="n"/>
      <c r="H29" s="19" t="n"/>
      <c r="I29" s="19" t="n"/>
      <c r="J29" s="19" t="n"/>
      <c r="K29" s="19" t="n"/>
      <c r="L29" s="35" t="n"/>
      <c r="M29" s="5">
        <f>IF($D29="","",IFERROR(VLOOKUP($H29,Lists!$N$2:$O$6,2,FALSE),0))</f>
        <v/>
      </c>
      <c r="N29" s="5">
        <f>IF($D29="","",IF(OR($E29="Blocked",$E29="Done",$E29="Archive"),-9999,IF(AND($E29="Waiting",SUMPRODUCT((($E$5:$E$200="Next")+($E$5:$E$200="In Progress")+($E$5:$E$200="Captured"))*($D$5:$D$200&lt;&gt;""))&gt;0),-500,VLOOKUP($F29,Lists!$L$2:$M$4,2,FALSE)+IF($E29="In Progress",10,0)+IF(AND($I29&lt;&gt;"",$I29&lt;TODAY()),25,0)+IF(AND($I29&lt;&gt;"",$I29&gt;=TODAY(),$I29&lt;=TODAY()+7),15,0)+IF($M29&lt;=VLOOKUP(Home!$C$7,Lists!$N$2:$O$6,2,FALSE),20,-10)+IF($G29=Home!$E$7,15,IF(Home!$E$7="",0,-5))-ROW()/100000)))</f>
        <v/>
      </c>
      <c r="O29" s="5">
        <f>IF($D29="","",IF($N29&lt;=-500,"Not recommended right now",TEXTJOIN(" • ",TRUE,IF($F29="High","High Priority",""),IF(AND($I29&lt;&gt;"",$I29&lt;TODAY()),"Overdue",""),IF(AND($I29&lt;&gt;"",$I29&gt;=TODAY(),$I29&lt;=TODAY()+7),"Due This Week",""),IF($M29&lt;=VLOOKUP(Home!$C$7,Lists!$N$2:$O$6,2,FALSE),$H29&amp;" Task",""),IF($G29=Home!$E$7,"Fits Current Energy",""),"No Blockers")))</f>
        <v/>
      </c>
      <c r="P29" s="5">
        <f>IF($D29="","",SWITCH('Task Finder'!$C$6,"High Priority",AND($F29="High",$E29&lt;&gt;"Done",$E29&lt;&gt;"Archive"),"Due This Week",AND($I29&lt;&gt;"",$I29&gt;=TODAY(),$I29&lt;=TODAY()+7,$E29&lt;&gt;"Done"),"Quick Wins (15 mins or less)",AND($M29&lt;=15,$E29&lt;&gt;"Done",$E29&lt;&gt;"Blocked"),"Deep Thinking",AND($G29="Deep Thinking",$E29&lt;&gt;"Done"),"Processing",AND($G29="Processing",$E29&lt;&gt;"Done"),"Blocked",$E29="Blocked","Waiting",$E29="Waiting","Recently Updated",AND($L29&lt;&gt;"",$L29&gt;=TODAY()-7),TRUE))</f>
        <v/>
      </c>
    </row>
    <row r="30">
      <c r="A30" s="19" t="n"/>
      <c r="B30" s="19" t="n"/>
      <c r="C30" s="19" t="n"/>
      <c r="D30" s="19" t="n"/>
      <c r="E30" s="19" t="n"/>
      <c r="F30" s="19" t="n"/>
      <c r="G30" s="19" t="n"/>
      <c r="H30" s="19" t="n"/>
      <c r="I30" s="19" t="n"/>
      <c r="J30" s="19" t="n"/>
      <c r="K30" s="19" t="n"/>
      <c r="L30" s="35" t="n"/>
      <c r="M30" s="5">
        <f>IF($D30="","",IFERROR(VLOOKUP($H30,Lists!$N$2:$O$6,2,FALSE),0))</f>
        <v/>
      </c>
      <c r="N30" s="5">
        <f>IF($D30="","",IF(OR($E30="Blocked",$E30="Done",$E30="Archive"),-9999,IF(AND($E30="Waiting",SUMPRODUCT((($E$5:$E$200="Next")+($E$5:$E$200="In Progress")+($E$5:$E$200="Captured"))*($D$5:$D$200&lt;&gt;""))&gt;0),-500,VLOOKUP($F30,Lists!$L$2:$M$4,2,FALSE)+IF($E30="In Progress",10,0)+IF(AND($I30&lt;&gt;"",$I30&lt;TODAY()),25,0)+IF(AND($I30&lt;&gt;"",$I30&gt;=TODAY(),$I30&lt;=TODAY()+7),15,0)+IF($M30&lt;=VLOOKUP(Home!$C$7,Lists!$N$2:$O$6,2,FALSE),20,-10)+IF($G30=Home!$E$7,15,IF(Home!$E$7="",0,-5))-ROW()/100000)))</f>
        <v/>
      </c>
      <c r="O30" s="5">
        <f>IF($D30="","",IF($N30&lt;=-500,"Not recommended right now",TEXTJOIN(" • ",TRUE,IF($F30="High","High Priority",""),IF(AND($I30&lt;&gt;"",$I30&lt;TODAY()),"Overdue",""),IF(AND($I30&lt;&gt;"",$I30&gt;=TODAY(),$I30&lt;=TODAY()+7),"Due This Week",""),IF($M30&lt;=VLOOKUP(Home!$C$7,Lists!$N$2:$O$6,2,FALSE),$H30&amp;" Task",""),IF($G30=Home!$E$7,"Fits Current Energy",""),"No Blockers")))</f>
        <v/>
      </c>
      <c r="P30" s="5">
        <f>IF($D30="","",SWITCH('Task Finder'!$C$6,"High Priority",AND($F30="High",$E30&lt;&gt;"Done",$E30&lt;&gt;"Archive"),"Due This Week",AND($I30&lt;&gt;"",$I30&gt;=TODAY(),$I30&lt;=TODAY()+7,$E30&lt;&gt;"Done"),"Quick Wins (15 mins or less)",AND($M30&lt;=15,$E30&lt;&gt;"Done",$E30&lt;&gt;"Blocked"),"Deep Thinking",AND($G30="Deep Thinking",$E30&lt;&gt;"Done"),"Processing",AND($G30="Processing",$E30&lt;&gt;"Done"),"Blocked",$E30="Blocked","Waiting",$E30="Waiting","Recently Updated",AND($L30&lt;&gt;"",$L30&gt;=TODAY()-7),TRUE))</f>
        <v/>
      </c>
    </row>
    <row r="31">
      <c r="A31" s="19" t="n"/>
      <c r="B31" s="19" t="n"/>
      <c r="C31" s="19" t="n"/>
      <c r="D31" s="19" t="n"/>
      <c r="E31" s="19" t="n"/>
      <c r="F31" s="19" t="n"/>
      <c r="G31" s="19" t="n"/>
      <c r="H31" s="19" t="n"/>
      <c r="I31" s="19" t="n"/>
      <c r="J31" s="19" t="n"/>
      <c r="K31" s="19" t="n"/>
      <c r="L31" s="35" t="n"/>
      <c r="M31" s="5">
        <f>IF($D31="","",IFERROR(VLOOKUP($H31,Lists!$N$2:$O$6,2,FALSE),0))</f>
        <v/>
      </c>
      <c r="N31" s="5">
        <f>IF($D31="","",IF(OR($E31="Blocked",$E31="Done",$E31="Archive"),-9999,IF(AND($E31="Waiting",SUMPRODUCT((($E$5:$E$200="Next")+($E$5:$E$200="In Progress")+($E$5:$E$200="Captured"))*($D$5:$D$200&lt;&gt;""))&gt;0),-500,VLOOKUP($F31,Lists!$L$2:$M$4,2,FALSE)+IF($E31="In Progress",10,0)+IF(AND($I31&lt;&gt;"",$I31&lt;TODAY()),25,0)+IF(AND($I31&lt;&gt;"",$I31&gt;=TODAY(),$I31&lt;=TODAY()+7),15,0)+IF($M31&lt;=VLOOKUP(Home!$C$7,Lists!$N$2:$O$6,2,FALSE),20,-10)+IF($G31=Home!$E$7,15,IF(Home!$E$7="",0,-5))-ROW()/100000)))</f>
        <v/>
      </c>
      <c r="O31" s="5">
        <f>IF($D31="","",IF($N31&lt;=-500,"Not recommended right now",TEXTJOIN(" • ",TRUE,IF($F31="High","High Priority",""),IF(AND($I31&lt;&gt;"",$I31&lt;TODAY()),"Overdue",""),IF(AND($I31&lt;&gt;"",$I31&gt;=TODAY(),$I31&lt;=TODAY()+7),"Due This Week",""),IF($M31&lt;=VLOOKUP(Home!$C$7,Lists!$N$2:$O$6,2,FALSE),$H31&amp;" Task",""),IF($G31=Home!$E$7,"Fits Current Energy",""),"No Blockers")))</f>
        <v/>
      </c>
      <c r="P31" s="5">
        <f>IF($D31="","",SWITCH('Task Finder'!$C$6,"High Priority",AND($F31="High",$E31&lt;&gt;"Done",$E31&lt;&gt;"Archive"),"Due This Week",AND($I31&lt;&gt;"",$I31&gt;=TODAY(),$I31&lt;=TODAY()+7,$E31&lt;&gt;"Done"),"Quick Wins (15 mins or less)",AND($M31&lt;=15,$E31&lt;&gt;"Done",$E31&lt;&gt;"Blocked"),"Deep Thinking",AND($G31="Deep Thinking",$E31&lt;&gt;"Done"),"Processing",AND($G31="Processing",$E31&lt;&gt;"Done"),"Blocked",$E31="Blocked","Waiting",$E31="Waiting","Recently Updated",AND($L31&lt;&gt;"",$L31&gt;=TODAY()-7),TRUE))</f>
        <v/>
      </c>
    </row>
    <row r="32">
      <c r="A32" s="19" t="n"/>
      <c r="B32" s="19" t="n"/>
      <c r="C32" s="19" t="n"/>
      <c r="D32" s="19" t="n"/>
      <c r="E32" s="19" t="n"/>
      <c r="F32" s="19" t="n"/>
      <c r="G32" s="19" t="n"/>
      <c r="H32" s="19" t="n"/>
      <c r="I32" s="19" t="n"/>
      <c r="J32" s="19" t="n"/>
      <c r="K32" s="19" t="n"/>
      <c r="L32" s="35" t="n"/>
      <c r="M32" s="5">
        <f>IF($D32="","",IFERROR(VLOOKUP($H32,Lists!$N$2:$O$6,2,FALSE),0))</f>
        <v/>
      </c>
      <c r="N32" s="5">
        <f>IF($D32="","",IF(OR($E32="Blocked",$E32="Done",$E32="Archive"),-9999,IF(AND($E32="Waiting",SUMPRODUCT((($E$5:$E$200="Next")+($E$5:$E$200="In Progress")+($E$5:$E$200="Captured"))*($D$5:$D$200&lt;&gt;""))&gt;0),-500,VLOOKUP($F32,Lists!$L$2:$M$4,2,FALSE)+IF($E32="In Progress",10,0)+IF(AND($I32&lt;&gt;"",$I32&lt;TODAY()),25,0)+IF(AND($I32&lt;&gt;"",$I32&gt;=TODAY(),$I32&lt;=TODAY()+7),15,0)+IF($M32&lt;=VLOOKUP(Home!$C$7,Lists!$N$2:$O$6,2,FALSE),20,-10)+IF($G32=Home!$E$7,15,IF(Home!$E$7="",0,-5))-ROW()/100000)))</f>
        <v/>
      </c>
      <c r="O32" s="5">
        <f>IF($D32="","",IF($N32&lt;=-500,"Not recommended right now",TEXTJOIN(" • ",TRUE,IF($F32="High","High Priority",""),IF(AND($I32&lt;&gt;"",$I32&lt;TODAY()),"Overdue",""),IF(AND($I32&lt;&gt;"",$I32&gt;=TODAY(),$I32&lt;=TODAY()+7),"Due This Week",""),IF($M32&lt;=VLOOKUP(Home!$C$7,Lists!$N$2:$O$6,2,FALSE),$H32&amp;" Task",""),IF($G32=Home!$E$7,"Fits Current Energy",""),"No Blockers")))</f>
        <v/>
      </c>
      <c r="P32" s="5">
        <f>IF($D32="","",SWITCH('Task Finder'!$C$6,"High Priority",AND($F32="High",$E32&lt;&gt;"Done",$E32&lt;&gt;"Archive"),"Due This Week",AND($I32&lt;&gt;"",$I32&gt;=TODAY(),$I32&lt;=TODAY()+7,$E32&lt;&gt;"Done"),"Quick Wins (15 mins or less)",AND($M32&lt;=15,$E32&lt;&gt;"Done",$E32&lt;&gt;"Blocked"),"Deep Thinking",AND($G32="Deep Thinking",$E32&lt;&gt;"Done"),"Processing",AND($G32="Processing",$E32&lt;&gt;"Done"),"Blocked",$E32="Blocked","Waiting",$E32="Waiting","Recently Updated",AND($L32&lt;&gt;"",$L32&gt;=TODAY()-7),TRUE))</f>
        <v/>
      </c>
    </row>
    <row r="33">
      <c r="A33" s="19" t="n"/>
      <c r="B33" s="19" t="n"/>
      <c r="C33" s="19" t="n"/>
      <c r="D33" s="19" t="n"/>
      <c r="E33" s="19" t="n"/>
      <c r="F33" s="19" t="n"/>
      <c r="G33" s="19" t="n"/>
      <c r="H33" s="19" t="n"/>
      <c r="I33" s="19" t="n"/>
      <c r="J33" s="19" t="n"/>
      <c r="K33" s="19" t="n"/>
      <c r="L33" s="35" t="n"/>
      <c r="M33" s="5">
        <f>IF($D33="","",IFERROR(VLOOKUP($H33,Lists!$N$2:$O$6,2,FALSE),0))</f>
        <v/>
      </c>
      <c r="N33" s="5">
        <f>IF($D33="","",IF(OR($E33="Blocked",$E33="Done",$E33="Archive"),-9999,IF(AND($E33="Waiting",SUMPRODUCT((($E$5:$E$200="Next")+($E$5:$E$200="In Progress")+($E$5:$E$200="Captured"))*($D$5:$D$200&lt;&gt;""))&gt;0),-500,VLOOKUP($F33,Lists!$L$2:$M$4,2,FALSE)+IF($E33="In Progress",10,0)+IF(AND($I33&lt;&gt;"",$I33&lt;TODAY()),25,0)+IF(AND($I33&lt;&gt;"",$I33&gt;=TODAY(),$I33&lt;=TODAY()+7),15,0)+IF($M33&lt;=VLOOKUP(Home!$C$7,Lists!$N$2:$O$6,2,FALSE),20,-10)+IF($G33=Home!$E$7,15,IF(Home!$E$7="",0,-5))-ROW()/100000)))</f>
        <v/>
      </c>
      <c r="O33" s="5">
        <f>IF($D33="","",IF($N33&lt;=-500,"Not recommended right now",TEXTJOIN(" • ",TRUE,IF($F33="High","High Priority",""),IF(AND($I33&lt;&gt;"",$I33&lt;TODAY()),"Overdue",""),IF(AND($I33&lt;&gt;"",$I33&gt;=TODAY(),$I33&lt;=TODAY()+7),"Due This Week",""),IF($M33&lt;=VLOOKUP(Home!$C$7,Lists!$N$2:$O$6,2,FALSE),$H33&amp;" Task",""),IF($G33=Home!$E$7,"Fits Current Energy",""),"No Blockers")))</f>
        <v/>
      </c>
      <c r="P33" s="5">
        <f>IF($D33="","",SWITCH('Task Finder'!$C$6,"High Priority",AND($F33="High",$E33&lt;&gt;"Done",$E33&lt;&gt;"Archive"),"Due This Week",AND($I33&lt;&gt;"",$I33&gt;=TODAY(),$I33&lt;=TODAY()+7,$E33&lt;&gt;"Done"),"Quick Wins (15 mins or less)",AND($M33&lt;=15,$E33&lt;&gt;"Done",$E33&lt;&gt;"Blocked"),"Deep Thinking",AND($G33="Deep Thinking",$E33&lt;&gt;"Done"),"Processing",AND($G33="Processing",$E33&lt;&gt;"Done"),"Blocked",$E33="Blocked","Waiting",$E33="Waiting","Recently Updated",AND($L33&lt;&gt;"",$L33&gt;=TODAY()-7),TRUE))</f>
        <v/>
      </c>
    </row>
    <row r="34">
      <c r="A34" s="19" t="n"/>
      <c r="B34" s="19" t="n"/>
      <c r="C34" s="19" t="n"/>
      <c r="D34" s="19" t="n"/>
      <c r="E34" s="19" t="n"/>
      <c r="F34" s="19" t="n"/>
      <c r="G34" s="19" t="n"/>
      <c r="H34" s="19" t="n"/>
      <c r="I34" s="19" t="n"/>
      <c r="J34" s="19" t="n"/>
      <c r="K34" s="19" t="n"/>
      <c r="L34" s="35" t="n"/>
      <c r="M34" s="5">
        <f>IF($D34="","",IFERROR(VLOOKUP($H34,Lists!$N$2:$O$6,2,FALSE),0))</f>
        <v/>
      </c>
      <c r="N34" s="5">
        <f>IF($D34="","",IF(OR($E34="Blocked",$E34="Done",$E34="Archive"),-9999,IF(AND($E34="Waiting",SUMPRODUCT((($E$5:$E$200="Next")+($E$5:$E$200="In Progress")+($E$5:$E$200="Captured"))*($D$5:$D$200&lt;&gt;""))&gt;0),-500,VLOOKUP($F34,Lists!$L$2:$M$4,2,FALSE)+IF($E34="In Progress",10,0)+IF(AND($I34&lt;&gt;"",$I34&lt;TODAY()),25,0)+IF(AND($I34&lt;&gt;"",$I34&gt;=TODAY(),$I34&lt;=TODAY()+7),15,0)+IF($M34&lt;=VLOOKUP(Home!$C$7,Lists!$N$2:$O$6,2,FALSE),20,-10)+IF($G34=Home!$E$7,15,IF(Home!$E$7="",0,-5))-ROW()/100000)))</f>
        <v/>
      </c>
      <c r="O34" s="5">
        <f>IF($D34="","",IF($N34&lt;=-500,"Not recommended right now",TEXTJOIN(" • ",TRUE,IF($F34="High","High Priority",""),IF(AND($I34&lt;&gt;"",$I34&lt;TODAY()),"Overdue",""),IF(AND($I34&lt;&gt;"",$I34&gt;=TODAY(),$I34&lt;=TODAY()+7),"Due This Week",""),IF($M34&lt;=VLOOKUP(Home!$C$7,Lists!$N$2:$O$6,2,FALSE),$H34&amp;" Task",""),IF($G34=Home!$E$7,"Fits Current Energy",""),"No Blockers")))</f>
        <v/>
      </c>
      <c r="P34" s="5">
        <f>IF($D34="","",SWITCH('Task Finder'!$C$6,"High Priority",AND($F34="High",$E34&lt;&gt;"Done",$E34&lt;&gt;"Archive"),"Due This Week",AND($I34&lt;&gt;"",$I34&gt;=TODAY(),$I34&lt;=TODAY()+7,$E34&lt;&gt;"Done"),"Quick Wins (15 mins or less)",AND($M34&lt;=15,$E34&lt;&gt;"Done",$E34&lt;&gt;"Blocked"),"Deep Thinking",AND($G34="Deep Thinking",$E34&lt;&gt;"Done"),"Processing",AND($G34="Processing",$E34&lt;&gt;"Done"),"Blocked",$E34="Blocked","Waiting",$E34="Waiting","Recently Updated",AND($L34&lt;&gt;"",$L34&gt;=TODAY()-7),TRUE))</f>
        <v/>
      </c>
    </row>
    <row r="35">
      <c r="A35" s="19" t="n"/>
      <c r="B35" s="19" t="n"/>
      <c r="C35" s="19" t="n"/>
      <c r="D35" s="19" t="n"/>
      <c r="E35" s="19" t="n"/>
      <c r="F35" s="19" t="n"/>
      <c r="G35" s="19" t="n"/>
      <c r="H35" s="19" t="n"/>
      <c r="I35" s="19" t="n"/>
      <c r="J35" s="19" t="n"/>
      <c r="K35" s="19" t="n"/>
      <c r="L35" s="35" t="n"/>
      <c r="M35" s="5">
        <f>IF($D35="","",IFERROR(VLOOKUP($H35,Lists!$N$2:$O$6,2,FALSE),0))</f>
        <v/>
      </c>
      <c r="N35" s="5">
        <f>IF($D35="","",IF(OR($E35="Blocked",$E35="Done",$E35="Archive"),-9999,IF(AND($E35="Waiting",SUMPRODUCT((($E$5:$E$200="Next")+($E$5:$E$200="In Progress")+($E$5:$E$200="Captured"))*($D$5:$D$200&lt;&gt;""))&gt;0),-500,VLOOKUP($F35,Lists!$L$2:$M$4,2,FALSE)+IF($E35="In Progress",10,0)+IF(AND($I35&lt;&gt;"",$I35&lt;TODAY()),25,0)+IF(AND($I35&lt;&gt;"",$I35&gt;=TODAY(),$I35&lt;=TODAY()+7),15,0)+IF($M35&lt;=VLOOKUP(Home!$C$7,Lists!$N$2:$O$6,2,FALSE),20,-10)+IF($G35=Home!$E$7,15,IF(Home!$E$7="",0,-5))-ROW()/100000)))</f>
        <v/>
      </c>
      <c r="O35" s="5">
        <f>IF($D35="","",IF($N35&lt;=-500,"Not recommended right now",TEXTJOIN(" • ",TRUE,IF($F35="High","High Priority",""),IF(AND($I35&lt;&gt;"",$I35&lt;TODAY()),"Overdue",""),IF(AND($I35&lt;&gt;"",$I35&gt;=TODAY(),$I35&lt;=TODAY()+7),"Due This Week",""),IF($M35&lt;=VLOOKUP(Home!$C$7,Lists!$N$2:$O$6,2,FALSE),$H35&amp;" Task",""),IF($G35=Home!$E$7,"Fits Current Energy",""),"No Blockers")))</f>
        <v/>
      </c>
      <c r="P35" s="5">
        <f>IF($D35="","",SWITCH('Task Finder'!$C$6,"High Priority",AND($F35="High",$E35&lt;&gt;"Done",$E35&lt;&gt;"Archive"),"Due This Week",AND($I35&lt;&gt;"",$I35&gt;=TODAY(),$I35&lt;=TODAY()+7,$E35&lt;&gt;"Done"),"Quick Wins (15 mins or less)",AND($M35&lt;=15,$E35&lt;&gt;"Done",$E35&lt;&gt;"Blocked"),"Deep Thinking",AND($G35="Deep Thinking",$E35&lt;&gt;"Done"),"Processing",AND($G35="Processing",$E35&lt;&gt;"Done"),"Blocked",$E35="Blocked","Waiting",$E35="Waiting","Recently Updated",AND($L35&lt;&gt;"",$L35&gt;=TODAY()-7),TRUE))</f>
        <v/>
      </c>
    </row>
    <row r="36">
      <c r="A36" s="19" t="n"/>
      <c r="B36" s="19" t="n"/>
      <c r="C36" s="19" t="n"/>
      <c r="D36" s="19" t="n"/>
      <c r="E36" s="19" t="n"/>
      <c r="F36" s="19" t="n"/>
      <c r="G36" s="19" t="n"/>
      <c r="H36" s="19" t="n"/>
      <c r="I36" s="19" t="n"/>
      <c r="J36" s="19" t="n"/>
      <c r="K36" s="19" t="n"/>
      <c r="L36" s="35" t="n"/>
      <c r="M36" s="5">
        <f>IF($D36="","",IFERROR(VLOOKUP($H36,Lists!$N$2:$O$6,2,FALSE),0))</f>
        <v/>
      </c>
      <c r="N36" s="5">
        <f>IF($D36="","",IF(OR($E36="Blocked",$E36="Done",$E36="Archive"),-9999,IF(AND($E36="Waiting",SUMPRODUCT((($E$5:$E$200="Next")+($E$5:$E$200="In Progress")+($E$5:$E$200="Captured"))*($D$5:$D$200&lt;&gt;""))&gt;0),-500,VLOOKUP($F36,Lists!$L$2:$M$4,2,FALSE)+IF($E36="In Progress",10,0)+IF(AND($I36&lt;&gt;"",$I36&lt;TODAY()),25,0)+IF(AND($I36&lt;&gt;"",$I36&gt;=TODAY(),$I36&lt;=TODAY()+7),15,0)+IF($M36&lt;=VLOOKUP(Home!$C$7,Lists!$N$2:$O$6,2,FALSE),20,-10)+IF($G36=Home!$E$7,15,IF(Home!$E$7="",0,-5))-ROW()/100000)))</f>
        <v/>
      </c>
      <c r="O36" s="5">
        <f>IF($D36="","",IF($N36&lt;=-500,"Not recommended right now",TEXTJOIN(" • ",TRUE,IF($F36="High","High Priority",""),IF(AND($I36&lt;&gt;"",$I36&lt;TODAY()),"Overdue",""),IF(AND($I36&lt;&gt;"",$I36&gt;=TODAY(),$I36&lt;=TODAY()+7),"Due This Week",""),IF($M36&lt;=VLOOKUP(Home!$C$7,Lists!$N$2:$O$6,2,FALSE),$H36&amp;" Task",""),IF($G36=Home!$E$7,"Fits Current Energy",""),"No Blockers")))</f>
        <v/>
      </c>
      <c r="P36" s="5">
        <f>IF($D36="","",SWITCH('Task Finder'!$C$6,"High Priority",AND($F36="High",$E36&lt;&gt;"Done",$E36&lt;&gt;"Archive"),"Due This Week",AND($I36&lt;&gt;"",$I36&gt;=TODAY(),$I36&lt;=TODAY()+7,$E36&lt;&gt;"Done"),"Quick Wins (15 mins or less)",AND($M36&lt;=15,$E36&lt;&gt;"Done",$E36&lt;&gt;"Blocked"),"Deep Thinking",AND($G36="Deep Thinking",$E36&lt;&gt;"Done"),"Processing",AND($G36="Processing",$E36&lt;&gt;"Done"),"Blocked",$E36="Blocked","Waiting",$E36="Waiting","Recently Updated",AND($L36&lt;&gt;"",$L36&gt;=TODAY()-7),TRUE))</f>
        <v/>
      </c>
    </row>
    <row r="37">
      <c r="A37" s="19" t="n"/>
      <c r="B37" s="19" t="n"/>
      <c r="C37" s="19" t="n"/>
      <c r="D37" s="19" t="n"/>
      <c r="E37" s="19" t="n"/>
      <c r="F37" s="19" t="n"/>
      <c r="G37" s="19" t="n"/>
      <c r="H37" s="19" t="n"/>
      <c r="I37" s="19" t="n"/>
      <c r="J37" s="19" t="n"/>
      <c r="K37" s="19" t="n"/>
      <c r="L37" s="35" t="n"/>
      <c r="M37" s="5">
        <f>IF($D37="","",IFERROR(VLOOKUP($H37,Lists!$N$2:$O$6,2,FALSE),0))</f>
        <v/>
      </c>
      <c r="N37" s="5">
        <f>IF($D37="","",IF(OR($E37="Blocked",$E37="Done",$E37="Archive"),-9999,IF(AND($E37="Waiting",SUMPRODUCT((($E$5:$E$200="Next")+($E$5:$E$200="In Progress")+($E$5:$E$200="Captured"))*($D$5:$D$200&lt;&gt;""))&gt;0),-500,VLOOKUP($F37,Lists!$L$2:$M$4,2,FALSE)+IF($E37="In Progress",10,0)+IF(AND($I37&lt;&gt;"",$I37&lt;TODAY()),25,0)+IF(AND($I37&lt;&gt;"",$I37&gt;=TODAY(),$I37&lt;=TODAY()+7),15,0)+IF($M37&lt;=VLOOKUP(Home!$C$7,Lists!$N$2:$O$6,2,FALSE),20,-10)+IF($G37=Home!$E$7,15,IF(Home!$E$7="",0,-5))-ROW()/100000)))</f>
        <v/>
      </c>
      <c r="O37" s="5">
        <f>IF($D37="","",IF($N37&lt;=-500,"Not recommended right now",TEXTJOIN(" • ",TRUE,IF($F37="High","High Priority",""),IF(AND($I37&lt;&gt;"",$I37&lt;TODAY()),"Overdue",""),IF(AND($I37&lt;&gt;"",$I37&gt;=TODAY(),$I37&lt;=TODAY()+7),"Due This Week",""),IF($M37&lt;=VLOOKUP(Home!$C$7,Lists!$N$2:$O$6,2,FALSE),$H37&amp;" Task",""),IF($G37=Home!$E$7,"Fits Current Energy",""),"No Blockers")))</f>
        <v/>
      </c>
      <c r="P37" s="5">
        <f>IF($D37="","",SWITCH('Task Finder'!$C$6,"High Priority",AND($F37="High",$E37&lt;&gt;"Done",$E37&lt;&gt;"Archive"),"Due This Week",AND($I37&lt;&gt;"",$I37&gt;=TODAY(),$I37&lt;=TODAY()+7,$E37&lt;&gt;"Done"),"Quick Wins (15 mins or less)",AND($M37&lt;=15,$E37&lt;&gt;"Done",$E37&lt;&gt;"Blocked"),"Deep Thinking",AND($G37="Deep Thinking",$E37&lt;&gt;"Done"),"Processing",AND($G37="Processing",$E37&lt;&gt;"Done"),"Blocked",$E37="Blocked","Waiting",$E37="Waiting","Recently Updated",AND($L37&lt;&gt;"",$L37&gt;=TODAY()-7),TRUE))</f>
        <v/>
      </c>
    </row>
    <row r="38">
      <c r="A38" s="19" t="n"/>
      <c r="B38" s="19" t="n"/>
      <c r="C38" s="19" t="n"/>
      <c r="D38" s="19" t="n"/>
      <c r="E38" s="19" t="n"/>
      <c r="F38" s="19" t="n"/>
      <c r="G38" s="19" t="n"/>
      <c r="H38" s="19" t="n"/>
      <c r="I38" s="19" t="n"/>
      <c r="J38" s="19" t="n"/>
      <c r="K38" s="19" t="n"/>
      <c r="L38" s="35" t="n"/>
      <c r="M38" s="5">
        <f>IF($D38="","",IFERROR(VLOOKUP($H38,Lists!$N$2:$O$6,2,FALSE),0))</f>
        <v/>
      </c>
      <c r="N38" s="5">
        <f>IF($D38="","",IF(OR($E38="Blocked",$E38="Done",$E38="Archive"),-9999,IF(AND($E38="Waiting",SUMPRODUCT((($E$5:$E$200="Next")+($E$5:$E$200="In Progress")+($E$5:$E$200="Captured"))*($D$5:$D$200&lt;&gt;""))&gt;0),-500,VLOOKUP($F38,Lists!$L$2:$M$4,2,FALSE)+IF($E38="In Progress",10,0)+IF(AND($I38&lt;&gt;"",$I38&lt;TODAY()),25,0)+IF(AND($I38&lt;&gt;"",$I38&gt;=TODAY(),$I38&lt;=TODAY()+7),15,0)+IF($M38&lt;=VLOOKUP(Home!$C$7,Lists!$N$2:$O$6,2,FALSE),20,-10)+IF($G38=Home!$E$7,15,IF(Home!$E$7="",0,-5))-ROW()/100000)))</f>
        <v/>
      </c>
      <c r="O38" s="5">
        <f>IF($D38="","",IF($N38&lt;=-500,"Not recommended right now",TEXTJOIN(" • ",TRUE,IF($F38="High","High Priority",""),IF(AND($I38&lt;&gt;"",$I38&lt;TODAY()),"Overdue",""),IF(AND($I38&lt;&gt;"",$I38&gt;=TODAY(),$I38&lt;=TODAY()+7),"Due This Week",""),IF($M38&lt;=VLOOKUP(Home!$C$7,Lists!$N$2:$O$6,2,FALSE),$H38&amp;" Task",""),IF($G38=Home!$E$7,"Fits Current Energy",""),"No Blockers")))</f>
        <v/>
      </c>
      <c r="P38" s="5">
        <f>IF($D38="","",SWITCH('Task Finder'!$C$6,"High Priority",AND($F38="High",$E38&lt;&gt;"Done",$E38&lt;&gt;"Archive"),"Due This Week",AND($I38&lt;&gt;"",$I38&gt;=TODAY(),$I38&lt;=TODAY()+7,$E38&lt;&gt;"Done"),"Quick Wins (15 mins or less)",AND($M38&lt;=15,$E38&lt;&gt;"Done",$E38&lt;&gt;"Blocked"),"Deep Thinking",AND($G38="Deep Thinking",$E38&lt;&gt;"Done"),"Processing",AND($G38="Processing",$E38&lt;&gt;"Done"),"Blocked",$E38="Blocked","Waiting",$E38="Waiting","Recently Updated",AND($L38&lt;&gt;"",$L38&gt;=TODAY()-7),TRUE))</f>
        <v/>
      </c>
    </row>
    <row r="39">
      <c r="A39" s="19" t="n"/>
      <c r="B39" s="19" t="n"/>
      <c r="C39" s="19" t="n"/>
      <c r="D39" s="19" t="n"/>
      <c r="E39" s="19" t="n"/>
      <c r="F39" s="19" t="n"/>
      <c r="G39" s="19" t="n"/>
      <c r="H39" s="19" t="n"/>
      <c r="I39" s="19" t="n"/>
      <c r="J39" s="19" t="n"/>
      <c r="K39" s="19" t="n"/>
      <c r="L39" s="35" t="n"/>
      <c r="M39" s="5">
        <f>IF($D39="","",IFERROR(VLOOKUP($H39,Lists!$N$2:$O$6,2,FALSE),0))</f>
        <v/>
      </c>
      <c r="N39" s="5">
        <f>IF($D39="","",IF(OR($E39="Blocked",$E39="Done",$E39="Archive"),-9999,IF(AND($E39="Waiting",SUMPRODUCT((($E$5:$E$200="Next")+($E$5:$E$200="In Progress")+($E$5:$E$200="Captured"))*($D$5:$D$200&lt;&gt;""))&gt;0),-500,VLOOKUP($F39,Lists!$L$2:$M$4,2,FALSE)+IF($E39="In Progress",10,0)+IF(AND($I39&lt;&gt;"",$I39&lt;TODAY()),25,0)+IF(AND($I39&lt;&gt;"",$I39&gt;=TODAY(),$I39&lt;=TODAY()+7),15,0)+IF($M39&lt;=VLOOKUP(Home!$C$7,Lists!$N$2:$O$6,2,FALSE),20,-10)+IF($G39=Home!$E$7,15,IF(Home!$E$7="",0,-5))-ROW()/100000)))</f>
        <v/>
      </c>
      <c r="O39" s="5">
        <f>IF($D39="","",IF($N39&lt;=-500,"Not recommended right now",TEXTJOIN(" • ",TRUE,IF($F39="High","High Priority",""),IF(AND($I39&lt;&gt;"",$I39&lt;TODAY()),"Overdue",""),IF(AND($I39&lt;&gt;"",$I39&gt;=TODAY(),$I39&lt;=TODAY()+7),"Due This Week",""),IF($M39&lt;=VLOOKUP(Home!$C$7,Lists!$N$2:$O$6,2,FALSE),$H39&amp;" Task",""),IF($G39=Home!$E$7,"Fits Current Energy",""),"No Blockers")))</f>
        <v/>
      </c>
      <c r="P39" s="5">
        <f>IF($D39="","",SWITCH('Task Finder'!$C$6,"High Priority",AND($F39="High",$E39&lt;&gt;"Done",$E39&lt;&gt;"Archive"),"Due This Week",AND($I39&lt;&gt;"",$I39&gt;=TODAY(),$I39&lt;=TODAY()+7,$E39&lt;&gt;"Done"),"Quick Wins (15 mins or less)",AND($M39&lt;=15,$E39&lt;&gt;"Done",$E39&lt;&gt;"Blocked"),"Deep Thinking",AND($G39="Deep Thinking",$E39&lt;&gt;"Done"),"Processing",AND($G39="Processing",$E39&lt;&gt;"Done"),"Blocked",$E39="Blocked","Waiting",$E39="Waiting","Recently Updated",AND($L39&lt;&gt;"",$L39&gt;=TODAY()-7),TRUE))</f>
        <v/>
      </c>
    </row>
    <row r="40">
      <c r="A40" s="19" t="n"/>
      <c r="B40" s="19" t="n"/>
      <c r="C40" s="19" t="n"/>
      <c r="D40" s="19" t="n"/>
      <c r="E40" s="19" t="n"/>
      <c r="F40" s="19" t="n"/>
      <c r="G40" s="19" t="n"/>
      <c r="H40" s="19" t="n"/>
      <c r="I40" s="19" t="n"/>
      <c r="J40" s="19" t="n"/>
      <c r="K40" s="19" t="n"/>
      <c r="L40" s="35" t="n"/>
      <c r="M40" s="5">
        <f>IF($D40="","",IFERROR(VLOOKUP($H40,Lists!$N$2:$O$6,2,FALSE),0))</f>
        <v/>
      </c>
      <c r="N40" s="5">
        <f>IF($D40="","",IF(OR($E40="Blocked",$E40="Done",$E40="Archive"),-9999,IF(AND($E40="Waiting",SUMPRODUCT((($E$5:$E$200="Next")+($E$5:$E$200="In Progress")+($E$5:$E$200="Captured"))*($D$5:$D$200&lt;&gt;""))&gt;0),-500,VLOOKUP($F40,Lists!$L$2:$M$4,2,FALSE)+IF($E40="In Progress",10,0)+IF(AND($I40&lt;&gt;"",$I40&lt;TODAY()),25,0)+IF(AND($I40&lt;&gt;"",$I40&gt;=TODAY(),$I40&lt;=TODAY()+7),15,0)+IF($M40&lt;=VLOOKUP(Home!$C$7,Lists!$N$2:$O$6,2,FALSE),20,-10)+IF($G40=Home!$E$7,15,IF(Home!$E$7="",0,-5))-ROW()/100000)))</f>
        <v/>
      </c>
      <c r="O40" s="5">
        <f>IF($D40="","",IF($N40&lt;=-500,"Not recommended right now",TEXTJOIN(" • ",TRUE,IF($F40="High","High Priority",""),IF(AND($I40&lt;&gt;"",$I40&lt;TODAY()),"Overdue",""),IF(AND($I40&lt;&gt;"",$I40&gt;=TODAY(),$I40&lt;=TODAY()+7),"Due This Week",""),IF($M40&lt;=VLOOKUP(Home!$C$7,Lists!$N$2:$O$6,2,FALSE),$H40&amp;" Task",""),IF($G40=Home!$E$7,"Fits Current Energy",""),"No Blockers")))</f>
        <v/>
      </c>
      <c r="P40" s="5">
        <f>IF($D40="","",SWITCH('Task Finder'!$C$6,"High Priority",AND($F40="High",$E40&lt;&gt;"Done",$E40&lt;&gt;"Archive"),"Due This Week",AND($I40&lt;&gt;"",$I40&gt;=TODAY(),$I40&lt;=TODAY()+7,$E40&lt;&gt;"Done"),"Quick Wins (15 mins or less)",AND($M40&lt;=15,$E40&lt;&gt;"Done",$E40&lt;&gt;"Blocked"),"Deep Thinking",AND($G40="Deep Thinking",$E40&lt;&gt;"Done"),"Processing",AND($G40="Processing",$E40&lt;&gt;"Done"),"Blocked",$E40="Blocked","Waiting",$E40="Waiting","Recently Updated",AND($L40&lt;&gt;"",$L40&gt;=TODAY()-7),TRUE))</f>
        <v/>
      </c>
    </row>
    <row r="41">
      <c r="A41" s="19" t="n"/>
      <c r="B41" s="19" t="n"/>
      <c r="C41" s="19" t="n"/>
      <c r="D41" s="19" t="n"/>
      <c r="E41" s="19" t="n"/>
      <c r="F41" s="19" t="n"/>
      <c r="G41" s="19" t="n"/>
      <c r="H41" s="19" t="n"/>
      <c r="I41" s="19" t="n"/>
      <c r="J41" s="19" t="n"/>
      <c r="K41" s="19" t="n"/>
      <c r="L41" s="35" t="n"/>
      <c r="M41" s="5">
        <f>IF($D41="","",IFERROR(VLOOKUP($H41,Lists!$N$2:$O$6,2,FALSE),0))</f>
        <v/>
      </c>
      <c r="N41" s="5">
        <f>IF($D41="","",IF(OR($E41="Blocked",$E41="Done",$E41="Archive"),-9999,IF(AND($E41="Waiting",SUMPRODUCT((($E$5:$E$200="Next")+($E$5:$E$200="In Progress")+($E$5:$E$200="Captured"))*($D$5:$D$200&lt;&gt;""))&gt;0),-500,VLOOKUP($F41,Lists!$L$2:$M$4,2,FALSE)+IF($E41="In Progress",10,0)+IF(AND($I41&lt;&gt;"",$I41&lt;TODAY()),25,0)+IF(AND($I41&lt;&gt;"",$I41&gt;=TODAY(),$I41&lt;=TODAY()+7),15,0)+IF($M41&lt;=VLOOKUP(Home!$C$7,Lists!$N$2:$O$6,2,FALSE),20,-10)+IF($G41=Home!$E$7,15,IF(Home!$E$7="",0,-5))-ROW()/100000)))</f>
        <v/>
      </c>
      <c r="O41" s="5">
        <f>IF($D41="","",IF($N41&lt;=-500,"Not recommended right now",TEXTJOIN(" • ",TRUE,IF($F41="High","High Priority",""),IF(AND($I41&lt;&gt;"",$I41&lt;TODAY()),"Overdue",""),IF(AND($I41&lt;&gt;"",$I41&gt;=TODAY(),$I41&lt;=TODAY()+7),"Due This Week",""),IF($M41&lt;=VLOOKUP(Home!$C$7,Lists!$N$2:$O$6,2,FALSE),$H41&amp;" Task",""),IF($G41=Home!$E$7,"Fits Current Energy",""),"No Blockers")))</f>
        <v/>
      </c>
      <c r="P41" s="5">
        <f>IF($D41="","",SWITCH('Task Finder'!$C$6,"High Priority",AND($F41="High",$E41&lt;&gt;"Done",$E41&lt;&gt;"Archive"),"Due This Week",AND($I41&lt;&gt;"",$I41&gt;=TODAY(),$I41&lt;=TODAY()+7,$E41&lt;&gt;"Done"),"Quick Wins (15 mins or less)",AND($M41&lt;=15,$E41&lt;&gt;"Done",$E41&lt;&gt;"Blocked"),"Deep Thinking",AND($G41="Deep Thinking",$E41&lt;&gt;"Done"),"Processing",AND($G41="Processing",$E41&lt;&gt;"Done"),"Blocked",$E41="Blocked","Waiting",$E41="Waiting","Recently Updated",AND($L41&lt;&gt;"",$L41&gt;=TODAY()-7),TRUE))</f>
        <v/>
      </c>
    </row>
    <row r="42">
      <c r="A42" s="19" t="n"/>
      <c r="B42" s="19" t="n"/>
      <c r="C42" s="19" t="n"/>
      <c r="D42" s="19" t="n"/>
      <c r="E42" s="19" t="n"/>
      <c r="F42" s="19" t="n"/>
      <c r="G42" s="19" t="n"/>
      <c r="H42" s="19" t="n"/>
      <c r="I42" s="19" t="n"/>
      <c r="J42" s="19" t="n"/>
      <c r="K42" s="19" t="n"/>
      <c r="L42" s="35" t="n"/>
      <c r="M42" s="5">
        <f>IF($D42="","",IFERROR(VLOOKUP($H42,Lists!$N$2:$O$6,2,FALSE),0))</f>
        <v/>
      </c>
      <c r="N42" s="5">
        <f>IF($D42="","",IF(OR($E42="Blocked",$E42="Done",$E42="Archive"),-9999,IF(AND($E42="Waiting",SUMPRODUCT((($E$5:$E$200="Next")+($E$5:$E$200="In Progress")+($E$5:$E$200="Captured"))*($D$5:$D$200&lt;&gt;""))&gt;0),-500,VLOOKUP($F42,Lists!$L$2:$M$4,2,FALSE)+IF($E42="In Progress",10,0)+IF(AND($I42&lt;&gt;"",$I42&lt;TODAY()),25,0)+IF(AND($I42&lt;&gt;"",$I42&gt;=TODAY(),$I42&lt;=TODAY()+7),15,0)+IF($M42&lt;=VLOOKUP(Home!$C$7,Lists!$N$2:$O$6,2,FALSE),20,-10)+IF($G42=Home!$E$7,15,IF(Home!$E$7="",0,-5))-ROW()/100000)))</f>
        <v/>
      </c>
      <c r="O42" s="5">
        <f>IF($D42="","",IF($N42&lt;=-500,"Not recommended right now",TEXTJOIN(" • ",TRUE,IF($F42="High","High Priority",""),IF(AND($I42&lt;&gt;"",$I42&lt;TODAY()),"Overdue",""),IF(AND($I42&lt;&gt;"",$I42&gt;=TODAY(),$I42&lt;=TODAY()+7),"Due This Week",""),IF($M42&lt;=VLOOKUP(Home!$C$7,Lists!$N$2:$O$6,2,FALSE),$H42&amp;" Task",""),IF($G42=Home!$E$7,"Fits Current Energy",""),"No Blockers")))</f>
        <v/>
      </c>
      <c r="P42" s="5">
        <f>IF($D42="","",SWITCH('Task Finder'!$C$6,"High Priority",AND($F42="High",$E42&lt;&gt;"Done",$E42&lt;&gt;"Archive"),"Due This Week",AND($I42&lt;&gt;"",$I42&gt;=TODAY(),$I42&lt;=TODAY()+7,$E42&lt;&gt;"Done"),"Quick Wins (15 mins or less)",AND($M42&lt;=15,$E42&lt;&gt;"Done",$E42&lt;&gt;"Blocked"),"Deep Thinking",AND($G42="Deep Thinking",$E42&lt;&gt;"Done"),"Processing",AND($G42="Processing",$E42&lt;&gt;"Done"),"Blocked",$E42="Blocked","Waiting",$E42="Waiting","Recently Updated",AND($L42&lt;&gt;"",$L42&gt;=TODAY()-7),TRUE))</f>
        <v/>
      </c>
    </row>
    <row r="43">
      <c r="A43" s="19" t="n"/>
      <c r="B43" s="19" t="n"/>
      <c r="C43" s="19" t="n"/>
      <c r="D43" s="19" t="n"/>
      <c r="E43" s="19" t="n"/>
      <c r="F43" s="19" t="n"/>
      <c r="G43" s="19" t="n"/>
      <c r="H43" s="19" t="n"/>
      <c r="I43" s="19" t="n"/>
      <c r="J43" s="19" t="n"/>
      <c r="K43" s="19" t="n"/>
      <c r="L43" s="35" t="n"/>
      <c r="M43" s="5">
        <f>IF($D43="","",IFERROR(VLOOKUP($H43,Lists!$N$2:$O$6,2,FALSE),0))</f>
        <v/>
      </c>
      <c r="N43" s="5">
        <f>IF($D43="","",IF(OR($E43="Blocked",$E43="Done",$E43="Archive"),-9999,IF(AND($E43="Waiting",SUMPRODUCT((($E$5:$E$200="Next")+($E$5:$E$200="In Progress")+($E$5:$E$200="Captured"))*($D$5:$D$200&lt;&gt;""))&gt;0),-500,VLOOKUP($F43,Lists!$L$2:$M$4,2,FALSE)+IF($E43="In Progress",10,0)+IF(AND($I43&lt;&gt;"",$I43&lt;TODAY()),25,0)+IF(AND($I43&lt;&gt;"",$I43&gt;=TODAY(),$I43&lt;=TODAY()+7),15,0)+IF($M43&lt;=VLOOKUP(Home!$C$7,Lists!$N$2:$O$6,2,FALSE),20,-10)+IF($G43=Home!$E$7,15,IF(Home!$E$7="",0,-5))-ROW()/100000)))</f>
        <v/>
      </c>
      <c r="O43" s="5">
        <f>IF($D43="","",IF($N43&lt;=-500,"Not recommended right now",TEXTJOIN(" • ",TRUE,IF($F43="High","High Priority",""),IF(AND($I43&lt;&gt;"",$I43&lt;TODAY()),"Overdue",""),IF(AND($I43&lt;&gt;"",$I43&gt;=TODAY(),$I43&lt;=TODAY()+7),"Due This Week",""),IF($M43&lt;=VLOOKUP(Home!$C$7,Lists!$N$2:$O$6,2,FALSE),$H43&amp;" Task",""),IF($G43=Home!$E$7,"Fits Current Energy",""),"No Blockers")))</f>
        <v/>
      </c>
      <c r="P43" s="5">
        <f>IF($D43="","",SWITCH('Task Finder'!$C$6,"High Priority",AND($F43="High",$E43&lt;&gt;"Done",$E43&lt;&gt;"Archive"),"Due This Week",AND($I43&lt;&gt;"",$I43&gt;=TODAY(),$I43&lt;=TODAY()+7,$E43&lt;&gt;"Done"),"Quick Wins (15 mins or less)",AND($M43&lt;=15,$E43&lt;&gt;"Done",$E43&lt;&gt;"Blocked"),"Deep Thinking",AND($G43="Deep Thinking",$E43&lt;&gt;"Done"),"Processing",AND($G43="Processing",$E43&lt;&gt;"Done"),"Blocked",$E43="Blocked","Waiting",$E43="Waiting","Recently Updated",AND($L43&lt;&gt;"",$L43&gt;=TODAY()-7),TRUE))</f>
        <v/>
      </c>
    </row>
    <row r="44">
      <c r="A44" s="19" t="n"/>
      <c r="B44" s="19" t="n"/>
      <c r="C44" s="19" t="n"/>
      <c r="D44" s="19" t="n"/>
      <c r="E44" s="19" t="n"/>
      <c r="F44" s="19" t="n"/>
      <c r="G44" s="19" t="n"/>
      <c r="H44" s="19" t="n"/>
      <c r="I44" s="19" t="n"/>
      <c r="J44" s="19" t="n"/>
      <c r="K44" s="19" t="n"/>
      <c r="L44" s="35" t="n"/>
      <c r="M44" s="5">
        <f>IF($D44="","",IFERROR(VLOOKUP($H44,Lists!$N$2:$O$6,2,FALSE),0))</f>
        <v/>
      </c>
      <c r="N44" s="5">
        <f>IF($D44="","",IF(OR($E44="Blocked",$E44="Done",$E44="Archive"),-9999,IF(AND($E44="Waiting",SUMPRODUCT((($E$5:$E$200="Next")+($E$5:$E$200="In Progress")+($E$5:$E$200="Captured"))*($D$5:$D$200&lt;&gt;""))&gt;0),-500,VLOOKUP($F44,Lists!$L$2:$M$4,2,FALSE)+IF($E44="In Progress",10,0)+IF(AND($I44&lt;&gt;"",$I44&lt;TODAY()),25,0)+IF(AND($I44&lt;&gt;"",$I44&gt;=TODAY(),$I44&lt;=TODAY()+7),15,0)+IF($M44&lt;=VLOOKUP(Home!$C$7,Lists!$N$2:$O$6,2,FALSE),20,-10)+IF($G44=Home!$E$7,15,IF(Home!$E$7="",0,-5))-ROW()/100000)))</f>
        <v/>
      </c>
      <c r="O44" s="5">
        <f>IF($D44="","",IF($N44&lt;=-500,"Not recommended right now",TEXTJOIN(" • ",TRUE,IF($F44="High","High Priority",""),IF(AND($I44&lt;&gt;"",$I44&lt;TODAY()),"Overdue",""),IF(AND($I44&lt;&gt;"",$I44&gt;=TODAY(),$I44&lt;=TODAY()+7),"Due This Week",""),IF($M44&lt;=VLOOKUP(Home!$C$7,Lists!$N$2:$O$6,2,FALSE),$H44&amp;" Task",""),IF($G44=Home!$E$7,"Fits Current Energy",""),"No Blockers")))</f>
        <v/>
      </c>
      <c r="P44" s="5">
        <f>IF($D44="","",SWITCH('Task Finder'!$C$6,"High Priority",AND($F44="High",$E44&lt;&gt;"Done",$E44&lt;&gt;"Archive"),"Due This Week",AND($I44&lt;&gt;"",$I44&gt;=TODAY(),$I44&lt;=TODAY()+7,$E44&lt;&gt;"Done"),"Quick Wins (15 mins or less)",AND($M44&lt;=15,$E44&lt;&gt;"Done",$E44&lt;&gt;"Blocked"),"Deep Thinking",AND($G44="Deep Thinking",$E44&lt;&gt;"Done"),"Processing",AND($G44="Processing",$E44&lt;&gt;"Done"),"Blocked",$E44="Blocked","Waiting",$E44="Waiting","Recently Updated",AND($L44&lt;&gt;"",$L44&gt;=TODAY()-7),TRUE))</f>
        <v/>
      </c>
    </row>
    <row r="45">
      <c r="A45" s="19" t="n"/>
      <c r="B45" s="19" t="n"/>
      <c r="C45" s="19" t="n"/>
      <c r="D45" s="19" t="n"/>
      <c r="E45" s="19" t="n"/>
      <c r="F45" s="19" t="n"/>
      <c r="G45" s="19" t="n"/>
      <c r="H45" s="19" t="n"/>
      <c r="I45" s="19" t="n"/>
      <c r="J45" s="19" t="n"/>
      <c r="K45" s="19" t="n"/>
      <c r="L45" s="35" t="n"/>
      <c r="M45" s="5">
        <f>IF($D45="","",IFERROR(VLOOKUP($H45,Lists!$N$2:$O$6,2,FALSE),0))</f>
        <v/>
      </c>
      <c r="N45" s="5">
        <f>IF($D45="","",IF(OR($E45="Blocked",$E45="Done",$E45="Archive"),-9999,IF(AND($E45="Waiting",SUMPRODUCT((($E$5:$E$200="Next")+($E$5:$E$200="In Progress")+($E$5:$E$200="Captured"))*($D$5:$D$200&lt;&gt;""))&gt;0),-500,VLOOKUP($F45,Lists!$L$2:$M$4,2,FALSE)+IF($E45="In Progress",10,0)+IF(AND($I45&lt;&gt;"",$I45&lt;TODAY()),25,0)+IF(AND($I45&lt;&gt;"",$I45&gt;=TODAY(),$I45&lt;=TODAY()+7),15,0)+IF($M45&lt;=VLOOKUP(Home!$C$7,Lists!$N$2:$O$6,2,FALSE),20,-10)+IF($G45=Home!$E$7,15,IF(Home!$E$7="",0,-5))-ROW()/100000)))</f>
        <v/>
      </c>
      <c r="O45" s="5">
        <f>IF($D45="","",IF($N45&lt;=-500,"Not recommended right now",TEXTJOIN(" • ",TRUE,IF($F45="High","High Priority",""),IF(AND($I45&lt;&gt;"",$I45&lt;TODAY()),"Overdue",""),IF(AND($I45&lt;&gt;"",$I45&gt;=TODAY(),$I45&lt;=TODAY()+7),"Due This Week",""),IF($M45&lt;=VLOOKUP(Home!$C$7,Lists!$N$2:$O$6,2,FALSE),$H45&amp;" Task",""),IF($G45=Home!$E$7,"Fits Current Energy",""),"No Blockers")))</f>
        <v/>
      </c>
      <c r="P45" s="5">
        <f>IF($D45="","",SWITCH('Task Finder'!$C$6,"High Priority",AND($F45="High",$E45&lt;&gt;"Done",$E45&lt;&gt;"Archive"),"Due This Week",AND($I45&lt;&gt;"",$I45&gt;=TODAY(),$I45&lt;=TODAY()+7,$E45&lt;&gt;"Done"),"Quick Wins (15 mins or less)",AND($M45&lt;=15,$E45&lt;&gt;"Done",$E45&lt;&gt;"Blocked"),"Deep Thinking",AND($G45="Deep Thinking",$E45&lt;&gt;"Done"),"Processing",AND($G45="Processing",$E45&lt;&gt;"Done"),"Blocked",$E45="Blocked","Waiting",$E45="Waiting","Recently Updated",AND($L45&lt;&gt;"",$L45&gt;=TODAY()-7),TRUE))</f>
        <v/>
      </c>
    </row>
    <row r="46">
      <c r="A46" s="19" t="n"/>
      <c r="B46" s="19" t="n"/>
      <c r="C46" s="19" t="n"/>
      <c r="D46" s="19" t="n"/>
      <c r="E46" s="19" t="n"/>
      <c r="F46" s="19" t="n"/>
      <c r="G46" s="19" t="n"/>
      <c r="H46" s="19" t="n"/>
      <c r="I46" s="19" t="n"/>
      <c r="J46" s="19" t="n"/>
      <c r="K46" s="19" t="n"/>
      <c r="L46" s="35" t="n"/>
      <c r="M46" s="5">
        <f>IF($D46="","",IFERROR(VLOOKUP($H46,Lists!$N$2:$O$6,2,FALSE),0))</f>
        <v/>
      </c>
      <c r="N46" s="5">
        <f>IF($D46="","",IF(OR($E46="Blocked",$E46="Done",$E46="Archive"),-9999,IF(AND($E46="Waiting",SUMPRODUCT((($E$5:$E$200="Next")+($E$5:$E$200="In Progress")+($E$5:$E$200="Captured"))*($D$5:$D$200&lt;&gt;""))&gt;0),-500,VLOOKUP($F46,Lists!$L$2:$M$4,2,FALSE)+IF($E46="In Progress",10,0)+IF(AND($I46&lt;&gt;"",$I46&lt;TODAY()),25,0)+IF(AND($I46&lt;&gt;"",$I46&gt;=TODAY(),$I46&lt;=TODAY()+7),15,0)+IF($M46&lt;=VLOOKUP(Home!$C$7,Lists!$N$2:$O$6,2,FALSE),20,-10)+IF($G46=Home!$E$7,15,IF(Home!$E$7="",0,-5))-ROW()/100000)))</f>
        <v/>
      </c>
      <c r="O46" s="5">
        <f>IF($D46="","",IF($N46&lt;=-500,"Not recommended right now",TEXTJOIN(" • ",TRUE,IF($F46="High","High Priority",""),IF(AND($I46&lt;&gt;"",$I46&lt;TODAY()),"Overdue",""),IF(AND($I46&lt;&gt;"",$I46&gt;=TODAY(),$I46&lt;=TODAY()+7),"Due This Week",""),IF($M46&lt;=VLOOKUP(Home!$C$7,Lists!$N$2:$O$6,2,FALSE),$H46&amp;" Task",""),IF($G46=Home!$E$7,"Fits Current Energy",""),"No Blockers")))</f>
        <v/>
      </c>
      <c r="P46" s="5">
        <f>IF($D46="","",SWITCH('Task Finder'!$C$6,"High Priority",AND($F46="High",$E46&lt;&gt;"Done",$E46&lt;&gt;"Archive"),"Due This Week",AND($I46&lt;&gt;"",$I46&gt;=TODAY(),$I46&lt;=TODAY()+7,$E46&lt;&gt;"Done"),"Quick Wins (15 mins or less)",AND($M46&lt;=15,$E46&lt;&gt;"Done",$E46&lt;&gt;"Blocked"),"Deep Thinking",AND($G46="Deep Thinking",$E46&lt;&gt;"Done"),"Processing",AND($G46="Processing",$E46&lt;&gt;"Done"),"Blocked",$E46="Blocked","Waiting",$E46="Waiting","Recently Updated",AND($L46&lt;&gt;"",$L46&gt;=TODAY()-7),TRUE))</f>
        <v/>
      </c>
    </row>
    <row r="47">
      <c r="A47" s="19" t="n"/>
      <c r="B47" s="19" t="n"/>
      <c r="C47" s="19" t="n"/>
      <c r="D47" s="19" t="n"/>
      <c r="E47" s="19" t="n"/>
      <c r="F47" s="19" t="n"/>
      <c r="G47" s="19" t="n"/>
      <c r="H47" s="19" t="n"/>
      <c r="I47" s="19" t="n"/>
      <c r="J47" s="19" t="n"/>
      <c r="K47" s="19" t="n"/>
      <c r="L47" s="35" t="n"/>
      <c r="M47" s="5">
        <f>IF($D47="","",IFERROR(VLOOKUP($H47,Lists!$N$2:$O$6,2,FALSE),0))</f>
        <v/>
      </c>
      <c r="N47" s="5">
        <f>IF($D47="","",IF(OR($E47="Blocked",$E47="Done",$E47="Archive"),-9999,IF(AND($E47="Waiting",SUMPRODUCT((($E$5:$E$200="Next")+($E$5:$E$200="In Progress")+($E$5:$E$200="Captured"))*($D$5:$D$200&lt;&gt;""))&gt;0),-500,VLOOKUP($F47,Lists!$L$2:$M$4,2,FALSE)+IF($E47="In Progress",10,0)+IF(AND($I47&lt;&gt;"",$I47&lt;TODAY()),25,0)+IF(AND($I47&lt;&gt;"",$I47&gt;=TODAY(),$I47&lt;=TODAY()+7),15,0)+IF($M47&lt;=VLOOKUP(Home!$C$7,Lists!$N$2:$O$6,2,FALSE),20,-10)+IF($G47=Home!$E$7,15,IF(Home!$E$7="",0,-5))-ROW()/100000)))</f>
        <v/>
      </c>
      <c r="O47" s="5">
        <f>IF($D47="","",IF($N47&lt;=-500,"Not recommended right now",TEXTJOIN(" • ",TRUE,IF($F47="High","High Priority",""),IF(AND($I47&lt;&gt;"",$I47&lt;TODAY()),"Overdue",""),IF(AND($I47&lt;&gt;"",$I47&gt;=TODAY(),$I47&lt;=TODAY()+7),"Due This Week",""),IF($M47&lt;=VLOOKUP(Home!$C$7,Lists!$N$2:$O$6,2,FALSE),$H47&amp;" Task",""),IF($G47=Home!$E$7,"Fits Current Energy",""),"No Blockers")))</f>
        <v/>
      </c>
      <c r="P47" s="5">
        <f>IF($D47="","",SWITCH('Task Finder'!$C$6,"High Priority",AND($F47="High",$E47&lt;&gt;"Done",$E47&lt;&gt;"Archive"),"Due This Week",AND($I47&lt;&gt;"",$I47&gt;=TODAY(),$I47&lt;=TODAY()+7,$E47&lt;&gt;"Done"),"Quick Wins (15 mins or less)",AND($M47&lt;=15,$E47&lt;&gt;"Done",$E47&lt;&gt;"Blocked"),"Deep Thinking",AND($G47="Deep Thinking",$E47&lt;&gt;"Done"),"Processing",AND($G47="Processing",$E47&lt;&gt;"Done"),"Blocked",$E47="Blocked","Waiting",$E47="Waiting","Recently Updated",AND($L47&lt;&gt;"",$L47&gt;=TODAY()-7),TRUE))</f>
        <v/>
      </c>
    </row>
    <row r="48">
      <c r="A48" s="19" t="n"/>
      <c r="B48" s="19" t="n"/>
      <c r="C48" s="19" t="n"/>
      <c r="D48" s="19" t="n"/>
      <c r="E48" s="19" t="n"/>
      <c r="F48" s="19" t="n"/>
      <c r="G48" s="19" t="n"/>
      <c r="H48" s="19" t="n"/>
      <c r="I48" s="19" t="n"/>
      <c r="J48" s="19" t="n"/>
      <c r="K48" s="19" t="n"/>
      <c r="L48" s="35" t="n"/>
      <c r="M48" s="5">
        <f>IF($D48="","",IFERROR(VLOOKUP($H48,Lists!$N$2:$O$6,2,FALSE),0))</f>
        <v/>
      </c>
      <c r="N48" s="5">
        <f>IF($D48="","",IF(OR($E48="Blocked",$E48="Done",$E48="Archive"),-9999,IF(AND($E48="Waiting",SUMPRODUCT((($E$5:$E$200="Next")+($E$5:$E$200="In Progress")+($E$5:$E$200="Captured"))*($D$5:$D$200&lt;&gt;""))&gt;0),-500,VLOOKUP($F48,Lists!$L$2:$M$4,2,FALSE)+IF($E48="In Progress",10,0)+IF(AND($I48&lt;&gt;"",$I48&lt;TODAY()),25,0)+IF(AND($I48&lt;&gt;"",$I48&gt;=TODAY(),$I48&lt;=TODAY()+7),15,0)+IF($M48&lt;=VLOOKUP(Home!$C$7,Lists!$N$2:$O$6,2,FALSE),20,-10)+IF($G48=Home!$E$7,15,IF(Home!$E$7="",0,-5))-ROW()/100000)))</f>
        <v/>
      </c>
      <c r="O48" s="5">
        <f>IF($D48="","",IF($N48&lt;=-500,"Not recommended right now",TEXTJOIN(" • ",TRUE,IF($F48="High","High Priority",""),IF(AND($I48&lt;&gt;"",$I48&lt;TODAY()),"Overdue",""),IF(AND($I48&lt;&gt;"",$I48&gt;=TODAY(),$I48&lt;=TODAY()+7),"Due This Week",""),IF($M48&lt;=VLOOKUP(Home!$C$7,Lists!$N$2:$O$6,2,FALSE),$H48&amp;" Task",""),IF($G48=Home!$E$7,"Fits Current Energy",""),"No Blockers")))</f>
        <v/>
      </c>
      <c r="P48" s="5">
        <f>IF($D48="","",SWITCH('Task Finder'!$C$6,"High Priority",AND($F48="High",$E48&lt;&gt;"Done",$E48&lt;&gt;"Archive"),"Due This Week",AND($I48&lt;&gt;"",$I48&gt;=TODAY(),$I48&lt;=TODAY()+7,$E48&lt;&gt;"Done"),"Quick Wins (15 mins or less)",AND($M48&lt;=15,$E48&lt;&gt;"Done",$E48&lt;&gt;"Blocked"),"Deep Thinking",AND($G48="Deep Thinking",$E48&lt;&gt;"Done"),"Processing",AND($G48="Processing",$E48&lt;&gt;"Done"),"Blocked",$E48="Blocked","Waiting",$E48="Waiting","Recently Updated",AND($L48&lt;&gt;"",$L48&gt;=TODAY()-7),TRUE))</f>
        <v/>
      </c>
    </row>
    <row r="49">
      <c r="A49" s="19" t="n"/>
      <c r="B49" s="19" t="n"/>
      <c r="C49" s="19" t="n"/>
      <c r="D49" s="19" t="n"/>
      <c r="E49" s="19" t="n"/>
      <c r="F49" s="19" t="n"/>
      <c r="G49" s="19" t="n"/>
      <c r="H49" s="19" t="n"/>
      <c r="I49" s="19" t="n"/>
      <c r="J49" s="19" t="n"/>
      <c r="K49" s="19" t="n"/>
      <c r="L49" s="35" t="n"/>
      <c r="M49" s="5">
        <f>IF($D49="","",IFERROR(VLOOKUP($H49,Lists!$N$2:$O$6,2,FALSE),0))</f>
        <v/>
      </c>
      <c r="N49" s="5">
        <f>IF($D49="","",IF(OR($E49="Blocked",$E49="Done",$E49="Archive"),-9999,IF(AND($E49="Waiting",SUMPRODUCT((($E$5:$E$200="Next")+($E$5:$E$200="In Progress")+($E$5:$E$200="Captured"))*($D$5:$D$200&lt;&gt;""))&gt;0),-500,VLOOKUP($F49,Lists!$L$2:$M$4,2,FALSE)+IF($E49="In Progress",10,0)+IF(AND($I49&lt;&gt;"",$I49&lt;TODAY()),25,0)+IF(AND($I49&lt;&gt;"",$I49&gt;=TODAY(),$I49&lt;=TODAY()+7),15,0)+IF($M49&lt;=VLOOKUP(Home!$C$7,Lists!$N$2:$O$6,2,FALSE),20,-10)+IF($G49=Home!$E$7,15,IF(Home!$E$7="",0,-5))-ROW()/100000)))</f>
        <v/>
      </c>
      <c r="O49" s="5">
        <f>IF($D49="","",IF($N49&lt;=-500,"Not recommended right now",TEXTJOIN(" • ",TRUE,IF($F49="High","High Priority",""),IF(AND($I49&lt;&gt;"",$I49&lt;TODAY()),"Overdue",""),IF(AND($I49&lt;&gt;"",$I49&gt;=TODAY(),$I49&lt;=TODAY()+7),"Due This Week",""),IF($M49&lt;=VLOOKUP(Home!$C$7,Lists!$N$2:$O$6,2,FALSE),$H49&amp;" Task",""),IF($G49=Home!$E$7,"Fits Current Energy",""),"No Blockers")))</f>
        <v/>
      </c>
      <c r="P49" s="5">
        <f>IF($D49="","",SWITCH('Task Finder'!$C$6,"High Priority",AND($F49="High",$E49&lt;&gt;"Done",$E49&lt;&gt;"Archive"),"Due This Week",AND($I49&lt;&gt;"",$I49&gt;=TODAY(),$I49&lt;=TODAY()+7,$E49&lt;&gt;"Done"),"Quick Wins (15 mins or less)",AND($M49&lt;=15,$E49&lt;&gt;"Done",$E49&lt;&gt;"Blocked"),"Deep Thinking",AND($G49="Deep Thinking",$E49&lt;&gt;"Done"),"Processing",AND($G49="Processing",$E49&lt;&gt;"Done"),"Blocked",$E49="Blocked","Waiting",$E49="Waiting","Recently Updated",AND($L49&lt;&gt;"",$L49&gt;=TODAY()-7),TRUE))</f>
        <v/>
      </c>
    </row>
    <row r="50">
      <c r="A50" s="19" t="n"/>
      <c r="B50" s="19" t="n"/>
      <c r="C50" s="19" t="n"/>
      <c r="D50" s="19" t="n"/>
      <c r="E50" s="19" t="n"/>
      <c r="F50" s="19" t="n"/>
      <c r="G50" s="19" t="n"/>
      <c r="H50" s="19" t="n"/>
      <c r="I50" s="19" t="n"/>
      <c r="J50" s="19" t="n"/>
      <c r="K50" s="19" t="n"/>
      <c r="L50" s="35" t="n"/>
      <c r="M50" s="5">
        <f>IF($D50="","",IFERROR(VLOOKUP($H50,Lists!$N$2:$O$6,2,FALSE),0))</f>
        <v/>
      </c>
      <c r="N50" s="5">
        <f>IF($D50="","",IF(OR($E50="Blocked",$E50="Done",$E50="Archive"),-9999,IF(AND($E50="Waiting",SUMPRODUCT((($E$5:$E$200="Next")+($E$5:$E$200="In Progress")+($E$5:$E$200="Captured"))*($D$5:$D$200&lt;&gt;""))&gt;0),-500,VLOOKUP($F50,Lists!$L$2:$M$4,2,FALSE)+IF($E50="In Progress",10,0)+IF(AND($I50&lt;&gt;"",$I50&lt;TODAY()),25,0)+IF(AND($I50&lt;&gt;"",$I50&gt;=TODAY(),$I50&lt;=TODAY()+7),15,0)+IF($M50&lt;=VLOOKUP(Home!$C$7,Lists!$N$2:$O$6,2,FALSE),20,-10)+IF($G50=Home!$E$7,15,IF(Home!$E$7="",0,-5))-ROW()/100000)))</f>
        <v/>
      </c>
      <c r="O50" s="5">
        <f>IF($D50="","",IF($N50&lt;=-500,"Not recommended right now",TEXTJOIN(" • ",TRUE,IF($F50="High","High Priority",""),IF(AND($I50&lt;&gt;"",$I50&lt;TODAY()),"Overdue",""),IF(AND($I50&lt;&gt;"",$I50&gt;=TODAY(),$I50&lt;=TODAY()+7),"Due This Week",""),IF($M50&lt;=VLOOKUP(Home!$C$7,Lists!$N$2:$O$6,2,FALSE),$H50&amp;" Task",""),IF($G50=Home!$E$7,"Fits Current Energy",""),"No Blockers")))</f>
        <v/>
      </c>
      <c r="P50" s="5">
        <f>IF($D50="","",SWITCH('Task Finder'!$C$6,"High Priority",AND($F50="High",$E50&lt;&gt;"Done",$E50&lt;&gt;"Archive"),"Due This Week",AND($I50&lt;&gt;"",$I50&gt;=TODAY(),$I50&lt;=TODAY()+7,$E50&lt;&gt;"Done"),"Quick Wins (15 mins or less)",AND($M50&lt;=15,$E50&lt;&gt;"Done",$E50&lt;&gt;"Blocked"),"Deep Thinking",AND($G50="Deep Thinking",$E50&lt;&gt;"Done"),"Processing",AND($G50="Processing",$E50&lt;&gt;"Done"),"Blocked",$E50="Blocked","Waiting",$E50="Waiting","Recently Updated",AND($L50&lt;&gt;"",$L50&gt;=TODAY()-7),TRUE))</f>
        <v/>
      </c>
    </row>
    <row r="51">
      <c r="A51" s="19" t="n"/>
      <c r="B51" s="19" t="n"/>
      <c r="C51" s="19" t="n"/>
      <c r="D51" s="19" t="n"/>
      <c r="E51" s="19" t="n"/>
      <c r="F51" s="19" t="n"/>
      <c r="G51" s="19" t="n"/>
      <c r="H51" s="19" t="n"/>
      <c r="I51" s="19" t="n"/>
      <c r="J51" s="19" t="n"/>
      <c r="K51" s="19" t="n"/>
      <c r="L51" s="35" t="n"/>
      <c r="M51" s="5">
        <f>IF($D51="","",IFERROR(VLOOKUP($H51,Lists!$N$2:$O$6,2,FALSE),0))</f>
        <v/>
      </c>
      <c r="N51" s="5">
        <f>IF($D51="","",IF(OR($E51="Blocked",$E51="Done",$E51="Archive"),-9999,IF(AND($E51="Waiting",SUMPRODUCT((($E$5:$E$200="Next")+($E$5:$E$200="In Progress")+($E$5:$E$200="Captured"))*($D$5:$D$200&lt;&gt;""))&gt;0),-500,VLOOKUP($F51,Lists!$L$2:$M$4,2,FALSE)+IF($E51="In Progress",10,0)+IF(AND($I51&lt;&gt;"",$I51&lt;TODAY()),25,0)+IF(AND($I51&lt;&gt;"",$I51&gt;=TODAY(),$I51&lt;=TODAY()+7),15,0)+IF($M51&lt;=VLOOKUP(Home!$C$7,Lists!$N$2:$O$6,2,FALSE),20,-10)+IF($G51=Home!$E$7,15,IF(Home!$E$7="",0,-5))-ROW()/100000)))</f>
        <v/>
      </c>
      <c r="O51" s="5">
        <f>IF($D51="","",IF($N51&lt;=-500,"Not recommended right now",TEXTJOIN(" • ",TRUE,IF($F51="High","High Priority",""),IF(AND($I51&lt;&gt;"",$I51&lt;TODAY()),"Overdue",""),IF(AND($I51&lt;&gt;"",$I51&gt;=TODAY(),$I51&lt;=TODAY()+7),"Due This Week",""),IF($M51&lt;=VLOOKUP(Home!$C$7,Lists!$N$2:$O$6,2,FALSE),$H51&amp;" Task",""),IF($G51=Home!$E$7,"Fits Current Energy",""),"No Blockers")))</f>
        <v/>
      </c>
      <c r="P51" s="5">
        <f>IF($D51="","",SWITCH('Task Finder'!$C$6,"High Priority",AND($F51="High",$E51&lt;&gt;"Done",$E51&lt;&gt;"Archive"),"Due This Week",AND($I51&lt;&gt;"",$I51&gt;=TODAY(),$I51&lt;=TODAY()+7,$E51&lt;&gt;"Done"),"Quick Wins (15 mins or less)",AND($M51&lt;=15,$E51&lt;&gt;"Done",$E51&lt;&gt;"Blocked"),"Deep Thinking",AND($G51="Deep Thinking",$E51&lt;&gt;"Done"),"Processing",AND($G51="Processing",$E51&lt;&gt;"Done"),"Blocked",$E51="Blocked","Waiting",$E51="Waiting","Recently Updated",AND($L51&lt;&gt;"",$L51&gt;=TODAY()-7),TRUE))</f>
        <v/>
      </c>
    </row>
    <row r="52">
      <c r="A52" s="19" t="n"/>
      <c r="B52" s="19" t="n"/>
      <c r="C52" s="19" t="n"/>
      <c r="D52" s="19" t="n"/>
      <c r="E52" s="19" t="n"/>
      <c r="F52" s="19" t="n"/>
      <c r="G52" s="19" t="n"/>
      <c r="H52" s="19" t="n"/>
      <c r="I52" s="19" t="n"/>
      <c r="J52" s="19" t="n"/>
      <c r="K52" s="19" t="n"/>
      <c r="L52" s="35" t="n"/>
      <c r="M52" s="5">
        <f>IF($D52="","",IFERROR(VLOOKUP($H52,Lists!$N$2:$O$6,2,FALSE),0))</f>
        <v/>
      </c>
      <c r="N52" s="5">
        <f>IF($D52="","",IF(OR($E52="Blocked",$E52="Done",$E52="Archive"),-9999,IF(AND($E52="Waiting",SUMPRODUCT((($E$5:$E$200="Next")+($E$5:$E$200="In Progress")+($E$5:$E$200="Captured"))*($D$5:$D$200&lt;&gt;""))&gt;0),-500,VLOOKUP($F52,Lists!$L$2:$M$4,2,FALSE)+IF($E52="In Progress",10,0)+IF(AND($I52&lt;&gt;"",$I52&lt;TODAY()),25,0)+IF(AND($I52&lt;&gt;"",$I52&gt;=TODAY(),$I52&lt;=TODAY()+7),15,0)+IF($M52&lt;=VLOOKUP(Home!$C$7,Lists!$N$2:$O$6,2,FALSE),20,-10)+IF($G52=Home!$E$7,15,IF(Home!$E$7="",0,-5))-ROW()/100000)))</f>
        <v/>
      </c>
      <c r="O52" s="5">
        <f>IF($D52="","",IF($N52&lt;=-500,"Not recommended right now",TEXTJOIN(" • ",TRUE,IF($F52="High","High Priority",""),IF(AND($I52&lt;&gt;"",$I52&lt;TODAY()),"Overdue",""),IF(AND($I52&lt;&gt;"",$I52&gt;=TODAY(),$I52&lt;=TODAY()+7),"Due This Week",""),IF($M52&lt;=VLOOKUP(Home!$C$7,Lists!$N$2:$O$6,2,FALSE),$H52&amp;" Task",""),IF($G52=Home!$E$7,"Fits Current Energy",""),"No Blockers")))</f>
        <v/>
      </c>
      <c r="P52" s="5">
        <f>IF($D52="","",SWITCH('Task Finder'!$C$6,"High Priority",AND($F52="High",$E52&lt;&gt;"Done",$E52&lt;&gt;"Archive"),"Due This Week",AND($I52&lt;&gt;"",$I52&gt;=TODAY(),$I52&lt;=TODAY()+7,$E52&lt;&gt;"Done"),"Quick Wins (15 mins or less)",AND($M52&lt;=15,$E52&lt;&gt;"Done",$E52&lt;&gt;"Blocked"),"Deep Thinking",AND($G52="Deep Thinking",$E52&lt;&gt;"Done"),"Processing",AND($G52="Processing",$E52&lt;&gt;"Done"),"Blocked",$E52="Blocked","Waiting",$E52="Waiting","Recently Updated",AND($L52&lt;&gt;"",$L52&gt;=TODAY()-7),TRUE))</f>
        <v/>
      </c>
    </row>
    <row r="53">
      <c r="A53" s="19" t="n"/>
      <c r="B53" s="19" t="n"/>
      <c r="C53" s="19" t="n"/>
      <c r="D53" s="19" t="n"/>
      <c r="E53" s="19" t="n"/>
      <c r="F53" s="19" t="n"/>
      <c r="G53" s="19" t="n"/>
      <c r="H53" s="19" t="n"/>
      <c r="I53" s="19" t="n"/>
      <c r="J53" s="19" t="n"/>
      <c r="K53" s="19" t="n"/>
      <c r="L53" s="35" t="n"/>
      <c r="M53" s="5">
        <f>IF($D53="","",IFERROR(VLOOKUP($H53,Lists!$N$2:$O$6,2,FALSE),0))</f>
        <v/>
      </c>
      <c r="N53" s="5">
        <f>IF($D53="","",IF(OR($E53="Blocked",$E53="Done",$E53="Archive"),-9999,IF(AND($E53="Waiting",SUMPRODUCT((($E$5:$E$200="Next")+($E$5:$E$200="In Progress")+($E$5:$E$200="Captured"))*($D$5:$D$200&lt;&gt;""))&gt;0),-500,VLOOKUP($F53,Lists!$L$2:$M$4,2,FALSE)+IF($E53="In Progress",10,0)+IF(AND($I53&lt;&gt;"",$I53&lt;TODAY()),25,0)+IF(AND($I53&lt;&gt;"",$I53&gt;=TODAY(),$I53&lt;=TODAY()+7),15,0)+IF($M53&lt;=VLOOKUP(Home!$C$7,Lists!$N$2:$O$6,2,FALSE),20,-10)+IF($G53=Home!$E$7,15,IF(Home!$E$7="",0,-5))-ROW()/100000)))</f>
        <v/>
      </c>
      <c r="O53" s="5">
        <f>IF($D53="","",IF($N53&lt;=-500,"Not recommended right now",TEXTJOIN(" • ",TRUE,IF($F53="High","High Priority",""),IF(AND($I53&lt;&gt;"",$I53&lt;TODAY()),"Overdue",""),IF(AND($I53&lt;&gt;"",$I53&gt;=TODAY(),$I53&lt;=TODAY()+7),"Due This Week",""),IF($M53&lt;=VLOOKUP(Home!$C$7,Lists!$N$2:$O$6,2,FALSE),$H53&amp;" Task",""),IF($G53=Home!$E$7,"Fits Current Energy",""),"No Blockers")))</f>
        <v/>
      </c>
      <c r="P53" s="5">
        <f>IF($D53="","",SWITCH('Task Finder'!$C$6,"High Priority",AND($F53="High",$E53&lt;&gt;"Done",$E53&lt;&gt;"Archive"),"Due This Week",AND($I53&lt;&gt;"",$I53&gt;=TODAY(),$I53&lt;=TODAY()+7,$E53&lt;&gt;"Done"),"Quick Wins (15 mins or less)",AND($M53&lt;=15,$E53&lt;&gt;"Done",$E53&lt;&gt;"Blocked"),"Deep Thinking",AND($G53="Deep Thinking",$E53&lt;&gt;"Done"),"Processing",AND($G53="Processing",$E53&lt;&gt;"Done"),"Blocked",$E53="Blocked","Waiting",$E53="Waiting","Recently Updated",AND($L53&lt;&gt;"",$L53&gt;=TODAY()-7),TRUE))</f>
        <v/>
      </c>
    </row>
    <row r="54">
      <c r="A54" s="19" t="n"/>
      <c r="B54" s="19" t="n"/>
      <c r="C54" s="19" t="n"/>
      <c r="D54" s="19" t="n"/>
      <c r="E54" s="19" t="n"/>
      <c r="F54" s="19" t="n"/>
      <c r="G54" s="19" t="n"/>
      <c r="H54" s="19" t="n"/>
      <c r="I54" s="19" t="n"/>
      <c r="J54" s="19" t="n"/>
      <c r="K54" s="19" t="n"/>
      <c r="L54" s="35" t="n"/>
      <c r="M54" s="5">
        <f>IF($D54="","",IFERROR(VLOOKUP($H54,Lists!$N$2:$O$6,2,FALSE),0))</f>
        <v/>
      </c>
      <c r="N54" s="5">
        <f>IF($D54="","",IF(OR($E54="Blocked",$E54="Done",$E54="Archive"),-9999,IF(AND($E54="Waiting",SUMPRODUCT((($E$5:$E$200="Next")+($E$5:$E$200="In Progress")+($E$5:$E$200="Captured"))*($D$5:$D$200&lt;&gt;""))&gt;0),-500,VLOOKUP($F54,Lists!$L$2:$M$4,2,FALSE)+IF($E54="In Progress",10,0)+IF(AND($I54&lt;&gt;"",$I54&lt;TODAY()),25,0)+IF(AND($I54&lt;&gt;"",$I54&gt;=TODAY(),$I54&lt;=TODAY()+7),15,0)+IF($M54&lt;=VLOOKUP(Home!$C$7,Lists!$N$2:$O$6,2,FALSE),20,-10)+IF($G54=Home!$E$7,15,IF(Home!$E$7="",0,-5))-ROW()/100000)))</f>
        <v/>
      </c>
      <c r="O54" s="5">
        <f>IF($D54="","",IF($N54&lt;=-500,"Not recommended right now",TEXTJOIN(" • ",TRUE,IF($F54="High","High Priority",""),IF(AND($I54&lt;&gt;"",$I54&lt;TODAY()),"Overdue",""),IF(AND($I54&lt;&gt;"",$I54&gt;=TODAY(),$I54&lt;=TODAY()+7),"Due This Week",""),IF($M54&lt;=VLOOKUP(Home!$C$7,Lists!$N$2:$O$6,2,FALSE),$H54&amp;" Task",""),IF($G54=Home!$E$7,"Fits Current Energy",""),"No Blockers")))</f>
        <v/>
      </c>
      <c r="P54" s="5">
        <f>IF($D54="","",SWITCH('Task Finder'!$C$6,"High Priority",AND($F54="High",$E54&lt;&gt;"Done",$E54&lt;&gt;"Archive"),"Due This Week",AND($I54&lt;&gt;"",$I54&gt;=TODAY(),$I54&lt;=TODAY()+7,$E54&lt;&gt;"Done"),"Quick Wins (15 mins or less)",AND($M54&lt;=15,$E54&lt;&gt;"Done",$E54&lt;&gt;"Blocked"),"Deep Thinking",AND($G54="Deep Thinking",$E54&lt;&gt;"Done"),"Processing",AND($G54="Processing",$E54&lt;&gt;"Done"),"Blocked",$E54="Blocked","Waiting",$E54="Waiting","Recently Updated",AND($L54&lt;&gt;"",$L54&gt;=TODAY()-7),TRUE))</f>
        <v/>
      </c>
    </row>
    <row r="55">
      <c r="A55" s="19" t="n"/>
      <c r="B55" s="19" t="n"/>
      <c r="C55" s="19" t="n"/>
      <c r="D55" s="19" t="n"/>
      <c r="E55" s="19" t="n"/>
      <c r="F55" s="19" t="n"/>
      <c r="G55" s="19" t="n"/>
      <c r="H55" s="19" t="n"/>
      <c r="I55" s="19" t="n"/>
      <c r="J55" s="19" t="n"/>
      <c r="K55" s="19" t="n"/>
      <c r="L55" s="35" t="n"/>
      <c r="M55" s="5">
        <f>IF($D55="","",IFERROR(VLOOKUP($H55,Lists!$N$2:$O$6,2,FALSE),0))</f>
        <v/>
      </c>
      <c r="N55" s="5">
        <f>IF($D55="","",IF(OR($E55="Blocked",$E55="Done",$E55="Archive"),-9999,IF(AND($E55="Waiting",SUMPRODUCT((($E$5:$E$200="Next")+($E$5:$E$200="In Progress")+($E$5:$E$200="Captured"))*($D$5:$D$200&lt;&gt;""))&gt;0),-500,VLOOKUP($F55,Lists!$L$2:$M$4,2,FALSE)+IF($E55="In Progress",10,0)+IF(AND($I55&lt;&gt;"",$I55&lt;TODAY()),25,0)+IF(AND($I55&lt;&gt;"",$I55&gt;=TODAY(),$I55&lt;=TODAY()+7),15,0)+IF($M55&lt;=VLOOKUP(Home!$C$7,Lists!$N$2:$O$6,2,FALSE),20,-10)+IF($G55=Home!$E$7,15,IF(Home!$E$7="",0,-5))-ROW()/100000)))</f>
        <v/>
      </c>
      <c r="O55" s="5">
        <f>IF($D55="","",IF($N55&lt;=-500,"Not recommended right now",TEXTJOIN(" • ",TRUE,IF($F55="High","High Priority",""),IF(AND($I55&lt;&gt;"",$I55&lt;TODAY()),"Overdue",""),IF(AND($I55&lt;&gt;"",$I55&gt;=TODAY(),$I55&lt;=TODAY()+7),"Due This Week",""),IF($M55&lt;=VLOOKUP(Home!$C$7,Lists!$N$2:$O$6,2,FALSE),$H55&amp;" Task",""),IF($G55=Home!$E$7,"Fits Current Energy",""),"No Blockers")))</f>
        <v/>
      </c>
      <c r="P55" s="5">
        <f>IF($D55="","",SWITCH('Task Finder'!$C$6,"High Priority",AND($F55="High",$E55&lt;&gt;"Done",$E55&lt;&gt;"Archive"),"Due This Week",AND($I55&lt;&gt;"",$I55&gt;=TODAY(),$I55&lt;=TODAY()+7,$E55&lt;&gt;"Done"),"Quick Wins (15 mins or less)",AND($M55&lt;=15,$E55&lt;&gt;"Done",$E55&lt;&gt;"Blocked"),"Deep Thinking",AND($G55="Deep Thinking",$E55&lt;&gt;"Done"),"Processing",AND($G55="Processing",$E55&lt;&gt;"Done"),"Blocked",$E55="Blocked","Waiting",$E55="Waiting","Recently Updated",AND($L55&lt;&gt;"",$L55&gt;=TODAY()-7),TRUE))</f>
        <v/>
      </c>
    </row>
    <row r="56">
      <c r="A56" s="19" t="n"/>
      <c r="B56" s="19" t="n"/>
      <c r="C56" s="19" t="n"/>
      <c r="D56" s="19" t="n"/>
      <c r="E56" s="19" t="n"/>
      <c r="F56" s="19" t="n"/>
      <c r="G56" s="19" t="n"/>
      <c r="H56" s="19" t="n"/>
      <c r="I56" s="19" t="n"/>
      <c r="J56" s="19" t="n"/>
      <c r="K56" s="19" t="n"/>
      <c r="L56" s="35" t="n"/>
      <c r="M56" s="5">
        <f>IF($D56="","",IFERROR(VLOOKUP($H56,Lists!$N$2:$O$6,2,FALSE),0))</f>
        <v/>
      </c>
      <c r="N56" s="5">
        <f>IF($D56="","",IF(OR($E56="Blocked",$E56="Done",$E56="Archive"),-9999,IF(AND($E56="Waiting",SUMPRODUCT((($E$5:$E$200="Next")+($E$5:$E$200="In Progress")+($E$5:$E$200="Captured"))*($D$5:$D$200&lt;&gt;""))&gt;0),-500,VLOOKUP($F56,Lists!$L$2:$M$4,2,FALSE)+IF($E56="In Progress",10,0)+IF(AND($I56&lt;&gt;"",$I56&lt;TODAY()),25,0)+IF(AND($I56&lt;&gt;"",$I56&gt;=TODAY(),$I56&lt;=TODAY()+7),15,0)+IF($M56&lt;=VLOOKUP(Home!$C$7,Lists!$N$2:$O$6,2,FALSE),20,-10)+IF($G56=Home!$E$7,15,IF(Home!$E$7="",0,-5))-ROW()/100000)))</f>
        <v/>
      </c>
      <c r="O56" s="5">
        <f>IF($D56="","",IF($N56&lt;=-500,"Not recommended right now",TEXTJOIN(" • ",TRUE,IF($F56="High","High Priority",""),IF(AND($I56&lt;&gt;"",$I56&lt;TODAY()),"Overdue",""),IF(AND($I56&lt;&gt;"",$I56&gt;=TODAY(),$I56&lt;=TODAY()+7),"Due This Week",""),IF($M56&lt;=VLOOKUP(Home!$C$7,Lists!$N$2:$O$6,2,FALSE),$H56&amp;" Task",""),IF($G56=Home!$E$7,"Fits Current Energy",""),"No Blockers")))</f>
        <v/>
      </c>
      <c r="P56" s="5">
        <f>IF($D56="","",SWITCH('Task Finder'!$C$6,"High Priority",AND($F56="High",$E56&lt;&gt;"Done",$E56&lt;&gt;"Archive"),"Due This Week",AND($I56&lt;&gt;"",$I56&gt;=TODAY(),$I56&lt;=TODAY()+7,$E56&lt;&gt;"Done"),"Quick Wins (15 mins or less)",AND($M56&lt;=15,$E56&lt;&gt;"Done",$E56&lt;&gt;"Blocked"),"Deep Thinking",AND($G56="Deep Thinking",$E56&lt;&gt;"Done"),"Processing",AND($G56="Processing",$E56&lt;&gt;"Done"),"Blocked",$E56="Blocked","Waiting",$E56="Waiting","Recently Updated",AND($L56&lt;&gt;"",$L56&gt;=TODAY()-7),TRUE))</f>
        <v/>
      </c>
    </row>
    <row r="57">
      <c r="A57" s="19" t="n"/>
      <c r="B57" s="19" t="n"/>
      <c r="C57" s="19" t="n"/>
      <c r="D57" s="19" t="n"/>
      <c r="E57" s="19" t="n"/>
      <c r="F57" s="19" t="n"/>
      <c r="G57" s="19" t="n"/>
      <c r="H57" s="19" t="n"/>
      <c r="I57" s="19" t="n"/>
      <c r="J57" s="19" t="n"/>
      <c r="K57" s="19" t="n"/>
      <c r="L57" s="35" t="n"/>
      <c r="M57" s="5">
        <f>IF($D57="","",IFERROR(VLOOKUP($H57,Lists!$N$2:$O$6,2,FALSE),0))</f>
        <v/>
      </c>
      <c r="N57" s="5">
        <f>IF($D57="","",IF(OR($E57="Blocked",$E57="Done",$E57="Archive"),-9999,IF(AND($E57="Waiting",SUMPRODUCT((($E$5:$E$200="Next")+($E$5:$E$200="In Progress")+($E$5:$E$200="Captured"))*($D$5:$D$200&lt;&gt;""))&gt;0),-500,VLOOKUP($F57,Lists!$L$2:$M$4,2,FALSE)+IF($E57="In Progress",10,0)+IF(AND($I57&lt;&gt;"",$I57&lt;TODAY()),25,0)+IF(AND($I57&lt;&gt;"",$I57&gt;=TODAY(),$I57&lt;=TODAY()+7),15,0)+IF($M57&lt;=VLOOKUP(Home!$C$7,Lists!$N$2:$O$6,2,FALSE),20,-10)+IF($G57=Home!$E$7,15,IF(Home!$E$7="",0,-5))-ROW()/100000)))</f>
        <v/>
      </c>
      <c r="O57" s="5">
        <f>IF($D57="","",IF($N57&lt;=-500,"Not recommended right now",TEXTJOIN(" • ",TRUE,IF($F57="High","High Priority",""),IF(AND($I57&lt;&gt;"",$I57&lt;TODAY()),"Overdue",""),IF(AND($I57&lt;&gt;"",$I57&gt;=TODAY(),$I57&lt;=TODAY()+7),"Due This Week",""),IF($M57&lt;=VLOOKUP(Home!$C$7,Lists!$N$2:$O$6,2,FALSE),$H57&amp;" Task",""),IF($G57=Home!$E$7,"Fits Current Energy",""),"No Blockers")))</f>
        <v/>
      </c>
      <c r="P57" s="5">
        <f>IF($D57="","",SWITCH('Task Finder'!$C$6,"High Priority",AND($F57="High",$E57&lt;&gt;"Done",$E57&lt;&gt;"Archive"),"Due This Week",AND($I57&lt;&gt;"",$I57&gt;=TODAY(),$I57&lt;=TODAY()+7,$E57&lt;&gt;"Done"),"Quick Wins (15 mins or less)",AND($M57&lt;=15,$E57&lt;&gt;"Done",$E57&lt;&gt;"Blocked"),"Deep Thinking",AND($G57="Deep Thinking",$E57&lt;&gt;"Done"),"Processing",AND($G57="Processing",$E57&lt;&gt;"Done"),"Blocked",$E57="Blocked","Waiting",$E57="Waiting","Recently Updated",AND($L57&lt;&gt;"",$L57&gt;=TODAY()-7),TRUE))</f>
        <v/>
      </c>
    </row>
    <row r="58">
      <c r="A58" s="19" t="n"/>
      <c r="B58" s="19" t="n"/>
      <c r="C58" s="19" t="n"/>
      <c r="D58" s="19" t="n"/>
      <c r="E58" s="19" t="n"/>
      <c r="F58" s="19" t="n"/>
      <c r="G58" s="19" t="n"/>
      <c r="H58" s="19" t="n"/>
      <c r="I58" s="19" t="n"/>
      <c r="J58" s="19" t="n"/>
      <c r="K58" s="19" t="n"/>
      <c r="L58" s="35" t="n"/>
      <c r="M58" s="5">
        <f>IF($D58="","",IFERROR(VLOOKUP($H58,Lists!$N$2:$O$6,2,FALSE),0))</f>
        <v/>
      </c>
      <c r="N58" s="5">
        <f>IF($D58="","",IF(OR($E58="Blocked",$E58="Done",$E58="Archive"),-9999,IF(AND($E58="Waiting",SUMPRODUCT((($E$5:$E$200="Next")+($E$5:$E$200="In Progress")+($E$5:$E$200="Captured"))*($D$5:$D$200&lt;&gt;""))&gt;0),-500,VLOOKUP($F58,Lists!$L$2:$M$4,2,FALSE)+IF($E58="In Progress",10,0)+IF(AND($I58&lt;&gt;"",$I58&lt;TODAY()),25,0)+IF(AND($I58&lt;&gt;"",$I58&gt;=TODAY(),$I58&lt;=TODAY()+7),15,0)+IF($M58&lt;=VLOOKUP(Home!$C$7,Lists!$N$2:$O$6,2,FALSE),20,-10)+IF($G58=Home!$E$7,15,IF(Home!$E$7="",0,-5))-ROW()/100000)))</f>
        <v/>
      </c>
      <c r="O58" s="5">
        <f>IF($D58="","",IF($N58&lt;=-500,"Not recommended right now",TEXTJOIN(" • ",TRUE,IF($F58="High","High Priority",""),IF(AND($I58&lt;&gt;"",$I58&lt;TODAY()),"Overdue",""),IF(AND($I58&lt;&gt;"",$I58&gt;=TODAY(),$I58&lt;=TODAY()+7),"Due This Week",""),IF($M58&lt;=VLOOKUP(Home!$C$7,Lists!$N$2:$O$6,2,FALSE),$H58&amp;" Task",""),IF($G58=Home!$E$7,"Fits Current Energy",""),"No Blockers")))</f>
        <v/>
      </c>
      <c r="P58" s="5">
        <f>IF($D58="","",SWITCH('Task Finder'!$C$6,"High Priority",AND($F58="High",$E58&lt;&gt;"Done",$E58&lt;&gt;"Archive"),"Due This Week",AND($I58&lt;&gt;"",$I58&gt;=TODAY(),$I58&lt;=TODAY()+7,$E58&lt;&gt;"Done"),"Quick Wins (15 mins or less)",AND($M58&lt;=15,$E58&lt;&gt;"Done",$E58&lt;&gt;"Blocked"),"Deep Thinking",AND($G58="Deep Thinking",$E58&lt;&gt;"Done"),"Processing",AND($G58="Processing",$E58&lt;&gt;"Done"),"Blocked",$E58="Blocked","Waiting",$E58="Waiting","Recently Updated",AND($L58&lt;&gt;"",$L58&gt;=TODAY()-7),TRUE))</f>
        <v/>
      </c>
    </row>
    <row r="59">
      <c r="A59" s="19" t="n"/>
      <c r="B59" s="19" t="n"/>
      <c r="C59" s="19" t="n"/>
      <c r="D59" s="19" t="n"/>
      <c r="E59" s="19" t="n"/>
      <c r="F59" s="19" t="n"/>
      <c r="G59" s="19" t="n"/>
      <c r="H59" s="19" t="n"/>
      <c r="I59" s="19" t="n"/>
      <c r="J59" s="19" t="n"/>
      <c r="K59" s="19" t="n"/>
      <c r="L59" s="35" t="n"/>
      <c r="M59" s="5">
        <f>IF($D59="","",IFERROR(VLOOKUP($H59,Lists!$N$2:$O$6,2,FALSE),0))</f>
        <v/>
      </c>
      <c r="N59" s="5">
        <f>IF($D59="","",IF(OR($E59="Blocked",$E59="Done",$E59="Archive"),-9999,IF(AND($E59="Waiting",SUMPRODUCT((($E$5:$E$200="Next")+($E$5:$E$200="In Progress")+($E$5:$E$200="Captured"))*($D$5:$D$200&lt;&gt;""))&gt;0),-500,VLOOKUP($F59,Lists!$L$2:$M$4,2,FALSE)+IF($E59="In Progress",10,0)+IF(AND($I59&lt;&gt;"",$I59&lt;TODAY()),25,0)+IF(AND($I59&lt;&gt;"",$I59&gt;=TODAY(),$I59&lt;=TODAY()+7),15,0)+IF($M59&lt;=VLOOKUP(Home!$C$7,Lists!$N$2:$O$6,2,FALSE),20,-10)+IF($G59=Home!$E$7,15,IF(Home!$E$7="",0,-5))-ROW()/100000)))</f>
        <v/>
      </c>
      <c r="O59" s="5">
        <f>IF($D59="","",IF($N59&lt;=-500,"Not recommended right now",TEXTJOIN(" • ",TRUE,IF($F59="High","High Priority",""),IF(AND($I59&lt;&gt;"",$I59&lt;TODAY()),"Overdue",""),IF(AND($I59&lt;&gt;"",$I59&gt;=TODAY(),$I59&lt;=TODAY()+7),"Due This Week",""),IF($M59&lt;=VLOOKUP(Home!$C$7,Lists!$N$2:$O$6,2,FALSE),$H59&amp;" Task",""),IF($G59=Home!$E$7,"Fits Current Energy",""),"No Blockers")))</f>
        <v/>
      </c>
      <c r="P59" s="5">
        <f>IF($D59="","",SWITCH('Task Finder'!$C$6,"High Priority",AND($F59="High",$E59&lt;&gt;"Done",$E59&lt;&gt;"Archive"),"Due This Week",AND($I59&lt;&gt;"",$I59&gt;=TODAY(),$I59&lt;=TODAY()+7,$E59&lt;&gt;"Done"),"Quick Wins (15 mins or less)",AND($M59&lt;=15,$E59&lt;&gt;"Done",$E59&lt;&gt;"Blocked"),"Deep Thinking",AND($G59="Deep Thinking",$E59&lt;&gt;"Done"),"Processing",AND($G59="Processing",$E59&lt;&gt;"Done"),"Blocked",$E59="Blocked","Waiting",$E59="Waiting","Recently Updated",AND($L59&lt;&gt;"",$L59&gt;=TODAY()-7),TRUE))</f>
        <v/>
      </c>
    </row>
    <row r="60">
      <c r="A60" s="19" t="n"/>
      <c r="B60" s="19" t="n"/>
      <c r="C60" s="19" t="n"/>
      <c r="D60" s="19" t="n"/>
      <c r="E60" s="19" t="n"/>
      <c r="F60" s="19" t="n"/>
      <c r="G60" s="19" t="n"/>
      <c r="H60" s="19" t="n"/>
      <c r="I60" s="19" t="n"/>
      <c r="J60" s="19" t="n"/>
      <c r="K60" s="19" t="n"/>
      <c r="L60" s="35" t="n"/>
      <c r="M60" s="5">
        <f>IF($D60="","",IFERROR(VLOOKUP($H60,Lists!$N$2:$O$6,2,FALSE),0))</f>
        <v/>
      </c>
      <c r="N60" s="5">
        <f>IF($D60="","",IF(OR($E60="Blocked",$E60="Done",$E60="Archive"),-9999,IF(AND($E60="Waiting",SUMPRODUCT((($E$5:$E$200="Next")+($E$5:$E$200="In Progress")+($E$5:$E$200="Captured"))*($D$5:$D$200&lt;&gt;""))&gt;0),-500,VLOOKUP($F60,Lists!$L$2:$M$4,2,FALSE)+IF($E60="In Progress",10,0)+IF(AND($I60&lt;&gt;"",$I60&lt;TODAY()),25,0)+IF(AND($I60&lt;&gt;"",$I60&gt;=TODAY(),$I60&lt;=TODAY()+7),15,0)+IF($M60&lt;=VLOOKUP(Home!$C$7,Lists!$N$2:$O$6,2,FALSE),20,-10)+IF($G60=Home!$E$7,15,IF(Home!$E$7="",0,-5))-ROW()/100000)))</f>
        <v/>
      </c>
      <c r="O60" s="5">
        <f>IF($D60="","",IF($N60&lt;=-500,"Not recommended right now",TEXTJOIN(" • ",TRUE,IF($F60="High","High Priority",""),IF(AND($I60&lt;&gt;"",$I60&lt;TODAY()),"Overdue",""),IF(AND($I60&lt;&gt;"",$I60&gt;=TODAY(),$I60&lt;=TODAY()+7),"Due This Week",""),IF($M60&lt;=VLOOKUP(Home!$C$7,Lists!$N$2:$O$6,2,FALSE),$H60&amp;" Task",""),IF($G60=Home!$E$7,"Fits Current Energy",""),"No Blockers")))</f>
        <v/>
      </c>
      <c r="P60" s="5">
        <f>IF($D60="","",SWITCH('Task Finder'!$C$6,"High Priority",AND($F60="High",$E60&lt;&gt;"Done",$E60&lt;&gt;"Archive"),"Due This Week",AND($I60&lt;&gt;"",$I60&gt;=TODAY(),$I60&lt;=TODAY()+7,$E60&lt;&gt;"Done"),"Quick Wins (15 mins or less)",AND($M60&lt;=15,$E60&lt;&gt;"Done",$E60&lt;&gt;"Blocked"),"Deep Thinking",AND($G60="Deep Thinking",$E60&lt;&gt;"Done"),"Processing",AND($G60="Processing",$E60&lt;&gt;"Done"),"Blocked",$E60="Blocked","Waiting",$E60="Waiting","Recently Updated",AND($L60&lt;&gt;"",$L60&gt;=TODAY()-7),TRUE))</f>
        <v/>
      </c>
    </row>
    <row r="61">
      <c r="A61" s="19" t="n"/>
      <c r="B61" s="19" t="n"/>
      <c r="C61" s="19" t="n"/>
      <c r="D61" s="19" t="n"/>
      <c r="E61" s="19" t="n"/>
      <c r="F61" s="19" t="n"/>
      <c r="G61" s="19" t="n"/>
      <c r="H61" s="19" t="n"/>
      <c r="I61" s="19" t="n"/>
      <c r="J61" s="19" t="n"/>
      <c r="K61" s="19" t="n"/>
      <c r="L61" s="35" t="n"/>
      <c r="M61" s="5">
        <f>IF($D61="","",IFERROR(VLOOKUP($H61,Lists!$N$2:$O$6,2,FALSE),0))</f>
        <v/>
      </c>
      <c r="N61" s="5">
        <f>IF($D61="","",IF(OR($E61="Blocked",$E61="Done",$E61="Archive"),-9999,IF(AND($E61="Waiting",SUMPRODUCT((($E$5:$E$200="Next")+($E$5:$E$200="In Progress")+($E$5:$E$200="Captured"))*($D$5:$D$200&lt;&gt;""))&gt;0),-500,VLOOKUP($F61,Lists!$L$2:$M$4,2,FALSE)+IF($E61="In Progress",10,0)+IF(AND($I61&lt;&gt;"",$I61&lt;TODAY()),25,0)+IF(AND($I61&lt;&gt;"",$I61&gt;=TODAY(),$I61&lt;=TODAY()+7),15,0)+IF($M61&lt;=VLOOKUP(Home!$C$7,Lists!$N$2:$O$6,2,FALSE),20,-10)+IF($G61=Home!$E$7,15,IF(Home!$E$7="",0,-5))-ROW()/100000)))</f>
        <v/>
      </c>
      <c r="O61" s="5">
        <f>IF($D61="","",IF($N61&lt;=-500,"Not recommended right now",TEXTJOIN(" • ",TRUE,IF($F61="High","High Priority",""),IF(AND($I61&lt;&gt;"",$I61&lt;TODAY()),"Overdue",""),IF(AND($I61&lt;&gt;"",$I61&gt;=TODAY(),$I61&lt;=TODAY()+7),"Due This Week",""),IF($M61&lt;=VLOOKUP(Home!$C$7,Lists!$N$2:$O$6,2,FALSE),$H61&amp;" Task",""),IF($G61=Home!$E$7,"Fits Current Energy",""),"No Blockers")))</f>
        <v/>
      </c>
      <c r="P61" s="5">
        <f>IF($D61="","",SWITCH('Task Finder'!$C$6,"High Priority",AND($F61="High",$E61&lt;&gt;"Done",$E61&lt;&gt;"Archive"),"Due This Week",AND($I61&lt;&gt;"",$I61&gt;=TODAY(),$I61&lt;=TODAY()+7,$E61&lt;&gt;"Done"),"Quick Wins (15 mins or less)",AND($M61&lt;=15,$E61&lt;&gt;"Done",$E61&lt;&gt;"Blocked"),"Deep Thinking",AND($G61="Deep Thinking",$E61&lt;&gt;"Done"),"Processing",AND($G61="Processing",$E61&lt;&gt;"Done"),"Blocked",$E61="Blocked","Waiting",$E61="Waiting","Recently Updated",AND($L61&lt;&gt;"",$L61&gt;=TODAY()-7),TRUE))</f>
        <v/>
      </c>
    </row>
    <row r="62">
      <c r="A62" s="19" t="n"/>
      <c r="B62" s="19" t="n"/>
      <c r="C62" s="19" t="n"/>
      <c r="D62" s="19" t="n"/>
      <c r="E62" s="19" t="n"/>
      <c r="F62" s="19" t="n"/>
      <c r="G62" s="19" t="n"/>
      <c r="H62" s="19" t="n"/>
      <c r="I62" s="19" t="n"/>
      <c r="J62" s="19" t="n"/>
      <c r="K62" s="19" t="n"/>
      <c r="L62" s="35" t="n"/>
      <c r="M62" s="5">
        <f>IF($D62="","",IFERROR(VLOOKUP($H62,Lists!$N$2:$O$6,2,FALSE),0))</f>
        <v/>
      </c>
      <c r="N62" s="5">
        <f>IF($D62="","",IF(OR($E62="Blocked",$E62="Done",$E62="Archive"),-9999,IF(AND($E62="Waiting",SUMPRODUCT((($E$5:$E$200="Next")+($E$5:$E$200="In Progress")+($E$5:$E$200="Captured"))*($D$5:$D$200&lt;&gt;""))&gt;0),-500,VLOOKUP($F62,Lists!$L$2:$M$4,2,FALSE)+IF($E62="In Progress",10,0)+IF(AND($I62&lt;&gt;"",$I62&lt;TODAY()),25,0)+IF(AND($I62&lt;&gt;"",$I62&gt;=TODAY(),$I62&lt;=TODAY()+7),15,0)+IF($M62&lt;=VLOOKUP(Home!$C$7,Lists!$N$2:$O$6,2,FALSE),20,-10)+IF($G62=Home!$E$7,15,IF(Home!$E$7="",0,-5))-ROW()/100000)))</f>
        <v/>
      </c>
      <c r="O62" s="5">
        <f>IF($D62="","",IF($N62&lt;=-500,"Not recommended right now",TEXTJOIN(" • ",TRUE,IF($F62="High","High Priority",""),IF(AND($I62&lt;&gt;"",$I62&lt;TODAY()),"Overdue",""),IF(AND($I62&lt;&gt;"",$I62&gt;=TODAY(),$I62&lt;=TODAY()+7),"Due This Week",""),IF($M62&lt;=VLOOKUP(Home!$C$7,Lists!$N$2:$O$6,2,FALSE),$H62&amp;" Task",""),IF($G62=Home!$E$7,"Fits Current Energy",""),"No Blockers")))</f>
        <v/>
      </c>
      <c r="P62" s="5">
        <f>IF($D62="","",SWITCH('Task Finder'!$C$6,"High Priority",AND($F62="High",$E62&lt;&gt;"Done",$E62&lt;&gt;"Archive"),"Due This Week",AND($I62&lt;&gt;"",$I62&gt;=TODAY(),$I62&lt;=TODAY()+7,$E62&lt;&gt;"Done"),"Quick Wins (15 mins or less)",AND($M62&lt;=15,$E62&lt;&gt;"Done",$E62&lt;&gt;"Blocked"),"Deep Thinking",AND($G62="Deep Thinking",$E62&lt;&gt;"Done"),"Processing",AND($G62="Processing",$E62&lt;&gt;"Done"),"Blocked",$E62="Blocked","Waiting",$E62="Waiting","Recently Updated",AND($L62&lt;&gt;"",$L62&gt;=TODAY()-7),TRUE))</f>
        <v/>
      </c>
    </row>
    <row r="63">
      <c r="A63" s="19" t="n"/>
      <c r="B63" s="19" t="n"/>
      <c r="C63" s="19" t="n"/>
      <c r="D63" s="19" t="n"/>
      <c r="E63" s="19" t="n"/>
      <c r="F63" s="19" t="n"/>
      <c r="G63" s="19" t="n"/>
      <c r="H63" s="19" t="n"/>
      <c r="I63" s="19" t="n"/>
      <c r="J63" s="19" t="n"/>
      <c r="K63" s="19" t="n"/>
      <c r="L63" s="35" t="n"/>
      <c r="M63" s="5">
        <f>IF($D63="","",IFERROR(VLOOKUP($H63,Lists!$N$2:$O$6,2,FALSE),0))</f>
        <v/>
      </c>
      <c r="N63" s="5">
        <f>IF($D63="","",IF(OR($E63="Blocked",$E63="Done",$E63="Archive"),-9999,IF(AND($E63="Waiting",SUMPRODUCT((($E$5:$E$200="Next")+($E$5:$E$200="In Progress")+($E$5:$E$200="Captured"))*($D$5:$D$200&lt;&gt;""))&gt;0),-500,VLOOKUP($F63,Lists!$L$2:$M$4,2,FALSE)+IF($E63="In Progress",10,0)+IF(AND($I63&lt;&gt;"",$I63&lt;TODAY()),25,0)+IF(AND($I63&lt;&gt;"",$I63&gt;=TODAY(),$I63&lt;=TODAY()+7),15,0)+IF($M63&lt;=VLOOKUP(Home!$C$7,Lists!$N$2:$O$6,2,FALSE),20,-10)+IF($G63=Home!$E$7,15,IF(Home!$E$7="",0,-5))-ROW()/100000)))</f>
        <v/>
      </c>
      <c r="O63" s="5">
        <f>IF($D63="","",IF($N63&lt;=-500,"Not recommended right now",TEXTJOIN(" • ",TRUE,IF($F63="High","High Priority",""),IF(AND($I63&lt;&gt;"",$I63&lt;TODAY()),"Overdue",""),IF(AND($I63&lt;&gt;"",$I63&gt;=TODAY(),$I63&lt;=TODAY()+7),"Due This Week",""),IF($M63&lt;=VLOOKUP(Home!$C$7,Lists!$N$2:$O$6,2,FALSE),$H63&amp;" Task",""),IF($G63=Home!$E$7,"Fits Current Energy",""),"No Blockers")))</f>
        <v/>
      </c>
      <c r="P63" s="5">
        <f>IF($D63="","",SWITCH('Task Finder'!$C$6,"High Priority",AND($F63="High",$E63&lt;&gt;"Done",$E63&lt;&gt;"Archive"),"Due This Week",AND($I63&lt;&gt;"",$I63&gt;=TODAY(),$I63&lt;=TODAY()+7,$E63&lt;&gt;"Done"),"Quick Wins (15 mins or less)",AND($M63&lt;=15,$E63&lt;&gt;"Done",$E63&lt;&gt;"Blocked"),"Deep Thinking",AND($G63="Deep Thinking",$E63&lt;&gt;"Done"),"Processing",AND($G63="Processing",$E63&lt;&gt;"Done"),"Blocked",$E63="Blocked","Waiting",$E63="Waiting","Recently Updated",AND($L63&lt;&gt;"",$L63&gt;=TODAY()-7),TRUE))</f>
        <v/>
      </c>
    </row>
    <row r="64">
      <c r="A64" s="19" t="n"/>
      <c r="B64" s="19" t="n"/>
      <c r="C64" s="19" t="n"/>
      <c r="D64" s="19" t="n"/>
      <c r="E64" s="19" t="n"/>
      <c r="F64" s="19" t="n"/>
      <c r="G64" s="19" t="n"/>
      <c r="H64" s="19" t="n"/>
      <c r="I64" s="19" t="n"/>
      <c r="J64" s="19" t="n"/>
      <c r="K64" s="19" t="n"/>
      <c r="L64" s="35" t="n"/>
      <c r="M64" s="5">
        <f>IF($D64="","",IFERROR(VLOOKUP($H64,Lists!$N$2:$O$6,2,FALSE),0))</f>
        <v/>
      </c>
      <c r="N64" s="5">
        <f>IF($D64="","",IF(OR($E64="Blocked",$E64="Done",$E64="Archive"),-9999,IF(AND($E64="Waiting",SUMPRODUCT((($E$5:$E$200="Next")+($E$5:$E$200="In Progress")+($E$5:$E$200="Captured"))*($D$5:$D$200&lt;&gt;""))&gt;0),-500,VLOOKUP($F64,Lists!$L$2:$M$4,2,FALSE)+IF($E64="In Progress",10,0)+IF(AND($I64&lt;&gt;"",$I64&lt;TODAY()),25,0)+IF(AND($I64&lt;&gt;"",$I64&gt;=TODAY(),$I64&lt;=TODAY()+7),15,0)+IF($M64&lt;=VLOOKUP(Home!$C$7,Lists!$N$2:$O$6,2,FALSE),20,-10)+IF($G64=Home!$E$7,15,IF(Home!$E$7="",0,-5))-ROW()/100000)))</f>
        <v/>
      </c>
      <c r="O64" s="5">
        <f>IF($D64="","",IF($N64&lt;=-500,"Not recommended right now",TEXTJOIN(" • ",TRUE,IF($F64="High","High Priority",""),IF(AND($I64&lt;&gt;"",$I64&lt;TODAY()),"Overdue",""),IF(AND($I64&lt;&gt;"",$I64&gt;=TODAY(),$I64&lt;=TODAY()+7),"Due This Week",""),IF($M64&lt;=VLOOKUP(Home!$C$7,Lists!$N$2:$O$6,2,FALSE),$H64&amp;" Task",""),IF($G64=Home!$E$7,"Fits Current Energy",""),"No Blockers")))</f>
        <v/>
      </c>
      <c r="P64" s="5">
        <f>IF($D64="","",SWITCH('Task Finder'!$C$6,"High Priority",AND($F64="High",$E64&lt;&gt;"Done",$E64&lt;&gt;"Archive"),"Due This Week",AND($I64&lt;&gt;"",$I64&gt;=TODAY(),$I64&lt;=TODAY()+7,$E64&lt;&gt;"Done"),"Quick Wins (15 mins or less)",AND($M64&lt;=15,$E64&lt;&gt;"Done",$E64&lt;&gt;"Blocked"),"Deep Thinking",AND($G64="Deep Thinking",$E64&lt;&gt;"Done"),"Processing",AND($G64="Processing",$E64&lt;&gt;"Done"),"Blocked",$E64="Blocked","Waiting",$E64="Waiting","Recently Updated",AND($L64&lt;&gt;"",$L64&gt;=TODAY()-7),TRUE))</f>
        <v/>
      </c>
    </row>
    <row r="65">
      <c r="A65" s="19" t="n"/>
      <c r="B65" s="19" t="n"/>
      <c r="C65" s="19" t="n"/>
      <c r="D65" s="19" t="n"/>
      <c r="E65" s="19" t="n"/>
      <c r="F65" s="19" t="n"/>
      <c r="G65" s="19" t="n"/>
      <c r="H65" s="19" t="n"/>
      <c r="I65" s="19" t="n"/>
      <c r="J65" s="19" t="n"/>
      <c r="K65" s="19" t="n"/>
      <c r="L65" s="35" t="n"/>
      <c r="M65" s="5">
        <f>IF($D65="","",IFERROR(VLOOKUP($H65,Lists!$N$2:$O$6,2,FALSE),0))</f>
        <v/>
      </c>
      <c r="N65" s="5">
        <f>IF($D65="","",IF(OR($E65="Blocked",$E65="Done",$E65="Archive"),-9999,IF(AND($E65="Waiting",SUMPRODUCT((($E$5:$E$200="Next")+($E$5:$E$200="In Progress")+($E$5:$E$200="Captured"))*($D$5:$D$200&lt;&gt;""))&gt;0),-500,VLOOKUP($F65,Lists!$L$2:$M$4,2,FALSE)+IF($E65="In Progress",10,0)+IF(AND($I65&lt;&gt;"",$I65&lt;TODAY()),25,0)+IF(AND($I65&lt;&gt;"",$I65&gt;=TODAY(),$I65&lt;=TODAY()+7),15,0)+IF($M65&lt;=VLOOKUP(Home!$C$7,Lists!$N$2:$O$6,2,FALSE),20,-10)+IF($G65=Home!$E$7,15,IF(Home!$E$7="",0,-5))-ROW()/100000)))</f>
        <v/>
      </c>
      <c r="O65" s="5">
        <f>IF($D65="","",IF($N65&lt;=-500,"Not recommended right now",TEXTJOIN(" • ",TRUE,IF($F65="High","High Priority",""),IF(AND($I65&lt;&gt;"",$I65&lt;TODAY()),"Overdue",""),IF(AND($I65&lt;&gt;"",$I65&gt;=TODAY(),$I65&lt;=TODAY()+7),"Due This Week",""),IF($M65&lt;=VLOOKUP(Home!$C$7,Lists!$N$2:$O$6,2,FALSE),$H65&amp;" Task",""),IF($G65=Home!$E$7,"Fits Current Energy",""),"No Blockers")))</f>
        <v/>
      </c>
      <c r="P65" s="5">
        <f>IF($D65="","",SWITCH('Task Finder'!$C$6,"High Priority",AND($F65="High",$E65&lt;&gt;"Done",$E65&lt;&gt;"Archive"),"Due This Week",AND($I65&lt;&gt;"",$I65&gt;=TODAY(),$I65&lt;=TODAY()+7,$E65&lt;&gt;"Done"),"Quick Wins (15 mins or less)",AND($M65&lt;=15,$E65&lt;&gt;"Done",$E65&lt;&gt;"Blocked"),"Deep Thinking",AND($G65="Deep Thinking",$E65&lt;&gt;"Done"),"Processing",AND($G65="Processing",$E65&lt;&gt;"Done"),"Blocked",$E65="Blocked","Waiting",$E65="Waiting","Recently Updated",AND($L65&lt;&gt;"",$L65&gt;=TODAY()-7),TRUE))</f>
        <v/>
      </c>
    </row>
    <row r="66">
      <c r="A66" s="19" t="n"/>
      <c r="B66" s="19" t="n"/>
      <c r="C66" s="19" t="n"/>
      <c r="D66" s="19" t="n"/>
      <c r="E66" s="19" t="n"/>
      <c r="F66" s="19" t="n"/>
      <c r="G66" s="19" t="n"/>
      <c r="H66" s="19" t="n"/>
      <c r="I66" s="19" t="n"/>
      <c r="J66" s="19" t="n"/>
      <c r="K66" s="19" t="n"/>
      <c r="L66" s="35" t="n"/>
      <c r="M66" s="5">
        <f>IF($D66="","",IFERROR(VLOOKUP($H66,Lists!$N$2:$O$6,2,FALSE),0))</f>
        <v/>
      </c>
      <c r="N66" s="5">
        <f>IF($D66="","",IF(OR($E66="Blocked",$E66="Done",$E66="Archive"),-9999,IF(AND($E66="Waiting",SUMPRODUCT((($E$5:$E$200="Next")+($E$5:$E$200="In Progress")+($E$5:$E$200="Captured"))*($D$5:$D$200&lt;&gt;""))&gt;0),-500,VLOOKUP($F66,Lists!$L$2:$M$4,2,FALSE)+IF($E66="In Progress",10,0)+IF(AND($I66&lt;&gt;"",$I66&lt;TODAY()),25,0)+IF(AND($I66&lt;&gt;"",$I66&gt;=TODAY(),$I66&lt;=TODAY()+7),15,0)+IF($M66&lt;=VLOOKUP(Home!$C$7,Lists!$N$2:$O$6,2,FALSE),20,-10)+IF($G66=Home!$E$7,15,IF(Home!$E$7="",0,-5))-ROW()/100000)))</f>
        <v/>
      </c>
      <c r="O66" s="5">
        <f>IF($D66="","",IF($N66&lt;=-500,"Not recommended right now",TEXTJOIN(" • ",TRUE,IF($F66="High","High Priority",""),IF(AND($I66&lt;&gt;"",$I66&lt;TODAY()),"Overdue",""),IF(AND($I66&lt;&gt;"",$I66&gt;=TODAY(),$I66&lt;=TODAY()+7),"Due This Week",""),IF($M66&lt;=VLOOKUP(Home!$C$7,Lists!$N$2:$O$6,2,FALSE),$H66&amp;" Task",""),IF($G66=Home!$E$7,"Fits Current Energy",""),"No Blockers")))</f>
        <v/>
      </c>
      <c r="P66" s="5">
        <f>IF($D66="","",SWITCH('Task Finder'!$C$6,"High Priority",AND($F66="High",$E66&lt;&gt;"Done",$E66&lt;&gt;"Archive"),"Due This Week",AND($I66&lt;&gt;"",$I66&gt;=TODAY(),$I66&lt;=TODAY()+7,$E66&lt;&gt;"Done"),"Quick Wins (15 mins or less)",AND($M66&lt;=15,$E66&lt;&gt;"Done",$E66&lt;&gt;"Blocked"),"Deep Thinking",AND($G66="Deep Thinking",$E66&lt;&gt;"Done"),"Processing",AND($G66="Processing",$E66&lt;&gt;"Done"),"Blocked",$E66="Blocked","Waiting",$E66="Waiting","Recently Updated",AND($L66&lt;&gt;"",$L66&gt;=TODAY()-7),TRUE))</f>
        <v/>
      </c>
    </row>
    <row r="67">
      <c r="A67" s="19" t="n"/>
      <c r="B67" s="19" t="n"/>
      <c r="C67" s="19" t="n"/>
      <c r="D67" s="19" t="n"/>
      <c r="E67" s="19" t="n"/>
      <c r="F67" s="19" t="n"/>
      <c r="G67" s="19" t="n"/>
      <c r="H67" s="19" t="n"/>
      <c r="I67" s="19" t="n"/>
      <c r="J67" s="19" t="n"/>
      <c r="K67" s="19" t="n"/>
      <c r="L67" s="35" t="n"/>
      <c r="M67" s="5">
        <f>IF($D67="","",IFERROR(VLOOKUP($H67,Lists!$N$2:$O$6,2,FALSE),0))</f>
        <v/>
      </c>
      <c r="N67" s="5">
        <f>IF($D67="","",IF(OR($E67="Blocked",$E67="Done",$E67="Archive"),-9999,IF(AND($E67="Waiting",SUMPRODUCT((($E$5:$E$200="Next")+($E$5:$E$200="In Progress")+($E$5:$E$200="Captured"))*($D$5:$D$200&lt;&gt;""))&gt;0),-500,VLOOKUP($F67,Lists!$L$2:$M$4,2,FALSE)+IF($E67="In Progress",10,0)+IF(AND($I67&lt;&gt;"",$I67&lt;TODAY()),25,0)+IF(AND($I67&lt;&gt;"",$I67&gt;=TODAY(),$I67&lt;=TODAY()+7),15,0)+IF($M67&lt;=VLOOKUP(Home!$C$7,Lists!$N$2:$O$6,2,FALSE),20,-10)+IF($G67=Home!$E$7,15,IF(Home!$E$7="",0,-5))-ROW()/100000)))</f>
        <v/>
      </c>
      <c r="O67" s="5">
        <f>IF($D67="","",IF($N67&lt;=-500,"Not recommended right now",TEXTJOIN(" • ",TRUE,IF($F67="High","High Priority",""),IF(AND($I67&lt;&gt;"",$I67&lt;TODAY()),"Overdue",""),IF(AND($I67&lt;&gt;"",$I67&gt;=TODAY(),$I67&lt;=TODAY()+7),"Due This Week",""),IF($M67&lt;=VLOOKUP(Home!$C$7,Lists!$N$2:$O$6,2,FALSE),$H67&amp;" Task",""),IF($G67=Home!$E$7,"Fits Current Energy",""),"No Blockers")))</f>
        <v/>
      </c>
      <c r="P67" s="5">
        <f>IF($D67="","",SWITCH('Task Finder'!$C$6,"High Priority",AND($F67="High",$E67&lt;&gt;"Done",$E67&lt;&gt;"Archive"),"Due This Week",AND($I67&lt;&gt;"",$I67&gt;=TODAY(),$I67&lt;=TODAY()+7,$E67&lt;&gt;"Done"),"Quick Wins (15 mins or less)",AND($M67&lt;=15,$E67&lt;&gt;"Done",$E67&lt;&gt;"Blocked"),"Deep Thinking",AND($G67="Deep Thinking",$E67&lt;&gt;"Done"),"Processing",AND($G67="Processing",$E67&lt;&gt;"Done"),"Blocked",$E67="Blocked","Waiting",$E67="Waiting","Recently Updated",AND($L67&lt;&gt;"",$L67&gt;=TODAY()-7),TRUE))</f>
        <v/>
      </c>
    </row>
    <row r="68">
      <c r="A68" s="19" t="n"/>
      <c r="B68" s="19" t="n"/>
      <c r="C68" s="19" t="n"/>
      <c r="D68" s="19" t="n"/>
      <c r="E68" s="19" t="n"/>
      <c r="F68" s="19" t="n"/>
      <c r="G68" s="19" t="n"/>
      <c r="H68" s="19" t="n"/>
      <c r="I68" s="19" t="n"/>
      <c r="J68" s="19" t="n"/>
      <c r="K68" s="19" t="n"/>
      <c r="L68" s="35" t="n"/>
      <c r="M68" s="5">
        <f>IF($D68="","",IFERROR(VLOOKUP($H68,Lists!$N$2:$O$6,2,FALSE),0))</f>
        <v/>
      </c>
      <c r="N68" s="5">
        <f>IF($D68="","",IF(OR($E68="Blocked",$E68="Done",$E68="Archive"),-9999,IF(AND($E68="Waiting",SUMPRODUCT((($E$5:$E$200="Next")+($E$5:$E$200="In Progress")+($E$5:$E$200="Captured"))*($D$5:$D$200&lt;&gt;""))&gt;0),-500,VLOOKUP($F68,Lists!$L$2:$M$4,2,FALSE)+IF($E68="In Progress",10,0)+IF(AND($I68&lt;&gt;"",$I68&lt;TODAY()),25,0)+IF(AND($I68&lt;&gt;"",$I68&gt;=TODAY(),$I68&lt;=TODAY()+7),15,0)+IF($M68&lt;=VLOOKUP(Home!$C$7,Lists!$N$2:$O$6,2,FALSE),20,-10)+IF($G68=Home!$E$7,15,IF(Home!$E$7="",0,-5))-ROW()/100000)))</f>
        <v/>
      </c>
      <c r="O68" s="5">
        <f>IF($D68="","",IF($N68&lt;=-500,"Not recommended right now",TEXTJOIN(" • ",TRUE,IF($F68="High","High Priority",""),IF(AND($I68&lt;&gt;"",$I68&lt;TODAY()),"Overdue",""),IF(AND($I68&lt;&gt;"",$I68&gt;=TODAY(),$I68&lt;=TODAY()+7),"Due This Week",""),IF($M68&lt;=VLOOKUP(Home!$C$7,Lists!$N$2:$O$6,2,FALSE),$H68&amp;" Task",""),IF($G68=Home!$E$7,"Fits Current Energy",""),"No Blockers")))</f>
        <v/>
      </c>
      <c r="P68" s="5">
        <f>IF($D68="","",SWITCH('Task Finder'!$C$6,"High Priority",AND($F68="High",$E68&lt;&gt;"Done",$E68&lt;&gt;"Archive"),"Due This Week",AND($I68&lt;&gt;"",$I68&gt;=TODAY(),$I68&lt;=TODAY()+7,$E68&lt;&gt;"Done"),"Quick Wins (15 mins or less)",AND($M68&lt;=15,$E68&lt;&gt;"Done",$E68&lt;&gt;"Blocked"),"Deep Thinking",AND($G68="Deep Thinking",$E68&lt;&gt;"Done"),"Processing",AND($G68="Processing",$E68&lt;&gt;"Done"),"Blocked",$E68="Blocked","Waiting",$E68="Waiting","Recently Updated",AND($L68&lt;&gt;"",$L68&gt;=TODAY()-7),TRUE))</f>
        <v/>
      </c>
    </row>
    <row r="69">
      <c r="A69" s="19" t="n"/>
      <c r="B69" s="19" t="n"/>
      <c r="C69" s="19" t="n"/>
      <c r="D69" s="19" t="n"/>
      <c r="E69" s="19" t="n"/>
      <c r="F69" s="19" t="n"/>
      <c r="G69" s="19" t="n"/>
      <c r="H69" s="19" t="n"/>
      <c r="I69" s="19" t="n"/>
      <c r="J69" s="19" t="n"/>
      <c r="K69" s="19" t="n"/>
      <c r="L69" s="35" t="n"/>
      <c r="M69" s="5">
        <f>IF($D69="","",IFERROR(VLOOKUP($H69,Lists!$N$2:$O$6,2,FALSE),0))</f>
        <v/>
      </c>
      <c r="N69" s="5">
        <f>IF($D69="","",IF(OR($E69="Blocked",$E69="Done",$E69="Archive"),-9999,IF(AND($E69="Waiting",SUMPRODUCT((($E$5:$E$200="Next")+($E$5:$E$200="In Progress")+($E$5:$E$200="Captured"))*($D$5:$D$200&lt;&gt;""))&gt;0),-500,VLOOKUP($F69,Lists!$L$2:$M$4,2,FALSE)+IF($E69="In Progress",10,0)+IF(AND($I69&lt;&gt;"",$I69&lt;TODAY()),25,0)+IF(AND($I69&lt;&gt;"",$I69&gt;=TODAY(),$I69&lt;=TODAY()+7),15,0)+IF($M69&lt;=VLOOKUP(Home!$C$7,Lists!$N$2:$O$6,2,FALSE),20,-10)+IF($G69=Home!$E$7,15,IF(Home!$E$7="",0,-5))-ROW()/100000)))</f>
        <v/>
      </c>
      <c r="O69" s="5">
        <f>IF($D69="","",IF($N69&lt;=-500,"Not recommended right now",TEXTJOIN(" • ",TRUE,IF($F69="High","High Priority",""),IF(AND($I69&lt;&gt;"",$I69&lt;TODAY()),"Overdue",""),IF(AND($I69&lt;&gt;"",$I69&gt;=TODAY(),$I69&lt;=TODAY()+7),"Due This Week",""),IF($M69&lt;=VLOOKUP(Home!$C$7,Lists!$N$2:$O$6,2,FALSE),$H69&amp;" Task",""),IF($G69=Home!$E$7,"Fits Current Energy",""),"No Blockers")))</f>
        <v/>
      </c>
      <c r="P69" s="5">
        <f>IF($D69="","",SWITCH('Task Finder'!$C$6,"High Priority",AND($F69="High",$E69&lt;&gt;"Done",$E69&lt;&gt;"Archive"),"Due This Week",AND($I69&lt;&gt;"",$I69&gt;=TODAY(),$I69&lt;=TODAY()+7,$E69&lt;&gt;"Done"),"Quick Wins (15 mins or less)",AND($M69&lt;=15,$E69&lt;&gt;"Done",$E69&lt;&gt;"Blocked"),"Deep Thinking",AND($G69="Deep Thinking",$E69&lt;&gt;"Done"),"Processing",AND($G69="Processing",$E69&lt;&gt;"Done"),"Blocked",$E69="Blocked","Waiting",$E69="Waiting","Recently Updated",AND($L69&lt;&gt;"",$L69&gt;=TODAY()-7),TRUE))</f>
        <v/>
      </c>
    </row>
    <row r="70">
      <c r="A70" s="19" t="n"/>
      <c r="B70" s="19" t="n"/>
      <c r="C70" s="19" t="n"/>
      <c r="D70" s="19" t="n"/>
      <c r="E70" s="19" t="n"/>
      <c r="F70" s="19" t="n"/>
      <c r="G70" s="19" t="n"/>
      <c r="H70" s="19" t="n"/>
      <c r="I70" s="19" t="n"/>
      <c r="J70" s="19" t="n"/>
      <c r="K70" s="19" t="n"/>
      <c r="L70" s="35" t="n"/>
      <c r="M70" s="5">
        <f>IF($D70="","",IFERROR(VLOOKUP($H70,Lists!$N$2:$O$6,2,FALSE),0))</f>
        <v/>
      </c>
      <c r="N70" s="5">
        <f>IF($D70="","",IF(OR($E70="Blocked",$E70="Done",$E70="Archive"),-9999,IF(AND($E70="Waiting",SUMPRODUCT((($E$5:$E$200="Next")+($E$5:$E$200="In Progress")+($E$5:$E$200="Captured"))*($D$5:$D$200&lt;&gt;""))&gt;0),-500,VLOOKUP($F70,Lists!$L$2:$M$4,2,FALSE)+IF($E70="In Progress",10,0)+IF(AND($I70&lt;&gt;"",$I70&lt;TODAY()),25,0)+IF(AND($I70&lt;&gt;"",$I70&gt;=TODAY(),$I70&lt;=TODAY()+7),15,0)+IF($M70&lt;=VLOOKUP(Home!$C$7,Lists!$N$2:$O$6,2,FALSE),20,-10)+IF($G70=Home!$E$7,15,IF(Home!$E$7="",0,-5))-ROW()/100000)))</f>
        <v/>
      </c>
      <c r="O70" s="5">
        <f>IF($D70="","",IF($N70&lt;=-500,"Not recommended right now",TEXTJOIN(" • ",TRUE,IF($F70="High","High Priority",""),IF(AND($I70&lt;&gt;"",$I70&lt;TODAY()),"Overdue",""),IF(AND($I70&lt;&gt;"",$I70&gt;=TODAY(),$I70&lt;=TODAY()+7),"Due This Week",""),IF($M70&lt;=VLOOKUP(Home!$C$7,Lists!$N$2:$O$6,2,FALSE),$H70&amp;" Task",""),IF($G70=Home!$E$7,"Fits Current Energy",""),"No Blockers")))</f>
        <v/>
      </c>
      <c r="P70" s="5">
        <f>IF($D70="","",SWITCH('Task Finder'!$C$6,"High Priority",AND($F70="High",$E70&lt;&gt;"Done",$E70&lt;&gt;"Archive"),"Due This Week",AND($I70&lt;&gt;"",$I70&gt;=TODAY(),$I70&lt;=TODAY()+7,$E70&lt;&gt;"Done"),"Quick Wins (15 mins or less)",AND($M70&lt;=15,$E70&lt;&gt;"Done",$E70&lt;&gt;"Blocked"),"Deep Thinking",AND($G70="Deep Thinking",$E70&lt;&gt;"Done"),"Processing",AND($G70="Processing",$E70&lt;&gt;"Done"),"Blocked",$E70="Blocked","Waiting",$E70="Waiting","Recently Updated",AND($L70&lt;&gt;"",$L70&gt;=TODAY()-7),TRUE))</f>
        <v/>
      </c>
    </row>
    <row r="71">
      <c r="A71" s="19" t="n"/>
      <c r="B71" s="19" t="n"/>
      <c r="C71" s="19" t="n"/>
      <c r="D71" s="19" t="n"/>
      <c r="E71" s="19" t="n"/>
      <c r="F71" s="19" t="n"/>
      <c r="G71" s="19" t="n"/>
      <c r="H71" s="19" t="n"/>
      <c r="I71" s="19" t="n"/>
      <c r="J71" s="19" t="n"/>
      <c r="K71" s="19" t="n"/>
      <c r="L71" s="35" t="n"/>
      <c r="M71" s="5">
        <f>IF($D71="","",IFERROR(VLOOKUP($H71,Lists!$N$2:$O$6,2,FALSE),0))</f>
        <v/>
      </c>
      <c r="N71" s="5">
        <f>IF($D71="","",IF(OR($E71="Blocked",$E71="Done",$E71="Archive"),-9999,IF(AND($E71="Waiting",SUMPRODUCT((($E$5:$E$200="Next")+($E$5:$E$200="In Progress")+($E$5:$E$200="Captured"))*($D$5:$D$200&lt;&gt;""))&gt;0),-500,VLOOKUP($F71,Lists!$L$2:$M$4,2,FALSE)+IF($E71="In Progress",10,0)+IF(AND($I71&lt;&gt;"",$I71&lt;TODAY()),25,0)+IF(AND($I71&lt;&gt;"",$I71&gt;=TODAY(),$I71&lt;=TODAY()+7),15,0)+IF($M71&lt;=VLOOKUP(Home!$C$7,Lists!$N$2:$O$6,2,FALSE),20,-10)+IF($G71=Home!$E$7,15,IF(Home!$E$7="",0,-5))-ROW()/100000)))</f>
        <v/>
      </c>
      <c r="O71" s="5">
        <f>IF($D71="","",IF($N71&lt;=-500,"Not recommended right now",TEXTJOIN(" • ",TRUE,IF($F71="High","High Priority",""),IF(AND($I71&lt;&gt;"",$I71&lt;TODAY()),"Overdue",""),IF(AND($I71&lt;&gt;"",$I71&gt;=TODAY(),$I71&lt;=TODAY()+7),"Due This Week",""),IF($M71&lt;=VLOOKUP(Home!$C$7,Lists!$N$2:$O$6,2,FALSE),$H71&amp;" Task",""),IF($G71=Home!$E$7,"Fits Current Energy",""),"No Blockers")))</f>
        <v/>
      </c>
      <c r="P71" s="5">
        <f>IF($D71="","",SWITCH('Task Finder'!$C$6,"High Priority",AND($F71="High",$E71&lt;&gt;"Done",$E71&lt;&gt;"Archive"),"Due This Week",AND($I71&lt;&gt;"",$I71&gt;=TODAY(),$I71&lt;=TODAY()+7,$E71&lt;&gt;"Done"),"Quick Wins (15 mins or less)",AND($M71&lt;=15,$E71&lt;&gt;"Done",$E71&lt;&gt;"Blocked"),"Deep Thinking",AND($G71="Deep Thinking",$E71&lt;&gt;"Done"),"Processing",AND($G71="Processing",$E71&lt;&gt;"Done"),"Blocked",$E71="Blocked","Waiting",$E71="Waiting","Recently Updated",AND($L71&lt;&gt;"",$L71&gt;=TODAY()-7),TRUE))</f>
        <v/>
      </c>
    </row>
    <row r="72">
      <c r="A72" s="19" t="n"/>
      <c r="B72" s="19" t="n"/>
      <c r="C72" s="19" t="n"/>
      <c r="D72" s="19" t="n"/>
      <c r="E72" s="19" t="n"/>
      <c r="F72" s="19" t="n"/>
      <c r="G72" s="19" t="n"/>
      <c r="H72" s="19" t="n"/>
      <c r="I72" s="19" t="n"/>
      <c r="J72" s="19" t="n"/>
      <c r="K72" s="19" t="n"/>
      <c r="L72" s="35" t="n"/>
      <c r="M72" s="5">
        <f>IF($D72="","",IFERROR(VLOOKUP($H72,Lists!$N$2:$O$6,2,FALSE),0))</f>
        <v/>
      </c>
      <c r="N72" s="5">
        <f>IF($D72="","",IF(OR($E72="Blocked",$E72="Done",$E72="Archive"),-9999,IF(AND($E72="Waiting",SUMPRODUCT((($E$5:$E$200="Next")+($E$5:$E$200="In Progress")+($E$5:$E$200="Captured"))*($D$5:$D$200&lt;&gt;""))&gt;0),-500,VLOOKUP($F72,Lists!$L$2:$M$4,2,FALSE)+IF($E72="In Progress",10,0)+IF(AND($I72&lt;&gt;"",$I72&lt;TODAY()),25,0)+IF(AND($I72&lt;&gt;"",$I72&gt;=TODAY(),$I72&lt;=TODAY()+7),15,0)+IF($M72&lt;=VLOOKUP(Home!$C$7,Lists!$N$2:$O$6,2,FALSE),20,-10)+IF($G72=Home!$E$7,15,IF(Home!$E$7="",0,-5))-ROW()/100000)))</f>
        <v/>
      </c>
      <c r="O72" s="5">
        <f>IF($D72="","",IF($N72&lt;=-500,"Not recommended right now",TEXTJOIN(" • ",TRUE,IF($F72="High","High Priority",""),IF(AND($I72&lt;&gt;"",$I72&lt;TODAY()),"Overdue",""),IF(AND($I72&lt;&gt;"",$I72&gt;=TODAY(),$I72&lt;=TODAY()+7),"Due This Week",""),IF($M72&lt;=VLOOKUP(Home!$C$7,Lists!$N$2:$O$6,2,FALSE),$H72&amp;" Task",""),IF($G72=Home!$E$7,"Fits Current Energy",""),"No Blockers")))</f>
        <v/>
      </c>
      <c r="P72" s="5">
        <f>IF($D72="","",SWITCH('Task Finder'!$C$6,"High Priority",AND($F72="High",$E72&lt;&gt;"Done",$E72&lt;&gt;"Archive"),"Due This Week",AND($I72&lt;&gt;"",$I72&gt;=TODAY(),$I72&lt;=TODAY()+7,$E72&lt;&gt;"Done"),"Quick Wins (15 mins or less)",AND($M72&lt;=15,$E72&lt;&gt;"Done",$E72&lt;&gt;"Blocked"),"Deep Thinking",AND($G72="Deep Thinking",$E72&lt;&gt;"Done"),"Processing",AND($G72="Processing",$E72&lt;&gt;"Done"),"Blocked",$E72="Blocked","Waiting",$E72="Waiting","Recently Updated",AND($L72&lt;&gt;"",$L72&gt;=TODAY()-7),TRUE))</f>
        <v/>
      </c>
    </row>
    <row r="73">
      <c r="A73" s="19" t="n"/>
      <c r="B73" s="19" t="n"/>
      <c r="C73" s="19" t="n"/>
      <c r="D73" s="19" t="n"/>
      <c r="E73" s="19" t="n"/>
      <c r="F73" s="19" t="n"/>
      <c r="G73" s="19" t="n"/>
      <c r="H73" s="19" t="n"/>
      <c r="I73" s="19" t="n"/>
      <c r="J73" s="19" t="n"/>
      <c r="K73" s="19" t="n"/>
      <c r="L73" s="35" t="n"/>
      <c r="M73" s="5">
        <f>IF($D73="","",IFERROR(VLOOKUP($H73,Lists!$N$2:$O$6,2,FALSE),0))</f>
        <v/>
      </c>
      <c r="N73" s="5">
        <f>IF($D73="","",IF(OR($E73="Blocked",$E73="Done",$E73="Archive"),-9999,IF(AND($E73="Waiting",SUMPRODUCT((($E$5:$E$200="Next")+($E$5:$E$200="In Progress")+($E$5:$E$200="Captured"))*($D$5:$D$200&lt;&gt;""))&gt;0),-500,VLOOKUP($F73,Lists!$L$2:$M$4,2,FALSE)+IF($E73="In Progress",10,0)+IF(AND($I73&lt;&gt;"",$I73&lt;TODAY()),25,0)+IF(AND($I73&lt;&gt;"",$I73&gt;=TODAY(),$I73&lt;=TODAY()+7),15,0)+IF($M73&lt;=VLOOKUP(Home!$C$7,Lists!$N$2:$O$6,2,FALSE),20,-10)+IF($G73=Home!$E$7,15,IF(Home!$E$7="",0,-5))-ROW()/100000)))</f>
        <v/>
      </c>
      <c r="O73" s="5">
        <f>IF($D73="","",IF($N73&lt;=-500,"Not recommended right now",TEXTJOIN(" • ",TRUE,IF($F73="High","High Priority",""),IF(AND($I73&lt;&gt;"",$I73&lt;TODAY()),"Overdue",""),IF(AND($I73&lt;&gt;"",$I73&gt;=TODAY(),$I73&lt;=TODAY()+7),"Due This Week",""),IF($M73&lt;=VLOOKUP(Home!$C$7,Lists!$N$2:$O$6,2,FALSE),$H73&amp;" Task",""),IF($G73=Home!$E$7,"Fits Current Energy",""),"No Blockers")))</f>
        <v/>
      </c>
      <c r="P73" s="5">
        <f>IF($D73="","",SWITCH('Task Finder'!$C$6,"High Priority",AND($F73="High",$E73&lt;&gt;"Done",$E73&lt;&gt;"Archive"),"Due This Week",AND($I73&lt;&gt;"",$I73&gt;=TODAY(),$I73&lt;=TODAY()+7,$E73&lt;&gt;"Done"),"Quick Wins (15 mins or less)",AND($M73&lt;=15,$E73&lt;&gt;"Done",$E73&lt;&gt;"Blocked"),"Deep Thinking",AND($G73="Deep Thinking",$E73&lt;&gt;"Done"),"Processing",AND($G73="Processing",$E73&lt;&gt;"Done"),"Blocked",$E73="Blocked","Waiting",$E73="Waiting","Recently Updated",AND($L73&lt;&gt;"",$L73&gt;=TODAY()-7),TRUE))</f>
        <v/>
      </c>
    </row>
    <row r="74">
      <c r="A74" s="19" t="n"/>
      <c r="B74" s="19" t="n"/>
      <c r="C74" s="19" t="n"/>
      <c r="D74" s="19" t="n"/>
      <c r="E74" s="19" t="n"/>
      <c r="F74" s="19" t="n"/>
      <c r="G74" s="19" t="n"/>
      <c r="H74" s="19" t="n"/>
      <c r="I74" s="19" t="n"/>
      <c r="J74" s="19" t="n"/>
      <c r="K74" s="19" t="n"/>
      <c r="L74" s="35" t="n"/>
      <c r="M74" s="5">
        <f>IF($D74="","",IFERROR(VLOOKUP($H74,Lists!$N$2:$O$6,2,FALSE),0))</f>
        <v/>
      </c>
      <c r="N74" s="5">
        <f>IF($D74="","",IF(OR($E74="Blocked",$E74="Done",$E74="Archive"),-9999,IF(AND($E74="Waiting",SUMPRODUCT((($E$5:$E$200="Next")+($E$5:$E$200="In Progress")+($E$5:$E$200="Captured"))*($D$5:$D$200&lt;&gt;""))&gt;0),-500,VLOOKUP($F74,Lists!$L$2:$M$4,2,FALSE)+IF($E74="In Progress",10,0)+IF(AND($I74&lt;&gt;"",$I74&lt;TODAY()),25,0)+IF(AND($I74&lt;&gt;"",$I74&gt;=TODAY(),$I74&lt;=TODAY()+7),15,0)+IF($M74&lt;=VLOOKUP(Home!$C$7,Lists!$N$2:$O$6,2,FALSE),20,-10)+IF($G74=Home!$E$7,15,IF(Home!$E$7="",0,-5))-ROW()/100000)))</f>
        <v/>
      </c>
      <c r="O74" s="5">
        <f>IF($D74="","",IF($N74&lt;=-500,"Not recommended right now",TEXTJOIN(" • ",TRUE,IF($F74="High","High Priority",""),IF(AND($I74&lt;&gt;"",$I74&lt;TODAY()),"Overdue",""),IF(AND($I74&lt;&gt;"",$I74&gt;=TODAY(),$I74&lt;=TODAY()+7),"Due This Week",""),IF($M74&lt;=VLOOKUP(Home!$C$7,Lists!$N$2:$O$6,2,FALSE),$H74&amp;" Task",""),IF($G74=Home!$E$7,"Fits Current Energy",""),"No Blockers")))</f>
        <v/>
      </c>
      <c r="P74" s="5">
        <f>IF($D74="","",SWITCH('Task Finder'!$C$6,"High Priority",AND($F74="High",$E74&lt;&gt;"Done",$E74&lt;&gt;"Archive"),"Due This Week",AND($I74&lt;&gt;"",$I74&gt;=TODAY(),$I74&lt;=TODAY()+7,$E74&lt;&gt;"Done"),"Quick Wins (15 mins or less)",AND($M74&lt;=15,$E74&lt;&gt;"Done",$E74&lt;&gt;"Blocked"),"Deep Thinking",AND($G74="Deep Thinking",$E74&lt;&gt;"Done"),"Processing",AND($G74="Processing",$E74&lt;&gt;"Done"),"Blocked",$E74="Blocked","Waiting",$E74="Waiting","Recently Updated",AND($L74&lt;&gt;"",$L74&gt;=TODAY()-7),TRUE))</f>
        <v/>
      </c>
    </row>
    <row r="75">
      <c r="A75" s="19" t="n"/>
      <c r="B75" s="19" t="n"/>
      <c r="C75" s="19" t="n"/>
      <c r="D75" s="19" t="n"/>
      <c r="E75" s="19" t="n"/>
      <c r="F75" s="19" t="n"/>
      <c r="G75" s="19" t="n"/>
      <c r="H75" s="19" t="n"/>
      <c r="I75" s="19" t="n"/>
      <c r="J75" s="19" t="n"/>
      <c r="K75" s="19" t="n"/>
      <c r="L75" s="35" t="n"/>
      <c r="M75" s="5">
        <f>IF($D75="","",IFERROR(VLOOKUP($H75,Lists!$N$2:$O$6,2,FALSE),0))</f>
        <v/>
      </c>
      <c r="N75" s="5">
        <f>IF($D75="","",IF(OR($E75="Blocked",$E75="Done",$E75="Archive"),-9999,IF(AND($E75="Waiting",SUMPRODUCT((($E$5:$E$200="Next")+($E$5:$E$200="In Progress")+($E$5:$E$200="Captured"))*($D$5:$D$200&lt;&gt;""))&gt;0),-500,VLOOKUP($F75,Lists!$L$2:$M$4,2,FALSE)+IF($E75="In Progress",10,0)+IF(AND($I75&lt;&gt;"",$I75&lt;TODAY()),25,0)+IF(AND($I75&lt;&gt;"",$I75&gt;=TODAY(),$I75&lt;=TODAY()+7),15,0)+IF($M75&lt;=VLOOKUP(Home!$C$7,Lists!$N$2:$O$6,2,FALSE),20,-10)+IF($G75=Home!$E$7,15,IF(Home!$E$7="",0,-5))-ROW()/100000)))</f>
        <v/>
      </c>
      <c r="O75" s="5">
        <f>IF($D75="","",IF($N75&lt;=-500,"Not recommended right now",TEXTJOIN(" • ",TRUE,IF($F75="High","High Priority",""),IF(AND($I75&lt;&gt;"",$I75&lt;TODAY()),"Overdue",""),IF(AND($I75&lt;&gt;"",$I75&gt;=TODAY(),$I75&lt;=TODAY()+7),"Due This Week",""),IF($M75&lt;=VLOOKUP(Home!$C$7,Lists!$N$2:$O$6,2,FALSE),$H75&amp;" Task",""),IF($G75=Home!$E$7,"Fits Current Energy",""),"No Blockers")))</f>
        <v/>
      </c>
      <c r="P75" s="5">
        <f>IF($D75="","",SWITCH('Task Finder'!$C$6,"High Priority",AND($F75="High",$E75&lt;&gt;"Done",$E75&lt;&gt;"Archive"),"Due This Week",AND($I75&lt;&gt;"",$I75&gt;=TODAY(),$I75&lt;=TODAY()+7,$E75&lt;&gt;"Done"),"Quick Wins (15 mins or less)",AND($M75&lt;=15,$E75&lt;&gt;"Done",$E75&lt;&gt;"Blocked"),"Deep Thinking",AND($G75="Deep Thinking",$E75&lt;&gt;"Done"),"Processing",AND($G75="Processing",$E75&lt;&gt;"Done"),"Blocked",$E75="Blocked","Waiting",$E75="Waiting","Recently Updated",AND($L75&lt;&gt;"",$L75&gt;=TODAY()-7),TRUE))</f>
        <v/>
      </c>
    </row>
    <row r="76">
      <c r="A76" s="19" t="n"/>
      <c r="B76" s="19" t="n"/>
      <c r="C76" s="19" t="n"/>
      <c r="D76" s="19" t="n"/>
      <c r="E76" s="19" t="n"/>
      <c r="F76" s="19" t="n"/>
      <c r="G76" s="19" t="n"/>
      <c r="H76" s="19" t="n"/>
      <c r="I76" s="19" t="n"/>
      <c r="J76" s="19" t="n"/>
      <c r="K76" s="19" t="n"/>
      <c r="L76" s="35" t="n"/>
      <c r="M76" s="5">
        <f>IF($D76="","",IFERROR(VLOOKUP($H76,Lists!$N$2:$O$6,2,FALSE),0))</f>
        <v/>
      </c>
      <c r="N76" s="5">
        <f>IF($D76="","",IF(OR($E76="Blocked",$E76="Done",$E76="Archive"),-9999,IF(AND($E76="Waiting",SUMPRODUCT((($E$5:$E$200="Next")+($E$5:$E$200="In Progress")+($E$5:$E$200="Captured"))*($D$5:$D$200&lt;&gt;""))&gt;0),-500,VLOOKUP($F76,Lists!$L$2:$M$4,2,FALSE)+IF($E76="In Progress",10,0)+IF(AND($I76&lt;&gt;"",$I76&lt;TODAY()),25,0)+IF(AND($I76&lt;&gt;"",$I76&gt;=TODAY(),$I76&lt;=TODAY()+7),15,0)+IF($M76&lt;=VLOOKUP(Home!$C$7,Lists!$N$2:$O$6,2,FALSE),20,-10)+IF($G76=Home!$E$7,15,IF(Home!$E$7="",0,-5))-ROW()/100000)))</f>
        <v/>
      </c>
      <c r="O76" s="5">
        <f>IF($D76="","",IF($N76&lt;=-500,"Not recommended right now",TEXTJOIN(" • ",TRUE,IF($F76="High","High Priority",""),IF(AND($I76&lt;&gt;"",$I76&lt;TODAY()),"Overdue",""),IF(AND($I76&lt;&gt;"",$I76&gt;=TODAY(),$I76&lt;=TODAY()+7),"Due This Week",""),IF($M76&lt;=VLOOKUP(Home!$C$7,Lists!$N$2:$O$6,2,FALSE),$H76&amp;" Task",""),IF($G76=Home!$E$7,"Fits Current Energy",""),"No Blockers")))</f>
        <v/>
      </c>
      <c r="P76" s="5">
        <f>IF($D76="","",SWITCH('Task Finder'!$C$6,"High Priority",AND($F76="High",$E76&lt;&gt;"Done",$E76&lt;&gt;"Archive"),"Due This Week",AND($I76&lt;&gt;"",$I76&gt;=TODAY(),$I76&lt;=TODAY()+7,$E76&lt;&gt;"Done"),"Quick Wins (15 mins or less)",AND($M76&lt;=15,$E76&lt;&gt;"Done",$E76&lt;&gt;"Blocked"),"Deep Thinking",AND($G76="Deep Thinking",$E76&lt;&gt;"Done"),"Processing",AND($G76="Processing",$E76&lt;&gt;"Done"),"Blocked",$E76="Blocked","Waiting",$E76="Waiting","Recently Updated",AND($L76&lt;&gt;"",$L76&gt;=TODAY()-7),TRUE))</f>
        <v/>
      </c>
    </row>
    <row r="77">
      <c r="A77" s="19" t="n"/>
      <c r="B77" s="19" t="n"/>
      <c r="C77" s="19" t="n"/>
      <c r="D77" s="19" t="n"/>
      <c r="E77" s="19" t="n"/>
      <c r="F77" s="19" t="n"/>
      <c r="G77" s="19" t="n"/>
      <c r="H77" s="19" t="n"/>
      <c r="I77" s="19" t="n"/>
      <c r="J77" s="19" t="n"/>
      <c r="K77" s="19" t="n"/>
      <c r="L77" s="35" t="n"/>
      <c r="M77" s="5">
        <f>IF($D77="","",IFERROR(VLOOKUP($H77,Lists!$N$2:$O$6,2,FALSE),0))</f>
        <v/>
      </c>
      <c r="N77" s="5">
        <f>IF($D77="","",IF(OR($E77="Blocked",$E77="Done",$E77="Archive"),-9999,IF(AND($E77="Waiting",SUMPRODUCT((($E$5:$E$200="Next")+($E$5:$E$200="In Progress")+($E$5:$E$200="Captured"))*($D$5:$D$200&lt;&gt;""))&gt;0),-500,VLOOKUP($F77,Lists!$L$2:$M$4,2,FALSE)+IF($E77="In Progress",10,0)+IF(AND($I77&lt;&gt;"",$I77&lt;TODAY()),25,0)+IF(AND($I77&lt;&gt;"",$I77&gt;=TODAY(),$I77&lt;=TODAY()+7),15,0)+IF($M77&lt;=VLOOKUP(Home!$C$7,Lists!$N$2:$O$6,2,FALSE),20,-10)+IF($G77=Home!$E$7,15,IF(Home!$E$7="",0,-5))-ROW()/100000)))</f>
        <v/>
      </c>
      <c r="O77" s="5">
        <f>IF($D77="","",IF($N77&lt;=-500,"Not recommended right now",TEXTJOIN(" • ",TRUE,IF($F77="High","High Priority",""),IF(AND($I77&lt;&gt;"",$I77&lt;TODAY()),"Overdue",""),IF(AND($I77&lt;&gt;"",$I77&gt;=TODAY(),$I77&lt;=TODAY()+7),"Due This Week",""),IF($M77&lt;=VLOOKUP(Home!$C$7,Lists!$N$2:$O$6,2,FALSE),$H77&amp;" Task",""),IF($G77=Home!$E$7,"Fits Current Energy",""),"No Blockers")))</f>
        <v/>
      </c>
      <c r="P77" s="5">
        <f>IF($D77="","",SWITCH('Task Finder'!$C$6,"High Priority",AND($F77="High",$E77&lt;&gt;"Done",$E77&lt;&gt;"Archive"),"Due This Week",AND($I77&lt;&gt;"",$I77&gt;=TODAY(),$I77&lt;=TODAY()+7,$E77&lt;&gt;"Done"),"Quick Wins (15 mins or less)",AND($M77&lt;=15,$E77&lt;&gt;"Done",$E77&lt;&gt;"Blocked"),"Deep Thinking",AND($G77="Deep Thinking",$E77&lt;&gt;"Done"),"Processing",AND($G77="Processing",$E77&lt;&gt;"Done"),"Blocked",$E77="Blocked","Waiting",$E77="Waiting","Recently Updated",AND($L77&lt;&gt;"",$L77&gt;=TODAY()-7),TRUE))</f>
        <v/>
      </c>
    </row>
    <row r="78">
      <c r="A78" s="19" t="n"/>
      <c r="B78" s="19" t="n"/>
      <c r="C78" s="19" t="n"/>
      <c r="D78" s="19" t="n"/>
      <c r="E78" s="19" t="n"/>
      <c r="F78" s="19" t="n"/>
      <c r="G78" s="19" t="n"/>
      <c r="H78" s="19" t="n"/>
      <c r="I78" s="19" t="n"/>
      <c r="J78" s="19" t="n"/>
      <c r="K78" s="19" t="n"/>
      <c r="L78" s="35" t="n"/>
      <c r="M78" s="5">
        <f>IF($D78="","",IFERROR(VLOOKUP($H78,Lists!$N$2:$O$6,2,FALSE),0))</f>
        <v/>
      </c>
      <c r="N78" s="5">
        <f>IF($D78="","",IF(OR($E78="Blocked",$E78="Done",$E78="Archive"),-9999,IF(AND($E78="Waiting",SUMPRODUCT((($E$5:$E$200="Next")+($E$5:$E$200="In Progress")+($E$5:$E$200="Captured"))*($D$5:$D$200&lt;&gt;""))&gt;0),-500,VLOOKUP($F78,Lists!$L$2:$M$4,2,FALSE)+IF($E78="In Progress",10,0)+IF(AND($I78&lt;&gt;"",$I78&lt;TODAY()),25,0)+IF(AND($I78&lt;&gt;"",$I78&gt;=TODAY(),$I78&lt;=TODAY()+7),15,0)+IF($M78&lt;=VLOOKUP(Home!$C$7,Lists!$N$2:$O$6,2,FALSE),20,-10)+IF($G78=Home!$E$7,15,IF(Home!$E$7="",0,-5))-ROW()/100000)))</f>
        <v/>
      </c>
      <c r="O78" s="5">
        <f>IF($D78="","",IF($N78&lt;=-500,"Not recommended right now",TEXTJOIN(" • ",TRUE,IF($F78="High","High Priority",""),IF(AND($I78&lt;&gt;"",$I78&lt;TODAY()),"Overdue",""),IF(AND($I78&lt;&gt;"",$I78&gt;=TODAY(),$I78&lt;=TODAY()+7),"Due This Week",""),IF($M78&lt;=VLOOKUP(Home!$C$7,Lists!$N$2:$O$6,2,FALSE),$H78&amp;" Task",""),IF($G78=Home!$E$7,"Fits Current Energy",""),"No Blockers")))</f>
        <v/>
      </c>
      <c r="P78" s="5">
        <f>IF($D78="","",SWITCH('Task Finder'!$C$6,"High Priority",AND($F78="High",$E78&lt;&gt;"Done",$E78&lt;&gt;"Archive"),"Due This Week",AND($I78&lt;&gt;"",$I78&gt;=TODAY(),$I78&lt;=TODAY()+7,$E78&lt;&gt;"Done"),"Quick Wins (15 mins or less)",AND($M78&lt;=15,$E78&lt;&gt;"Done",$E78&lt;&gt;"Blocked"),"Deep Thinking",AND($G78="Deep Thinking",$E78&lt;&gt;"Done"),"Processing",AND($G78="Processing",$E78&lt;&gt;"Done"),"Blocked",$E78="Blocked","Waiting",$E78="Waiting","Recently Updated",AND($L78&lt;&gt;"",$L78&gt;=TODAY()-7),TRUE))</f>
        <v/>
      </c>
    </row>
    <row r="79">
      <c r="A79" s="19" t="n"/>
      <c r="B79" s="19" t="n"/>
      <c r="C79" s="19" t="n"/>
      <c r="D79" s="19" t="n"/>
      <c r="E79" s="19" t="n"/>
      <c r="F79" s="19" t="n"/>
      <c r="G79" s="19" t="n"/>
      <c r="H79" s="19" t="n"/>
      <c r="I79" s="19" t="n"/>
      <c r="J79" s="19" t="n"/>
      <c r="K79" s="19" t="n"/>
      <c r="L79" s="35" t="n"/>
      <c r="M79" s="5">
        <f>IF($D79="","",IFERROR(VLOOKUP($H79,Lists!$N$2:$O$6,2,FALSE),0))</f>
        <v/>
      </c>
      <c r="N79" s="5">
        <f>IF($D79="","",IF(OR($E79="Blocked",$E79="Done",$E79="Archive"),-9999,IF(AND($E79="Waiting",SUMPRODUCT((($E$5:$E$200="Next")+($E$5:$E$200="In Progress")+($E$5:$E$200="Captured"))*($D$5:$D$200&lt;&gt;""))&gt;0),-500,VLOOKUP($F79,Lists!$L$2:$M$4,2,FALSE)+IF($E79="In Progress",10,0)+IF(AND($I79&lt;&gt;"",$I79&lt;TODAY()),25,0)+IF(AND($I79&lt;&gt;"",$I79&gt;=TODAY(),$I79&lt;=TODAY()+7),15,0)+IF($M79&lt;=VLOOKUP(Home!$C$7,Lists!$N$2:$O$6,2,FALSE),20,-10)+IF($G79=Home!$E$7,15,IF(Home!$E$7="",0,-5))-ROW()/100000)))</f>
        <v/>
      </c>
      <c r="O79" s="5">
        <f>IF($D79="","",IF($N79&lt;=-500,"Not recommended right now",TEXTJOIN(" • ",TRUE,IF($F79="High","High Priority",""),IF(AND($I79&lt;&gt;"",$I79&lt;TODAY()),"Overdue",""),IF(AND($I79&lt;&gt;"",$I79&gt;=TODAY(),$I79&lt;=TODAY()+7),"Due This Week",""),IF($M79&lt;=VLOOKUP(Home!$C$7,Lists!$N$2:$O$6,2,FALSE),$H79&amp;" Task",""),IF($G79=Home!$E$7,"Fits Current Energy",""),"No Blockers")))</f>
        <v/>
      </c>
      <c r="P79" s="5">
        <f>IF($D79="","",SWITCH('Task Finder'!$C$6,"High Priority",AND($F79="High",$E79&lt;&gt;"Done",$E79&lt;&gt;"Archive"),"Due This Week",AND($I79&lt;&gt;"",$I79&gt;=TODAY(),$I79&lt;=TODAY()+7,$E79&lt;&gt;"Done"),"Quick Wins (15 mins or less)",AND($M79&lt;=15,$E79&lt;&gt;"Done",$E79&lt;&gt;"Blocked"),"Deep Thinking",AND($G79="Deep Thinking",$E79&lt;&gt;"Done"),"Processing",AND($G79="Processing",$E79&lt;&gt;"Done"),"Blocked",$E79="Blocked","Waiting",$E79="Waiting","Recently Updated",AND($L79&lt;&gt;"",$L79&gt;=TODAY()-7),TRUE))</f>
        <v/>
      </c>
    </row>
    <row r="80">
      <c r="A80" s="19" t="n"/>
      <c r="B80" s="19" t="n"/>
      <c r="C80" s="19" t="n"/>
      <c r="D80" s="19" t="n"/>
      <c r="E80" s="19" t="n"/>
      <c r="F80" s="19" t="n"/>
      <c r="G80" s="19" t="n"/>
      <c r="H80" s="19" t="n"/>
      <c r="I80" s="19" t="n"/>
      <c r="J80" s="19" t="n"/>
      <c r="K80" s="19" t="n"/>
      <c r="L80" s="35" t="n"/>
      <c r="M80" s="5">
        <f>IF($D80="","",IFERROR(VLOOKUP($H80,Lists!$N$2:$O$6,2,FALSE),0))</f>
        <v/>
      </c>
      <c r="N80" s="5">
        <f>IF($D80="","",IF(OR($E80="Blocked",$E80="Done",$E80="Archive"),-9999,IF(AND($E80="Waiting",SUMPRODUCT((($E$5:$E$200="Next")+($E$5:$E$200="In Progress")+($E$5:$E$200="Captured"))*($D$5:$D$200&lt;&gt;""))&gt;0),-500,VLOOKUP($F80,Lists!$L$2:$M$4,2,FALSE)+IF($E80="In Progress",10,0)+IF(AND($I80&lt;&gt;"",$I80&lt;TODAY()),25,0)+IF(AND($I80&lt;&gt;"",$I80&gt;=TODAY(),$I80&lt;=TODAY()+7),15,0)+IF($M80&lt;=VLOOKUP(Home!$C$7,Lists!$N$2:$O$6,2,FALSE),20,-10)+IF($G80=Home!$E$7,15,IF(Home!$E$7="",0,-5))-ROW()/100000)))</f>
        <v/>
      </c>
      <c r="O80" s="5">
        <f>IF($D80="","",IF($N80&lt;=-500,"Not recommended right now",TEXTJOIN(" • ",TRUE,IF($F80="High","High Priority",""),IF(AND($I80&lt;&gt;"",$I80&lt;TODAY()),"Overdue",""),IF(AND($I80&lt;&gt;"",$I80&gt;=TODAY(),$I80&lt;=TODAY()+7),"Due This Week",""),IF($M80&lt;=VLOOKUP(Home!$C$7,Lists!$N$2:$O$6,2,FALSE),$H80&amp;" Task",""),IF($G80=Home!$E$7,"Fits Current Energy",""),"No Blockers")))</f>
        <v/>
      </c>
      <c r="P80" s="5">
        <f>IF($D80="","",SWITCH('Task Finder'!$C$6,"High Priority",AND($F80="High",$E80&lt;&gt;"Done",$E80&lt;&gt;"Archive"),"Due This Week",AND($I80&lt;&gt;"",$I80&gt;=TODAY(),$I80&lt;=TODAY()+7,$E80&lt;&gt;"Done"),"Quick Wins (15 mins or less)",AND($M80&lt;=15,$E80&lt;&gt;"Done",$E80&lt;&gt;"Blocked"),"Deep Thinking",AND($G80="Deep Thinking",$E80&lt;&gt;"Done"),"Processing",AND($G80="Processing",$E80&lt;&gt;"Done"),"Blocked",$E80="Blocked","Waiting",$E80="Waiting","Recently Updated",AND($L80&lt;&gt;"",$L80&gt;=TODAY()-7),TRUE))</f>
        <v/>
      </c>
    </row>
    <row r="81">
      <c r="A81" s="19" t="n"/>
      <c r="B81" s="19" t="n"/>
      <c r="C81" s="19" t="n"/>
      <c r="D81" s="19" t="n"/>
      <c r="E81" s="19" t="n"/>
      <c r="F81" s="19" t="n"/>
      <c r="G81" s="19" t="n"/>
      <c r="H81" s="19" t="n"/>
      <c r="I81" s="19" t="n"/>
      <c r="J81" s="19" t="n"/>
      <c r="K81" s="19" t="n"/>
      <c r="L81" s="35" t="n"/>
      <c r="M81" s="5">
        <f>IF($D81="","",IFERROR(VLOOKUP($H81,Lists!$N$2:$O$6,2,FALSE),0))</f>
        <v/>
      </c>
      <c r="N81" s="5">
        <f>IF($D81="","",IF(OR($E81="Blocked",$E81="Done",$E81="Archive"),-9999,IF(AND($E81="Waiting",SUMPRODUCT((($E$5:$E$200="Next")+($E$5:$E$200="In Progress")+($E$5:$E$200="Captured"))*($D$5:$D$200&lt;&gt;""))&gt;0),-500,VLOOKUP($F81,Lists!$L$2:$M$4,2,FALSE)+IF($E81="In Progress",10,0)+IF(AND($I81&lt;&gt;"",$I81&lt;TODAY()),25,0)+IF(AND($I81&lt;&gt;"",$I81&gt;=TODAY(),$I81&lt;=TODAY()+7),15,0)+IF($M81&lt;=VLOOKUP(Home!$C$7,Lists!$N$2:$O$6,2,FALSE),20,-10)+IF($G81=Home!$E$7,15,IF(Home!$E$7="",0,-5))-ROW()/100000)))</f>
        <v/>
      </c>
      <c r="O81" s="5">
        <f>IF($D81="","",IF($N81&lt;=-500,"Not recommended right now",TEXTJOIN(" • ",TRUE,IF($F81="High","High Priority",""),IF(AND($I81&lt;&gt;"",$I81&lt;TODAY()),"Overdue",""),IF(AND($I81&lt;&gt;"",$I81&gt;=TODAY(),$I81&lt;=TODAY()+7),"Due This Week",""),IF($M81&lt;=VLOOKUP(Home!$C$7,Lists!$N$2:$O$6,2,FALSE),$H81&amp;" Task",""),IF($G81=Home!$E$7,"Fits Current Energy",""),"No Blockers")))</f>
        <v/>
      </c>
      <c r="P81" s="5">
        <f>IF($D81="","",SWITCH('Task Finder'!$C$6,"High Priority",AND($F81="High",$E81&lt;&gt;"Done",$E81&lt;&gt;"Archive"),"Due This Week",AND($I81&lt;&gt;"",$I81&gt;=TODAY(),$I81&lt;=TODAY()+7,$E81&lt;&gt;"Done"),"Quick Wins (15 mins or less)",AND($M81&lt;=15,$E81&lt;&gt;"Done",$E81&lt;&gt;"Blocked"),"Deep Thinking",AND($G81="Deep Thinking",$E81&lt;&gt;"Done"),"Processing",AND($G81="Processing",$E81&lt;&gt;"Done"),"Blocked",$E81="Blocked","Waiting",$E81="Waiting","Recently Updated",AND($L81&lt;&gt;"",$L81&gt;=TODAY()-7),TRUE))</f>
        <v/>
      </c>
    </row>
    <row r="82">
      <c r="A82" s="19" t="n"/>
      <c r="B82" s="19" t="n"/>
      <c r="C82" s="19" t="n"/>
      <c r="D82" s="19" t="n"/>
      <c r="E82" s="19" t="n"/>
      <c r="F82" s="19" t="n"/>
      <c r="G82" s="19" t="n"/>
      <c r="H82" s="19" t="n"/>
      <c r="I82" s="19" t="n"/>
      <c r="J82" s="19" t="n"/>
      <c r="K82" s="19" t="n"/>
      <c r="L82" s="35" t="n"/>
      <c r="M82" s="5">
        <f>IF($D82="","",IFERROR(VLOOKUP($H82,Lists!$N$2:$O$6,2,FALSE),0))</f>
        <v/>
      </c>
      <c r="N82" s="5">
        <f>IF($D82="","",IF(OR($E82="Blocked",$E82="Done",$E82="Archive"),-9999,IF(AND($E82="Waiting",SUMPRODUCT((($E$5:$E$200="Next")+($E$5:$E$200="In Progress")+($E$5:$E$200="Captured"))*($D$5:$D$200&lt;&gt;""))&gt;0),-500,VLOOKUP($F82,Lists!$L$2:$M$4,2,FALSE)+IF($E82="In Progress",10,0)+IF(AND($I82&lt;&gt;"",$I82&lt;TODAY()),25,0)+IF(AND($I82&lt;&gt;"",$I82&gt;=TODAY(),$I82&lt;=TODAY()+7),15,0)+IF($M82&lt;=VLOOKUP(Home!$C$7,Lists!$N$2:$O$6,2,FALSE),20,-10)+IF($G82=Home!$E$7,15,IF(Home!$E$7="",0,-5))-ROW()/100000)))</f>
        <v/>
      </c>
      <c r="O82" s="5">
        <f>IF($D82="","",IF($N82&lt;=-500,"Not recommended right now",TEXTJOIN(" • ",TRUE,IF($F82="High","High Priority",""),IF(AND($I82&lt;&gt;"",$I82&lt;TODAY()),"Overdue",""),IF(AND($I82&lt;&gt;"",$I82&gt;=TODAY(),$I82&lt;=TODAY()+7),"Due This Week",""),IF($M82&lt;=VLOOKUP(Home!$C$7,Lists!$N$2:$O$6,2,FALSE),$H82&amp;" Task",""),IF($G82=Home!$E$7,"Fits Current Energy",""),"No Blockers")))</f>
        <v/>
      </c>
      <c r="P82" s="5">
        <f>IF($D82="","",SWITCH('Task Finder'!$C$6,"High Priority",AND($F82="High",$E82&lt;&gt;"Done",$E82&lt;&gt;"Archive"),"Due This Week",AND($I82&lt;&gt;"",$I82&gt;=TODAY(),$I82&lt;=TODAY()+7,$E82&lt;&gt;"Done"),"Quick Wins (15 mins or less)",AND($M82&lt;=15,$E82&lt;&gt;"Done",$E82&lt;&gt;"Blocked"),"Deep Thinking",AND($G82="Deep Thinking",$E82&lt;&gt;"Done"),"Processing",AND($G82="Processing",$E82&lt;&gt;"Done"),"Blocked",$E82="Blocked","Waiting",$E82="Waiting","Recently Updated",AND($L82&lt;&gt;"",$L82&gt;=TODAY()-7),TRUE))</f>
        <v/>
      </c>
    </row>
    <row r="83">
      <c r="A83" s="19" t="n"/>
      <c r="B83" s="19" t="n"/>
      <c r="C83" s="19" t="n"/>
      <c r="D83" s="19" t="n"/>
      <c r="E83" s="19" t="n"/>
      <c r="F83" s="19" t="n"/>
      <c r="G83" s="19" t="n"/>
      <c r="H83" s="19" t="n"/>
      <c r="I83" s="19" t="n"/>
      <c r="J83" s="19" t="n"/>
      <c r="K83" s="19" t="n"/>
      <c r="L83" s="35" t="n"/>
      <c r="M83" s="5">
        <f>IF($D83="","",IFERROR(VLOOKUP($H83,Lists!$N$2:$O$6,2,FALSE),0))</f>
        <v/>
      </c>
      <c r="N83" s="5">
        <f>IF($D83="","",IF(OR($E83="Blocked",$E83="Done",$E83="Archive"),-9999,IF(AND($E83="Waiting",SUMPRODUCT((($E$5:$E$200="Next")+($E$5:$E$200="In Progress")+($E$5:$E$200="Captured"))*($D$5:$D$200&lt;&gt;""))&gt;0),-500,VLOOKUP($F83,Lists!$L$2:$M$4,2,FALSE)+IF($E83="In Progress",10,0)+IF(AND($I83&lt;&gt;"",$I83&lt;TODAY()),25,0)+IF(AND($I83&lt;&gt;"",$I83&gt;=TODAY(),$I83&lt;=TODAY()+7),15,0)+IF($M83&lt;=VLOOKUP(Home!$C$7,Lists!$N$2:$O$6,2,FALSE),20,-10)+IF($G83=Home!$E$7,15,IF(Home!$E$7="",0,-5))-ROW()/100000)))</f>
        <v/>
      </c>
      <c r="O83" s="5">
        <f>IF($D83="","",IF($N83&lt;=-500,"Not recommended right now",TEXTJOIN(" • ",TRUE,IF($F83="High","High Priority",""),IF(AND($I83&lt;&gt;"",$I83&lt;TODAY()),"Overdue",""),IF(AND($I83&lt;&gt;"",$I83&gt;=TODAY(),$I83&lt;=TODAY()+7),"Due This Week",""),IF($M83&lt;=VLOOKUP(Home!$C$7,Lists!$N$2:$O$6,2,FALSE),$H83&amp;" Task",""),IF($G83=Home!$E$7,"Fits Current Energy",""),"No Blockers")))</f>
        <v/>
      </c>
      <c r="P83" s="5">
        <f>IF($D83="","",SWITCH('Task Finder'!$C$6,"High Priority",AND($F83="High",$E83&lt;&gt;"Done",$E83&lt;&gt;"Archive"),"Due This Week",AND($I83&lt;&gt;"",$I83&gt;=TODAY(),$I83&lt;=TODAY()+7,$E83&lt;&gt;"Done"),"Quick Wins (15 mins or less)",AND($M83&lt;=15,$E83&lt;&gt;"Done",$E83&lt;&gt;"Blocked"),"Deep Thinking",AND($G83="Deep Thinking",$E83&lt;&gt;"Done"),"Processing",AND($G83="Processing",$E83&lt;&gt;"Done"),"Blocked",$E83="Blocked","Waiting",$E83="Waiting","Recently Updated",AND($L83&lt;&gt;"",$L83&gt;=TODAY()-7),TRUE))</f>
        <v/>
      </c>
    </row>
    <row r="84">
      <c r="A84" s="19" t="n"/>
      <c r="B84" s="19" t="n"/>
      <c r="C84" s="19" t="n"/>
      <c r="D84" s="19" t="n"/>
      <c r="E84" s="19" t="n"/>
      <c r="F84" s="19" t="n"/>
      <c r="G84" s="19" t="n"/>
      <c r="H84" s="19" t="n"/>
      <c r="I84" s="19" t="n"/>
      <c r="J84" s="19" t="n"/>
      <c r="K84" s="19" t="n"/>
      <c r="L84" s="35" t="n"/>
      <c r="M84" s="5">
        <f>IF($D84="","",IFERROR(VLOOKUP($H84,Lists!$N$2:$O$6,2,FALSE),0))</f>
        <v/>
      </c>
      <c r="N84" s="5">
        <f>IF($D84="","",IF(OR($E84="Blocked",$E84="Done",$E84="Archive"),-9999,IF(AND($E84="Waiting",SUMPRODUCT((($E$5:$E$200="Next")+($E$5:$E$200="In Progress")+($E$5:$E$200="Captured"))*($D$5:$D$200&lt;&gt;""))&gt;0),-500,VLOOKUP($F84,Lists!$L$2:$M$4,2,FALSE)+IF($E84="In Progress",10,0)+IF(AND($I84&lt;&gt;"",$I84&lt;TODAY()),25,0)+IF(AND($I84&lt;&gt;"",$I84&gt;=TODAY(),$I84&lt;=TODAY()+7),15,0)+IF($M84&lt;=VLOOKUP(Home!$C$7,Lists!$N$2:$O$6,2,FALSE),20,-10)+IF($G84=Home!$E$7,15,IF(Home!$E$7="",0,-5))-ROW()/100000)))</f>
        <v/>
      </c>
      <c r="O84" s="5">
        <f>IF($D84="","",IF($N84&lt;=-500,"Not recommended right now",TEXTJOIN(" • ",TRUE,IF($F84="High","High Priority",""),IF(AND($I84&lt;&gt;"",$I84&lt;TODAY()),"Overdue",""),IF(AND($I84&lt;&gt;"",$I84&gt;=TODAY(),$I84&lt;=TODAY()+7),"Due This Week",""),IF($M84&lt;=VLOOKUP(Home!$C$7,Lists!$N$2:$O$6,2,FALSE),$H84&amp;" Task",""),IF($G84=Home!$E$7,"Fits Current Energy",""),"No Blockers")))</f>
        <v/>
      </c>
      <c r="P84" s="5">
        <f>IF($D84="","",SWITCH('Task Finder'!$C$6,"High Priority",AND($F84="High",$E84&lt;&gt;"Done",$E84&lt;&gt;"Archive"),"Due This Week",AND($I84&lt;&gt;"",$I84&gt;=TODAY(),$I84&lt;=TODAY()+7,$E84&lt;&gt;"Done"),"Quick Wins (15 mins or less)",AND($M84&lt;=15,$E84&lt;&gt;"Done",$E84&lt;&gt;"Blocked"),"Deep Thinking",AND($G84="Deep Thinking",$E84&lt;&gt;"Done"),"Processing",AND($G84="Processing",$E84&lt;&gt;"Done"),"Blocked",$E84="Blocked","Waiting",$E84="Waiting","Recently Updated",AND($L84&lt;&gt;"",$L84&gt;=TODAY()-7),TRUE))</f>
        <v/>
      </c>
    </row>
    <row r="85">
      <c r="A85" s="19" t="n"/>
      <c r="B85" s="19" t="n"/>
      <c r="C85" s="19" t="n"/>
      <c r="D85" s="19" t="n"/>
      <c r="E85" s="19" t="n"/>
      <c r="F85" s="19" t="n"/>
      <c r="G85" s="19" t="n"/>
      <c r="H85" s="19" t="n"/>
      <c r="I85" s="19" t="n"/>
      <c r="J85" s="19" t="n"/>
      <c r="K85" s="19" t="n"/>
      <c r="L85" s="35" t="n"/>
      <c r="M85" s="5">
        <f>IF($D85="","",IFERROR(VLOOKUP($H85,Lists!$N$2:$O$6,2,FALSE),0))</f>
        <v/>
      </c>
      <c r="N85" s="5">
        <f>IF($D85="","",IF(OR($E85="Blocked",$E85="Done",$E85="Archive"),-9999,IF(AND($E85="Waiting",SUMPRODUCT((($E$5:$E$200="Next")+($E$5:$E$200="In Progress")+($E$5:$E$200="Captured"))*($D$5:$D$200&lt;&gt;""))&gt;0),-500,VLOOKUP($F85,Lists!$L$2:$M$4,2,FALSE)+IF($E85="In Progress",10,0)+IF(AND($I85&lt;&gt;"",$I85&lt;TODAY()),25,0)+IF(AND($I85&lt;&gt;"",$I85&gt;=TODAY(),$I85&lt;=TODAY()+7),15,0)+IF($M85&lt;=VLOOKUP(Home!$C$7,Lists!$N$2:$O$6,2,FALSE),20,-10)+IF($G85=Home!$E$7,15,IF(Home!$E$7="",0,-5))-ROW()/100000)))</f>
        <v/>
      </c>
      <c r="O85" s="5">
        <f>IF($D85="","",IF($N85&lt;=-500,"Not recommended right now",TEXTJOIN(" • ",TRUE,IF($F85="High","High Priority",""),IF(AND($I85&lt;&gt;"",$I85&lt;TODAY()),"Overdue",""),IF(AND($I85&lt;&gt;"",$I85&gt;=TODAY(),$I85&lt;=TODAY()+7),"Due This Week",""),IF($M85&lt;=VLOOKUP(Home!$C$7,Lists!$N$2:$O$6,2,FALSE),$H85&amp;" Task",""),IF($G85=Home!$E$7,"Fits Current Energy",""),"No Blockers")))</f>
        <v/>
      </c>
      <c r="P85" s="5">
        <f>IF($D85="","",SWITCH('Task Finder'!$C$6,"High Priority",AND($F85="High",$E85&lt;&gt;"Done",$E85&lt;&gt;"Archive"),"Due This Week",AND($I85&lt;&gt;"",$I85&gt;=TODAY(),$I85&lt;=TODAY()+7,$E85&lt;&gt;"Done"),"Quick Wins (15 mins or less)",AND($M85&lt;=15,$E85&lt;&gt;"Done",$E85&lt;&gt;"Blocked"),"Deep Thinking",AND($G85="Deep Thinking",$E85&lt;&gt;"Done"),"Processing",AND($G85="Processing",$E85&lt;&gt;"Done"),"Blocked",$E85="Blocked","Waiting",$E85="Waiting","Recently Updated",AND($L85&lt;&gt;"",$L85&gt;=TODAY()-7),TRUE))</f>
        <v/>
      </c>
    </row>
    <row r="86">
      <c r="A86" s="19" t="n"/>
      <c r="B86" s="19" t="n"/>
      <c r="C86" s="19" t="n"/>
      <c r="D86" s="19" t="n"/>
      <c r="E86" s="19" t="n"/>
      <c r="F86" s="19" t="n"/>
      <c r="G86" s="19" t="n"/>
      <c r="H86" s="19" t="n"/>
      <c r="I86" s="19" t="n"/>
      <c r="J86" s="19" t="n"/>
      <c r="K86" s="19" t="n"/>
      <c r="L86" s="35" t="n"/>
      <c r="M86" s="5">
        <f>IF($D86="","",IFERROR(VLOOKUP($H86,Lists!$N$2:$O$6,2,FALSE),0))</f>
        <v/>
      </c>
      <c r="N86" s="5">
        <f>IF($D86="","",IF(OR($E86="Blocked",$E86="Done",$E86="Archive"),-9999,IF(AND($E86="Waiting",SUMPRODUCT((($E$5:$E$200="Next")+($E$5:$E$200="In Progress")+($E$5:$E$200="Captured"))*($D$5:$D$200&lt;&gt;""))&gt;0),-500,VLOOKUP($F86,Lists!$L$2:$M$4,2,FALSE)+IF($E86="In Progress",10,0)+IF(AND($I86&lt;&gt;"",$I86&lt;TODAY()),25,0)+IF(AND($I86&lt;&gt;"",$I86&gt;=TODAY(),$I86&lt;=TODAY()+7),15,0)+IF($M86&lt;=VLOOKUP(Home!$C$7,Lists!$N$2:$O$6,2,FALSE),20,-10)+IF($G86=Home!$E$7,15,IF(Home!$E$7="",0,-5))-ROW()/100000)))</f>
        <v/>
      </c>
      <c r="O86" s="5">
        <f>IF($D86="","",IF($N86&lt;=-500,"Not recommended right now",TEXTJOIN(" • ",TRUE,IF($F86="High","High Priority",""),IF(AND($I86&lt;&gt;"",$I86&lt;TODAY()),"Overdue",""),IF(AND($I86&lt;&gt;"",$I86&gt;=TODAY(),$I86&lt;=TODAY()+7),"Due This Week",""),IF($M86&lt;=VLOOKUP(Home!$C$7,Lists!$N$2:$O$6,2,FALSE),$H86&amp;" Task",""),IF($G86=Home!$E$7,"Fits Current Energy",""),"No Blockers")))</f>
        <v/>
      </c>
      <c r="P86" s="5">
        <f>IF($D86="","",SWITCH('Task Finder'!$C$6,"High Priority",AND($F86="High",$E86&lt;&gt;"Done",$E86&lt;&gt;"Archive"),"Due This Week",AND($I86&lt;&gt;"",$I86&gt;=TODAY(),$I86&lt;=TODAY()+7,$E86&lt;&gt;"Done"),"Quick Wins (15 mins or less)",AND($M86&lt;=15,$E86&lt;&gt;"Done",$E86&lt;&gt;"Blocked"),"Deep Thinking",AND($G86="Deep Thinking",$E86&lt;&gt;"Done"),"Processing",AND($G86="Processing",$E86&lt;&gt;"Done"),"Blocked",$E86="Blocked","Waiting",$E86="Waiting","Recently Updated",AND($L86&lt;&gt;"",$L86&gt;=TODAY()-7),TRUE))</f>
        <v/>
      </c>
    </row>
    <row r="87">
      <c r="A87" s="19" t="n"/>
      <c r="B87" s="19" t="n"/>
      <c r="C87" s="19" t="n"/>
      <c r="D87" s="19" t="n"/>
      <c r="E87" s="19" t="n"/>
      <c r="F87" s="19" t="n"/>
      <c r="G87" s="19" t="n"/>
      <c r="H87" s="19" t="n"/>
      <c r="I87" s="19" t="n"/>
      <c r="J87" s="19" t="n"/>
      <c r="K87" s="19" t="n"/>
      <c r="L87" s="35" t="n"/>
      <c r="M87" s="5">
        <f>IF($D87="","",IFERROR(VLOOKUP($H87,Lists!$N$2:$O$6,2,FALSE),0))</f>
        <v/>
      </c>
      <c r="N87" s="5">
        <f>IF($D87="","",IF(OR($E87="Blocked",$E87="Done",$E87="Archive"),-9999,IF(AND($E87="Waiting",SUMPRODUCT((($E$5:$E$200="Next")+($E$5:$E$200="In Progress")+($E$5:$E$200="Captured"))*($D$5:$D$200&lt;&gt;""))&gt;0),-500,VLOOKUP($F87,Lists!$L$2:$M$4,2,FALSE)+IF($E87="In Progress",10,0)+IF(AND($I87&lt;&gt;"",$I87&lt;TODAY()),25,0)+IF(AND($I87&lt;&gt;"",$I87&gt;=TODAY(),$I87&lt;=TODAY()+7),15,0)+IF($M87&lt;=VLOOKUP(Home!$C$7,Lists!$N$2:$O$6,2,FALSE),20,-10)+IF($G87=Home!$E$7,15,IF(Home!$E$7="",0,-5))-ROW()/100000)))</f>
        <v/>
      </c>
      <c r="O87" s="5">
        <f>IF($D87="","",IF($N87&lt;=-500,"Not recommended right now",TEXTJOIN(" • ",TRUE,IF($F87="High","High Priority",""),IF(AND($I87&lt;&gt;"",$I87&lt;TODAY()),"Overdue",""),IF(AND($I87&lt;&gt;"",$I87&gt;=TODAY(),$I87&lt;=TODAY()+7),"Due This Week",""),IF($M87&lt;=VLOOKUP(Home!$C$7,Lists!$N$2:$O$6,2,FALSE),$H87&amp;" Task",""),IF($G87=Home!$E$7,"Fits Current Energy",""),"No Blockers")))</f>
        <v/>
      </c>
      <c r="P87" s="5">
        <f>IF($D87="","",SWITCH('Task Finder'!$C$6,"High Priority",AND($F87="High",$E87&lt;&gt;"Done",$E87&lt;&gt;"Archive"),"Due This Week",AND($I87&lt;&gt;"",$I87&gt;=TODAY(),$I87&lt;=TODAY()+7,$E87&lt;&gt;"Done"),"Quick Wins (15 mins or less)",AND($M87&lt;=15,$E87&lt;&gt;"Done",$E87&lt;&gt;"Blocked"),"Deep Thinking",AND($G87="Deep Thinking",$E87&lt;&gt;"Done"),"Processing",AND($G87="Processing",$E87&lt;&gt;"Done"),"Blocked",$E87="Blocked","Waiting",$E87="Waiting","Recently Updated",AND($L87&lt;&gt;"",$L87&gt;=TODAY()-7),TRUE))</f>
        <v/>
      </c>
    </row>
    <row r="88">
      <c r="A88" s="19" t="n"/>
      <c r="B88" s="19" t="n"/>
      <c r="C88" s="19" t="n"/>
      <c r="D88" s="19" t="n"/>
      <c r="E88" s="19" t="n"/>
      <c r="F88" s="19" t="n"/>
      <c r="G88" s="19" t="n"/>
      <c r="H88" s="19" t="n"/>
      <c r="I88" s="19" t="n"/>
      <c r="J88" s="19" t="n"/>
      <c r="K88" s="19" t="n"/>
      <c r="L88" s="35" t="n"/>
      <c r="M88" s="5">
        <f>IF($D88="","",IFERROR(VLOOKUP($H88,Lists!$N$2:$O$6,2,FALSE),0))</f>
        <v/>
      </c>
      <c r="N88" s="5">
        <f>IF($D88="","",IF(OR($E88="Blocked",$E88="Done",$E88="Archive"),-9999,IF(AND($E88="Waiting",SUMPRODUCT((($E$5:$E$200="Next")+($E$5:$E$200="In Progress")+($E$5:$E$200="Captured"))*($D$5:$D$200&lt;&gt;""))&gt;0),-500,VLOOKUP($F88,Lists!$L$2:$M$4,2,FALSE)+IF($E88="In Progress",10,0)+IF(AND($I88&lt;&gt;"",$I88&lt;TODAY()),25,0)+IF(AND($I88&lt;&gt;"",$I88&gt;=TODAY(),$I88&lt;=TODAY()+7),15,0)+IF($M88&lt;=VLOOKUP(Home!$C$7,Lists!$N$2:$O$6,2,FALSE),20,-10)+IF($G88=Home!$E$7,15,IF(Home!$E$7="",0,-5))-ROW()/100000)))</f>
        <v/>
      </c>
      <c r="O88" s="5">
        <f>IF($D88="","",IF($N88&lt;=-500,"Not recommended right now",TEXTJOIN(" • ",TRUE,IF($F88="High","High Priority",""),IF(AND($I88&lt;&gt;"",$I88&lt;TODAY()),"Overdue",""),IF(AND($I88&lt;&gt;"",$I88&gt;=TODAY(),$I88&lt;=TODAY()+7),"Due This Week",""),IF($M88&lt;=VLOOKUP(Home!$C$7,Lists!$N$2:$O$6,2,FALSE),$H88&amp;" Task",""),IF($G88=Home!$E$7,"Fits Current Energy",""),"No Blockers")))</f>
        <v/>
      </c>
      <c r="P88" s="5">
        <f>IF($D88="","",SWITCH('Task Finder'!$C$6,"High Priority",AND($F88="High",$E88&lt;&gt;"Done",$E88&lt;&gt;"Archive"),"Due This Week",AND($I88&lt;&gt;"",$I88&gt;=TODAY(),$I88&lt;=TODAY()+7,$E88&lt;&gt;"Done"),"Quick Wins (15 mins or less)",AND($M88&lt;=15,$E88&lt;&gt;"Done",$E88&lt;&gt;"Blocked"),"Deep Thinking",AND($G88="Deep Thinking",$E88&lt;&gt;"Done"),"Processing",AND($G88="Processing",$E88&lt;&gt;"Done"),"Blocked",$E88="Blocked","Waiting",$E88="Waiting","Recently Updated",AND($L88&lt;&gt;"",$L88&gt;=TODAY()-7),TRUE))</f>
        <v/>
      </c>
    </row>
    <row r="89">
      <c r="A89" s="19" t="n"/>
      <c r="B89" s="19" t="n"/>
      <c r="C89" s="19" t="n"/>
      <c r="D89" s="19" t="n"/>
      <c r="E89" s="19" t="n"/>
      <c r="F89" s="19" t="n"/>
      <c r="G89" s="19" t="n"/>
      <c r="H89" s="19" t="n"/>
      <c r="I89" s="19" t="n"/>
      <c r="J89" s="19" t="n"/>
      <c r="K89" s="19" t="n"/>
      <c r="L89" s="35" t="n"/>
      <c r="M89" s="5">
        <f>IF($D89="","",IFERROR(VLOOKUP($H89,Lists!$N$2:$O$6,2,FALSE),0))</f>
        <v/>
      </c>
      <c r="N89" s="5">
        <f>IF($D89="","",IF(OR($E89="Blocked",$E89="Done",$E89="Archive"),-9999,IF(AND($E89="Waiting",SUMPRODUCT((($E$5:$E$200="Next")+($E$5:$E$200="In Progress")+($E$5:$E$200="Captured"))*($D$5:$D$200&lt;&gt;""))&gt;0),-500,VLOOKUP($F89,Lists!$L$2:$M$4,2,FALSE)+IF($E89="In Progress",10,0)+IF(AND($I89&lt;&gt;"",$I89&lt;TODAY()),25,0)+IF(AND($I89&lt;&gt;"",$I89&gt;=TODAY(),$I89&lt;=TODAY()+7),15,0)+IF($M89&lt;=VLOOKUP(Home!$C$7,Lists!$N$2:$O$6,2,FALSE),20,-10)+IF($G89=Home!$E$7,15,IF(Home!$E$7="",0,-5))-ROW()/100000)))</f>
        <v/>
      </c>
      <c r="O89" s="5">
        <f>IF($D89="","",IF($N89&lt;=-500,"Not recommended right now",TEXTJOIN(" • ",TRUE,IF($F89="High","High Priority",""),IF(AND($I89&lt;&gt;"",$I89&lt;TODAY()),"Overdue",""),IF(AND($I89&lt;&gt;"",$I89&gt;=TODAY(),$I89&lt;=TODAY()+7),"Due This Week",""),IF($M89&lt;=VLOOKUP(Home!$C$7,Lists!$N$2:$O$6,2,FALSE),$H89&amp;" Task",""),IF($G89=Home!$E$7,"Fits Current Energy",""),"No Blockers")))</f>
        <v/>
      </c>
      <c r="P89" s="5">
        <f>IF($D89="","",SWITCH('Task Finder'!$C$6,"High Priority",AND($F89="High",$E89&lt;&gt;"Done",$E89&lt;&gt;"Archive"),"Due This Week",AND($I89&lt;&gt;"",$I89&gt;=TODAY(),$I89&lt;=TODAY()+7,$E89&lt;&gt;"Done"),"Quick Wins (15 mins or less)",AND($M89&lt;=15,$E89&lt;&gt;"Done",$E89&lt;&gt;"Blocked"),"Deep Thinking",AND($G89="Deep Thinking",$E89&lt;&gt;"Done"),"Processing",AND($G89="Processing",$E89&lt;&gt;"Done"),"Blocked",$E89="Blocked","Waiting",$E89="Waiting","Recently Updated",AND($L89&lt;&gt;"",$L89&gt;=TODAY()-7),TRUE))</f>
        <v/>
      </c>
    </row>
    <row r="90">
      <c r="A90" s="19" t="n"/>
      <c r="B90" s="19" t="n"/>
      <c r="C90" s="19" t="n"/>
      <c r="D90" s="19" t="n"/>
      <c r="E90" s="19" t="n"/>
      <c r="F90" s="19" t="n"/>
      <c r="G90" s="19" t="n"/>
      <c r="H90" s="19" t="n"/>
      <c r="I90" s="19" t="n"/>
      <c r="J90" s="19" t="n"/>
      <c r="K90" s="19" t="n"/>
      <c r="L90" s="35" t="n"/>
      <c r="M90" s="5">
        <f>IF($D90="","",IFERROR(VLOOKUP($H90,Lists!$N$2:$O$6,2,FALSE),0))</f>
        <v/>
      </c>
      <c r="N90" s="5">
        <f>IF($D90="","",IF(OR($E90="Blocked",$E90="Done",$E90="Archive"),-9999,IF(AND($E90="Waiting",SUMPRODUCT((($E$5:$E$200="Next")+($E$5:$E$200="In Progress")+($E$5:$E$200="Captured"))*($D$5:$D$200&lt;&gt;""))&gt;0),-500,VLOOKUP($F90,Lists!$L$2:$M$4,2,FALSE)+IF($E90="In Progress",10,0)+IF(AND($I90&lt;&gt;"",$I90&lt;TODAY()),25,0)+IF(AND($I90&lt;&gt;"",$I90&gt;=TODAY(),$I90&lt;=TODAY()+7),15,0)+IF($M90&lt;=VLOOKUP(Home!$C$7,Lists!$N$2:$O$6,2,FALSE),20,-10)+IF($G90=Home!$E$7,15,IF(Home!$E$7="",0,-5))-ROW()/100000)))</f>
        <v/>
      </c>
      <c r="O90" s="5">
        <f>IF($D90="","",IF($N90&lt;=-500,"Not recommended right now",TEXTJOIN(" • ",TRUE,IF($F90="High","High Priority",""),IF(AND($I90&lt;&gt;"",$I90&lt;TODAY()),"Overdue",""),IF(AND($I90&lt;&gt;"",$I90&gt;=TODAY(),$I90&lt;=TODAY()+7),"Due This Week",""),IF($M90&lt;=VLOOKUP(Home!$C$7,Lists!$N$2:$O$6,2,FALSE),$H90&amp;" Task",""),IF($G90=Home!$E$7,"Fits Current Energy",""),"No Blockers")))</f>
        <v/>
      </c>
      <c r="P90" s="5">
        <f>IF($D90="","",SWITCH('Task Finder'!$C$6,"High Priority",AND($F90="High",$E90&lt;&gt;"Done",$E90&lt;&gt;"Archive"),"Due This Week",AND($I90&lt;&gt;"",$I90&gt;=TODAY(),$I90&lt;=TODAY()+7,$E90&lt;&gt;"Done"),"Quick Wins (15 mins or less)",AND($M90&lt;=15,$E90&lt;&gt;"Done",$E90&lt;&gt;"Blocked"),"Deep Thinking",AND($G90="Deep Thinking",$E90&lt;&gt;"Done"),"Processing",AND($G90="Processing",$E90&lt;&gt;"Done"),"Blocked",$E90="Blocked","Waiting",$E90="Waiting","Recently Updated",AND($L90&lt;&gt;"",$L90&gt;=TODAY()-7),TRUE))</f>
        <v/>
      </c>
    </row>
    <row r="91">
      <c r="A91" s="19" t="n"/>
      <c r="B91" s="19" t="n"/>
      <c r="C91" s="19" t="n"/>
      <c r="D91" s="19" t="n"/>
      <c r="E91" s="19" t="n"/>
      <c r="F91" s="19" t="n"/>
      <c r="G91" s="19" t="n"/>
      <c r="H91" s="19" t="n"/>
      <c r="I91" s="19" t="n"/>
      <c r="J91" s="19" t="n"/>
      <c r="K91" s="19" t="n"/>
      <c r="L91" s="35" t="n"/>
      <c r="M91" s="5">
        <f>IF($D91="","",IFERROR(VLOOKUP($H91,Lists!$N$2:$O$6,2,FALSE),0))</f>
        <v/>
      </c>
      <c r="N91" s="5">
        <f>IF($D91="","",IF(OR($E91="Blocked",$E91="Done",$E91="Archive"),-9999,IF(AND($E91="Waiting",SUMPRODUCT((($E$5:$E$200="Next")+($E$5:$E$200="In Progress")+($E$5:$E$200="Captured"))*($D$5:$D$200&lt;&gt;""))&gt;0),-500,VLOOKUP($F91,Lists!$L$2:$M$4,2,FALSE)+IF($E91="In Progress",10,0)+IF(AND($I91&lt;&gt;"",$I91&lt;TODAY()),25,0)+IF(AND($I91&lt;&gt;"",$I91&gt;=TODAY(),$I91&lt;=TODAY()+7),15,0)+IF($M91&lt;=VLOOKUP(Home!$C$7,Lists!$N$2:$O$6,2,FALSE),20,-10)+IF($G91=Home!$E$7,15,IF(Home!$E$7="",0,-5))-ROW()/100000)))</f>
        <v/>
      </c>
      <c r="O91" s="5">
        <f>IF($D91="","",IF($N91&lt;=-500,"Not recommended right now",TEXTJOIN(" • ",TRUE,IF($F91="High","High Priority",""),IF(AND($I91&lt;&gt;"",$I91&lt;TODAY()),"Overdue",""),IF(AND($I91&lt;&gt;"",$I91&gt;=TODAY(),$I91&lt;=TODAY()+7),"Due This Week",""),IF($M91&lt;=VLOOKUP(Home!$C$7,Lists!$N$2:$O$6,2,FALSE),$H91&amp;" Task",""),IF($G91=Home!$E$7,"Fits Current Energy",""),"No Blockers")))</f>
        <v/>
      </c>
      <c r="P91" s="5">
        <f>IF($D91="","",SWITCH('Task Finder'!$C$6,"High Priority",AND($F91="High",$E91&lt;&gt;"Done",$E91&lt;&gt;"Archive"),"Due This Week",AND($I91&lt;&gt;"",$I91&gt;=TODAY(),$I91&lt;=TODAY()+7,$E91&lt;&gt;"Done"),"Quick Wins (15 mins or less)",AND($M91&lt;=15,$E91&lt;&gt;"Done",$E91&lt;&gt;"Blocked"),"Deep Thinking",AND($G91="Deep Thinking",$E91&lt;&gt;"Done"),"Processing",AND($G91="Processing",$E91&lt;&gt;"Done"),"Blocked",$E91="Blocked","Waiting",$E91="Waiting","Recently Updated",AND($L91&lt;&gt;"",$L91&gt;=TODAY()-7),TRUE))</f>
        <v/>
      </c>
    </row>
    <row r="92">
      <c r="A92" s="19" t="n"/>
      <c r="B92" s="19" t="n"/>
      <c r="C92" s="19" t="n"/>
      <c r="D92" s="19" t="n"/>
      <c r="E92" s="19" t="n"/>
      <c r="F92" s="19" t="n"/>
      <c r="G92" s="19" t="n"/>
      <c r="H92" s="19" t="n"/>
      <c r="I92" s="19" t="n"/>
      <c r="J92" s="19" t="n"/>
      <c r="K92" s="19" t="n"/>
      <c r="L92" s="35" t="n"/>
      <c r="M92" s="5">
        <f>IF($D92="","",IFERROR(VLOOKUP($H92,Lists!$N$2:$O$6,2,FALSE),0))</f>
        <v/>
      </c>
      <c r="N92" s="5">
        <f>IF($D92="","",IF(OR($E92="Blocked",$E92="Done",$E92="Archive"),-9999,IF(AND($E92="Waiting",SUMPRODUCT((($E$5:$E$200="Next")+($E$5:$E$200="In Progress")+($E$5:$E$200="Captured"))*($D$5:$D$200&lt;&gt;""))&gt;0),-500,VLOOKUP($F92,Lists!$L$2:$M$4,2,FALSE)+IF($E92="In Progress",10,0)+IF(AND($I92&lt;&gt;"",$I92&lt;TODAY()),25,0)+IF(AND($I92&lt;&gt;"",$I92&gt;=TODAY(),$I92&lt;=TODAY()+7),15,0)+IF($M92&lt;=VLOOKUP(Home!$C$7,Lists!$N$2:$O$6,2,FALSE),20,-10)+IF($G92=Home!$E$7,15,IF(Home!$E$7="",0,-5))-ROW()/100000)))</f>
        <v/>
      </c>
      <c r="O92" s="5">
        <f>IF($D92="","",IF($N92&lt;=-500,"Not recommended right now",TEXTJOIN(" • ",TRUE,IF($F92="High","High Priority",""),IF(AND($I92&lt;&gt;"",$I92&lt;TODAY()),"Overdue",""),IF(AND($I92&lt;&gt;"",$I92&gt;=TODAY(),$I92&lt;=TODAY()+7),"Due This Week",""),IF($M92&lt;=VLOOKUP(Home!$C$7,Lists!$N$2:$O$6,2,FALSE),$H92&amp;" Task",""),IF($G92=Home!$E$7,"Fits Current Energy",""),"No Blockers")))</f>
        <v/>
      </c>
      <c r="P92" s="5">
        <f>IF($D92="","",SWITCH('Task Finder'!$C$6,"High Priority",AND($F92="High",$E92&lt;&gt;"Done",$E92&lt;&gt;"Archive"),"Due This Week",AND($I92&lt;&gt;"",$I92&gt;=TODAY(),$I92&lt;=TODAY()+7,$E92&lt;&gt;"Done"),"Quick Wins (15 mins or less)",AND($M92&lt;=15,$E92&lt;&gt;"Done",$E92&lt;&gt;"Blocked"),"Deep Thinking",AND($G92="Deep Thinking",$E92&lt;&gt;"Done"),"Processing",AND($G92="Processing",$E92&lt;&gt;"Done"),"Blocked",$E92="Blocked","Waiting",$E92="Waiting","Recently Updated",AND($L92&lt;&gt;"",$L92&gt;=TODAY()-7),TRUE))</f>
        <v/>
      </c>
    </row>
    <row r="93">
      <c r="A93" s="19" t="n"/>
      <c r="B93" s="19" t="n"/>
      <c r="C93" s="19" t="n"/>
      <c r="D93" s="19" t="n"/>
      <c r="E93" s="19" t="n"/>
      <c r="F93" s="19" t="n"/>
      <c r="G93" s="19" t="n"/>
      <c r="H93" s="19" t="n"/>
      <c r="I93" s="19" t="n"/>
      <c r="J93" s="19" t="n"/>
      <c r="K93" s="19" t="n"/>
      <c r="L93" s="35" t="n"/>
      <c r="M93" s="5">
        <f>IF($D93="","",IFERROR(VLOOKUP($H93,Lists!$N$2:$O$6,2,FALSE),0))</f>
        <v/>
      </c>
      <c r="N93" s="5">
        <f>IF($D93="","",IF(OR($E93="Blocked",$E93="Done",$E93="Archive"),-9999,IF(AND($E93="Waiting",SUMPRODUCT((($E$5:$E$200="Next")+($E$5:$E$200="In Progress")+($E$5:$E$200="Captured"))*($D$5:$D$200&lt;&gt;""))&gt;0),-500,VLOOKUP($F93,Lists!$L$2:$M$4,2,FALSE)+IF($E93="In Progress",10,0)+IF(AND($I93&lt;&gt;"",$I93&lt;TODAY()),25,0)+IF(AND($I93&lt;&gt;"",$I93&gt;=TODAY(),$I93&lt;=TODAY()+7),15,0)+IF($M93&lt;=VLOOKUP(Home!$C$7,Lists!$N$2:$O$6,2,FALSE),20,-10)+IF($G93=Home!$E$7,15,IF(Home!$E$7="",0,-5))-ROW()/100000)))</f>
        <v/>
      </c>
      <c r="O93" s="5">
        <f>IF($D93="","",IF($N93&lt;=-500,"Not recommended right now",TEXTJOIN(" • ",TRUE,IF($F93="High","High Priority",""),IF(AND($I93&lt;&gt;"",$I93&lt;TODAY()),"Overdue",""),IF(AND($I93&lt;&gt;"",$I93&gt;=TODAY(),$I93&lt;=TODAY()+7),"Due This Week",""),IF($M93&lt;=VLOOKUP(Home!$C$7,Lists!$N$2:$O$6,2,FALSE),$H93&amp;" Task",""),IF($G93=Home!$E$7,"Fits Current Energy",""),"No Blockers")))</f>
        <v/>
      </c>
      <c r="P93" s="5">
        <f>IF($D93="","",SWITCH('Task Finder'!$C$6,"High Priority",AND($F93="High",$E93&lt;&gt;"Done",$E93&lt;&gt;"Archive"),"Due This Week",AND($I93&lt;&gt;"",$I93&gt;=TODAY(),$I93&lt;=TODAY()+7,$E93&lt;&gt;"Done"),"Quick Wins (15 mins or less)",AND($M93&lt;=15,$E93&lt;&gt;"Done",$E93&lt;&gt;"Blocked"),"Deep Thinking",AND($G93="Deep Thinking",$E93&lt;&gt;"Done"),"Processing",AND($G93="Processing",$E93&lt;&gt;"Done"),"Blocked",$E93="Blocked","Waiting",$E93="Waiting","Recently Updated",AND($L93&lt;&gt;"",$L93&gt;=TODAY()-7),TRUE))</f>
        <v/>
      </c>
    </row>
    <row r="94">
      <c r="A94" s="19" t="n"/>
      <c r="B94" s="19" t="n"/>
      <c r="C94" s="19" t="n"/>
      <c r="D94" s="19" t="n"/>
      <c r="E94" s="19" t="n"/>
      <c r="F94" s="19" t="n"/>
      <c r="G94" s="19" t="n"/>
      <c r="H94" s="19" t="n"/>
      <c r="I94" s="19" t="n"/>
      <c r="J94" s="19" t="n"/>
      <c r="K94" s="19" t="n"/>
      <c r="L94" s="35" t="n"/>
      <c r="M94" s="5">
        <f>IF($D94="","",IFERROR(VLOOKUP($H94,Lists!$N$2:$O$6,2,FALSE),0))</f>
        <v/>
      </c>
      <c r="N94" s="5">
        <f>IF($D94="","",IF(OR($E94="Blocked",$E94="Done",$E94="Archive"),-9999,IF(AND($E94="Waiting",SUMPRODUCT((($E$5:$E$200="Next")+($E$5:$E$200="In Progress")+($E$5:$E$200="Captured"))*($D$5:$D$200&lt;&gt;""))&gt;0),-500,VLOOKUP($F94,Lists!$L$2:$M$4,2,FALSE)+IF($E94="In Progress",10,0)+IF(AND($I94&lt;&gt;"",$I94&lt;TODAY()),25,0)+IF(AND($I94&lt;&gt;"",$I94&gt;=TODAY(),$I94&lt;=TODAY()+7),15,0)+IF($M94&lt;=VLOOKUP(Home!$C$7,Lists!$N$2:$O$6,2,FALSE),20,-10)+IF($G94=Home!$E$7,15,IF(Home!$E$7="",0,-5))-ROW()/100000)))</f>
        <v/>
      </c>
      <c r="O94" s="5">
        <f>IF($D94="","",IF($N94&lt;=-500,"Not recommended right now",TEXTJOIN(" • ",TRUE,IF($F94="High","High Priority",""),IF(AND($I94&lt;&gt;"",$I94&lt;TODAY()),"Overdue",""),IF(AND($I94&lt;&gt;"",$I94&gt;=TODAY(),$I94&lt;=TODAY()+7),"Due This Week",""),IF($M94&lt;=VLOOKUP(Home!$C$7,Lists!$N$2:$O$6,2,FALSE),$H94&amp;" Task",""),IF($G94=Home!$E$7,"Fits Current Energy",""),"No Blockers")))</f>
        <v/>
      </c>
      <c r="P94" s="5">
        <f>IF($D94="","",SWITCH('Task Finder'!$C$6,"High Priority",AND($F94="High",$E94&lt;&gt;"Done",$E94&lt;&gt;"Archive"),"Due This Week",AND($I94&lt;&gt;"",$I94&gt;=TODAY(),$I94&lt;=TODAY()+7,$E94&lt;&gt;"Done"),"Quick Wins (15 mins or less)",AND($M94&lt;=15,$E94&lt;&gt;"Done",$E94&lt;&gt;"Blocked"),"Deep Thinking",AND($G94="Deep Thinking",$E94&lt;&gt;"Done"),"Processing",AND($G94="Processing",$E94&lt;&gt;"Done"),"Blocked",$E94="Blocked","Waiting",$E94="Waiting","Recently Updated",AND($L94&lt;&gt;"",$L94&gt;=TODAY()-7),TRUE))</f>
        <v/>
      </c>
    </row>
    <row r="95">
      <c r="A95" s="19" t="n"/>
      <c r="B95" s="19" t="n"/>
      <c r="C95" s="19" t="n"/>
      <c r="D95" s="19" t="n"/>
      <c r="E95" s="19" t="n"/>
      <c r="F95" s="19" t="n"/>
      <c r="G95" s="19" t="n"/>
      <c r="H95" s="19" t="n"/>
      <c r="I95" s="19" t="n"/>
      <c r="J95" s="19" t="n"/>
      <c r="K95" s="19" t="n"/>
      <c r="L95" s="35" t="n"/>
      <c r="M95" s="5">
        <f>IF($D95="","",IFERROR(VLOOKUP($H95,Lists!$N$2:$O$6,2,FALSE),0))</f>
        <v/>
      </c>
      <c r="N95" s="5">
        <f>IF($D95="","",IF(OR($E95="Blocked",$E95="Done",$E95="Archive"),-9999,IF(AND($E95="Waiting",SUMPRODUCT((($E$5:$E$200="Next")+($E$5:$E$200="In Progress")+($E$5:$E$200="Captured"))*($D$5:$D$200&lt;&gt;""))&gt;0),-500,VLOOKUP($F95,Lists!$L$2:$M$4,2,FALSE)+IF($E95="In Progress",10,0)+IF(AND($I95&lt;&gt;"",$I95&lt;TODAY()),25,0)+IF(AND($I95&lt;&gt;"",$I95&gt;=TODAY(),$I95&lt;=TODAY()+7),15,0)+IF($M95&lt;=VLOOKUP(Home!$C$7,Lists!$N$2:$O$6,2,FALSE),20,-10)+IF($G95=Home!$E$7,15,IF(Home!$E$7="",0,-5))-ROW()/100000)))</f>
        <v/>
      </c>
      <c r="O95" s="5">
        <f>IF($D95="","",IF($N95&lt;=-500,"Not recommended right now",TEXTJOIN(" • ",TRUE,IF($F95="High","High Priority",""),IF(AND($I95&lt;&gt;"",$I95&lt;TODAY()),"Overdue",""),IF(AND($I95&lt;&gt;"",$I95&gt;=TODAY(),$I95&lt;=TODAY()+7),"Due This Week",""),IF($M95&lt;=VLOOKUP(Home!$C$7,Lists!$N$2:$O$6,2,FALSE),$H95&amp;" Task",""),IF($G95=Home!$E$7,"Fits Current Energy",""),"No Blockers")))</f>
        <v/>
      </c>
      <c r="P95" s="5">
        <f>IF($D95="","",SWITCH('Task Finder'!$C$6,"High Priority",AND($F95="High",$E95&lt;&gt;"Done",$E95&lt;&gt;"Archive"),"Due This Week",AND($I95&lt;&gt;"",$I95&gt;=TODAY(),$I95&lt;=TODAY()+7,$E95&lt;&gt;"Done"),"Quick Wins (15 mins or less)",AND($M95&lt;=15,$E95&lt;&gt;"Done",$E95&lt;&gt;"Blocked"),"Deep Thinking",AND($G95="Deep Thinking",$E95&lt;&gt;"Done"),"Processing",AND($G95="Processing",$E95&lt;&gt;"Done"),"Blocked",$E95="Blocked","Waiting",$E95="Waiting","Recently Updated",AND($L95&lt;&gt;"",$L95&gt;=TODAY()-7),TRUE))</f>
        <v/>
      </c>
    </row>
    <row r="96">
      <c r="A96" s="19" t="n"/>
      <c r="B96" s="19" t="n"/>
      <c r="C96" s="19" t="n"/>
      <c r="D96" s="19" t="n"/>
      <c r="E96" s="19" t="n"/>
      <c r="F96" s="19" t="n"/>
      <c r="G96" s="19" t="n"/>
      <c r="H96" s="19" t="n"/>
      <c r="I96" s="19" t="n"/>
      <c r="J96" s="19" t="n"/>
      <c r="K96" s="19" t="n"/>
      <c r="L96" s="35" t="n"/>
      <c r="M96" s="5">
        <f>IF($D96="","",IFERROR(VLOOKUP($H96,Lists!$N$2:$O$6,2,FALSE),0))</f>
        <v/>
      </c>
      <c r="N96" s="5">
        <f>IF($D96="","",IF(OR($E96="Blocked",$E96="Done",$E96="Archive"),-9999,IF(AND($E96="Waiting",SUMPRODUCT((($E$5:$E$200="Next")+($E$5:$E$200="In Progress")+($E$5:$E$200="Captured"))*($D$5:$D$200&lt;&gt;""))&gt;0),-500,VLOOKUP($F96,Lists!$L$2:$M$4,2,FALSE)+IF($E96="In Progress",10,0)+IF(AND($I96&lt;&gt;"",$I96&lt;TODAY()),25,0)+IF(AND($I96&lt;&gt;"",$I96&gt;=TODAY(),$I96&lt;=TODAY()+7),15,0)+IF($M96&lt;=VLOOKUP(Home!$C$7,Lists!$N$2:$O$6,2,FALSE),20,-10)+IF($G96=Home!$E$7,15,IF(Home!$E$7="",0,-5))-ROW()/100000)))</f>
        <v/>
      </c>
      <c r="O96" s="5">
        <f>IF($D96="","",IF($N96&lt;=-500,"Not recommended right now",TEXTJOIN(" • ",TRUE,IF($F96="High","High Priority",""),IF(AND($I96&lt;&gt;"",$I96&lt;TODAY()),"Overdue",""),IF(AND($I96&lt;&gt;"",$I96&gt;=TODAY(),$I96&lt;=TODAY()+7),"Due This Week",""),IF($M96&lt;=VLOOKUP(Home!$C$7,Lists!$N$2:$O$6,2,FALSE),$H96&amp;" Task",""),IF($G96=Home!$E$7,"Fits Current Energy",""),"No Blockers")))</f>
        <v/>
      </c>
      <c r="P96" s="5">
        <f>IF($D96="","",SWITCH('Task Finder'!$C$6,"High Priority",AND($F96="High",$E96&lt;&gt;"Done",$E96&lt;&gt;"Archive"),"Due This Week",AND($I96&lt;&gt;"",$I96&gt;=TODAY(),$I96&lt;=TODAY()+7,$E96&lt;&gt;"Done"),"Quick Wins (15 mins or less)",AND($M96&lt;=15,$E96&lt;&gt;"Done",$E96&lt;&gt;"Blocked"),"Deep Thinking",AND($G96="Deep Thinking",$E96&lt;&gt;"Done"),"Processing",AND($G96="Processing",$E96&lt;&gt;"Done"),"Blocked",$E96="Blocked","Waiting",$E96="Waiting","Recently Updated",AND($L96&lt;&gt;"",$L96&gt;=TODAY()-7),TRUE))</f>
        <v/>
      </c>
    </row>
    <row r="97">
      <c r="A97" s="19" t="n"/>
      <c r="B97" s="19" t="n"/>
      <c r="C97" s="19" t="n"/>
      <c r="D97" s="19" t="n"/>
      <c r="E97" s="19" t="n"/>
      <c r="F97" s="19" t="n"/>
      <c r="G97" s="19" t="n"/>
      <c r="H97" s="19" t="n"/>
      <c r="I97" s="19" t="n"/>
      <c r="J97" s="19" t="n"/>
      <c r="K97" s="19" t="n"/>
      <c r="L97" s="35" t="n"/>
      <c r="M97" s="5">
        <f>IF($D97="","",IFERROR(VLOOKUP($H97,Lists!$N$2:$O$6,2,FALSE),0))</f>
        <v/>
      </c>
      <c r="N97" s="5">
        <f>IF($D97="","",IF(OR($E97="Blocked",$E97="Done",$E97="Archive"),-9999,IF(AND($E97="Waiting",SUMPRODUCT((($E$5:$E$200="Next")+($E$5:$E$200="In Progress")+($E$5:$E$200="Captured"))*($D$5:$D$200&lt;&gt;""))&gt;0),-500,VLOOKUP($F97,Lists!$L$2:$M$4,2,FALSE)+IF($E97="In Progress",10,0)+IF(AND($I97&lt;&gt;"",$I97&lt;TODAY()),25,0)+IF(AND($I97&lt;&gt;"",$I97&gt;=TODAY(),$I97&lt;=TODAY()+7),15,0)+IF($M97&lt;=VLOOKUP(Home!$C$7,Lists!$N$2:$O$6,2,FALSE),20,-10)+IF($G97=Home!$E$7,15,IF(Home!$E$7="",0,-5))-ROW()/100000)))</f>
        <v/>
      </c>
      <c r="O97" s="5">
        <f>IF($D97="","",IF($N97&lt;=-500,"Not recommended right now",TEXTJOIN(" • ",TRUE,IF($F97="High","High Priority",""),IF(AND($I97&lt;&gt;"",$I97&lt;TODAY()),"Overdue",""),IF(AND($I97&lt;&gt;"",$I97&gt;=TODAY(),$I97&lt;=TODAY()+7),"Due This Week",""),IF($M97&lt;=VLOOKUP(Home!$C$7,Lists!$N$2:$O$6,2,FALSE),$H97&amp;" Task",""),IF($G97=Home!$E$7,"Fits Current Energy",""),"No Blockers")))</f>
        <v/>
      </c>
      <c r="P97" s="5">
        <f>IF($D97="","",SWITCH('Task Finder'!$C$6,"High Priority",AND($F97="High",$E97&lt;&gt;"Done",$E97&lt;&gt;"Archive"),"Due This Week",AND($I97&lt;&gt;"",$I97&gt;=TODAY(),$I97&lt;=TODAY()+7,$E97&lt;&gt;"Done"),"Quick Wins (15 mins or less)",AND($M97&lt;=15,$E97&lt;&gt;"Done",$E97&lt;&gt;"Blocked"),"Deep Thinking",AND($G97="Deep Thinking",$E97&lt;&gt;"Done"),"Processing",AND($G97="Processing",$E97&lt;&gt;"Done"),"Blocked",$E97="Blocked","Waiting",$E97="Waiting","Recently Updated",AND($L97&lt;&gt;"",$L97&gt;=TODAY()-7),TRUE))</f>
        <v/>
      </c>
    </row>
    <row r="98">
      <c r="A98" s="19" t="n"/>
      <c r="B98" s="19" t="n"/>
      <c r="C98" s="19" t="n"/>
      <c r="D98" s="19" t="n"/>
      <c r="E98" s="19" t="n"/>
      <c r="F98" s="19" t="n"/>
      <c r="G98" s="19" t="n"/>
      <c r="H98" s="19" t="n"/>
      <c r="I98" s="19" t="n"/>
      <c r="J98" s="19" t="n"/>
      <c r="K98" s="19" t="n"/>
      <c r="L98" s="35" t="n"/>
      <c r="M98" s="5">
        <f>IF($D98="","",IFERROR(VLOOKUP($H98,Lists!$N$2:$O$6,2,FALSE),0))</f>
        <v/>
      </c>
      <c r="N98" s="5">
        <f>IF($D98="","",IF(OR($E98="Blocked",$E98="Done",$E98="Archive"),-9999,IF(AND($E98="Waiting",SUMPRODUCT((($E$5:$E$200="Next")+($E$5:$E$200="In Progress")+($E$5:$E$200="Captured"))*($D$5:$D$200&lt;&gt;""))&gt;0),-500,VLOOKUP($F98,Lists!$L$2:$M$4,2,FALSE)+IF($E98="In Progress",10,0)+IF(AND($I98&lt;&gt;"",$I98&lt;TODAY()),25,0)+IF(AND($I98&lt;&gt;"",$I98&gt;=TODAY(),$I98&lt;=TODAY()+7),15,0)+IF($M98&lt;=VLOOKUP(Home!$C$7,Lists!$N$2:$O$6,2,FALSE),20,-10)+IF($G98=Home!$E$7,15,IF(Home!$E$7="",0,-5))-ROW()/100000)))</f>
        <v/>
      </c>
      <c r="O98" s="5">
        <f>IF($D98="","",IF($N98&lt;=-500,"Not recommended right now",TEXTJOIN(" • ",TRUE,IF($F98="High","High Priority",""),IF(AND($I98&lt;&gt;"",$I98&lt;TODAY()),"Overdue",""),IF(AND($I98&lt;&gt;"",$I98&gt;=TODAY(),$I98&lt;=TODAY()+7),"Due This Week",""),IF($M98&lt;=VLOOKUP(Home!$C$7,Lists!$N$2:$O$6,2,FALSE),$H98&amp;" Task",""),IF($G98=Home!$E$7,"Fits Current Energy",""),"No Blockers")))</f>
        <v/>
      </c>
      <c r="P98" s="5">
        <f>IF($D98="","",SWITCH('Task Finder'!$C$6,"High Priority",AND($F98="High",$E98&lt;&gt;"Done",$E98&lt;&gt;"Archive"),"Due This Week",AND($I98&lt;&gt;"",$I98&gt;=TODAY(),$I98&lt;=TODAY()+7,$E98&lt;&gt;"Done"),"Quick Wins (15 mins or less)",AND($M98&lt;=15,$E98&lt;&gt;"Done",$E98&lt;&gt;"Blocked"),"Deep Thinking",AND($G98="Deep Thinking",$E98&lt;&gt;"Done"),"Processing",AND($G98="Processing",$E98&lt;&gt;"Done"),"Blocked",$E98="Blocked","Waiting",$E98="Waiting","Recently Updated",AND($L98&lt;&gt;"",$L98&gt;=TODAY()-7),TRUE))</f>
        <v/>
      </c>
    </row>
    <row r="99">
      <c r="A99" s="19" t="n"/>
      <c r="B99" s="19" t="n"/>
      <c r="C99" s="19" t="n"/>
      <c r="D99" s="19" t="n"/>
      <c r="E99" s="19" t="n"/>
      <c r="F99" s="19" t="n"/>
      <c r="G99" s="19" t="n"/>
      <c r="H99" s="19" t="n"/>
      <c r="I99" s="19" t="n"/>
      <c r="J99" s="19" t="n"/>
      <c r="K99" s="19" t="n"/>
      <c r="L99" s="35" t="n"/>
      <c r="M99" s="5">
        <f>IF($D99="","",IFERROR(VLOOKUP($H99,Lists!$N$2:$O$6,2,FALSE),0))</f>
        <v/>
      </c>
      <c r="N99" s="5">
        <f>IF($D99="","",IF(OR($E99="Blocked",$E99="Done",$E99="Archive"),-9999,IF(AND($E99="Waiting",SUMPRODUCT((($E$5:$E$200="Next")+($E$5:$E$200="In Progress")+($E$5:$E$200="Captured"))*($D$5:$D$200&lt;&gt;""))&gt;0),-500,VLOOKUP($F99,Lists!$L$2:$M$4,2,FALSE)+IF($E99="In Progress",10,0)+IF(AND($I99&lt;&gt;"",$I99&lt;TODAY()),25,0)+IF(AND($I99&lt;&gt;"",$I99&gt;=TODAY(),$I99&lt;=TODAY()+7),15,0)+IF($M99&lt;=VLOOKUP(Home!$C$7,Lists!$N$2:$O$6,2,FALSE),20,-10)+IF($G99=Home!$E$7,15,IF(Home!$E$7="",0,-5))-ROW()/100000)))</f>
        <v/>
      </c>
      <c r="O99" s="5">
        <f>IF($D99="","",IF($N99&lt;=-500,"Not recommended right now",TEXTJOIN(" • ",TRUE,IF($F99="High","High Priority",""),IF(AND($I99&lt;&gt;"",$I99&lt;TODAY()),"Overdue",""),IF(AND($I99&lt;&gt;"",$I99&gt;=TODAY(),$I99&lt;=TODAY()+7),"Due This Week",""),IF($M99&lt;=VLOOKUP(Home!$C$7,Lists!$N$2:$O$6,2,FALSE),$H99&amp;" Task",""),IF($G99=Home!$E$7,"Fits Current Energy",""),"No Blockers")))</f>
        <v/>
      </c>
      <c r="P99" s="5">
        <f>IF($D99="","",SWITCH('Task Finder'!$C$6,"High Priority",AND($F99="High",$E99&lt;&gt;"Done",$E99&lt;&gt;"Archive"),"Due This Week",AND($I99&lt;&gt;"",$I99&gt;=TODAY(),$I99&lt;=TODAY()+7,$E99&lt;&gt;"Done"),"Quick Wins (15 mins or less)",AND($M99&lt;=15,$E99&lt;&gt;"Done",$E99&lt;&gt;"Blocked"),"Deep Thinking",AND($G99="Deep Thinking",$E99&lt;&gt;"Done"),"Processing",AND($G99="Processing",$E99&lt;&gt;"Done"),"Blocked",$E99="Blocked","Waiting",$E99="Waiting","Recently Updated",AND($L99&lt;&gt;"",$L99&gt;=TODAY()-7),TRUE))</f>
        <v/>
      </c>
    </row>
    <row r="100">
      <c r="A100" s="19" t="n"/>
      <c r="B100" s="19" t="n"/>
      <c r="C100" s="19" t="n"/>
      <c r="D100" s="19" t="n"/>
      <c r="E100" s="19" t="n"/>
      <c r="F100" s="19" t="n"/>
      <c r="G100" s="19" t="n"/>
      <c r="H100" s="19" t="n"/>
      <c r="I100" s="19" t="n"/>
      <c r="J100" s="19" t="n"/>
      <c r="K100" s="19" t="n"/>
      <c r="L100" s="35" t="n"/>
      <c r="M100" s="5">
        <f>IF($D100="","",IFERROR(VLOOKUP($H100,Lists!$N$2:$O$6,2,FALSE),0))</f>
        <v/>
      </c>
      <c r="N100" s="5">
        <f>IF($D100="","",IF(OR($E100="Blocked",$E100="Done",$E100="Archive"),-9999,IF(AND($E100="Waiting",SUMPRODUCT((($E$5:$E$200="Next")+($E$5:$E$200="In Progress")+($E$5:$E$200="Captured"))*($D$5:$D$200&lt;&gt;""))&gt;0),-500,VLOOKUP($F100,Lists!$L$2:$M$4,2,FALSE)+IF($E100="In Progress",10,0)+IF(AND($I100&lt;&gt;"",$I100&lt;TODAY()),25,0)+IF(AND($I100&lt;&gt;"",$I100&gt;=TODAY(),$I100&lt;=TODAY()+7),15,0)+IF($M100&lt;=VLOOKUP(Home!$C$7,Lists!$N$2:$O$6,2,FALSE),20,-10)+IF($G100=Home!$E$7,15,IF(Home!$E$7="",0,-5))-ROW()/100000)))</f>
        <v/>
      </c>
      <c r="O100" s="5">
        <f>IF($D100="","",IF($N100&lt;=-500,"Not recommended right now",TEXTJOIN(" • ",TRUE,IF($F100="High","High Priority",""),IF(AND($I100&lt;&gt;"",$I100&lt;TODAY()),"Overdue",""),IF(AND($I100&lt;&gt;"",$I100&gt;=TODAY(),$I100&lt;=TODAY()+7),"Due This Week",""),IF($M100&lt;=VLOOKUP(Home!$C$7,Lists!$N$2:$O$6,2,FALSE),$H100&amp;" Task",""),IF($G100=Home!$E$7,"Fits Current Energy",""),"No Blockers")))</f>
        <v/>
      </c>
      <c r="P100" s="5">
        <f>IF($D100="","",SWITCH('Task Finder'!$C$6,"High Priority",AND($F100="High",$E100&lt;&gt;"Done",$E100&lt;&gt;"Archive"),"Due This Week",AND($I100&lt;&gt;"",$I100&gt;=TODAY(),$I100&lt;=TODAY()+7,$E100&lt;&gt;"Done"),"Quick Wins (15 mins or less)",AND($M100&lt;=15,$E100&lt;&gt;"Done",$E100&lt;&gt;"Blocked"),"Deep Thinking",AND($G100="Deep Thinking",$E100&lt;&gt;"Done"),"Processing",AND($G100="Processing",$E100&lt;&gt;"Done"),"Blocked",$E100="Blocked","Waiting",$E100="Waiting","Recently Updated",AND($L100&lt;&gt;"",$L100&gt;=TODAY()-7),TRUE))</f>
        <v/>
      </c>
    </row>
    <row r="101">
      <c r="A101" s="19" t="n"/>
      <c r="B101" s="19" t="n"/>
      <c r="C101" s="19" t="n"/>
      <c r="D101" s="19" t="n"/>
      <c r="E101" s="19" t="n"/>
      <c r="F101" s="19" t="n"/>
      <c r="G101" s="19" t="n"/>
      <c r="H101" s="19" t="n"/>
      <c r="I101" s="19" t="n"/>
      <c r="J101" s="19" t="n"/>
      <c r="K101" s="19" t="n"/>
      <c r="L101" s="35" t="n"/>
      <c r="M101" s="5">
        <f>IF($D101="","",IFERROR(VLOOKUP($H101,Lists!$N$2:$O$6,2,FALSE),0))</f>
        <v/>
      </c>
      <c r="N101" s="5">
        <f>IF($D101="","",IF(OR($E101="Blocked",$E101="Done",$E101="Archive"),-9999,IF(AND($E101="Waiting",SUMPRODUCT((($E$5:$E$200="Next")+($E$5:$E$200="In Progress")+($E$5:$E$200="Captured"))*($D$5:$D$200&lt;&gt;""))&gt;0),-500,VLOOKUP($F101,Lists!$L$2:$M$4,2,FALSE)+IF($E101="In Progress",10,0)+IF(AND($I101&lt;&gt;"",$I101&lt;TODAY()),25,0)+IF(AND($I101&lt;&gt;"",$I101&gt;=TODAY(),$I101&lt;=TODAY()+7),15,0)+IF($M101&lt;=VLOOKUP(Home!$C$7,Lists!$N$2:$O$6,2,FALSE),20,-10)+IF($G101=Home!$E$7,15,IF(Home!$E$7="",0,-5))-ROW()/100000)))</f>
        <v/>
      </c>
      <c r="O101" s="5">
        <f>IF($D101="","",IF($N101&lt;=-500,"Not recommended right now",TEXTJOIN(" • ",TRUE,IF($F101="High","High Priority",""),IF(AND($I101&lt;&gt;"",$I101&lt;TODAY()),"Overdue",""),IF(AND($I101&lt;&gt;"",$I101&gt;=TODAY(),$I101&lt;=TODAY()+7),"Due This Week",""),IF($M101&lt;=VLOOKUP(Home!$C$7,Lists!$N$2:$O$6,2,FALSE),$H101&amp;" Task",""),IF($G101=Home!$E$7,"Fits Current Energy",""),"No Blockers")))</f>
        <v/>
      </c>
      <c r="P101" s="5">
        <f>IF($D101="","",SWITCH('Task Finder'!$C$6,"High Priority",AND($F101="High",$E101&lt;&gt;"Done",$E101&lt;&gt;"Archive"),"Due This Week",AND($I101&lt;&gt;"",$I101&gt;=TODAY(),$I101&lt;=TODAY()+7,$E101&lt;&gt;"Done"),"Quick Wins (15 mins or less)",AND($M101&lt;=15,$E101&lt;&gt;"Done",$E101&lt;&gt;"Blocked"),"Deep Thinking",AND($G101="Deep Thinking",$E101&lt;&gt;"Done"),"Processing",AND($G101="Processing",$E101&lt;&gt;"Done"),"Blocked",$E101="Blocked","Waiting",$E101="Waiting","Recently Updated",AND($L101&lt;&gt;"",$L101&gt;=TODAY()-7),TRUE))</f>
        <v/>
      </c>
    </row>
    <row r="102">
      <c r="A102" s="19" t="n"/>
      <c r="B102" s="19" t="n"/>
      <c r="C102" s="19" t="n"/>
      <c r="D102" s="19" t="n"/>
      <c r="E102" s="19" t="n"/>
      <c r="F102" s="19" t="n"/>
      <c r="G102" s="19" t="n"/>
      <c r="H102" s="19" t="n"/>
      <c r="I102" s="19" t="n"/>
      <c r="J102" s="19" t="n"/>
      <c r="K102" s="19" t="n"/>
      <c r="L102" s="35" t="n"/>
      <c r="M102" s="5">
        <f>IF($D102="","",IFERROR(VLOOKUP($H102,Lists!$N$2:$O$6,2,FALSE),0))</f>
        <v/>
      </c>
      <c r="N102" s="5">
        <f>IF($D102="","",IF(OR($E102="Blocked",$E102="Done",$E102="Archive"),-9999,IF(AND($E102="Waiting",SUMPRODUCT((($E$5:$E$200="Next")+($E$5:$E$200="In Progress")+($E$5:$E$200="Captured"))*($D$5:$D$200&lt;&gt;""))&gt;0),-500,VLOOKUP($F102,Lists!$L$2:$M$4,2,FALSE)+IF($E102="In Progress",10,0)+IF(AND($I102&lt;&gt;"",$I102&lt;TODAY()),25,0)+IF(AND($I102&lt;&gt;"",$I102&gt;=TODAY(),$I102&lt;=TODAY()+7),15,0)+IF($M102&lt;=VLOOKUP(Home!$C$7,Lists!$N$2:$O$6,2,FALSE),20,-10)+IF($G102=Home!$E$7,15,IF(Home!$E$7="",0,-5))-ROW()/100000)))</f>
        <v/>
      </c>
      <c r="O102" s="5">
        <f>IF($D102="","",IF($N102&lt;=-500,"Not recommended right now",TEXTJOIN(" • ",TRUE,IF($F102="High","High Priority",""),IF(AND($I102&lt;&gt;"",$I102&lt;TODAY()),"Overdue",""),IF(AND($I102&lt;&gt;"",$I102&gt;=TODAY(),$I102&lt;=TODAY()+7),"Due This Week",""),IF($M102&lt;=VLOOKUP(Home!$C$7,Lists!$N$2:$O$6,2,FALSE),$H102&amp;" Task",""),IF($G102=Home!$E$7,"Fits Current Energy",""),"No Blockers")))</f>
        <v/>
      </c>
      <c r="P102" s="5">
        <f>IF($D102="","",SWITCH('Task Finder'!$C$6,"High Priority",AND($F102="High",$E102&lt;&gt;"Done",$E102&lt;&gt;"Archive"),"Due This Week",AND($I102&lt;&gt;"",$I102&gt;=TODAY(),$I102&lt;=TODAY()+7,$E102&lt;&gt;"Done"),"Quick Wins (15 mins or less)",AND($M102&lt;=15,$E102&lt;&gt;"Done",$E102&lt;&gt;"Blocked"),"Deep Thinking",AND($G102="Deep Thinking",$E102&lt;&gt;"Done"),"Processing",AND($G102="Processing",$E102&lt;&gt;"Done"),"Blocked",$E102="Blocked","Waiting",$E102="Waiting","Recently Updated",AND($L102&lt;&gt;"",$L102&gt;=TODAY()-7),TRUE))</f>
        <v/>
      </c>
    </row>
    <row r="103">
      <c r="A103" s="19" t="n"/>
      <c r="B103" s="19" t="n"/>
      <c r="C103" s="19" t="n"/>
      <c r="D103" s="19" t="n"/>
      <c r="E103" s="19" t="n"/>
      <c r="F103" s="19" t="n"/>
      <c r="G103" s="19" t="n"/>
      <c r="H103" s="19" t="n"/>
      <c r="I103" s="19" t="n"/>
      <c r="J103" s="19" t="n"/>
      <c r="K103" s="19" t="n"/>
      <c r="L103" s="35" t="n"/>
      <c r="M103" s="5">
        <f>IF($D103="","",IFERROR(VLOOKUP($H103,Lists!$N$2:$O$6,2,FALSE),0))</f>
        <v/>
      </c>
      <c r="N103" s="5">
        <f>IF($D103="","",IF(OR($E103="Blocked",$E103="Done",$E103="Archive"),-9999,IF(AND($E103="Waiting",SUMPRODUCT((($E$5:$E$200="Next")+($E$5:$E$200="In Progress")+($E$5:$E$200="Captured"))*($D$5:$D$200&lt;&gt;""))&gt;0),-500,VLOOKUP($F103,Lists!$L$2:$M$4,2,FALSE)+IF($E103="In Progress",10,0)+IF(AND($I103&lt;&gt;"",$I103&lt;TODAY()),25,0)+IF(AND($I103&lt;&gt;"",$I103&gt;=TODAY(),$I103&lt;=TODAY()+7),15,0)+IF($M103&lt;=VLOOKUP(Home!$C$7,Lists!$N$2:$O$6,2,FALSE),20,-10)+IF($G103=Home!$E$7,15,IF(Home!$E$7="",0,-5))-ROW()/100000)))</f>
        <v/>
      </c>
      <c r="O103" s="5">
        <f>IF($D103="","",IF($N103&lt;=-500,"Not recommended right now",TEXTJOIN(" • ",TRUE,IF($F103="High","High Priority",""),IF(AND($I103&lt;&gt;"",$I103&lt;TODAY()),"Overdue",""),IF(AND($I103&lt;&gt;"",$I103&gt;=TODAY(),$I103&lt;=TODAY()+7),"Due This Week",""),IF($M103&lt;=VLOOKUP(Home!$C$7,Lists!$N$2:$O$6,2,FALSE),$H103&amp;" Task",""),IF($G103=Home!$E$7,"Fits Current Energy",""),"No Blockers")))</f>
        <v/>
      </c>
      <c r="P103" s="5">
        <f>IF($D103="","",SWITCH('Task Finder'!$C$6,"High Priority",AND($F103="High",$E103&lt;&gt;"Done",$E103&lt;&gt;"Archive"),"Due This Week",AND($I103&lt;&gt;"",$I103&gt;=TODAY(),$I103&lt;=TODAY()+7,$E103&lt;&gt;"Done"),"Quick Wins (15 mins or less)",AND($M103&lt;=15,$E103&lt;&gt;"Done",$E103&lt;&gt;"Blocked"),"Deep Thinking",AND($G103="Deep Thinking",$E103&lt;&gt;"Done"),"Processing",AND($G103="Processing",$E103&lt;&gt;"Done"),"Blocked",$E103="Blocked","Waiting",$E103="Waiting","Recently Updated",AND($L103&lt;&gt;"",$L103&gt;=TODAY()-7),TRUE))</f>
        <v/>
      </c>
    </row>
    <row r="104">
      <c r="A104" s="19" t="n"/>
      <c r="B104" s="19" t="n"/>
      <c r="C104" s="19" t="n"/>
      <c r="D104" s="19" t="n"/>
      <c r="E104" s="19" t="n"/>
      <c r="F104" s="19" t="n"/>
      <c r="G104" s="19" t="n"/>
      <c r="H104" s="19" t="n"/>
      <c r="I104" s="19" t="n"/>
      <c r="J104" s="19" t="n"/>
      <c r="K104" s="19" t="n"/>
      <c r="L104" s="35" t="n"/>
      <c r="M104" s="5">
        <f>IF($D104="","",IFERROR(VLOOKUP($H104,Lists!$N$2:$O$6,2,FALSE),0))</f>
        <v/>
      </c>
      <c r="N104" s="5">
        <f>IF($D104="","",IF(OR($E104="Blocked",$E104="Done",$E104="Archive"),-9999,IF(AND($E104="Waiting",SUMPRODUCT((($E$5:$E$200="Next")+($E$5:$E$200="In Progress")+($E$5:$E$200="Captured"))*($D$5:$D$200&lt;&gt;""))&gt;0),-500,VLOOKUP($F104,Lists!$L$2:$M$4,2,FALSE)+IF($E104="In Progress",10,0)+IF(AND($I104&lt;&gt;"",$I104&lt;TODAY()),25,0)+IF(AND($I104&lt;&gt;"",$I104&gt;=TODAY(),$I104&lt;=TODAY()+7),15,0)+IF($M104&lt;=VLOOKUP(Home!$C$7,Lists!$N$2:$O$6,2,FALSE),20,-10)+IF($G104=Home!$E$7,15,IF(Home!$E$7="",0,-5))-ROW()/100000)))</f>
        <v/>
      </c>
      <c r="O104" s="5">
        <f>IF($D104="","",IF($N104&lt;=-500,"Not recommended right now",TEXTJOIN(" • ",TRUE,IF($F104="High","High Priority",""),IF(AND($I104&lt;&gt;"",$I104&lt;TODAY()),"Overdue",""),IF(AND($I104&lt;&gt;"",$I104&gt;=TODAY(),$I104&lt;=TODAY()+7),"Due This Week",""),IF($M104&lt;=VLOOKUP(Home!$C$7,Lists!$N$2:$O$6,2,FALSE),$H104&amp;" Task",""),IF($G104=Home!$E$7,"Fits Current Energy",""),"No Blockers")))</f>
        <v/>
      </c>
      <c r="P104" s="5">
        <f>IF($D104="","",SWITCH('Task Finder'!$C$6,"High Priority",AND($F104="High",$E104&lt;&gt;"Done",$E104&lt;&gt;"Archive"),"Due This Week",AND($I104&lt;&gt;"",$I104&gt;=TODAY(),$I104&lt;=TODAY()+7,$E104&lt;&gt;"Done"),"Quick Wins (15 mins or less)",AND($M104&lt;=15,$E104&lt;&gt;"Done",$E104&lt;&gt;"Blocked"),"Deep Thinking",AND($G104="Deep Thinking",$E104&lt;&gt;"Done"),"Processing",AND($G104="Processing",$E104&lt;&gt;"Done"),"Blocked",$E104="Blocked","Waiting",$E104="Waiting","Recently Updated",AND($L104&lt;&gt;"",$L104&gt;=TODAY()-7),TRUE))</f>
        <v/>
      </c>
    </row>
    <row r="105">
      <c r="A105" s="19" t="n"/>
      <c r="B105" s="19" t="n"/>
      <c r="C105" s="19" t="n"/>
      <c r="D105" s="19" t="n"/>
      <c r="E105" s="19" t="n"/>
      <c r="F105" s="19" t="n"/>
      <c r="G105" s="19" t="n"/>
      <c r="H105" s="19" t="n"/>
      <c r="I105" s="19" t="n"/>
      <c r="J105" s="19" t="n"/>
      <c r="K105" s="19" t="n"/>
      <c r="L105" s="35" t="n"/>
      <c r="M105" s="5">
        <f>IF($D105="","",IFERROR(VLOOKUP($H105,Lists!$N$2:$O$6,2,FALSE),0))</f>
        <v/>
      </c>
      <c r="N105" s="5">
        <f>IF($D105="","",IF(OR($E105="Blocked",$E105="Done",$E105="Archive"),-9999,IF(AND($E105="Waiting",SUMPRODUCT((($E$5:$E$200="Next")+($E$5:$E$200="In Progress")+($E$5:$E$200="Captured"))*($D$5:$D$200&lt;&gt;""))&gt;0),-500,VLOOKUP($F105,Lists!$L$2:$M$4,2,FALSE)+IF($E105="In Progress",10,0)+IF(AND($I105&lt;&gt;"",$I105&lt;TODAY()),25,0)+IF(AND($I105&lt;&gt;"",$I105&gt;=TODAY(),$I105&lt;=TODAY()+7),15,0)+IF($M105&lt;=VLOOKUP(Home!$C$7,Lists!$N$2:$O$6,2,FALSE),20,-10)+IF($G105=Home!$E$7,15,IF(Home!$E$7="",0,-5))-ROW()/100000)))</f>
        <v/>
      </c>
      <c r="O105" s="5">
        <f>IF($D105="","",IF($N105&lt;=-500,"Not recommended right now",TEXTJOIN(" • ",TRUE,IF($F105="High","High Priority",""),IF(AND($I105&lt;&gt;"",$I105&lt;TODAY()),"Overdue",""),IF(AND($I105&lt;&gt;"",$I105&gt;=TODAY(),$I105&lt;=TODAY()+7),"Due This Week",""),IF($M105&lt;=VLOOKUP(Home!$C$7,Lists!$N$2:$O$6,2,FALSE),$H105&amp;" Task",""),IF($G105=Home!$E$7,"Fits Current Energy",""),"No Blockers")))</f>
        <v/>
      </c>
      <c r="P105" s="5">
        <f>IF($D105="","",SWITCH('Task Finder'!$C$6,"High Priority",AND($F105="High",$E105&lt;&gt;"Done",$E105&lt;&gt;"Archive"),"Due This Week",AND($I105&lt;&gt;"",$I105&gt;=TODAY(),$I105&lt;=TODAY()+7,$E105&lt;&gt;"Done"),"Quick Wins (15 mins or less)",AND($M105&lt;=15,$E105&lt;&gt;"Done",$E105&lt;&gt;"Blocked"),"Deep Thinking",AND($G105="Deep Thinking",$E105&lt;&gt;"Done"),"Processing",AND($G105="Processing",$E105&lt;&gt;"Done"),"Blocked",$E105="Blocked","Waiting",$E105="Waiting","Recently Updated",AND($L105&lt;&gt;"",$L105&gt;=TODAY()-7),TRUE))</f>
        <v/>
      </c>
    </row>
    <row r="106">
      <c r="A106" s="19" t="n"/>
      <c r="B106" s="19" t="n"/>
      <c r="C106" s="19" t="n"/>
      <c r="D106" s="19" t="n"/>
      <c r="E106" s="19" t="n"/>
      <c r="F106" s="19" t="n"/>
      <c r="G106" s="19" t="n"/>
      <c r="H106" s="19" t="n"/>
      <c r="I106" s="19" t="n"/>
      <c r="J106" s="19" t="n"/>
      <c r="K106" s="19" t="n"/>
      <c r="L106" s="35" t="n"/>
      <c r="M106" s="5">
        <f>IF($D106="","",IFERROR(VLOOKUP($H106,Lists!$N$2:$O$6,2,FALSE),0))</f>
        <v/>
      </c>
      <c r="N106" s="5">
        <f>IF($D106="","",IF(OR($E106="Blocked",$E106="Done",$E106="Archive"),-9999,IF(AND($E106="Waiting",SUMPRODUCT((($E$5:$E$200="Next")+($E$5:$E$200="In Progress")+($E$5:$E$200="Captured"))*($D$5:$D$200&lt;&gt;""))&gt;0),-500,VLOOKUP($F106,Lists!$L$2:$M$4,2,FALSE)+IF($E106="In Progress",10,0)+IF(AND($I106&lt;&gt;"",$I106&lt;TODAY()),25,0)+IF(AND($I106&lt;&gt;"",$I106&gt;=TODAY(),$I106&lt;=TODAY()+7),15,0)+IF($M106&lt;=VLOOKUP(Home!$C$7,Lists!$N$2:$O$6,2,FALSE),20,-10)+IF($G106=Home!$E$7,15,IF(Home!$E$7="",0,-5))-ROW()/100000)))</f>
        <v/>
      </c>
      <c r="O106" s="5">
        <f>IF($D106="","",IF($N106&lt;=-500,"Not recommended right now",TEXTJOIN(" • ",TRUE,IF($F106="High","High Priority",""),IF(AND($I106&lt;&gt;"",$I106&lt;TODAY()),"Overdue",""),IF(AND($I106&lt;&gt;"",$I106&gt;=TODAY(),$I106&lt;=TODAY()+7),"Due This Week",""),IF($M106&lt;=VLOOKUP(Home!$C$7,Lists!$N$2:$O$6,2,FALSE),$H106&amp;" Task",""),IF($G106=Home!$E$7,"Fits Current Energy",""),"No Blockers")))</f>
        <v/>
      </c>
      <c r="P106" s="5">
        <f>IF($D106="","",SWITCH('Task Finder'!$C$6,"High Priority",AND($F106="High",$E106&lt;&gt;"Done",$E106&lt;&gt;"Archive"),"Due This Week",AND($I106&lt;&gt;"",$I106&gt;=TODAY(),$I106&lt;=TODAY()+7,$E106&lt;&gt;"Done"),"Quick Wins (15 mins or less)",AND($M106&lt;=15,$E106&lt;&gt;"Done",$E106&lt;&gt;"Blocked"),"Deep Thinking",AND($G106="Deep Thinking",$E106&lt;&gt;"Done"),"Processing",AND($G106="Processing",$E106&lt;&gt;"Done"),"Blocked",$E106="Blocked","Waiting",$E106="Waiting","Recently Updated",AND($L106&lt;&gt;"",$L106&gt;=TODAY()-7),TRUE))</f>
        <v/>
      </c>
    </row>
    <row r="107">
      <c r="A107" s="19" t="n"/>
      <c r="B107" s="19" t="n"/>
      <c r="C107" s="19" t="n"/>
      <c r="D107" s="19" t="n"/>
      <c r="E107" s="19" t="n"/>
      <c r="F107" s="19" t="n"/>
      <c r="G107" s="19" t="n"/>
      <c r="H107" s="19" t="n"/>
      <c r="I107" s="19" t="n"/>
      <c r="J107" s="19" t="n"/>
      <c r="K107" s="19" t="n"/>
      <c r="L107" s="35" t="n"/>
      <c r="M107" s="5">
        <f>IF($D107="","",IFERROR(VLOOKUP($H107,Lists!$N$2:$O$6,2,FALSE),0))</f>
        <v/>
      </c>
      <c r="N107" s="5">
        <f>IF($D107="","",IF(OR($E107="Blocked",$E107="Done",$E107="Archive"),-9999,IF(AND($E107="Waiting",SUMPRODUCT((($E$5:$E$200="Next")+($E$5:$E$200="In Progress")+($E$5:$E$200="Captured"))*($D$5:$D$200&lt;&gt;""))&gt;0),-500,VLOOKUP($F107,Lists!$L$2:$M$4,2,FALSE)+IF($E107="In Progress",10,0)+IF(AND($I107&lt;&gt;"",$I107&lt;TODAY()),25,0)+IF(AND($I107&lt;&gt;"",$I107&gt;=TODAY(),$I107&lt;=TODAY()+7),15,0)+IF($M107&lt;=VLOOKUP(Home!$C$7,Lists!$N$2:$O$6,2,FALSE),20,-10)+IF($G107=Home!$E$7,15,IF(Home!$E$7="",0,-5))-ROW()/100000)))</f>
        <v/>
      </c>
      <c r="O107" s="5">
        <f>IF($D107="","",IF($N107&lt;=-500,"Not recommended right now",TEXTJOIN(" • ",TRUE,IF($F107="High","High Priority",""),IF(AND($I107&lt;&gt;"",$I107&lt;TODAY()),"Overdue",""),IF(AND($I107&lt;&gt;"",$I107&gt;=TODAY(),$I107&lt;=TODAY()+7),"Due This Week",""),IF($M107&lt;=VLOOKUP(Home!$C$7,Lists!$N$2:$O$6,2,FALSE),$H107&amp;" Task",""),IF($G107=Home!$E$7,"Fits Current Energy",""),"No Blockers")))</f>
        <v/>
      </c>
      <c r="P107" s="5">
        <f>IF($D107="","",SWITCH('Task Finder'!$C$6,"High Priority",AND($F107="High",$E107&lt;&gt;"Done",$E107&lt;&gt;"Archive"),"Due This Week",AND($I107&lt;&gt;"",$I107&gt;=TODAY(),$I107&lt;=TODAY()+7,$E107&lt;&gt;"Done"),"Quick Wins (15 mins or less)",AND($M107&lt;=15,$E107&lt;&gt;"Done",$E107&lt;&gt;"Blocked"),"Deep Thinking",AND($G107="Deep Thinking",$E107&lt;&gt;"Done"),"Processing",AND($G107="Processing",$E107&lt;&gt;"Done"),"Blocked",$E107="Blocked","Waiting",$E107="Waiting","Recently Updated",AND($L107&lt;&gt;"",$L107&gt;=TODAY()-7),TRUE))</f>
        <v/>
      </c>
    </row>
    <row r="108">
      <c r="A108" s="19" t="n"/>
      <c r="B108" s="19" t="n"/>
      <c r="C108" s="19" t="n"/>
      <c r="D108" s="19" t="n"/>
      <c r="E108" s="19" t="n"/>
      <c r="F108" s="19" t="n"/>
      <c r="G108" s="19" t="n"/>
      <c r="H108" s="19" t="n"/>
      <c r="I108" s="19" t="n"/>
      <c r="J108" s="19" t="n"/>
      <c r="K108" s="19" t="n"/>
      <c r="L108" s="35" t="n"/>
      <c r="M108" s="5">
        <f>IF($D108="","",IFERROR(VLOOKUP($H108,Lists!$N$2:$O$6,2,FALSE),0))</f>
        <v/>
      </c>
      <c r="N108" s="5">
        <f>IF($D108="","",IF(OR($E108="Blocked",$E108="Done",$E108="Archive"),-9999,IF(AND($E108="Waiting",SUMPRODUCT((($E$5:$E$200="Next")+($E$5:$E$200="In Progress")+($E$5:$E$200="Captured"))*($D$5:$D$200&lt;&gt;""))&gt;0),-500,VLOOKUP($F108,Lists!$L$2:$M$4,2,FALSE)+IF($E108="In Progress",10,0)+IF(AND($I108&lt;&gt;"",$I108&lt;TODAY()),25,0)+IF(AND($I108&lt;&gt;"",$I108&gt;=TODAY(),$I108&lt;=TODAY()+7),15,0)+IF($M108&lt;=VLOOKUP(Home!$C$7,Lists!$N$2:$O$6,2,FALSE),20,-10)+IF($G108=Home!$E$7,15,IF(Home!$E$7="",0,-5))-ROW()/100000)))</f>
        <v/>
      </c>
      <c r="O108" s="5">
        <f>IF($D108="","",IF($N108&lt;=-500,"Not recommended right now",TEXTJOIN(" • ",TRUE,IF($F108="High","High Priority",""),IF(AND($I108&lt;&gt;"",$I108&lt;TODAY()),"Overdue",""),IF(AND($I108&lt;&gt;"",$I108&gt;=TODAY(),$I108&lt;=TODAY()+7),"Due This Week",""),IF($M108&lt;=VLOOKUP(Home!$C$7,Lists!$N$2:$O$6,2,FALSE),$H108&amp;" Task",""),IF($G108=Home!$E$7,"Fits Current Energy",""),"No Blockers")))</f>
        <v/>
      </c>
      <c r="P108" s="5">
        <f>IF($D108="","",SWITCH('Task Finder'!$C$6,"High Priority",AND($F108="High",$E108&lt;&gt;"Done",$E108&lt;&gt;"Archive"),"Due This Week",AND($I108&lt;&gt;"",$I108&gt;=TODAY(),$I108&lt;=TODAY()+7,$E108&lt;&gt;"Done"),"Quick Wins (15 mins or less)",AND($M108&lt;=15,$E108&lt;&gt;"Done",$E108&lt;&gt;"Blocked"),"Deep Thinking",AND($G108="Deep Thinking",$E108&lt;&gt;"Done"),"Processing",AND($G108="Processing",$E108&lt;&gt;"Done"),"Blocked",$E108="Blocked","Waiting",$E108="Waiting","Recently Updated",AND($L108&lt;&gt;"",$L108&gt;=TODAY()-7),TRUE))</f>
        <v/>
      </c>
    </row>
    <row r="109">
      <c r="A109" s="19" t="n"/>
      <c r="B109" s="19" t="n"/>
      <c r="C109" s="19" t="n"/>
      <c r="D109" s="19" t="n"/>
      <c r="E109" s="19" t="n"/>
      <c r="F109" s="19" t="n"/>
      <c r="G109" s="19" t="n"/>
      <c r="H109" s="19" t="n"/>
      <c r="I109" s="19" t="n"/>
      <c r="J109" s="19" t="n"/>
      <c r="K109" s="19" t="n"/>
      <c r="L109" s="35" t="n"/>
      <c r="M109" s="5">
        <f>IF($D109="","",IFERROR(VLOOKUP($H109,Lists!$N$2:$O$6,2,FALSE),0))</f>
        <v/>
      </c>
      <c r="N109" s="5">
        <f>IF($D109="","",IF(OR($E109="Blocked",$E109="Done",$E109="Archive"),-9999,IF(AND($E109="Waiting",SUMPRODUCT((($E$5:$E$200="Next")+($E$5:$E$200="In Progress")+($E$5:$E$200="Captured"))*($D$5:$D$200&lt;&gt;""))&gt;0),-500,VLOOKUP($F109,Lists!$L$2:$M$4,2,FALSE)+IF($E109="In Progress",10,0)+IF(AND($I109&lt;&gt;"",$I109&lt;TODAY()),25,0)+IF(AND($I109&lt;&gt;"",$I109&gt;=TODAY(),$I109&lt;=TODAY()+7),15,0)+IF($M109&lt;=VLOOKUP(Home!$C$7,Lists!$N$2:$O$6,2,FALSE),20,-10)+IF($G109=Home!$E$7,15,IF(Home!$E$7="",0,-5))-ROW()/100000)))</f>
        <v/>
      </c>
      <c r="O109" s="5">
        <f>IF($D109="","",IF($N109&lt;=-500,"Not recommended right now",TEXTJOIN(" • ",TRUE,IF($F109="High","High Priority",""),IF(AND($I109&lt;&gt;"",$I109&lt;TODAY()),"Overdue",""),IF(AND($I109&lt;&gt;"",$I109&gt;=TODAY(),$I109&lt;=TODAY()+7),"Due This Week",""),IF($M109&lt;=VLOOKUP(Home!$C$7,Lists!$N$2:$O$6,2,FALSE),$H109&amp;" Task",""),IF($G109=Home!$E$7,"Fits Current Energy",""),"No Blockers")))</f>
        <v/>
      </c>
      <c r="P109" s="5">
        <f>IF($D109="","",SWITCH('Task Finder'!$C$6,"High Priority",AND($F109="High",$E109&lt;&gt;"Done",$E109&lt;&gt;"Archive"),"Due This Week",AND($I109&lt;&gt;"",$I109&gt;=TODAY(),$I109&lt;=TODAY()+7,$E109&lt;&gt;"Done"),"Quick Wins (15 mins or less)",AND($M109&lt;=15,$E109&lt;&gt;"Done",$E109&lt;&gt;"Blocked"),"Deep Thinking",AND($G109="Deep Thinking",$E109&lt;&gt;"Done"),"Processing",AND($G109="Processing",$E109&lt;&gt;"Done"),"Blocked",$E109="Blocked","Waiting",$E109="Waiting","Recently Updated",AND($L109&lt;&gt;"",$L109&gt;=TODAY()-7),TRUE))</f>
        <v/>
      </c>
    </row>
    <row r="110">
      <c r="A110" s="19" t="n"/>
      <c r="B110" s="19" t="n"/>
      <c r="C110" s="19" t="n"/>
      <c r="D110" s="19" t="n"/>
      <c r="E110" s="19" t="n"/>
      <c r="F110" s="19" t="n"/>
      <c r="G110" s="19" t="n"/>
      <c r="H110" s="19" t="n"/>
      <c r="I110" s="19" t="n"/>
      <c r="J110" s="19" t="n"/>
      <c r="K110" s="19" t="n"/>
      <c r="L110" s="35" t="n"/>
      <c r="M110" s="5">
        <f>IF($D110="","",IFERROR(VLOOKUP($H110,Lists!$N$2:$O$6,2,FALSE),0))</f>
        <v/>
      </c>
      <c r="N110" s="5">
        <f>IF($D110="","",IF(OR($E110="Blocked",$E110="Done",$E110="Archive"),-9999,IF(AND($E110="Waiting",SUMPRODUCT((($E$5:$E$200="Next")+($E$5:$E$200="In Progress")+($E$5:$E$200="Captured"))*($D$5:$D$200&lt;&gt;""))&gt;0),-500,VLOOKUP($F110,Lists!$L$2:$M$4,2,FALSE)+IF($E110="In Progress",10,0)+IF(AND($I110&lt;&gt;"",$I110&lt;TODAY()),25,0)+IF(AND($I110&lt;&gt;"",$I110&gt;=TODAY(),$I110&lt;=TODAY()+7),15,0)+IF($M110&lt;=VLOOKUP(Home!$C$7,Lists!$N$2:$O$6,2,FALSE),20,-10)+IF($G110=Home!$E$7,15,IF(Home!$E$7="",0,-5))-ROW()/100000)))</f>
        <v/>
      </c>
      <c r="O110" s="5">
        <f>IF($D110="","",IF($N110&lt;=-500,"Not recommended right now",TEXTJOIN(" • ",TRUE,IF($F110="High","High Priority",""),IF(AND($I110&lt;&gt;"",$I110&lt;TODAY()),"Overdue",""),IF(AND($I110&lt;&gt;"",$I110&gt;=TODAY(),$I110&lt;=TODAY()+7),"Due This Week",""),IF($M110&lt;=VLOOKUP(Home!$C$7,Lists!$N$2:$O$6,2,FALSE),$H110&amp;" Task",""),IF($G110=Home!$E$7,"Fits Current Energy",""),"No Blockers")))</f>
        <v/>
      </c>
      <c r="P110" s="5">
        <f>IF($D110="","",SWITCH('Task Finder'!$C$6,"High Priority",AND($F110="High",$E110&lt;&gt;"Done",$E110&lt;&gt;"Archive"),"Due This Week",AND($I110&lt;&gt;"",$I110&gt;=TODAY(),$I110&lt;=TODAY()+7,$E110&lt;&gt;"Done"),"Quick Wins (15 mins or less)",AND($M110&lt;=15,$E110&lt;&gt;"Done",$E110&lt;&gt;"Blocked"),"Deep Thinking",AND($G110="Deep Thinking",$E110&lt;&gt;"Done"),"Processing",AND($G110="Processing",$E110&lt;&gt;"Done"),"Blocked",$E110="Blocked","Waiting",$E110="Waiting","Recently Updated",AND($L110&lt;&gt;"",$L110&gt;=TODAY()-7),TRUE))</f>
        <v/>
      </c>
    </row>
    <row r="111">
      <c r="A111" s="19" t="n"/>
      <c r="B111" s="19" t="n"/>
      <c r="C111" s="19" t="n"/>
      <c r="D111" s="19" t="n"/>
      <c r="E111" s="19" t="n"/>
      <c r="F111" s="19" t="n"/>
      <c r="G111" s="19" t="n"/>
      <c r="H111" s="19" t="n"/>
      <c r="I111" s="19" t="n"/>
      <c r="J111" s="19" t="n"/>
      <c r="K111" s="19" t="n"/>
      <c r="L111" s="35" t="n"/>
      <c r="M111" s="5">
        <f>IF($D111="","",IFERROR(VLOOKUP($H111,Lists!$N$2:$O$6,2,FALSE),0))</f>
        <v/>
      </c>
      <c r="N111" s="5">
        <f>IF($D111="","",IF(OR($E111="Blocked",$E111="Done",$E111="Archive"),-9999,IF(AND($E111="Waiting",SUMPRODUCT((($E$5:$E$200="Next")+($E$5:$E$200="In Progress")+($E$5:$E$200="Captured"))*($D$5:$D$200&lt;&gt;""))&gt;0),-500,VLOOKUP($F111,Lists!$L$2:$M$4,2,FALSE)+IF($E111="In Progress",10,0)+IF(AND($I111&lt;&gt;"",$I111&lt;TODAY()),25,0)+IF(AND($I111&lt;&gt;"",$I111&gt;=TODAY(),$I111&lt;=TODAY()+7),15,0)+IF($M111&lt;=VLOOKUP(Home!$C$7,Lists!$N$2:$O$6,2,FALSE),20,-10)+IF($G111=Home!$E$7,15,IF(Home!$E$7="",0,-5))-ROW()/100000)))</f>
        <v/>
      </c>
      <c r="O111" s="5">
        <f>IF($D111="","",IF($N111&lt;=-500,"Not recommended right now",TEXTJOIN(" • ",TRUE,IF($F111="High","High Priority",""),IF(AND($I111&lt;&gt;"",$I111&lt;TODAY()),"Overdue",""),IF(AND($I111&lt;&gt;"",$I111&gt;=TODAY(),$I111&lt;=TODAY()+7),"Due This Week",""),IF($M111&lt;=VLOOKUP(Home!$C$7,Lists!$N$2:$O$6,2,FALSE),$H111&amp;" Task",""),IF($G111=Home!$E$7,"Fits Current Energy",""),"No Blockers")))</f>
        <v/>
      </c>
      <c r="P111" s="5">
        <f>IF($D111="","",SWITCH('Task Finder'!$C$6,"High Priority",AND($F111="High",$E111&lt;&gt;"Done",$E111&lt;&gt;"Archive"),"Due This Week",AND($I111&lt;&gt;"",$I111&gt;=TODAY(),$I111&lt;=TODAY()+7,$E111&lt;&gt;"Done"),"Quick Wins (15 mins or less)",AND($M111&lt;=15,$E111&lt;&gt;"Done",$E111&lt;&gt;"Blocked"),"Deep Thinking",AND($G111="Deep Thinking",$E111&lt;&gt;"Done"),"Processing",AND($G111="Processing",$E111&lt;&gt;"Done"),"Blocked",$E111="Blocked","Waiting",$E111="Waiting","Recently Updated",AND($L111&lt;&gt;"",$L111&gt;=TODAY()-7),TRUE))</f>
        <v/>
      </c>
    </row>
    <row r="112">
      <c r="A112" s="19" t="n"/>
      <c r="B112" s="19" t="n"/>
      <c r="C112" s="19" t="n"/>
      <c r="D112" s="19" t="n"/>
      <c r="E112" s="19" t="n"/>
      <c r="F112" s="19" t="n"/>
      <c r="G112" s="19" t="n"/>
      <c r="H112" s="19" t="n"/>
      <c r="I112" s="19" t="n"/>
      <c r="J112" s="19" t="n"/>
      <c r="K112" s="19" t="n"/>
      <c r="L112" s="35" t="n"/>
      <c r="M112" s="5">
        <f>IF($D112="","",IFERROR(VLOOKUP($H112,Lists!$N$2:$O$6,2,FALSE),0))</f>
        <v/>
      </c>
      <c r="N112" s="5">
        <f>IF($D112="","",IF(OR($E112="Blocked",$E112="Done",$E112="Archive"),-9999,IF(AND($E112="Waiting",SUMPRODUCT((($E$5:$E$200="Next")+($E$5:$E$200="In Progress")+($E$5:$E$200="Captured"))*($D$5:$D$200&lt;&gt;""))&gt;0),-500,VLOOKUP($F112,Lists!$L$2:$M$4,2,FALSE)+IF($E112="In Progress",10,0)+IF(AND($I112&lt;&gt;"",$I112&lt;TODAY()),25,0)+IF(AND($I112&lt;&gt;"",$I112&gt;=TODAY(),$I112&lt;=TODAY()+7),15,0)+IF($M112&lt;=VLOOKUP(Home!$C$7,Lists!$N$2:$O$6,2,FALSE),20,-10)+IF($G112=Home!$E$7,15,IF(Home!$E$7="",0,-5))-ROW()/100000)))</f>
        <v/>
      </c>
      <c r="O112" s="5">
        <f>IF($D112="","",IF($N112&lt;=-500,"Not recommended right now",TEXTJOIN(" • ",TRUE,IF($F112="High","High Priority",""),IF(AND($I112&lt;&gt;"",$I112&lt;TODAY()),"Overdue",""),IF(AND($I112&lt;&gt;"",$I112&gt;=TODAY(),$I112&lt;=TODAY()+7),"Due This Week",""),IF($M112&lt;=VLOOKUP(Home!$C$7,Lists!$N$2:$O$6,2,FALSE),$H112&amp;" Task",""),IF($G112=Home!$E$7,"Fits Current Energy",""),"No Blockers")))</f>
        <v/>
      </c>
      <c r="P112" s="5">
        <f>IF($D112="","",SWITCH('Task Finder'!$C$6,"High Priority",AND($F112="High",$E112&lt;&gt;"Done",$E112&lt;&gt;"Archive"),"Due This Week",AND($I112&lt;&gt;"",$I112&gt;=TODAY(),$I112&lt;=TODAY()+7,$E112&lt;&gt;"Done"),"Quick Wins (15 mins or less)",AND($M112&lt;=15,$E112&lt;&gt;"Done",$E112&lt;&gt;"Blocked"),"Deep Thinking",AND($G112="Deep Thinking",$E112&lt;&gt;"Done"),"Processing",AND($G112="Processing",$E112&lt;&gt;"Done"),"Blocked",$E112="Blocked","Waiting",$E112="Waiting","Recently Updated",AND($L112&lt;&gt;"",$L112&gt;=TODAY()-7),TRUE))</f>
        <v/>
      </c>
    </row>
    <row r="113">
      <c r="A113" s="19" t="n"/>
      <c r="B113" s="19" t="n"/>
      <c r="C113" s="19" t="n"/>
      <c r="D113" s="19" t="n"/>
      <c r="E113" s="19" t="n"/>
      <c r="F113" s="19" t="n"/>
      <c r="G113" s="19" t="n"/>
      <c r="H113" s="19" t="n"/>
      <c r="I113" s="19" t="n"/>
      <c r="J113" s="19" t="n"/>
      <c r="K113" s="19" t="n"/>
      <c r="L113" s="35" t="n"/>
      <c r="M113" s="5">
        <f>IF($D113="","",IFERROR(VLOOKUP($H113,Lists!$N$2:$O$6,2,FALSE),0))</f>
        <v/>
      </c>
      <c r="N113" s="5">
        <f>IF($D113="","",IF(OR($E113="Blocked",$E113="Done",$E113="Archive"),-9999,IF(AND($E113="Waiting",SUMPRODUCT((($E$5:$E$200="Next")+($E$5:$E$200="In Progress")+($E$5:$E$200="Captured"))*($D$5:$D$200&lt;&gt;""))&gt;0),-500,VLOOKUP($F113,Lists!$L$2:$M$4,2,FALSE)+IF($E113="In Progress",10,0)+IF(AND($I113&lt;&gt;"",$I113&lt;TODAY()),25,0)+IF(AND($I113&lt;&gt;"",$I113&gt;=TODAY(),$I113&lt;=TODAY()+7),15,0)+IF($M113&lt;=VLOOKUP(Home!$C$7,Lists!$N$2:$O$6,2,FALSE),20,-10)+IF($G113=Home!$E$7,15,IF(Home!$E$7="",0,-5))-ROW()/100000)))</f>
        <v/>
      </c>
      <c r="O113" s="5">
        <f>IF($D113="","",IF($N113&lt;=-500,"Not recommended right now",TEXTJOIN(" • ",TRUE,IF($F113="High","High Priority",""),IF(AND($I113&lt;&gt;"",$I113&lt;TODAY()),"Overdue",""),IF(AND($I113&lt;&gt;"",$I113&gt;=TODAY(),$I113&lt;=TODAY()+7),"Due This Week",""),IF($M113&lt;=VLOOKUP(Home!$C$7,Lists!$N$2:$O$6,2,FALSE),$H113&amp;" Task",""),IF($G113=Home!$E$7,"Fits Current Energy",""),"No Blockers")))</f>
        <v/>
      </c>
      <c r="P113" s="5">
        <f>IF($D113="","",SWITCH('Task Finder'!$C$6,"High Priority",AND($F113="High",$E113&lt;&gt;"Done",$E113&lt;&gt;"Archive"),"Due This Week",AND($I113&lt;&gt;"",$I113&gt;=TODAY(),$I113&lt;=TODAY()+7,$E113&lt;&gt;"Done"),"Quick Wins (15 mins or less)",AND($M113&lt;=15,$E113&lt;&gt;"Done",$E113&lt;&gt;"Blocked"),"Deep Thinking",AND($G113="Deep Thinking",$E113&lt;&gt;"Done"),"Processing",AND($G113="Processing",$E113&lt;&gt;"Done"),"Blocked",$E113="Blocked","Waiting",$E113="Waiting","Recently Updated",AND($L113&lt;&gt;"",$L113&gt;=TODAY()-7),TRUE))</f>
        <v/>
      </c>
    </row>
    <row r="114">
      <c r="A114" s="19" t="n"/>
      <c r="B114" s="19" t="n"/>
      <c r="C114" s="19" t="n"/>
      <c r="D114" s="19" t="n"/>
      <c r="E114" s="19" t="n"/>
      <c r="F114" s="19" t="n"/>
      <c r="G114" s="19" t="n"/>
      <c r="H114" s="19" t="n"/>
      <c r="I114" s="19" t="n"/>
      <c r="J114" s="19" t="n"/>
      <c r="K114" s="19" t="n"/>
      <c r="L114" s="35" t="n"/>
      <c r="M114" s="5">
        <f>IF($D114="","",IFERROR(VLOOKUP($H114,Lists!$N$2:$O$6,2,FALSE),0))</f>
        <v/>
      </c>
      <c r="N114" s="5">
        <f>IF($D114="","",IF(OR($E114="Blocked",$E114="Done",$E114="Archive"),-9999,IF(AND($E114="Waiting",SUMPRODUCT((($E$5:$E$200="Next")+($E$5:$E$200="In Progress")+($E$5:$E$200="Captured"))*($D$5:$D$200&lt;&gt;""))&gt;0),-500,VLOOKUP($F114,Lists!$L$2:$M$4,2,FALSE)+IF($E114="In Progress",10,0)+IF(AND($I114&lt;&gt;"",$I114&lt;TODAY()),25,0)+IF(AND($I114&lt;&gt;"",$I114&gt;=TODAY(),$I114&lt;=TODAY()+7),15,0)+IF($M114&lt;=VLOOKUP(Home!$C$7,Lists!$N$2:$O$6,2,FALSE),20,-10)+IF($G114=Home!$E$7,15,IF(Home!$E$7="",0,-5))-ROW()/100000)))</f>
        <v/>
      </c>
      <c r="O114" s="5">
        <f>IF($D114="","",IF($N114&lt;=-500,"Not recommended right now",TEXTJOIN(" • ",TRUE,IF($F114="High","High Priority",""),IF(AND($I114&lt;&gt;"",$I114&lt;TODAY()),"Overdue",""),IF(AND($I114&lt;&gt;"",$I114&gt;=TODAY(),$I114&lt;=TODAY()+7),"Due This Week",""),IF($M114&lt;=VLOOKUP(Home!$C$7,Lists!$N$2:$O$6,2,FALSE),$H114&amp;" Task",""),IF($G114=Home!$E$7,"Fits Current Energy",""),"No Blockers")))</f>
        <v/>
      </c>
      <c r="P114" s="5">
        <f>IF($D114="","",SWITCH('Task Finder'!$C$6,"High Priority",AND($F114="High",$E114&lt;&gt;"Done",$E114&lt;&gt;"Archive"),"Due This Week",AND($I114&lt;&gt;"",$I114&gt;=TODAY(),$I114&lt;=TODAY()+7,$E114&lt;&gt;"Done"),"Quick Wins (15 mins or less)",AND($M114&lt;=15,$E114&lt;&gt;"Done",$E114&lt;&gt;"Blocked"),"Deep Thinking",AND($G114="Deep Thinking",$E114&lt;&gt;"Done"),"Processing",AND($G114="Processing",$E114&lt;&gt;"Done"),"Blocked",$E114="Blocked","Waiting",$E114="Waiting","Recently Updated",AND($L114&lt;&gt;"",$L114&gt;=TODAY()-7),TRUE))</f>
        <v/>
      </c>
    </row>
    <row r="115">
      <c r="A115" s="19" t="n"/>
      <c r="B115" s="19" t="n"/>
      <c r="C115" s="19" t="n"/>
      <c r="D115" s="19" t="n"/>
      <c r="E115" s="19" t="n"/>
      <c r="F115" s="19" t="n"/>
      <c r="G115" s="19" t="n"/>
      <c r="H115" s="19" t="n"/>
      <c r="I115" s="19" t="n"/>
      <c r="J115" s="19" t="n"/>
      <c r="K115" s="19" t="n"/>
      <c r="L115" s="35" t="n"/>
      <c r="M115" s="5">
        <f>IF($D115="","",IFERROR(VLOOKUP($H115,Lists!$N$2:$O$6,2,FALSE),0))</f>
        <v/>
      </c>
      <c r="N115" s="5">
        <f>IF($D115="","",IF(OR($E115="Blocked",$E115="Done",$E115="Archive"),-9999,IF(AND($E115="Waiting",SUMPRODUCT((($E$5:$E$200="Next")+($E$5:$E$200="In Progress")+($E$5:$E$200="Captured"))*($D$5:$D$200&lt;&gt;""))&gt;0),-500,VLOOKUP($F115,Lists!$L$2:$M$4,2,FALSE)+IF($E115="In Progress",10,0)+IF(AND($I115&lt;&gt;"",$I115&lt;TODAY()),25,0)+IF(AND($I115&lt;&gt;"",$I115&gt;=TODAY(),$I115&lt;=TODAY()+7),15,0)+IF($M115&lt;=VLOOKUP(Home!$C$7,Lists!$N$2:$O$6,2,FALSE),20,-10)+IF($G115=Home!$E$7,15,IF(Home!$E$7="",0,-5))-ROW()/100000)))</f>
        <v/>
      </c>
      <c r="O115" s="5">
        <f>IF($D115="","",IF($N115&lt;=-500,"Not recommended right now",TEXTJOIN(" • ",TRUE,IF($F115="High","High Priority",""),IF(AND($I115&lt;&gt;"",$I115&lt;TODAY()),"Overdue",""),IF(AND($I115&lt;&gt;"",$I115&gt;=TODAY(),$I115&lt;=TODAY()+7),"Due This Week",""),IF($M115&lt;=VLOOKUP(Home!$C$7,Lists!$N$2:$O$6,2,FALSE),$H115&amp;" Task",""),IF($G115=Home!$E$7,"Fits Current Energy",""),"No Blockers")))</f>
        <v/>
      </c>
      <c r="P115" s="5">
        <f>IF($D115="","",SWITCH('Task Finder'!$C$6,"High Priority",AND($F115="High",$E115&lt;&gt;"Done",$E115&lt;&gt;"Archive"),"Due This Week",AND($I115&lt;&gt;"",$I115&gt;=TODAY(),$I115&lt;=TODAY()+7,$E115&lt;&gt;"Done"),"Quick Wins (15 mins or less)",AND($M115&lt;=15,$E115&lt;&gt;"Done",$E115&lt;&gt;"Blocked"),"Deep Thinking",AND($G115="Deep Thinking",$E115&lt;&gt;"Done"),"Processing",AND($G115="Processing",$E115&lt;&gt;"Done"),"Blocked",$E115="Blocked","Waiting",$E115="Waiting","Recently Updated",AND($L115&lt;&gt;"",$L115&gt;=TODAY()-7),TRUE))</f>
        <v/>
      </c>
    </row>
    <row r="116">
      <c r="A116" s="19" t="n"/>
      <c r="B116" s="19" t="n"/>
      <c r="C116" s="19" t="n"/>
      <c r="D116" s="19" t="n"/>
      <c r="E116" s="19" t="n"/>
      <c r="F116" s="19" t="n"/>
      <c r="G116" s="19" t="n"/>
      <c r="H116" s="19" t="n"/>
      <c r="I116" s="19" t="n"/>
      <c r="J116" s="19" t="n"/>
      <c r="K116" s="19" t="n"/>
      <c r="L116" s="35" t="n"/>
      <c r="M116" s="5">
        <f>IF($D116="","",IFERROR(VLOOKUP($H116,Lists!$N$2:$O$6,2,FALSE),0))</f>
        <v/>
      </c>
      <c r="N116" s="5">
        <f>IF($D116="","",IF(OR($E116="Blocked",$E116="Done",$E116="Archive"),-9999,IF(AND($E116="Waiting",SUMPRODUCT((($E$5:$E$200="Next")+($E$5:$E$200="In Progress")+($E$5:$E$200="Captured"))*($D$5:$D$200&lt;&gt;""))&gt;0),-500,VLOOKUP($F116,Lists!$L$2:$M$4,2,FALSE)+IF($E116="In Progress",10,0)+IF(AND($I116&lt;&gt;"",$I116&lt;TODAY()),25,0)+IF(AND($I116&lt;&gt;"",$I116&gt;=TODAY(),$I116&lt;=TODAY()+7),15,0)+IF($M116&lt;=VLOOKUP(Home!$C$7,Lists!$N$2:$O$6,2,FALSE),20,-10)+IF($G116=Home!$E$7,15,IF(Home!$E$7="",0,-5))-ROW()/100000)))</f>
        <v/>
      </c>
      <c r="O116" s="5">
        <f>IF($D116="","",IF($N116&lt;=-500,"Not recommended right now",TEXTJOIN(" • ",TRUE,IF($F116="High","High Priority",""),IF(AND($I116&lt;&gt;"",$I116&lt;TODAY()),"Overdue",""),IF(AND($I116&lt;&gt;"",$I116&gt;=TODAY(),$I116&lt;=TODAY()+7),"Due This Week",""),IF($M116&lt;=VLOOKUP(Home!$C$7,Lists!$N$2:$O$6,2,FALSE),$H116&amp;" Task",""),IF($G116=Home!$E$7,"Fits Current Energy",""),"No Blockers")))</f>
        <v/>
      </c>
      <c r="P116" s="5">
        <f>IF($D116="","",SWITCH('Task Finder'!$C$6,"High Priority",AND($F116="High",$E116&lt;&gt;"Done",$E116&lt;&gt;"Archive"),"Due This Week",AND($I116&lt;&gt;"",$I116&gt;=TODAY(),$I116&lt;=TODAY()+7,$E116&lt;&gt;"Done"),"Quick Wins (15 mins or less)",AND($M116&lt;=15,$E116&lt;&gt;"Done",$E116&lt;&gt;"Blocked"),"Deep Thinking",AND($G116="Deep Thinking",$E116&lt;&gt;"Done"),"Processing",AND($G116="Processing",$E116&lt;&gt;"Done"),"Blocked",$E116="Blocked","Waiting",$E116="Waiting","Recently Updated",AND($L116&lt;&gt;"",$L116&gt;=TODAY()-7),TRUE))</f>
        <v/>
      </c>
    </row>
    <row r="117">
      <c r="A117" s="19" t="n"/>
      <c r="B117" s="19" t="n"/>
      <c r="C117" s="19" t="n"/>
      <c r="D117" s="19" t="n"/>
      <c r="E117" s="19" t="n"/>
      <c r="F117" s="19" t="n"/>
      <c r="G117" s="19" t="n"/>
      <c r="H117" s="19" t="n"/>
      <c r="I117" s="19" t="n"/>
      <c r="J117" s="19" t="n"/>
      <c r="K117" s="19" t="n"/>
      <c r="L117" s="35" t="n"/>
      <c r="M117" s="5">
        <f>IF($D117="","",IFERROR(VLOOKUP($H117,Lists!$N$2:$O$6,2,FALSE),0))</f>
        <v/>
      </c>
      <c r="N117" s="5">
        <f>IF($D117="","",IF(OR($E117="Blocked",$E117="Done",$E117="Archive"),-9999,IF(AND($E117="Waiting",SUMPRODUCT((($E$5:$E$200="Next")+($E$5:$E$200="In Progress")+($E$5:$E$200="Captured"))*($D$5:$D$200&lt;&gt;""))&gt;0),-500,VLOOKUP($F117,Lists!$L$2:$M$4,2,FALSE)+IF($E117="In Progress",10,0)+IF(AND($I117&lt;&gt;"",$I117&lt;TODAY()),25,0)+IF(AND($I117&lt;&gt;"",$I117&gt;=TODAY(),$I117&lt;=TODAY()+7),15,0)+IF($M117&lt;=VLOOKUP(Home!$C$7,Lists!$N$2:$O$6,2,FALSE),20,-10)+IF($G117=Home!$E$7,15,IF(Home!$E$7="",0,-5))-ROW()/100000)))</f>
        <v/>
      </c>
      <c r="O117" s="5">
        <f>IF($D117="","",IF($N117&lt;=-500,"Not recommended right now",TEXTJOIN(" • ",TRUE,IF($F117="High","High Priority",""),IF(AND($I117&lt;&gt;"",$I117&lt;TODAY()),"Overdue",""),IF(AND($I117&lt;&gt;"",$I117&gt;=TODAY(),$I117&lt;=TODAY()+7),"Due This Week",""),IF($M117&lt;=VLOOKUP(Home!$C$7,Lists!$N$2:$O$6,2,FALSE),$H117&amp;" Task",""),IF($G117=Home!$E$7,"Fits Current Energy",""),"No Blockers")))</f>
        <v/>
      </c>
      <c r="P117" s="5">
        <f>IF($D117="","",SWITCH('Task Finder'!$C$6,"High Priority",AND($F117="High",$E117&lt;&gt;"Done",$E117&lt;&gt;"Archive"),"Due This Week",AND($I117&lt;&gt;"",$I117&gt;=TODAY(),$I117&lt;=TODAY()+7,$E117&lt;&gt;"Done"),"Quick Wins (15 mins or less)",AND($M117&lt;=15,$E117&lt;&gt;"Done",$E117&lt;&gt;"Blocked"),"Deep Thinking",AND($G117="Deep Thinking",$E117&lt;&gt;"Done"),"Processing",AND($G117="Processing",$E117&lt;&gt;"Done"),"Blocked",$E117="Blocked","Waiting",$E117="Waiting","Recently Updated",AND($L117&lt;&gt;"",$L117&gt;=TODAY()-7),TRUE))</f>
        <v/>
      </c>
    </row>
    <row r="118">
      <c r="A118" s="19" t="n"/>
      <c r="B118" s="19" t="n"/>
      <c r="C118" s="19" t="n"/>
      <c r="D118" s="19" t="n"/>
      <c r="E118" s="19" t="n"/>
      <c r="F118" s="19" t="n"/>
      <c r="G118" s="19" t="n"/>
      <c r="H118" s="19" t="n"/>
      <c r="I118" s="19" t="n"/>
      <c r="J118" s="19" t="n"/>
      <c r="K118" s="19" t="n"/>
      <c r="L118" s="35" t="n"/>
      <c r="M118" s="5">
        <f>IF($D118="","",IFERROR(VLOOKUP($H118,Lists!$N$2:$O$6,2,FALSE),0))</f>
        <v/>
      </c>
      <c r="N118" s="5">
        <f>IF($D118="","",IF(OR($E118="Blocked",$E118="Done",$E118="Archive"),-9999,IF(AND($E118="Waiting",SUMPRODUCT((($E$5:$E$200="Next")+($E$5:$E$200="In Progress")+($E$5:$E$200="Captured"))*($D$5:$D$200&lt;&gt;""))&gt;0),-500,VLOOKUP($F118,Lists!$L$2:$M$4,2,FALSE)+IF($E118="In Progress",10,0)+IF(AND($I118&lt;&gt;"",$I118&lt;TODAY()),25,0)+IF(AND($I118&lt;&gt;"",$I118&gt;=TODAY(),$I118&lt;=TODAY()+7),15,0)+IF($M118&lt;=VLOOKUP(Home!$C$7,Lists!$N$2:$O$6,2,FALSE),20,-10)+IF($G118=Home!$E$7,15,IF(Home!$E$7="",0,-5))-ROW()/100000)))</f>
        <v/>
      </c>
      <c r="O118" s="5">
        <f>IF($D118="","",IF($N118&lt;=-500,"Not recommended right now",TEXTJOIN(" • ",TRUE,IF($F118="High","High Priority",""),IF(AND($I118&lt;&gt;"",$I118&lt;TODAY()),"Overdue",""),IF(AND($I118&lt;&gt;"",$I118&gt;=TODAY(),$I118&lt;=TODAY()+7),"Due This Week",""),IF($M118&lt;=VLOOKUP(Home!$C$7,Lists!$N$2:$O$6,2,FALSE),$H118&amp;" Task",""),IF($G118=Home!$E$7,"Fits Current Energy",""),"No Blockers")))</f>
        <v/>
      </c>
      <c r="P118" s="5">
        <f>IF($D118="","",SWITCH('Task Finder'!$C$6,"High Priority",AND($F118="High",$E118&lt;&gt;"Done",$E118&lt;&gt;"Archive"),"Due This Week",AND($I118&lt;&gt;"",$I118&gt;=TODAY(),$I118&lt;=TODAY()+7,$E118&lt;&gt;"Done"),"Quick Wins (15 mins or less)",AND($M118&lt;=15,$E118&lt;&gt;"Done",$E118&lt;&gt;"Blocked"),"Deep Thinking",AND($G118="Deep Thinking",$E118&lt;&gt;"Done"),"Processing",AND($G118="Processing",$E118&lt;&gt;"Done"),"Blocked",$E118="Blocked","Waiting",$E118="Waiting","Recently Updated",AND($L118&lt;&gt;"",$L118&gt;=TODAY()-7),TRUE))</f>
        <v/>
      </c>
    </row>
    <row r="119">
      <c r="A119" s="19" t="n"/>
      <c r="B119" s="19" t="n"/>
      <c r="C119" s="19" t="n"/>
      <c r="D119" s="19" t="n"/>
      <c r="E119" s="19" t="n"/>
      <c r="F119" s="19" t="n"/>
      <c r="G119" s="19" t="n"/>
      <c r="H119" s="19" t="n"/>
      <c r="I119" s="19" t="n"/>
      <c r="J119" s="19" t="n"/>
      <c r="K119" s="19" t="n"/>
      <c r="L119" s="35" t="n"/>
      <c r="M119" s="5">
        <f>IF($D119="","",IFERROR(VLOOKUP($H119,Lists!$N$2:$O$6,2,FALSE),0))</f>
        <v/>
      </c>
      <c r="N119" s="5">
        <f>IF($D119="","",IF(OR($E119="Blocked",$E119="Done",$E119="Archive"),-9999,IF(AND($E119="Waiting",SUMPRODUCT((($E$5:$E$200="Next")+($E$5:$E$200="In Progress")+($E$5:$E$200="Captured"))*($D$5:$D$200&lt;&gt;""))&gt;0),-500,VLOOKUP($F119,Lists!$L$2:$M$4,2,FALSE)+IF($E119="In Progress",10,0)+IF(AND($I119&lt;&gt;"",$I119&lt;TODAY()),25,0)+IF(AND($I119&lt;&gt;"",$I119&gt;=TODAY(),$I119&lt;=TODAY()+7),15,0)+IF($M119&lt;=VLOOKUP(Home!$C$7,Lists!$N$2:$O$6,2,FALSE),20,-10)+IF($G119=Home!$E$7,15,IF(Home!$E$7="",0,-5))-ROW()/100000)))</f>
        <v/>
      </c>
      <c r="O119" s="5">
        <f>IF($D119="","",IF($N119&lt;=-500,"Not recommended right now",TEXTJOIN(" • ",TRUE,IF($F119="High","High Priority",""),IF(AND($I119&lt;&gt;"",$I119&lt;TODAY()),"Overdue",""),IF(AND($I119&lt;&gt;"",$I119&gt;=TODAY(),$I119&lt;=TODAY()+7),"Due This Week",""),IF($M119&lt;=VLOOKUP(Home!$C$7,Lists!$N$2:$O$6,2,FALSE),$H119&amp;" Task",""),IF($G119=Home!$E$7,"Fits Current Energy",""),"No Blockers")))</f>
        <v/>
      </c>
      <c r="P119" s="5">
        <f>IF($D119="","",SWITCH('Task Finder'!$C$6,"High Priority",AND($F119="High",$E119&lt;&gt;"Done",$E119&lt;&gt;"Archive"),"Due This Week",AND($I119&lt;&gt;"",$I119&gt;=TODAY(),$I119&lt;=TODAY()+7,$E119&lt;&gt;"Done"),"Quick Wins (15 mins or less)",AND($M119&lt;=15,$E119&lt;&gt;"Done",$E119&lt;&gt;"Blocked"),"Deep Thinking",AND($G119="Deep Thinking",$E119&lt;&gt;"Done"),"Processing",AND($G119="Processing",$E119&lt;&gt;"Done"),"Blocked",$E119="Blocked","Waiting",$E119="Waiting","Recently Updated",AND($L119&lt;&gt;"",$L119&gt;=TODAY()-7),TRUE))</f>
        <v/>
      </c>
    </row>
    <row r="120">
      <c r="A120" s="19" t="n"/>
      <c r="B120" s="19" t="n"/>
      <c r="C120" s="19" t="n"/>
      <c r="D120" s="19" t="n"/>
      <c r="E120" s="19" t="n"/>
      <c r="F120" s="19" t="n"/>
      <c r="G120" s="19" t="n"/>
      <c r="H120" s="19" t="n"/>
      <c r="I120" s="19" t="n"/>
      <c r="J120" s="19" t="n"/>
      <c r="K120" s="19" t="n"/>
      <c r="L120" s="35" t="n"/>
      <c r="M120" s="5">
        <f>IF($D120="","",IFERROR(VLOOKUP($H120,Lists!$N$2:$O$6,2,FALSE),0))</f>
        <v/>
      </c>
      <c r="N120" s="5">
        <f>IF($D120="","",IF(OR($E120="Blocked",$E120="Done",$E120="Archive"),-9999,IF(AND($E120="Waiting",SUMPRODUCT((($E$5:$E$200="Next")+($E$5:$E$200="In Progress")+($E$5:$E$200="Captured"))*($D$5:$D$200&lt;&gt;""))&gt;0),-500,VLOOKUP($F120,Lists!$L$2:$M$4,2,FALSE)+IF($E120="In Progress",10,0)+IF(AND($I120&lt;&gt;"",$I120&lt;TODAY()),25,0)+IF(AND($I120&lt;&gt;"",$I120&gt;=TODAY(),$I120&lt;=TODAY()+7),15,0)+IF($M120&lt;=VLOOKUP(Home!$C$7,Lists!$N$2:$O$6,2,FALSE),20,-10)+IF($G120=Home!$E$7,15,IF(Home!$E$7="",0,-5))-ROW()/100000)))</f>
        <v/>
      </c>
      <c r="O120" s="5">
        <f>IF($D120="","",IF($N120&lt;=-500,"Not recommended right now",TEXTJOIN(" • ",TRUE,IF($F120="High","High Priority",""),IF(AND($I120&lt;&gt;"",$I120&lt;TODAY()),"Overdue",""),IF(AND($I120&lt;&gt;"",$I120&gt;=TODAY(),$I120&lt;=TODAY()+7),"Due This Week",""),IF($M120&lt;=VLOOKUP(Home!$C$7,Lists!$N$2:$O$6,2,FALSE),$H120&amp;" Task",""),IF($G120=Home!$E$7,"Fits Current Energy",""),"No Blockers")))</f>
        <v/>
      </c>
      <c r="P120" s="5">
        <f>IF($D120="","",SWITCH('Task Finder'!$C$6,"High Priority",AND($F120="High",$E120&lt;&gt;"Done",$E120&lt;&gt;"Archive"),"Due This Week",AND($I120&lt;&gt;"",$I120&gt;=TODAY(),$I120&lt;=TODAY()+7,$E120&lt;&gt;"Done"),"Quick Wins (15 mins or less)",AND($M120&lt;=15,$E120&lt;&gt;"Done",$E120&lt;&gt;"Blocked"),"Deep Thinking",AND($G120="Deep Thinking",$E120&lt;&gt;"Done"),"Processing",AND($G120="Processing",$E120&lt;&gt;"Done"),"Blocked",$E120="Blocked","Waiting",$E120="Waiting","Recently Updated",AND($L120&lt;&gt;"",$L120&gt;=TODAY()-7),TRUE))</f>
        <v/>
      </c>
    </row>
    <row r="121">
      <c r="A121" s="19" t="n"/>
      <c r="B121" s="19" t="n"/>
      <c r="C121" s="19" t="n"/>
      <c r="D121" s="19" t="n"/>
      <c r="E121" s="19" t="n"/>
      <c r="F121" s="19" t="n"/>
      <c r="G121" s="19" t="n"/>
      <c r="H121" s="19" t="n"/>
      <c r="I121" s="19" t="n"/>
      <c r="J121" s="19" t="n"/>
      <c r="K121" s="19" t="n"/>
      <c r="L121" s="35" t="n"/>
      <c r="M121" s="5">
        <f>IF($D121="","",IFERROR(VLOOKUP($H121,Lists!$N$2:$O$6,2,FALSE),0))</f>
        <v/>
      </c>
      <c r="N121" s="5">
        <f>IF($D121="","",IF(OR($E121="Blocked",$E121="Done",$E121="Archive"),-9999,IF(AND($E121="Waiting",SUMPRODUCT((($E$5:$E$200="Next")+($E$5:$E$200="In Progress")+($E$5:$E$200="Captured"))*($D$5:$D$200&lt;&gt;""))&gt;0),-500,VLOOKUP($F121,Lists!$L$2:$M$4,2,FALSE)+IF($E121="In Progress",10,0)+IF(AND($I121&lt;&gt;"",$I121&lt;TODAY()),25,0)+IF(AND($I121&lt;&gt;"",$I121&gt;=TODAY(),$I121&lt;=TODAY()+7),15,0)+IF($M121&lt;=VLOOKUP(Home!$C$7,Lists!$N$2:$O$6,2,FALSE),20,-10)+IF($G121=Home!$E$7,15,IF(Home!$E$7="",0,-5))-ROW()/100000)))</f>
        <v/>
      </c>
      <c r="O121" s="5">
        <f>IF($D121="","",IF($N121&lt;=-500,"Not recommended right now",TEXTJOIN(" • ",TRUE,IF($F121="High","High Priority",""),IF(AND($I121&lt;&gt;"",$I121&lt;TODAY()),"Overdue",""),IF(AND($I121&lt;&gt;"",$I121&gt;=TODAY(),$I121&lt;=TODAY()+7),"Due This Week",""),IF($M121&lt;=VLOOKUP(Home!$C$7,Lists!$N$2:$O$6,2,FALSE),$H121&amp;" Task",""),IF($G121=Home!$E$7,"Fits Current Energy",""),"No Blockers")))</f>
        <v/>
      </c>
      <c r="P121" s="5">
        <f>IF($D121="","",SWITCH('Task Finder'!$C$6,"High Priority",AND($F121="High",$E121&lt;&gt;"Done",$E121&lt;&gt;"Archive"),"Due This Week",AND($I121&lt;&gt;"",$I121&gt;=TODAY(),$I121&lt;=TODAY()+7,$E121&lt;&gt;"Done"),"Quick Wins (15 mins or less)",AND($M121&lt;=15,$E121&lt;&gt;"Done",$E121&lt;&gt;"Blocked"),"Deep Thinking",AND($G121="Deep Thinking",$E121&lt;&gt;"Done"),"Processing",AND($G121="Processing",$E121&lt;&gt;"Done"),"Blocked",$E121="Blocked","Waiting",$E121="Waiting","Recently Updated",AND($L121&lt;&gt;"",$L121&gt;=TODAY()-7),TRUE))</f>
        <v/>
      </c>
    </row>
    <row r="122">
      <c r="A122" s="19" t="n"/>
      <c r="B122" s="19" t="n"/>
      <c r="C122" s="19" t="n"/>
      <c r="D122" s="19" t="n"/>
      <c r="E122" s="19" t="n"/>
      <c r="F122" s="19" t="n"/>
      <c r="G122" s="19" t="n"/>
      <c r="H122" s="19" t="n"/>
      <c r="I122" s="19" t="n"/>
      <c r="J122" s="19" t="n"/>
      <c r="K122" s="19" t="n"/>
      <c r="L122" s="35" t="n"/>
      <c r="M122" s="5">
        <f>IF($D122="","",IFERROR(VLOOKUP($H122,Lists!$N$2:$O$6,2,FALSE),0))</f>
        <v/>
      </c>
      <c r="N122" s="5">
        <f>IF($D122="","",IF(OR($E122="Blocked",$E122="Done",$E122="Archive"),-9999,IF(AND($E122="Waiting",SUMPRODUCT((($E$5:$E$200="Next")+($E$5:$E$200="In Progress")+($E$5:$E$200="Captured"))*($D$5:$D$200&lt;&gt;""))&gt;0),-500,VLOOKUP($F122,Lists!$L$2:$M$4,2,FALSE)+IF($E122="In Progress",10,0)+IF(AND($I122&lt;&gt;"",$I122&lt;TODAY()),25,0)+IF(AND($I122&lt;&gt;"",$I122&gt;=TODAY(),$I122&lt;=TODAY()+7),15,0)+IF($M122&lt;=VLOOKUP(Home!$C$7,Lists!$N$2:$O$6,2,FALSE),20,-10)+IF($G122=Home!$E$7,15,IF(Home!$E$7="",0,-5))-ROW()/100000)))</f>
        <v/>
      </c>
      <c r="O122" s="5">
        <f>IF($D122="","",IF($N122&lt;=-500,"Not recommended right now",TEXTJOIN(" • ",TRUE,IF($F122="High","High Priority",""),IF(AND($I122&lt;&gt;"",$I122&lt;TODAY()),"Overdue",""),IF(AND($I122&lt;&gt;"",$I122&gt;=TODAY(),$I122&lt;=TODAY()+7),"Due This Week",""),IF($M122&lt;=VLOOKUP(Home!$C$7,Lists!$N$2:$O$6,2,FALSE),$H122&amp;" Task",""),IF($G122=Home!$E$7,"Fits Current Energy",""),"No Blockers")))</f>
        <v/>
      </c>
      <c r="P122" s="5">
        <f>IF($D122="","",SWITCH('Task Finder'!$C$6,"High Priority",AND($F122="High",$E122&lt;&gt;"Done",$E122&lt;&gt;"Archive"),"Due This Week",AND($I122&lt;&gt;"",$I122&gt;=TODAY(),$I122&lt;=TODAY()+7,$E122&lt;&gt;"Done"),"Quick Wins (15 mins or less)",AND($M122&lt;=15,$E122&lt;&gt;"Done",$E122&lt;&gt;"Blocked"),"Deep Thinking",AND($G122="Deep Thinking",$E122&lt;&gt;"Done"),"Processing",AND($G122="Processing",$E122&lt;&gt;"Done"),"Blocked",$E122="Blocked","Waiting",$E122="Waiting","Recently Updated",AND($L122&lt;&gt;"",$L122&gt;=TODAY()-7),TRUE))</f>
        <v/>
      </c>
    </row>
    <row r="123">
      <c r="A123" s="19" t="n"/>
      <c r="B123" s="19" t="n"/>
      <c r="C123" s="19" t="n"/>
      <c r="D123" s="19" t="n"/>
      <c r="E123" s="19" t="n"/>
      <c r="F123" s="19" t="n"/>
      <c r="G123" s="19" t="n"/>
      <c r="H123" s="19" t="n"/>
      <c r="I123" s="19" t="n"/>
      <c r="J123" s="19" t="n"/>
      <c r="K123" s="19" t="n"/>
      <c r="L123" s="35" t="n"/>
      <c r="M123" s="5">
        <f>IF($D123="","",IFERROR(VLOOKUP($H123,Lists!$N$2:$O$6,2,FALSE),0))</f>
        <v/>
      </c>
      <c r="N123" s="5">
        <f>IF($D123="","",IF(OR($E123="Blocked",$E123="Done",$E123="Archive"),-9999,IF(AND($E123="Waiting",SUMPRODUCT((($E$5:$E$200="Next")+($E$5:$E$200="In Progress")+($E$5:$E$200="Captured"))*($D$5:$D$200&lt;&gt;""))&gt;0),-500,VLOOKUP($F123,Lists!$L$2:$M$4,2,FALSE)+IF($E123="In Progress",10,0)+IF(AND($I123&lt;&gt;"",$I123&lt;TODAY()),25,0)+IF(AND($I123&lt;&gt;"",$I123&gt;=TODAY(),$I123&lt;=TODAY()+7),15,0)+IF($M123&lt;=VLOOKUP(Home!$C$7,Lists!$N$2:$O$6,2,FALSE),20,-10)+IF($G123=Home!$E$7,15,IF(Home!$E$7="",0,-5))-ROW()/100000)))</f>
        <v/>
      </c>
      <c r="O123" s="5">
        <f>IF($D123="","",IF($N123&lt;=-500,"Not recommended right now",TEXTJOIN(" • ",TRUE,IF($F123="High","High Priority",""),IF(AND($I123&lt;&gt;"",$I123&lt;TODAY()),"Overdue",""),IF(AND($I123&lt;&gt;"",$I123&gt;=TODAY(),$I123&lt;=TODAY()+7),"Due This Week",""),IF($M123&lt;=VLOOKUP(Home!$C$7,Lists!$N$2:$O$6,2,FALSE),$H123&amp;" Task",""),IF($G123=Home!$E$7,"Fits Current Energy",""),"No Blockers")))</f>
        <v/>
      </c>
      <c r="P123" s="5">
        <f>IF($D123="","",SWITCH('Task Finder'!$C$6,"High Priority",AND($F123="High",$E123&lt;&gt;"Done",$E123&lt;&gt;"Archive"),"Due This Week",AND($I123&lt;&gt;"",$I123&gt;=TODAY(),$I123&lt;=TODAY()+7,$E123&lt;&gt;"Done"),"Quick Wins (15 mins or less)",AND($M123&lt;=15,$E123&lt;&gt;"Done",$E123&lt;&gt;"Blocked"),"Deep Thinking",AND($G123="Deep Thinking",$E123&lt;&gt;"Done"),"Processing",AND($G123="Processing",$E123&lt;&gt;"Done"),"Blocked",$E123="Blocked","Waiting",$E123="Waiting","Recently Updated",AND($L123&lt;&gt;"",$L123&gt;=TODAY()-7),TRUE))</f>
        <v/>
      </c>
    </row>
    <row r="124">
      <c r="A124" s="19" t="n"/>
      <c r="B124" s="19" t="n"/>
      <c r="C124" s="19" t="n"/>
      <c r="D124" s="19" t="n"/>
      <c r="E124" s="19" t="n"/>
      <c r="F124" s="19" t="n"/>
      <c r="G124" s="19" t="n"/>
      <c r="H124" s="19" t="n"/>
      <c r="I124" s="19" t="n"/>
      <c r="J124" s="19" t="n"/>
      <c r="K124" s="19" t="n"/>
      <c r="L124" s="35" t="n"/>
      <c r="M124" s="5">
        <f>IF($D124="","",IFERROR(VLOOKUP($H124,Lists!$N$2:$O$6,2,FALSE),0))</f>
        <v/>
      </c>
      <c r="N124" s="5">
        <f>IF($D124="","",IF(OR($E124="Blocked",$E124="Done",$E124="Archive"),-9999,IF(AND($E124="Waiting",SUMPRODUCT((($E$5:$E$200="Next")+($E$5:$E$200="In Progress")+($E$5:$E$200="Captured"))*($D$5:$D$200&lt;&gt;""))&gt;0),-500,VLOOKUP($F124,Lists!$L$2:$M$4,2,FALSE)+IF($E124="In Progress",10,0)+IF(AND($I124&lt;&gt;"",$I124&lt;TODAY()),25,0)+IF(AND($I124&lt;&gt;"",$I124&gt;=TODAY(),$I124&lt;=TODAY()+7),15,0)+IF($M124&lt;=VLOOKUP(Home!$C$7,Lists!$N$2:$O$6,2,FALSE),20,-10)+IF($G124=Home!$E$7,15,IF(Home!$E$7="",0,-5))-ROW()/100000)))</f>
        <v/>
      </c>
      <c r="O124" s="5">
        <f>IF($D124="","",IF($N124&lt;=-500,"Not recommended right now",TEXTJOIN(" • ",TRUE,IF($F124="High","High Priority",""),IF(AND($I124&lt;&gt;"",$I124&lt;TODAY()),"Overdue",""),IF(AND($I124&lt;&gt;"",$I124&gt;=TODAY(),$I124&lt;=TODAY()+7),"Due This Week",""),IF($M124&lt;=VLOOKUP(Home!$C$7,Lists!$N$2:$O$6,2,FALSE),$H124&amp;" Task",""),IF($G124=Home!$E$7,"Fits Current Energy",""),"No Blockers")))</f>
        <v/>
      </c>
      <c r="P124" s="5">
        <f>IF($D124="","",SWITCH('Task Finder'!$C$6,"High Priority",AND($F124="High",$E124&lt;&gt;"Done",$E124&lt;&gt;"Archive"),"Due This Week",AND($I124&lt;&gt;"",$I124&gt;=TODAY(),$I124&lt;=TODAY()+7,$E124&lt;&gt;"Done"),"Quick Wins (15 mins or less)",AND($M124&lt;=15,$E124&lt;&gt;"Done",$E124&lt;&gt;"Blocked"),"Deep Thinking",AND($G124="Deep Thinking",$E124&lt;&gt;"Done"),"Processing",AND($G124="Processing",$E124&lt;&gt;"Done"),"Blocked",$E124="Blocked","Waiting",$E124="Waiting","Recently Updated",AND($L124&lt;&gt;"",$L124&gt;=TODAY()-7),TRUE))</f>
        <v/>
      </c>
    </row>
    <row r="125">
      <c r="A125" s="19" t="n"/>
      <c r="B125" s="19" t="n"/>
      <c r="C125" s="19" t="n"/>
      <c r="D125" s="19" t="n"/>
      <c r="E125" s="19" t="n"/>
      <c r="F125" s="19" t="n"/>
      <c r="G125" s="19" t="n"/>
      <c r="H125" s="19" t="n"/>
      <c r="I125" s="19" t="n"/>
      <c r="J125" s="19" t="n"/>
      <c r="K125" s="19" t="n"/>
      <c r="L125" s="35" t="n"/>
      <c r="M125" s="5">
        <f>IF($D125="","",IFERROR(VLOOKUP($H125,Lists!$N$2:$O$6,2,FALSE),0))</f>
        <v/>
      </c>
      <c r="N125" s="5">
        <f>IF($D125="","",IF(OR($E125="Blocked",$E125="Done",$E125="Archive"),-9999,IF(AND($E125="Waiting",SUMPRODUCT((($E$5:$E$200="Next")+($E$5:$E$200="In Progress")+($E$5:$E$200="Captured"))*($D$5:$D$200&lt;&gt;""))&gt;0),-500,VLOOKUP($F125,Lists!$L$2:$M$4,2,FALSE)+IF($E125="In Progress",10,0)+IF(AND($I125&lt;&gt;"",$I125&lt;TODAY()),25,0)+IF(AND($I125&lt;&gt;"",$I125&gt;=TODAY(),$I125&lt;=TODAY()+7),15,0)+IF($M125&lt;=VLOOKUP(Home!$C$7,Lists!$N$2:$O$6,2,FALSE),20,-10)+IF($G125=Home!$E$7,15,IF(Home!$E$7="",0,-5))-ROW()/100000)))</f>
        <v/>
      </c>
      <c r="O125" s="5">
        <f>IF($D125="","",IF($N125&lt;=-500,"Not recommended right now",TEXTJOIN(" • ",TRUE,IF($F125="High","High Priority",""),IF(AND($I125&lt;&gt;"",$I125&lt;TODAY()),"Overdue",""),IF(AND($I125&lt;&gt;"",$I125&gt;=TODAY(),$I125&lt;=TODAY()+7),"Due This Week",""),IF($M125&lt;=VLOOKUP(Home!$C$7,Lists!$N$2:$O$6,2,FALSE),$H125&amp;" Task",""),IF($G125=Home!$E$7,"Fits Current Energy",""),"No Blockers")))</f>
        <v/>
      </c>
      <c r="P125" s="5">
        <f>IF($D125="","",SWITCH('Task Finder'!$C$6,"High Priority",AND($F125="High",$E125&lt;&gt;"Done",$E125&lt;&gt;"Archive"),"Due This Week",AND($I125&lt;&gt;"",$I125&gt;=TODAY(),$I125&lt;=TODAY()+7,$E125&lt;&gt;"Done"),"Quick Wins (15 mins or less)",AND($M125&lt;=15,$E125&lt;&gt;"Done",$E125&lt;&gt;"Blocked"),"Deep Thinking",AND($G125="Deep Thinking",$E125&lt;&gt;"Done"),"Processing",AND($G125="Processing",$E125&lt;&gt;"Done"),"Blocked",$E125="Blocked","Waiting",$E125="Waiting","Recently Updated",AND($L125&lt;&gt;"",$L125&gt;=TODAY()-7),TRUE))</f>
        <v/>
      </c>
    </row>
    <row r="126">
      <c r="A126" s="19" t="n"/>
      <c r="B126" s="19" t="n"/>
      <c r="C126" s="19" t="n"/>
      <c r="D126" s="19" t="n"/>
      <c r="E126" s="19" t="n"/>
      <c r="F126" s="19" t="n"/>
      <c r="G126" s="19" t="n"/>
      <c r="H126" s="19" t="n"/>
      <c r="I126" s="19" t="n"/>
      <c r="J126" s="19" t="n"/>
      <c r="K126" s="19" t="n"/>
      <c r="L126" s="35" t="n"/>
      <c r="M126" s="5">
        <f>IF($D126="","",IFERROR(VLOOKUP($H126,Lists!$N$2:$O$6,2,FALSE),0))</f>
        <v/>
      </c>
      <c r="N126" s="5">
        <f>IF($D126="","",IF(OR($E126="Blocked",$E126="Done",$E126="Archive"),-9999,IF(AND($E126="Waiting",SUMPRODUCT((($E$5:$E$200="Next")+($E$5:$E$200="In Progress")+($E$5:$E$200="Captured"))*($D$5:$D$200&lt;&gt;""))&gt;0),-500,VLOOKUP($F126,Lists!$L$2:$M$4,2,FALSE)+IF($E126="In Progress",10,0)+IF(AND($I126&lt;&gt;"",$I126&lt;TODAY()),25,0)+IF(AND($I126&lt;&gt;"",$I126&gt;=TODAY(),$I126&lt;=TODAY()+7),15,0)+IF($M126&lt;=VLOOKUP(Home!$C$7,Lists!$N$2:$O$6,2,FALSE),20,-10)+IF($G126=Home!$E$7,15,IF(Home!$E$7="",0,-5))-ROW()/100000)))</f>
        <v/>
      </c>
      <c r="O126" s="5">
        <f>IF($D126="","",IF($N126&lt;=-500,"Not recommended right now",TEXTJOIN(" • ",TRUE,IF($F126="High","High Priority",""),IF(AND($I126&lt;&gt;"",$I126&lt;TODAY()),"Overdue",""),IF(AND($I126&lt;&gt;"",$I126&gt;=TODAY(),$I126&lt;=TODAY()+7),"Due This Week",""),IF($M126&lt;=VLOOKUP(Home!$C$7,Lists!$N$2:$O$6,2,FALSE),$H126&amp;" Task",""),IF($G126=Home!$E$7,"Fits Current Energy",""),"No Blockers")))</f>
        <v/>
      </c>
      <c r="P126" s="5">
        <f>IF($D126="","",SWITCH('Task Finder'!$C$6,"High Priority",AND($F126="High",$E126&lt;&gt;"Done",$E126&lt;&gt;"Archive"),"Due This Week",AND($I126&lt;&gt;"",$I126&gt;=TODAY(),$I126&lt;=TODAY()+7,$E126&lt;&gt;"Done"),"Quick Wins (15 mins or less)",AND($M126&lt;=15,$E126&lt;&gt;"Done",$E126&lt;&gt;"Blocked"),"Deep Thinking",AND($G126="Deep Thinking",$E126&lt;&gt;"Done"),"Processing",AND($G126="Processing",$E126&lt;&gt;"Done"),"Blocked",$E126="Blocked","Waiting",$E126="Waiting","Recently Updated",AND($L126&lt;&gt;"",$L126&gt;=TODAY()-7),TRUE))</f>
        <v/>
      </c>
    </row>
    <row r="127">
      <c r="A127" s="19" t="n"/>
      <c r="B127" s="19" t="n"/>
      <c r="C127" s="19" t="n"/>
      <c r="D127" s="19" t="n"/>
      <c r="E127" s="19" t="n"/>
      <c r="F127" s="19" t="n"/>
      <c r="G127" s="19" t="n"/>
      <c r="H127" s="19" t="n"/>
      <c r="I127" s="19" t="n"/>
      <c r="J127" s="19" t="n"/>
      <c r="K127" s="19" t="n"/>
      <c r="L127" s="35" t="n"/>
      <c r="M127" s="5">
        <f>IF($D127="","",IFERROR(VLOOKUP($H127,Lists!$N$2:$O$6,2,FALSE),0))</f>
        <v/>
      </c>
      <c r="N127" s="5">
        <f>IF($D127="","",IF(OR($E127="Blocked",$E127="Done",$E127="Archive"),-9999,IF(AND($E127="Waiting",SUMPRODUCT((($E$5:$E$200="Next")+($E$5:$E$200="In Progress")+($E$5:$E$200="Captured"))*($D$5:$D$200&lt;&gt;""))&gt;0),-500,VLOOKUP($F127,Lists!$L$2:$M$4,2,FALSE)+IF($E127="In Progress",10,0)+IF(AND($I127&lt;&gt;"",$I127&lt;TODAY()),25,0)+IF(AND($I127&lt;&gt;"",$I127&gt;=TODAY(),$I127&lt;=TODAY()+7),15,0)+IF($M127&lt;=VLOOKUP(Home!$C$7,Lists!$N$2:$O$6,2,FALSE),20,-10)+IF($G127=Home!$E$7,15,IF(Home!$E$7="",0,-5))-ROW()/100000)))</f>
        <v/>
      </c>
      <c r="O127" s="5">
        <f>IF($D127="","",IF($N127&lt;=-500,"Not recommended right now",TEXTJOIN(" • ",TRUE,IF($F127="High","High Priority",""),IF(AND($I127&lt;&gt;"",$I127&lt;TODAY()),"Overdue",""),IF(AND($I127&lt;&gt;"",$I127&gt;=TODAY(),$I127&lt;=TODAY()+7),"Due This Week",""),IF($M127&lt;=VLOOKUP(Home!$C$7,Lists!$N$2:$O$6,2,FALSE),$H127&amp;" Task",""),IF($G127=Home!$E$7,"Fits Current Energy",""),"No Blockers")))</f>
        <v/>
      </c>
      <c r="P127" s="5">
        <f>IF($D127="","",SWITCH('Task Finder'!$C$6,"High Priority",AND($F127="High",$E127&lt;&gt;"Done",$E127&lt;&gt;"Archive"),"Due This Week",AND($I127&lt;&gt;"",$I127&gt;=TODAY(),$I127&lt;=TODAY()+7,$E127&lt;&gt;"Done"),"Quick Wins (15 mins or less)",AND($M127&lt;=15,$E127&lt;&gt;"Done",$E127&lt;&gt;"Blocked"),"Deep Thinking",AND($G127="Deep Thinking",$E127&lt;&gt;"Done"),"Processing",AND($G127="Processing",$E127&lt;&gt;"Done"),"Blocked",$E127="Blocked","Waiting",$E127="Waiting","Recently Updated",AND($L127&lt;&gt;"",$L127&gt;=TODAY()-7),TRUE))</f>
        <v/>
      </c>
    </row>
    <row r="128">
      <c r="A128" s="19" t="n"/>
      <c r="B128" s="19" t="n"/>
      <c r="C128" s="19" t="n"/>
      <c r="D128" s="19" t="n"/>
      <c r="E128" s="19" t="n"/>
      <c r="F128" s="19" t="n"/>
      <c r="G128" s="19" t="n"/>
      <c r="H128" s="19" t="n"/>
      <c r="I128" s="19" t="n"/>
      <c r="J128" s="19" t="n"/>
      <c r="K128" s="19" t="n"/>
      <c r="L128" s="35" t="n"/>
      <c r="M128" s="5">
        <f>IF($D128="","",IFERROR(VLOOKUP($H128,Lists!$N$2:$O$6,2,FALSE),0))</f>
        <v/>
      </c>
      <c r="N128" s="5">
        <f>IF($D128="","",IF(OR($E128="Blocked",$E128="Done",$E128="Archive"),-9999,IF(AND($E128="Waiting",SUMPRODUCT((($E$5:$E$200="Next")+($E$5:$E$200="In Progress")+($E$5:$E$200="Captured"))*($D$5:$D$200&lt;&gt;""))&gt;0),-500,VLOOKUP($F128,Lists!$L$2:$M$4,2,FALSE)+IF($E128="In Progress",10,0)+IF(AND($I128&lt;&gt;"",$I128&lt;TODAY()),25,0)+IF(AND($I128&lt;&gt;"",$I128&gt;=TODAY(),$I128&lt;=TODAY()+7),15,0)+IF($M128&lt;=VLOOKUP(Home!$C$7,Lists!$N$2:$O$6,2,FALSE),20,-10)+IF($G128=Home!$E$7,15,IF(Home!$E$7="",0,-5))-ROW()/100000)))</f>
        <v/>
      </c>
      <c r="O128" s="5">
        <f>IF($D128="","",IF($N128&lt;=-500,"Not recommended right now",TEXTJOIN(" • ",TRUE,IF($F128="High","High Priority",""),IF(AND($I128&lt;&gt;"",$I128&lt;TODAY()),"Overdue",""),IF(AND($I128&lt;&gt;"",$I128&gt;=TODAY(),$I128&lt;=TODAY()+7),"Due This Week",""),IF($M128&lt;=VLOOKUP(Home!$C$7,Lists!$N$2:$O$6,2,FALSE),$H128&amp;" Task",""),IF($G128=Home!$E$7,"Fits Current Energy",""),"No Blockers")))</f>
        <v/>
      </c>
      <c r="P128" s="5">
        <f>IF($D128="","",SWITCH('Task Finder'!$C$6,"High Priority",AND($F128="High",$E128&lt;&gt;"Done",$E128&lt;&gt;"Archive"),"Due This Week",AND($I128&lt;&gt;"",$I128&gt;=TODAY(),$I128&lt;=TODAY()+7,$E128&lt;&gt;"Done"),"Quick Wins (15 mins or less)",AND($M128&lt;=15,$E128&lt;&gt;"Done",$E128&lt;&gt;"Blocked"),"Deep Thinking",AND($G128="Deep Thinking",$E128&lt;&gt;"Done"),"Processing",AND($G128="Processing",$E128&lt;&gt;"Done"),"Blocked",$E128="Blocked","Waiting",$E128="Waiting","Recently Updated",AND($L128&lt;&gt;"",$L128&gt;=TODAY()-7),TRUE))</f>
        <v/>
      </c>
    </row>
    <row r="129">
      <c r="A129" s="19" t="n"/>
      <c r="B129" s="19" t="n"/>
      <c r="C129" s="19" t="n"/>
      <c r="D129" s="19" t="n"/>
      <c r="E129" s="19" t="n"/>
      <c r="F129" s="19" t="n"/>
      <c r="G129" s="19" t="n"/>
      <c r="H129" s="19" t="n"/>
      <c r="I129" s="19" t="n"/>
      <c r="J129" s="19" t="n"/>
      <c r="K129" s="19" t="n"/>
      <c r="L129" s="35" t="n"/>
      <c r="M129" s="5">
        <f>IF($D129="","",IFERROR(VLOOKUP($H129,Lists!$N$2:$O$6,2,FALSE),0))</f>
        <v/>
      </c>
      <c r="N129" s="5">
        <f>IF($D129="","",IF(OR($E129="Blocked",$E129="Done",$E129="Archive"),-9999,IF(AND($E129="Waiting",SUMPRODUCT((($E$5:$E$200="Next")+($E$5:$E$200="In Progress")+($E$5:$E$200="Captured"))*($D$5:$D$200&lt;&gt;""))&gt;0),-500,VLOOKUP($F129,Lists!$L$2:$M$4,2,FALSE)+IF($E129="In Progress",10,0)+IF(AND($I129&lt;&gt;"",$I129&lt;TODAY()),25,0)+IF(AND($I129&lt;&gt;"",$I129&gt;=TODAY(),$I129&lt;=TODAY()+7),15,0)+IF($M129&lt;=VLOOKUP(Home!$C$7,Lists!$N$2:$O$6,2,FALSE),20,-10)+IF($G129=Home!$E$7,15,IF(Home!$E$7="",0,-5))-ROW()/100000)))</f>
        <v/>
      </c>
      <c r="O129" s="5">
        <f>IF($D129="","",IF($N129&lt;=-500,"Not recommended right now",TEXTJOIN(" • ",TRUE,IF($F129="High","High Priority",""),IF(AND($I129&lt;&gt;"",$I129&lt;TODAY()),"Overdue",""),IF(AND($I129&lt;&gt;"",$I129&gt;=TODAY(),$I129&lt;=TODAY()+7),"Due This Week",""),IF($M129&lt;=VLOOKUP(Home!$C$7,Lists!$N$2:$O$6,2,FALSE),$H129&amp;" Task",""),IF($G129=Home!$E$7,"Fits Current Energy",""),"No Blockers")))</f>
        <v/>
      </c>
      <c r="P129" s="5">
        <f>IF($D129="","",SWITCH('Task Finder'!$C$6,"High Priority",AND($F129="High",$E129&lt;&gt;"Done",$E129&lt;&gt;"Archive"),"Due This Week",AND($I129&lt;&gt;"",$I129&gt;=TODAY(),$I129&lt;=TODAY()+7,$E129&lt;&gt;"Done"),"Quick Wins (15 mins or less)",AND($M129&lt;=15,$E129&lt;&gt;"Done",$E129&lt;&gt;"Blocked"),"Deep Thinking",AND($G129="Deep Thinking",$E129&lt;&gt;"Done"),"Processing",AND($G129="Processing",$E129&lt;&gt;"Done"),"Blocked",$E129="Blocked","Waiting",$E129="Waiting","Recently Updated",AND($L129&lt;&gt;"",$L129&gt;=TODAY()-7),TRUE))</f>
        <v/>
      </c>
    </row>
    <row r="130">
      <c r="A130" s="19" t="n"/>
      <c r="B130" s="19" t="n"/>
      <c r="C130" s="19" t="n"/>
      <c r="D130" s="19" t="n"/>
      <c r="E130" s="19" t="n"/>
      <c r="F130" s="19" t="n"/>
      <c r="G130" s="19" t="n"/>
      <c r="H130" s="19" t="n"/>
      <c r="I130" s="19" t="n"/>
      <c r="J130" s="19" t="n"/>
      <c r="K130" s="19" t="n"/>
      <c r="L130" s="35" t="n"/>
      <c r="M130" s="5">
        <f>IF($D130="","",IFERROR(VLOOKUP($H130,Lists!$N$2:$O$6,2,FALSE),0))</f>
        <v/>
      </c>
      <c r="N130" s="5">
        <f>IF($D130="","",IF(OR($E130="Blocked",$E130="Done",$E130="Archive"),-9999,IF(AND($E130="Waiting",SUMPRODUCT((($E$5:$E$200="Next")+($E$5:$E$200="In Progress")+($E$5:$E$200="Captured"))*($D$5:$D$200&lt;&gt;""))&gt;0),-500,VLOOKUP($F130,Lists!$L$2:$M$4,2,FALSE)+IF($E130="In Progress",10,0)+IF(AND($I130&lt;&gt;"",$I130&lt;TODAY()),25,0)+IF(AND($I130&lt;&gt;"",$I130&gt;=TODAY(),$I130&lt;=TODAY()+7),15,0)+IF($M130&lt;=VLOOKUP(Home!$C$7,Lists!$N$2:$O$6,2,FALSE),20,-10)+IF($G130=Home!$E$7,15,IF(Home!$E$7="",0,-5))-ROW()/100000)))</f>
        <v/>
      </c>
      <c r="O130" s="5">
        <f>IF($D130="","",IF($N130&lt;=-500,"Not recommended right now",TEXTJOIN(" • ",TRUE,IF($F130="High","High Priority",""),IF(AND($I130&lt;&gt;"",$I130&lt;TODAY()),"Overdue",""),IF(AND($I130&lt;&gt;"",$I130&gt;=TODAY(),$I130&lt;=TODAY()+7),"Due This Week",""),IF($M130&lt;=VLOOKUP(Home!$C$7,Lists!$N$2:$O$6,2,FALSE),$H130&amp;" Task",""),IF($G130=Home!$E$7,"Fits Current Energy",""),"No Blockers")))</f>
        <v/>
      </c>
      <c r="P130" s="5">
        <f>IF($D130="","",SWITCH('Task Finder'!$C$6,"High Priority",AND($F130="High",$E130&lt;&gt;"Done",$E130&lt;&gt;"Archive"),"Due This Week",AND($I130&lt;&gt;"",$I130&gt;=TODAY(),$I130&lt;=TODAY()+7,$E130&lt;&gt;"Done"),"Quick Wins (15 mins or less)",AND($M130&lt;=15,$E130&lt;&gt;"Done",$E130&lt;&gt;"Blocked"),"Deep Thinking",AND($G130="Deep Thinking",$E130&lt;&gt;"Done"),"Processing",AND($G130="Processing",$E130&lt;&gt;"Done"),"Blocked",$E130="Blocked","Waiting",$E130="Waiting","Recently Updated",AND($L130&lt;&gt;"",$L130&gt;=TODAY()-7),TRUE))</f>
        <v/>
      </c>
    </row>
    <row r="131">
      <c r="A131" s="19" t="n"/>
      <c r="B131" s="19" t="n"/>
      <c r="C131" s="19" t="n"/>
      <c r="D131" s="19" t="n"/>
      <c r="E131" s="19" t="n"/>
      <c r="F131" s="19" t="n"/>
      <c r="G131" s="19" t="n"/>
      <c r="H131" s="19" t="n"/>
      <c r="I131" s="19" t="n"/>
      <c r="J131" s="19" t="n"/>
      <c r="K131" s="19" t="n"/>
      <c r="L131" s="35" t="n"/>
      <c r="M131" s="5">
        <f>IF($D131="","",IFERROR(VLOOKUP($H131,Lists!$N$2:$O$6,2,FALSE),0))</f>
        <v/>
      </c>
      <c r="N131" s="5">
        <f>IF($D131="","",IF(OR($E131="Blocked",$E131="Done",$E131="Archive"),-9999,IF(AND($E131="Waiting",SUMPRODUCT((($E$5:$E$200="Next")+($E$5:$E$200="In Progress")+($E$5:$E$200="Captured"))*($D$5:$D$200&lt;&gt;""))&gt;0),-500,VLOOKUP($F131,Lists!$L$2:$M$4,2,FALSE)+IF($E131="In Progress",10,0)+IF(AND($I131&lt;&gt;"",$I131&lt;TODAY()),25,0)+IF(AND($I131&lt;&gt;"",$I131&gt;=TODAY(),$I131&lt;=TODAY()+7),15,0)+IF($M131&lt;=VLOOKUP(Home!$C$7,Lists!$N$2:$O$6,2,FALSE),20,-10)+IF($G131=Home!$E$7,15,IF(Home!$E$7="",0,-5))-ROW()/100000)))</f>
        <v/>
      </c>
      <c r="O131" s="5">
        <f>IF($D131="","",IF($N131&lt;=-500,"Not recommended right now",TEXTJOIN(" • ",TRUE,IF($F131="High","High Priority",""),IF(AND($I131&lt;&gt;"",$I131&lt;TODAY()),"Overdue",""),IF(AND($I131&lt;&gt;"",$I131&gt;=TODAY(),$I131&lt;=TODAY()+7),"Due This Week",""),IF($M131&lt;=VLOOKUP(Home!$C$7,Lists!$N$2:$O$6,2,FALSE),$H131&amp;" Task",""),IF($G131=Home!$E$7,"Fits Current Energy",""),"No Blockers")))</f>
        <v/>
      </c>
      <c r="P131" s="5">
        <f>IF($D131="","",SWITCH('Task Finder'!$C$6,"High Priority",AND($F131="High",$E131&lt;&gt;"Done",$E131&lt;&gt;"Archive"),"Due This Week",AND($I131&lt;&gt;"",$I131&gt;=TODAY(),$I131&lt;=TODAY()+7,$E131&lt;&gt;"Done"),"Quick Wins (15 mins or less)",AND($M131&lt;=15,$E131&lt;&gt;"Done",$E131&lt;&gt;"Blocked"),"Deep Thinking",AND($G131="Deep Thinking",$E131&lt;&gt;"Done"),"Processing",AND($G131="Processing",$E131&lt;&gt;"Done"),"Blocked",$E131="Blocked","Waiting",$E131="Waiting","Recently Updated",AND($L131&lt;&gt;"",$L131&gt;=TODAY()-7),TRUE))</f>
        <v/>
      </c>
    </row>
    <row r="132">
      <c r="A132" s="19" t="n"/>
      <c r="B132" s="19" t="n"/>
      <c r="C132" s="19" t="n"/>
      <c r="D132" s="19" t="n"/>
      <c r="E132" s="19" t="n"/>
      <c r="F132" s="19" t="n"/>
      <c r="G132" s="19" t="n"/>
      <c r="H132" s="19" t="n"/>
      <c r="I132" s="19" t="n"/>
      <c r="J132" s="19" t="n"/>
      <c r="K132" s="19" t="n"/>
      <c r="L132" s="35" t="n"/>
      <c r="M132" s="5">
        <f>IF($D132="","",IFERROR(VLOOKUP($H132,Lists!$N$2:$O$6,2,FALSE),0))</f>
        <v/>
      </c>
      <c r="N132" s="5">
        <f>IF($D132="","",IF(OR($E132="Blocked",$E132="Done",$E132="Archive"),-9999,IF(AND($E132="Waiting",SUMPRODUCT((($E$5:$E$200="Next")+($E$5:$E$200="In Progress")+($E$5:$E$200="Captured"))*($D$5:$D$200&lt;&gt;""))&gt;0),-500,VLOOKUP($F132,Lists!$L$2:$M$4,2,FALSE)+IF($E132="In Progress",10,0)+IF(AND($I132&lt;&gt;"",$I132&lt;TODAY()),25,0)+IF(AND($I132&lt;&gt;"",$I132&gt;=TODAY(),$I132&lt;=TODAY()+7),15,0)+IF($M132&lt;=VLOOKUP(Home!$C$7,Lists!$N$2:$O$6,2,FALSE),20,-10)+IF($G132=Home!$E$7,15,IF(Home!$E$7="",0,-5))-ROW()/100000)))</f>
        <v/>
      </c>
      <c r="O132" s="5">
        <f>IF($D132="","",IF($N132&lt;=-500,"Not recommended right now",TEXTJOIN(" • ",TRUE,IF($F132="High","High Priority",""),IF(AND($I132&lt;&gt;"",$I132&lt;TODAY()),"Overdue",""),IF(AND($I132&lt;&gt;"",$I132&gt;=TODAY(),$I132&lt;=TODAY()+7),"Due This Week",""),IF($M132&lt;=VLOOKUP(Home!$C$7,Lists!$N$2:$O$6,2,FALSE),$H132&amp;" Task",""),IF($G132=Home!$E$7,"Fits Current Energy",""),"No Blockers")))</f>
        <v/>
      </c>
      <c r="P132" s="5">
        <f>IF($D132="","",SWITCH('Task Finder'!$C$6,"High Priority",AND($F132="High",$E132&lt;&gt;"Done",$E132&lt;&gt;"Archive"),"Due This Week",AND($I132&lt;&gt;"",$I132&gt;=TODAY(),$I132&lt;=TODAY()+7,$E132&lt;&gt;"Done"),"Quick Wins (15 mins or less)",AND($M132&lt;=15,$E132&lt;&gt;"Done",$E132&lt;&gt;"Blocked"),"Deep Thinking",AND($G132="Deep Thinking",$E132&lt;&gt;"Done"),"Processing",AND($G132="Processing",$E132&lt;&gt;"Done"),"Blocked",$E132="Blocked","Waiting",$E132="Waiting","Recently Updated",AND($L132&lt;&gt;"",$L132&gt;=TODAY()-7),TRUE))</f>
        <v/>
      </c>
    </row>
    <row r="133">
      <c r="A133" s="19" t="n"/>
      <c r="B133" s="19" t="n"/>
      <c r="C133" s="19" t="n"/>
      <c r="D133" s="19" t="n"/>
      <c r="E133" s="19" t="n"/>
      <c r="F133" s="19" t="n"/>
      <c r="G133" s="19" t="n"/>
      <c r="H133" s="19" t="n"/>
      <c r="I133" s="19" t="n"/>
      <c r="J133" s="19" t="n"/>
      <c r="K133" s="19" t="n"/>
      <c r="L133" s="35" t="n"/>
      <c r="M133" s="5">
        <f>IF($D133="","",IFERROR(VLOOKUP($H133,Lists!$N$2:$O$6,2,FALSE),0))</f>
        <v/>
      </c>
      <c r="N133" s="5">
        <f>IF($D133="","",IF(OR($E133="Blocked",$E133="Done",$E133="Archive"),-9999,IF(AND($E133="Waiting",SUMPRODUCT((($E$5:$E$200="Next")+($E$5:$E$200="In Progress")+($E$5:$E$200="Captured"))*($D$5:$D$200&lt;&gt;""))&gt;0),-500,VLOOKUP($F133,Lists!$L$2:$M$4,2,FALSE)+IF($E133="In Progress",10,0)+IF(AND($I133&lt;&gt;"",$I133&lt;TODAY()),25,0)+IF(AND($I133&lt;&gt;"",$I133&gt;=TODAY(),$I133&lt;=TODAY()+7),15,0)+IF($M133&lt;=VLOOKUP(Home!$C$7,Lists!$N$2:$O$6,2,FALSE),20,-10)+IF($G133=Home!$E$7,15,IF(Home!$E$7="",0,-5))-ROW()/100000)))</f>
        <v/>
      </c>
      <c r="O133" s="5">
        <f>IF($D133="","",IF($N133&lt;=-500,"Not recommended right now",TEXTJOIN(" • ",TRUE,IF($F133="High","High Priority",""),IF(AND($I133&lt;&gt;"",$I133&lt;TODAY()),"Overdue",""),IF(AND($I133&lt;&gt;"",$I133&gt;=TODAY(),$I133&lt;=TODAY()+7),"Due This Week",""),IF($M133&lt;=VLOOKUP(Home!$C$7,Lists!$N$2:$O$6,2,FALSE),$H133&amp;" Task",""),IF($G133=Home!$E$7,"Fits Current Energy",""),"No Blockers")))</f>
        <v/>
      </c>
      <c r="P133" s="5">
        <f>IF($D133="","",SWITCH('Task Finder'!$C$6,"High Priority",AND($F133="High",$E133&lt;&gt;"Done",$E133&lt;&gt;"Archive"),"Due This Week",AND($I133&lt;&gt;"",$I133&gt;=TODAY(),$I133&lt;=TODAY()+7,$E133&lt;&gt;"Done"),"Quick Wins (15 mins or less)",AND($M133&lt;=15,$E133&lt;&gt;"Done",$E133&lt;&gt;"Blocked"),"Deep Thinking",AND($G133="Deep Thinking",$E133&lt;&gt;"Done"),"Processing",AND($G133="Processing",$E133&lt;&gt;"Done"),"Blocked",$E133="Blocked","Waiting",$E133="Waiting","Recently Updated",AND($L133&lt;&gt;"",$L133&gt;=TODAY()-7),TRUE))</f>
        <v/>
      </c>
    </row>
    <row r="134">
      <c r="A134" s="19" t="n"/>
      <c r="B134" s="19" t="n"/>
      <c r="C134" s="19" t="n"/>
      <c r="D134" s="19" t="n"/>
      <c r="E134" s="19" t="n"/>
      <c r="F134" s="19" t="n"/>
      <c r="G134" s="19" t="n"/>
      <c r="H134" s="19" t="n"/>
      <c r="I134" s="19" t="n"/>
      <c r="J134" s="19" t="n"/>
      <c r="K134" s="19" t="n"/>
      <c r="L134" s="35" t="n"/>
      <c r="M134" s="5">
        <f>IF($D134="","",IFERROR(VLOOKUP($H134,Lists!$N$2:$O$6,2,FALSE),0))</f>
        <v/>
      </c>
      <c r="N134" s="5">
        <f>IF($D134="","",IF(OR($E134="Blocked",$E134="Done",$E134="Archive"),-9999,IF(AND($E134="Waiting",SUMPRODUCT((($E$5:$E$200="Next")+($E$5:$E$200="In Progress")+($E$5:$E$200="Captured"))*($D$5:$D$200&lt;&gt;""))&gt;0),-500,VLOOKUP($F134,Lists!$L$2:$M$4,2,FALSE)+IF($E134="In Progress",10,0)+IF(AND($I134&lt;&gt;"",$I134&lt;TODAY()),25,0)+IF(AND($I134&lt;&gt;"",$I134&gt;=TODAY(),$I134&lt;=TODAY()+7),15,0)+IF($M134&lt;=VLOOKUP(Home!$C$7,Lists!$N$2:$O$6,2,FALSE),20,-10)+IF($G134=Home!$E$7,15,IF(Home!$E$7="",0,-5))-ROW()/100000)))</f>
        <v/>
      </c>
      <c r="O134" s="5">
        <f>IF($D134="","",IF($N134&lt;=-500,"Not recommended right now",TEXTJOIN(" • ",TRUE,IF($F134="High","High Priority",""),IF(AND($I134&lt;&gt;"",$I134&lt;TODAY()),"Overdue",""),IF(AND($I134&lt;&gt;"",$I134&gt;=TODAY(),$I134&lt;=TODAY()+7),"Due This Week",""),IF($M134&lt;=VLOOKUP(Home!$C$7,Lists!$N$2:$O$6,2,FALSE),$H134&amp;" Task",""),IF($G134=Home!$E$7,"Fits Current Energy",""),"No Blockers")))</f>
        <v/>
      </c>
      <c r="P134" s="5">
        <f>IF($D134="","",SWITCH('Task Finder'!$C$6,"High Priority",AND($F134="High",$E134&lt;&gt;"Done",$E134&lt;&gt;"Archive"),"Due This Week",AND($I134&lt;&gt;"",$I134&gt;=TODAY(),$I134&lt;=TODAY()+7,$E134&lt;&gt;"Done"),"Quick Wins (15 mins or less)",AND($M134&lt;=15,$E134&lt;&gt;"Done",$E134&lt;&gt;"Blocked"),"Deep Thinking",AND($G134="Deep Thinking",$E134&lt;&gt;"Done"),"Processing",AND($G134="Processing",$E134&lt;&gt;"Done"),"Blocked",$E134="Blocked","Waiting",$E134="Waiting","Recently Updated",AND($L134&lt;&gt;"",$L134&gt;=TODAY()-7),TRUE))</f>
        <v/>
      </c>
    </row>
    <row r="135">
      <c r="A135" s="19" t="n"/>
      <c r="B135" s="19" t="n"/>
      <c r="C135" s="19" t="n"/>
      <c r="D135" s="19" t="n"/>
      <c r="E135" s="19" t="n"/>
      <c r="F135" s="19" t="n"/>
      <c r="G135" s="19" t="n"/>
      <c r="H135" s="19" t="n"/>
      <c r="I135" s="19" t="n"/>
      <c r="J135" s="19" t="n"/>
      <c r="K135" s="19" t="n"/>
      <c r="L135" s="35" t="n"/>
      <c r="M135" s="5">
        <f>IF($D135="","",IFERROR(VLOOKUP($H135,Lists!$N$2:$O$6,2,FALSE),0))</f>
        <v/>
      </c>
      <c r="N135" s="5">
        <f>IF($D135="","",IF(OR($E135="Blocked",$E135="Done",$E135="Archive"),-9999,IF(AND($E135="Waiting",SUMPRODUCT((($E$5:$E$200="Next")+($E$5:$E$200="In Progress")+($E$5:$E$200="Captured"))*($D$5:$D$200&lt;&gt;""))&gt;0),-500,VLOOKUP($F135,Lists!$L$2:$M$4,2,FALSE)+IF($E135="In Progress",10,0)+IF(AND($I135&lt;&gt;"",$I135&lt;TODAY()),25,0)+IF(AND($I135&lt;&gt;"",$I135&gt;=TODAY(),$I135&lt;=TODAY()+7),15,0)+IF($M135&lt;=VLOOKUP(Home!$C$7,Lists!$N$2:$O$6,2,FALSE),20,-10)+IF($G135=Home!$E$7,15,IF(Home!$E$7="",0,-5))-ROW()/100000)))</f>
        <v/>
      </c>
      <c r="O135" s="5">
        <f>IF($D135="","",IF($N135&lt;=-500,"Not recommended right now",TEXTJOIN(" • ",TRUE,IF($F135="High","High Priority",""),IF(AND($I135&lt;&gt;"",$I135&lt;TODAY()),"Overdue",""),IF(AND($I135&lt;&gt;"",$I135&gt;=TODAY(),$I135&lt;=TODAY()+7),"Due This Week",""),IF($M135&lt;=VLOOKUP(Home!$C$7,Lists!$N$2:$O$6,2,FALSE),$H135&amp;" Task",""),IF($G135=Home!$E$7,"Fits Current Energy",""),"No Blockers")))</f>
        <v/>
      </c>
      <c r="P135" s="5">
        <f>IF($D135="","",SWITCH('Task Finder'!$C$6,"High Priority",AND($F135="High",$E135&lt;&gt;"Done",$E135&lt;&gt;"Archive"),"Due This Week",AND($I135&lt;&gt;"",$I135&gt;=TODAY(),$I135&lt;=TODAY()+7,$E135&lt;&gt;"Done"),"Quick Wins (15 mins or less)",AND($M135&lt;=15,$E135&lt;&gt;"Done",$E135&lt;&gt;"Blocked"),"Deep Thinking",AND($G135="Deep Thinking",$E135&lt;&gt;"Done"),"Processing",AND($G135="Processing",$E135&lt;&gt;"Done"),"Blocked",$E135="Blocked","Waiting",$E135="Waiting","Recently Updated",AND($L135&lt;&gt;"",$L135&gt;=TODAY()-7),TRUE))</f>
        <v/>
      </c>
    </row>
    <row r="136">
      <c r="A136" s="19" t="n"/>
      <c r="B136" s="19" t="n"/>
      <c r="C136" s="19" t="n"/>
      <c r="D136" s="19" t="n"/>
      <c r="E136" s="19" t="n"/>
      <c r="F136" s="19" t="n"/>
      <c r="G136" s="19" t="n"/>
      <c r="H136" s="19" t="n"/>
      <c r="I136" s="19" t="n"/>
      <c r="J136" s="19" t="n"/>
      <c r="K136" s="19" t="n"/>
      <c r="L136" s="35" t="n"/>
      <c r="M136" s="5">
        <f>IF($D136="","",IFERROR(VLOOKUP($H136,Lists!$N$2:$O$6,2,FALSE),0))</f>
        <v/>
      </c>
      <c r="N136" s="5">
        <f>IF($D136="","",IF(OR($E136="Blocked",$E136="Done",$E136="Archive"),-9999,IF(AND($E136="Waiting",SUMPRODUCT((($E$5:$E$200="Next")+($E$5:$E$200="In Progress")+($E$5:$E$200="Captured"))*($D$5:$D$200&lt;&gt;""))&gt;0),-500,VLOOKUP($F136,Lists!$L$2:$M$4,2,FALSE)+IF($E136="In Progress",10,0)+IF(AND($I136&lt;&gt;"",$I136&lt;TODAY()),25,0)+IF(AND($I136&lt;&gt;"",$I136&gt;=TODAY(),$I136&lt;=TODAY()+7),15,0)+IF($M136&lt;=VLOOKUP(Home!$C$7,Lists!$N$2:$O$6,2,FALSE),20,-10)+IF($G136=Home!$E$7,15,IF(Home!$E$7="",0,-5))-ROW()/100000)))</f>
        <v/>
      </c>
      <c r="O136" s="5">
        <f>IF($D136="","",IF($N136&lt;=-500,"Not recommended right now",TEXTJOIN(" • ",TRUE,IF($F136="High","High Priority",""),IF(AND($I136&lt;&gt;"",$I136&lt;TODAY()),"Overdue",""),IF(AND($I136&lt;&gt;"",$I136&gt;=TODAY(),$I136&lt;=TODAY()+7),"Due This Week",""),IF($M136&lt;=VLOOKUP(Home!$C$7,Lists!$N$2:$O$6,2,FALSE),$H136&amp;" Task",""),IF($G136=Home!$E$7,"Fits Current Energy",""),"No Blockers")))</f>
        <v/>
      </c>
      <c r="P136" s="5">
        <f>IF($D136="","",SWITCH('Task Finder'!$C$6,"High Priority",AND($F136="High",$E136&lt;&gt;"Done",$E136&lt;&gt;"Archive"),"Due This Week",AND($I136&lt;&gt;"",$I136&gt;=TODAY(),$I136&lt;=TODAY()+7,$E136&lt;&gt;"Done"),"Quick Wins (15 mins or less)",AND($M136&lt;=15,$E136&lt;&gt;"Done",$E136&lt;&gt;"Blocked"),"Deep Thinking",AND($G136="Deep Thinking",$E136&lt;&gt;"Done"),"Processing",AND($G136="Processing",$E136&lt;&gt;"Done"),"Blocked",$E136="Blocked","Waiting",$E136="Waiting","Recently Updated",AND($L136&lt;&gt;"",$L136&gt;=TODAY()-7),TRUE))</f>
        <v/>
      </c>
    </row>
    <row r="137">
      <c r="A137" s="19" t="n"/>
      <c r="B137" s="19" t="n"/>
      <c r="C137" s="19" t="n"/>
      <c r="D137" s="19" t="n"/>
      <c r="E137" s="19" t="n"/>
      <c r="F137" s="19" t="n"/>
      <c r="G137" s="19" t="n"/>
      <c r="H137" s="19" t="n"/>
      <c r="I137" s="19" t="n"/>
      <c r="J137" s="19" t="n"/>
      <c r="K137" s="19" t="n"/>
      <c r="L137" s="35" t="n"/>
      <c r="M137" s="5">
        <f>IF($D137="","",IFERROR(VLOOKUP($H137,Lists!$N$2:$O$6,2,FALSE),0))</f>
        <v/>
      </c>
      <c r="N137" s="5">
        <f>IF($D137="","",IF(OR($E137="Blocked",$E137="Done",$E137="Archive"),-9999,IF(AND($E137="Waiting",SUMPRODUCT((($E$5:$E$200="Next")+($E$5:$E$200="In Progress")+($E$5:$E$200="Captured"))*($D$5:$D$200&lt;&gt;""))&gt;0),-500,VLOOKUP($F137,Lists!$L$2:$M$4,2,FALSE)+IF($E137="In Progress",10,0)+IF(AND($I137&lt;&gt;"",$I137&lt;TODAY()),25,0)+IF(AND($I137&lt;&gt;"",$I137&gt;=TODAY(),$I137&lt;=TODAY()+7),15,0)+IF($M137&lt;=VLOOKUP(Home!$C$7,Lists!$N$2:$O$6,2,FALSE),20,-10)+IF($G137=Home!$E$7,15,IF(Home!$E$7="",0,-5))-ROW()/100000)))</f>
        <v/>
      </c>
      <c r="O137" s="5">
        <f>IF($D137="","",IF($N137&lt;=-500,"Not recommended right now",TEXTJOIN(" • ",TRUE,IF($F137="High","High Priority",""),IF(AND($I137&lt;&gt;"",$I137&lt;TODAY()),"Overdue",""),IF(AND($I137&lt;&gt;"",$I137&gt;=TODAY(),$I137&lt;=TODAY()+7),"Due This Week",""),IF($M137&lt;=VLOOKUP(Home!$C$7,Lists!$N$2:$O$6,2,FALSE),$H137&amp;" Task",""),IF($G137=Home!$E$7,"Fits Current Energy",""),"No Blockers")))</f>
        <v/>
      </c>
      <c r="P137" s="5">
        <f>IF($D137="","",SWITCH('Task Finder'!$C$6,"High Priority",AND($F137="High",$E137&lt;&gt;"Done",$E137&lt;&gt;"Archive"),"Due This Week",AND($I137&lt;&gt;"",$I137&gt;=TODAY(),$I137&lt;=TODAY()+7,$E137&lt;&gt;"Done"),"Quick Wins (15 mins or less)",AND($M137&lt;=15,$E137&lt;&gt;"Done",$E137&lt;&gt;"Blocked"),"Deep Thinking",AND($G137="Deep Thinking",$E137&lt;&gt;"Done"),"Processing",AND($G137="Processing",$E137&lt;&gt;"Done"),"Blocked",$E137="Blocked","Waiting",$E137="Waiting","Recently Updated",AND($L137&lt;&gt;"",$L137&gt;=TODAY()-7),TRUE))</f>
        <v/>
      </c>
    </row>
    <row r="138">
      <c r="A138" s="19" t="n"/>
      <c r="B138" s="19" t="n"/>
      <c r="C138" s="19" t="n"/>
      <c r="D138" s="19" t="n"/>
      <c r="E138" s="19" t="n"/>
      <c r="F138" s="19" t="n"/>
      <c r="G138" s="19" t="n"/>
      <c r="H138" s="19" t="n"/>
      <c r="I138" s="19" t="n"/>
      <c r="J138" s="19" t="n"/>
      <c r="K138" s="19" t="n"/>
      <c r="L138" s="35" t="n"/>
      <c r="M138" s="5">
        <f>IF($D138="","",IFERROR(VLOOKUP($H138,Lists!$N$2:$O$6,2,FALSE),0))</f>
        <v/>
      </c>
      <c r="N138" s="5">
        <f>IF($D138="","",IF(OR($E138="Blocked",$E138="Done",$E138="Archive"),-9999,IF(AND($E138="Waiting",SUMPRODUCT((($E$5:$E$200="Next")+($E$5:$E$200="In Progress")+($E$5:$E$200="Captured"))*($D$5:$D$200&lt;&gt;""))&gt;0),-500,VLOOKUP($F138,Lists!$L$2:$M$4,2,FALSE)+IF($E138="In Progress",10,0)+IF(AND($I138&lt;&gt;"",$I138&lt;TODAY()),25,0)+IF(AND($I138&lt;&gt;"",$I138&gt;=TODAY(),$I138&lt;=TODAY()+7),15,0)+IF($M138&lt;=VLOOKUP(Home!$C$7,Lists!$N$2:$O$6,2,FALSE),20,-10)+IF($G138=Home!$E$7,15,IF(Home!$E$7="",0,-5))-ROW()/100000)))</f>
        <v/>
      </c>
      <c r="O138" s="5">
        <f>IF($D138="","",IF($N138&lt;=-500,"Not recommended right now",TEXTJOIN(" • ",TRUE,IF($F138="High","High Priority",""),IF(AND($I138&lt;&gt;"",$I138&lt;TODAY()),"Overdue",""),IF(AND($I138&lt;&gt;"",$I138&gt;=TODAY(),$I138&lt;=TODAY()+7),"Due This Week",""),IF($M138&lt;=VLOOKUP(Home!$C$7,Lists!$N$2:$O$6,2,FALSE),$H138&amp;" Task",""),IF($G138=Home!$E$7,"Fits Current Energy",""),"No Blockers")))</f>
        <v/>
      </c>
      <c r="P138" s="5">
        <f>IF($D138="","",SWITCH('Task Finder'!$C$6,"High Priority",AND($F138="High",$E138&lt;&gt;"Done",$E138&lt;&gt;"Archive"),"Due This Week",AND($I138&lt;&gt;"",$I138&gt;=TODAY(),$I138&lt;=TODAY()+7,$E138&lt;&gt;"Done"),"Quick Wins (15 mins or less)",AND($M138&lt;=15,$E138&lt;&gt;"Done",$E138&lt;&gt;"Blocked"),"Deep Thinking",AND($G138="Deep Thinking",$E138&lt;&gt;"Done"),"Processing",AND($G138="Processing",$E138&lt;&gt;"Done"),"Blocked",$E138="Blocked","Waiting",$E138="Waiting","Recently Updated",AND($L138&lt;&gt;"",$L138&gt;=TODAY()-7),TRUE))</f>
        <v/>
      </c>
    </row>
    <row r="139">
      <c r="A139" s="19" t="n"/>
      <c r="B139" s="19" t="n"/>
      <c r="C139" s="19" t="n"/>
      <c r="D139" s="19" t="n"/>
      <c r="E139" s="19" t="n"/>
      <c r="F139" s="19" t="n"/>
      <c r="G139" s="19" t="n"/>
      <c r="H139" s="19" t="n"/>
      <c r="I139" s="19" t="n"/>
      <c r="J139" s="19" t="n"/>
      <c r="K139" s="19" t="n"/>
      <c r="L139" s="35" t="n"/>
      <c r="M139" s="5">
        <f>IF($D139="","",IFERROR(VLOOKUP($H139,Lists!$N$2:$O$6,2,FALSE),0))</f>
        <v/>
      </c>
      <c r="N139" s="5">
        <f>IF($D139="","",IF(OR($E139="Blocked",$E139="Done",$E139="Archive"),-9999,IF(AND($E139="Waiting",SUMPRODUCT((($E$5:$E$200="Next")+($E$5:$E$200="In Progress")+($E$5:$E$200="Captured"))*($D$5:$D$200&lt;&gt;""))&gt;0),-500,VLOOKUP($F139,Lists!$L$2:$M$4,2,FALSE)+IF($E139="In Progress",10,0)+IF(AND($I139&lt;&gt;"",$I139&lt;TODAY()),25,0)+IF(AND($I139&lt;&gt;"",$I139&gt;=TODAY(),$I139&lt;=TODAY()+7),15,0)+IF($M139&lt;=VLOOKUP(Home!$C$7,Lists!$N$2:$O$6,2,FALSE),20,-10)+IF($G139=Home!$E$7,15,IF(Home!$E$7="",0,-5))-ROW()/100000)))</f>
        <v/>
      </c>
      <c r="O139" s="5">
        <f>IF($D139="","",IF($N139&lt;=-500,"Not recommended right now",TEXTJOIN(" • ",TRUE,IF($F139="High","High Priority",""),IF(AND($I139&lt;&gt;"",$I139&lt;TODAY()),"Overdue",""),IF(AND($I139&lt;&gt;"",$I139&gt;=TODAY(),$I139&lt;=TODAY()+7),"Due This Week",""),IF($M139&lt;=VLOOKUP(Home!$C$7,Lists!$N$2:$O$6,2,FALSE),$H139&amp;" Task",""),IF($G139=Home!$E$7,"Fits Current Energy",""),"No Blockers")))</f>
        <v/>
      </c>
      <c r="P139" s="5">
        <f>IF($D139="","",SWITCH('Task Finder'!$C$6,"High Priority",AND($F139="High",$E139&lt;&gt;"Done",$E139&lt;&gt;"Archive"),"Due This Week",AND($I139&lt;&gt;"",$I139&gt;=TODAY(),$I139&lt;=TODAY()+7,$E139&lt;&gt;"Done"),"Quick Wins (15 mins or less)",AND($M139&lt;=15,$E139&lt;&gt;"Done",$E139&lt;&gt;"Blocked"),"Deep Thinking",AND($G139="Deep Thinking",$E139&lt;&gt;"Done"),"Processing",AND($G139="Processing",$E139&lt;&gt;"Done"),"Blocked",$E139="Blocked","Waiting",$E139="Waiting","Recently Updated",AND($L139&lt;&gt;"",$L139&gt;=TODAY()-7),TRUE))</f>
        <v/>
      </c>
    </row>
    <row r="140">
      <c r="A140" s="19" t="n"/>
      <c r="B140" s="19" t="n"/>
      <c r="C140" s="19" t="n"/>
      <c r="D140" s="19" t="n"/>
      <c r="E140" s="19" t="n"/>
      <c r="F140" s="19" t="n"/>
      <c r="G140" s="19" t="n"/>
      <c r="H140" s="19" t="n"/>
      <c r="I140" s="19" t="n"/>
      <c r="J140" s="19" t="n"/>
      <c r="K140" s="19" t="n"/>
      <c r="L140" s="35" t="n"/>
      <c r="M140" s="5">
        <f>IF($D140="","",IFERROR(VLOOKUP($H140,Lists!$N$2:$O$6,2,FALSE),0))</f>
        <v/>
      </c>
      <c r="N140" s="5">
        <f>IF($D140="","",IF(OR($E140="Blocked",$E140="Done",$E140="Archive"),-9999,IF(AND($E140="Waiting",SUMPRODUCT((($E$5:$E$200="Next")+($E$5:$E$200="In Progress")+($E$5:$E$200="Captured"))*($D$5:$D$200&lt;&gt;""))&gt;0),-500,VLOOKUP($F140,Lists!$L$2:$M$4,2,FALSE)+IF($E140="In Progress",10,0)+IF(AND($I140&lt;&gt;"",$I140&lt;TODAY()),25,0)+IF(AND($I140&lt;&gt;"",$I140&gt;=TODAY(),$I140&lt;=TODAY()+7),15,0)+IF($M140&lt;=VLOOKUP(Home!$C$7,Lists!$N$2:$O$6,2,FALSE),20,-10)+IF($G140=Home!$E$7,15,IF(Home!$E$7="",0,-5))-ROW()/100000)))</f>
        <v/>
      </c>
      <c r="O140" s="5">
        <f>IF($D140="","",IF($N140&lt;=-500,"Not recommended right now",TEXTJOIN(" • ",TRUE,IF($F140="High","High Priority",""),IF(AND($I140&lt;&gt;"",$I140&lt;TODAY()),"Overdue",""),IF(AND($I140&lt;&gt;"",$I140&gt;=TODAY(),$I140&lt;=TODAY()+7),"Due This Week",""),IF($M140&lt;=VLOOKUP(Home!$C$7,Lists!$N$2:$O$6,2,FALSE),$H140&amp;" Task",""),IF($G140=Home!$E$7,"Fits Current Energy",""),"No Blockers")))</f>
        <v/>
      </c>
      <c r="P140" s="5">
        <f>IF($D140="","",SWITCH('Task Finder'!$C$6,"High Priority",AND($F140="High",$E140&lt;&gt;"Done",$E140&lt;&gt;"Archive"),"Due This Week",AND($I140&lt;&gt;"",$I140&gt;=TODAY(),$I140&lt;=TODAY()+7,$E140&lt;&gt;"Done"),"Quick Wins (15 mins or less)",AND($M140&lt;=15,$E140&lt;&gt;"Done",$E140&lt;&gt;"Blocked"),"Deep Thinking",AND($G140="Deep Thinking",$E140&lt;&gt;"Done"),"Processing",AND($G140="Processing",$E140&lt;&gt;"Done"),"Blocked",$E140="Blocked","Waiting",$E140="Waiting","Recently Updated",AND($L140&lt;&gt;"",$L140&gt;=TODAY()-7),TRUE))</f>
        <v/>
      </c>
    </row>
    <row r="141">
      <c r="A141" s="19" t="n"/>
      <c r="B141" s="19" t="n"/>
      <c r="C141" s="19" t="n"/>
      <c r="D141" s="19" t="n"/>
      <c r="E141" s="19" t="n"/>
      <c r="F141" s="19" t="n"/>
      <c r="G141" s="19" t="n"/>
      <c r="H141" s="19" t="n"/>
      <c r="I141" s="19" t="n"/>
      <c r="J141" s="19" t="n"/>
      <c r="K141" s="19" t="n"/>
      <c r="L141" s="35" t="n"/>
      <c r="M141" s="5">
        <f>IF($D141="","",IFERROR(VLOOKUP($H141,Lists!$N$2:$O$6,2,FALSE),0))</f>
        <v/>
      </c>
      <c r="N141" s="5">
        <f>IF($D141="","",IF(OR($E141="Blocked",$E141="Done",$E141="Archive"),-9999,IF(AND($E141="Waiting",SUMPRODUCT((($E$5:$E$200="Next")+($E$5:$E$200="In Progress")+($E$5:$E$200="Captured"))*($D$5:$D$200&lt;&gt;""))&gt;0),-500,VLOOKUP($F141,Lists!$L$2:$M$4,2,FALSE)+IF($E141="In Progress",10,0)+IF(AND($I141&lt;&gt;"",$I141&lt;TODAY()),25,0)+IF(AND($I141&lt;&gt;"",$I141&gt;=TODAY(),$I141&lt;=TODAY()+7),15,0)+IF($M141&lt;=VLOOKUP(Home!$C$7,Lists!$N$2:$O$6,2,FALSE),20,-10)+IF($G141=Home!$E$7,15,IF(Home!$E$7="",0,-5))-ROW()/100000)))</f>
        <v/>
      </c>
      <c r="O141" s="5">
        <f>IF($D141="","",IF($N141&lt;=-500,"Not recommended right now",TEXTJOIN(" • ",TRUE,IF($F141="High","High Priority",""),IF(AND($I141&lt;&gt;"",$I141&lt;TODAY()),"Overdue",""),IF(AND($I141&lt;&gt;"",$I141&gt;=TODAY(),$I141&lt;=TODAY()+7),"Due This Week",""),IF($M141&lt;=VLOOKUP(Home!$C$7,Lists!$N$2:$O$6,2,FALSE),$H141&amp;" Task",""),IF($G141=Home!$E$7,"Fits Current Energy",""),"No Blockers")))</f>
        <v/>
      </c>
      <c r="P141" s="5">
        <f>IF($D141="","",SWITCH('Task Finder'!$C$6,"High Priority",AND($F141="High",$E141&lt;&gt;"Done",$E141&lt;&gt;"Archive"),"Due This Week",AND($I141&lt;&gt;"",$I141&gt;=TODAY(),$I141&lt;=TODAY()+7,$E141&lt;&gt;"Done"),"Quick Wins (15 mins or less)",AND($M141&lt;=15,$E141&lt;&gt;"Done",$E141&lt;&gt;"Blocked"),"Deep Thinking",AND($G141="Deep Thinking",$E141&lt;&gt;"Done"),"Processing",AND($G141="Processing",$E141&lt;&gt;"Done"),"Blocked",$E141="Blocked","Waiting",$E141="Waiting","Recently Updated",AND($L141&lt;&gt;"",$L141&gt;=TODAY()-7),TRUE))</f>
        <v/>
      </c>
    </row>
    <row r="142">
      <c r="A142" s="19" t="n"/>
      <c r="B142" s="19" t="n"/>
      <c r="C142" s="19" t="n"/>
      <c r="D142" s="19" t="n"/>
      <c r="E142" s="19" t="n"/>
      <c r="F142" s="19" t="n"/>
      <c r="G142" s="19" t="n"/>
      <c r="H142" s="19" t="n"/>
      <c r="I142" s="19" t="n"/>
      <c r="J142" s="19" t="n"/>
      <c r="K142" s="19" t="n"/>
      <c r="L142" s="35" t="n"/>
      <c r="M142" s="5">
        <f>IF($D142="","",IFERROR(VLOOKUP($H142,Lists!$N$2:$O$6,2,FALSE),0))</f>
        <v/>
      </c>
      <c r="N142" s="5">
        <f>IF($D142="","",IF(OR($E142="Blocked",$E142="Done",$E142="Archive"),-9999,IF(AND($E142="Waiting",SUMPRODUCT((($E$5:$E$200="Next")+($E$5:$E$200="In Progress")+($E$5:$E$200="Captured"))*($D$5:$D$200&lt;&gt;""))&gt;0),-500,VLOOKUP($F142,Lists!$L$2:$M$4,2,FALSE)+IF($E142="In Progress",10,0)+IF(AND($I142&lt;&gt;"",$I142&lt;TODAY()),25,0)+IF(AND($I142&lt;&gt;"",$I142&gt;=TODAY(),$I142&lt;=TODAY()+7),15,0)+IF($M142&lt;=VLOOKUP(Home!$C$7,Lists!$N$2:$O$6,2,FALSE),20,-10)+IF($G142=Home!$E$7,15,IF(Home!$E$7="",0,-5))-ROW()/100000)))</f>
        <v/>
      </c>
      <c r="O142" s="5">
        <f>IF($D142="","",IF($N142&lt;=-500,"Not recommended right now",TEXTJOIN(" • ",TRUE,IF($F142="High","High Priority",""),IF(AND($I142&lt;&gt;"",$I142&lt;TODAY()),"Overdue",""),IF(AND($I142&lt;&gt;"",$I142&gt;=TODAY(),$I142&lt;=TODAY()+7),"Due This Week",""),IF($M142&lt;=VLOOKUP(Home!$C$7,Lists!$N$2:$O$6,2,FALSE),$H142&amp;" Task",""),IF($G142=Home!$E$7,"Fits Current Energy",""),"No Blockers")))</f>
        <v/>
      </c>
      <c r="P142" s="5">
        <f>IF($D142="","",SWITCH('Task Finder'!$C$6,"High Priority",AND($F142="High",$E142&lt;&gt;"Done",$E142&lt;&gt;"Archive"),"Due This Week",AND($I142&lt;&gt;"",$I142&gt;=TODAY(),$I142&lt;=TODAY()+7,$E142&lt;&gt;"Done"),"Quick Wins (15 mins or less)",AND($M142&lt;=15,$E142&lt;&gt;"Done",$E142&lt;&gt;"Blocked"),"Deep Thinking",AND($G142="Deep Thinking",$E142&lt;&gt;"Done"),"Processing",AND($G142="Processing",$E142&lt;&gt;"Done"),"Blocked",$E142="Blocked","Waiting",$E142="Waiting","Recently Updated",AND($L142&lt;&gt;"",$L142&gt;=TODAY()-7),TRUE))</f>
        <v/>
      </c>
    </row>
    <row r="143">
      <c r="A143" s="19" t="n"/>
      <c r="B143" s="19" t="n"/>
      <c r="C143" s="19" t="n"/>
      <c r="D143" s="19" t="n"/>
      <c r="E143" s="19" t="n"/>
      <c r="F143" s="19" t="n"/>
      <c r="G143" s="19" t="n"/>
      <c r="H143" s="19" t="n"/>
      <c r="I143" s="19" t="n"/>
      <c r="J143" s="19" t="n"/>
      <c r="K143" s="19" t="n"/>
      <c r="L143" s="35" t="n"/>
      <c r="M143" s="5">
        <f>IF($D143="","",IFERROR(VLOOKUP($H143,Lists!$N$2:$O$6,2,FALSE),0))</f>
        <v/>
      </c>
      <c r="N143" s="5">
        <f>IF($D143="","",IF(OR($E143="Blocked",$E143="Done",$E143="Archive"),-9999,IF(AND($E143="Waiting",SUMPRODUCT((($E$5:$E$200="Next")+($E$5:$E$200="In Progress")+($E$5:$E$200="Captured"))*($D$5:$D$200&lt;&gt;""))&gt;0),-500,VLOOKUP($F143,Lists!$L$2:$M$4,2,FALSE)+IF($E143="In Progress",10,0)+IF(AND($I143&lt;&gt;"",$I143&lt;TODAY()),25,0)+IF(AND($I143&lt;&gt;"",$I143&gt;=TODAY(),$I143&lt;=TODAY()+7),15,0)+IF($M143&lt;=VLOOKUP(Home!$C$7,Lists!$N$2:$O$6,2,FALSE),20,-10)+IF($G143=Home!$E$7,15,IF(Home!$E$7="",0,-5))-ROW()/100000)))</f>
        <v/>
      </c>
      <c r="O143" s="5">
        <f>IF($D143="","",IF($N143&lt;=-500,"Not recommended right now",TEXTJOIN(" • ",TRUE,IF($F143="High","High Priority",""),IF(AND($I143&lt;&gt;"",$I143&lt;TODAY()),"Overdue",""),IF(AND($I143&lt;&gt;"",$I143&gt;=TODAY(),$I143&lt;=TODAY()+7),"Due This Week",""),IF($M143&lt;=VLOOKUP(Home!$C$7,Lists!$N$2:$O$6,2,FALSE),$H143&amp;" Task",""),IF($G143=Home!$E$7,"Fits Current Energy",""),"No Blockers")))</f>
        <v/>
      </c>
      <c r="P143" s="5">
        <f>IF($D143="","",SWITCH('Task Finder'!$C$6,"High Priority",AND($F143="High",$E143&lt;&gt;"Done",$E143&lt;&gt;"Archive"),"Due This Week",AND($I143&lt;&gt;"",$I143&gt;=TODAY(),$I143&lt;=TODAY()+7,$E143&lt;&gt;"Done"),"Quick Wins (15 mins or less)",AND($M143&lt;=15,$E143&lt;&gt;"Done",$E143&lt;&gt;"Blocked"),"Deep Thinking",AND($G143="Deep Thinking",$E143&lt;&gt;"Done"),"Processing",AND($G143="Processing",$E143&lt;&gt;"Done"),"Blocked",$E143="Blocked","Waiting",$E143="Waiting","Recently Updated",AND($L143&lt;&gt;"",$L143&gt;=TODAY()-7),TRUE))</f>
        <v/>
      </c>
    </row>
    <row r="144">
      <c r="A144" s="19" t="n"/>
      <c r="B144" s="19" t="n"/>
      <c r="C144" s="19" t="n"/>
      <c r="D144" s="19" t="n"/>
      <c r="E144" s="19" t="n"/>
      <c r="F144" s="19" t="n"/>
      <c r="G144" s="19" t="n"/>
      <c r="H144" s="19" t="n"/>
      <c r="I144" s="19" t="n"/>
      <c r="J144" s="19" t="n"/>
      <c r="K144" s="19" t="n"/>
      <c r="L144" s="35" t="n"/>
      <c r="M144" s="5">
        <f>IF($D144="","",IFERROR(VLOOKUP($H144,Lists!$N$2:$O$6,2,FALSE),0))</f>
        <v/>
      </c>
      <c r="N144" s="5">
        <f>IF($D144="","",IF(OR($E144="Blocked",$E144="Done",$E144="Archive"),-9999,IF(AND($E144="Waiting",SUMPRODUCT((($E$5:$E$200="Next")+($E$5:$E$200="In Progress")+($E$5:$E$200="Captured"))*($D$5:$D$200&lt;&gt;""))&gt;0),-500,VLOOKUP($F144,Lists!$L$2:$M$4,2,FALSE)+IF($E144="In Progress",10,0)+IF(AND($I144&lt;&gt;"",$I144&lt;TODAY()),25,0)+IF(AND($I144&lt;&gt;"",$I144&gt;=TODAY(),$I144&lt;=TODAY()+7),15,0)+IF($M144&lt;=VLOOKUP(Home!$C$7,Lists!$N$2:$O$6,2,FALSE),20,-10)+IF($G144=Home!$E$7,15,IF(Home!$E$7="",0,-5))-ROW()/100000)))</f>
        <v/>
      </c>
      <c r="O144" s="5">
        <f>IF($D144="","",IF($N144&lt;=-500,"Not recommended right now",TEXTJOIN(" • ",TRUE,IF($F144="High","High Priority",""),IF(AND($I144&lt;&gt;"",$I144&lt;TODAY()),"Overdue",""),IF(AND($I144&lt;&gt;"",$I144&gt;=TODAY(),$I144&lt;=TODAY()+7),"Due This Week",""),IF($M144&lt;=VLOOKUP(Home!$C$7,Lists!$N$2:$O$6,2,FALSE),$H144&amp;" Task",""),IF($G144=Home!$E$7,"Fits Current Energy",""),"No Blockers")))</f>
        <v/>
      </c>
      <c r="P144" s="5">
        <f>IF($D144="","",SWITCH('Task Finder'!$C$6,"High Priority",AND($F144="High",$E144&lt;&gt;"Done",$E144&lt;&gt;"Archive"),"Due This Week",AND($I144&lt;&gt;"",$I144&gt;=TODAY(),$I144&lt;=TODAY()+7,$E144&lt;&gt;"Done"),"Quick Wins (15 mins or less)",AND($M144&lt;=15,$E144&lt;&gt;"Done",$E144&lt;&gt;"Blocked"),"Deep Thinking",AND($G144="Deep Thinking",$E144&lt;&gt;"Done"),"Processing",AND($G144="Processing",$E144&lt;&gt;"Done"),"Blocked",$E144="Blocked","Waiting",$E144="Waiting","Recently Updated",AND($L144&lt;&gt;"",$L144&gt;=TODAY()-7),TRUE))</f>
        <v/>
      </c>
    </row>
    <row r="145">
      <c r="A145" s="19" t="n"/>
      <c r="B145" s="19" t="n"/>
      <c r="C145" s="19" t="n"/>
      <c r="D145" s="19" t="n"/>
      <c r="E145" s="19" t="n"/>
      <c r="F145" s="19" t="n"/>
      <c r="G145" s="19" t="n"/>
      <c r="H145" s="19" t="n"/>
      <c r="I145" s="19" t="n"/>
      <c r="J145" s="19" t="n"/>
      <c r="K145" s="19" t="n"/>
      <c r="L145" s="35" t="n"/>
      <c r="M145" s="5">
        <f>IF($D145="","",IFERROR(VLOOKUP($H145,Lists!$N$2:$O$6,2,FALSE),0))</f>
        <v/>
      </c>
      <c r="N145" s="5">
        <f>IF($D145="","",IF(OR($E145="Blocked",$E145="Done",$E145="Archive"),-9999,IF(AND($E145="Waiting",SUMPRODUCT((($E$5:$E$200="Next")+($E$5:$E$200="In Progress")+($E$5:$E$200="Captured"))*($D$5:$D$200&lt;&gt;""))&gt;0),-500,VLOOKUP($F145,Lists!$L$2:$M$4,2,FALSE)+IF($E145="In Progress",10,0)+IF(AND($I145&lt;&gt;"",$I145&lt;TODAY()),25,0)+IF(AND($I145&lt;&gt;"",$I145&gt;=TODAY(),$I145&lt;=TODAY()+7),15,0)+IF($M145&lt;=VLOOKUP(Home!$C$7,Lists!$N$2:$O$6,2,FALSE),20,-10)+IF($G145=Home!$E$7,15,IF(Home!$E$7="",0,-5))-ROW()/100000)))</f>
        <v/>
      </c>
      <c r="O145" s="5">
        <f>IF($D145="","",IF($N145&lt;=-500,"Not recommended right now",TEXTJOIN(" • ",TRUE,IF($F145="High","High Priority",""),IF(AND($I145&lt;&gt;"",$I145&lt;TODAY()),"Overdue",""),IF(AND($I145&lt;&gt;"",$I145&gt;=TODAY(),$I145&lt;=TODAY()+7),"Due This Week",""),IF($M145&lt;=VLOOKUP(Home!$C$7,Lists!$N$2:$O$6,2,FALSE),$H145&amp;" Task",""),IF($G145=Home!$E$7,"Fits Current Energy",""),"No Blockers")))</f>
        <v/>
      </c>
      <c r="P145" s="5">
        <f>IF($D145="","",SWITCH('Task Finder'!$C$6,"High Priority",AND($F145="High",$E145&lt;&gt;"Done",$E145&lt;&gt;"Archive"),"Due This Week",AND($I145&lt;&gt;"",$I145&gt;=TODAY(),$I145&lt;=TODAY()+7,$E145&lt;&gt;"Done"),"Quick Wins (15 mins or less)",AND($M145&lt;=15,$E145&lt;&gt;"Done",$E145&lt;&gt;"Blocked"),"Deep Thinking",AND($G145="Deep Thinking",$E145&lt;&gt;"Done"),"Processing",AND($G145="Processing",$E145&lt;&gt;"Done"),"Blocked",$E145="Blocked","Waiting",$E145="Waiting","Recently Updated",AND($L145&lt;&gt;"",$L145&gt;=TODAY()-7),TRUE))</f>
        <v/>
      </c>
    </row>
    <row r="146">
      <c r="A146" s="19" t="n"/>
      <c r="B146" s="19" t="n"/>
      <c r="C146" s="19" t="n"/>
      <c r="D146" s="19" t="n"/>
      <c r="E146" s="19" t="n"/>
      <c r="F146" s="19" t="n"/>
      <c r="G146" s="19" t="n"/>
      <c r="H146" s="19" t="n"/>
      <c r="I146" s="19" t="n"/>
      <c r="J146" s="19" t="n"/>
      <c r="K146" s="19" t="n"/>
      <c r="L146" s="35" t="n"/>
      <c r="M146" s="5">
        <f>IF($D146="","",IFERROR(VLOOKUP($H146,Lists!$N$2:$O$6,2,FALSE),0))</f>
        <v/>
      </c>
      <c r="N146" s="5">
        <f>IF($D146="","",IF(OR($E146="Blocked",$E146="Done",$E146="Archive"),-9999,IF(AND($E146="Waiting",SUMPRODUCT((($E$5:$E$200="Next")+($E$5:$E$200="In Progress")+($E$5:$E$200="Captured"))*($D$5:$D$200&lt;&gt;""))&gt;0),-500,VLOOKUP($F146,Lists!$L$2:$M$4,2,FALSE)+IF($E146="In Progress",10,0)+IF(AND($I146&lt;&gt;"",$I146&lt;TODAY()),25,0)+IF(AND($I146&lt;&gt;"",$I146&gt;=TODAY(),$I146&lt;=TODAY()+7),15,0)+IF($M146&lt;=VLOOKUP(Home!$C$7,Lists!$N$2:$O$6,2,FALSE),20,-10)+IF($G146=Home!$E$7,15,IF(Home!$E$7="",0,-5))-ROW()/100000)))</f>
        <v/>
      </c>
      <c r="O146" s="5">
        <f>IF($D146="","",IF($N146&lt;=-500,"Not recommended right now",TEXTJOIN(" • ",TRUE,IF($F146="High","High Priority",""),IF(AND($I146&lt;&gt;"",$I146&lt;TODAY()),"Overdue",""),IF(AND($I146&lt;&gt;"",$I146&gt;=TODAY(),$I146&lt;=TODAY()+7),"Due This Week",""),IF($M146&lt;=VLOOKUP(Home!$C$7,Lists!$N$2:$O$6,2,FALSE),$H146&amp;" Task",""),IF($G146=Home!$E$7,"Fits Current Energy",""),"No Blockers")))</f>
        <v/>
      </c>
      <c r="P146" s="5">
        <f>IF($D146="","",SWITCH('Task Finder'!$C$6,"High Priority",AND($F146="High",$E146&lt;&gt;"Done",$E146&lt;&gt;"Archive"),"Due This Week",AND($I146&lt;&gt;"",$I146&gt;=TODAY(),$I146&lt;=TODAY()+7,$E146&lt;&gt;"Done"),"Quick Wins (15 mins or less)",AND($M146&lt;=15,$E146&lt;&gt;"Done",$E146&lt;&gt;"Blocked"),"Deep Thinking",AND($G146="Deep Thinking",$E146&lt;&gt;"Done"),"Processing",AND($G146="Processing",$E146&lt;&gt;"Done"),"Blocked",$E146="Blocked","Waiting",$E146="Waiting","Recently Updated",AND($L146&lt;&gt;"",$L146&gt;=TODAY()-7),TRUE))</f>
        <v/>
      </c>
    </row>
    <row r="147">
      <c r="A147" s="19" t="n"/>
      <c r="B147" s="19" t="n"/>
      <c r="C147" s="19" t="n"/>
      <c r="D147" s="19" t="n"/>
      <c r="E147" s="19" t="n"/>
      <c r="F147" s="19" t="n"/>
      <c r="G147" s="19" t="n"/>
      <c r="H147" s="19" t="n"/>
      <c r="I147" s="19" t="n"/>
      <c r="J147" s="19" t="n"/>
      <c r="K147" s="19" t="n"/>
      <c r="L147" s="35" t="n"/>
      <c r="M147" s="5">
        <f>IF($D147="","",IFERROR(VLOOKUP($H147,Lists!$N$2:$O$6,2,FALSE),0))</f>
        <v/>
      </c>
      <c r="N147" s="5">
        <f>IF($D147="","",IF(OR($E147="Blocked",$E147="Done",$E147="Archive"),-9999,IF(AND($E147="Waiting",SUMPRODUCT((($E$5:$E$200="Next")+($E$5:$E$200="In Progress")+($E$5:$E$200="Captured"))*($D$5:$D$200&lt;&gt;""))&gt;0),-500,VLOOKUP($F147,Lists!$L$2:$M$4,2,FALSE)+IF($E147="In Progress",10,0)+IF(AND($I147&lt;&gt;"",$I147&lt;TODAY()),25,0)+IF(AND($I147&lt;&gt;"",$I147&gt;=TODAY(),$I147&lt;=TODAY()+7),15,0)+IF($M147&lt;=VLOOKUP(Home!$C$7,Lists!$N$2:$O$6,2,FALSE),20,-10)+IF($G147=Home!$E$7,15,IF(Home!$E$7="",0,-5))-ROW()/100000)))</f>
        <v/>
      </c>
      <c r="O147" s="5">
        <f>IF($D147="","",IF($N147&lt;=-500,"Not recommended right now",TEXTJOIN(" • ",TRUE,IF($F147="High","High Priority",""),IF(AND($I147&lt;&gt;"",$I147&lt;TODAY()),"Overdue",""),IF(AND($I147&lt;&gt;"",$I147&gt;=TODAY(),$I147&lt;=TODAY()+7),"Due This Week",""),IF($M147&lt;=VLOOKUP(Home!$C$7,Lists!$N$2:$O$6,2,FALSE),$H147&amp;" Task",""),IF($G147=Home!$E$7,"Fits Current Energy",""),"No Blockers")))</f>
        <v/>
      </c>
      <c r="P147" s="5">
        <f>IF($D147="","",SWITCH('Task Finder'!$C$6,"High Priority",AND($F147="High",$E147&lt;&gt;"Done",$E147&lt;&gt;"Archive"),"Due This Week",AND($I147&lt;&gt;"",$I147&gt;=TODAY(),$I147&lt;=TODAY()+7,$E147&lt;&gt;"Done"),"Quick Wins (15 mins or less)",AND($M147&lt;=15,$E147&lt;&gt;"Done",$E147&lt;&gt;"Blocked"),"Deep Thinking",AND($G147="Deep Thinking",$E147&lt;&gt;"Done"),"Processing",AND($G147="Processing",$E147&lt;&gt;"Done"),"Blocked",$E147="Blocked","Waiting",$E147="Waiting","Recently Updated",AND($L147&lt;&gt;"",$L147&gt;=TODAY()-7),TRUE))</f>
        <v/>
      </c>
    </row>
    <row r="148">
      <c r="A148" s="19" t="n"/>
      <c r="B148" s="19" t="n"/>
      <c r="C148" s="19" t="n"/>
      <c r="D148" s="19" t="n"/>
      <c r="E148" s="19" t="n"/>
      <c r="F148" s="19" t="n"/>
      <c r="G148" s="19" t="n"/>
      <c r="H148" s="19" t="n"/>
      <c r="I148" s="19" t="n"/>
      <c r="J148" s="19" t="n"/>
      <c r="K148" s="19" t="n"/>
      <c r="L148" s="35" t="n"/>
      <c r="M148" s="5">
        <f>IF($D148="","",IFERROR(VLOOKUP($H148,Lists!$N$2:$O$6,2,FALSE),0))</f>
        <v/>
      </c>
      <c r="N148" s="5">
        <f>IF($D148="","",IF(OR($E148="Blocked",$E148="Done",$E148="Archive"),-9999,IF(AND($E148="Waiting",SUMPRODUCT((($E$5:$E$200="Next")+($E$5:$E$200="In Progress")+($E$5:$E$200="Captured"))*($D$5:$D$200&lt;&gt;""))&gt;0),-500,VLOOKUP($F148,Lists!$L$2:$M$4,2,FALSE)+IF($E148="In Progress",10,0)+IF(AND($I148&lt;&gt;"",$I148&lt;TODAY()),25,0)+IF(AND($I148&lt;&gt;"",$I148&gt;=TODAY(),$I148&lt;=TODAY()+7),15,0)+IF($M148&lt;=VLOOKUP(Home!$C$7,Lists!$N$2:$O$6,2,FALSE),20,-10)+IF($G148=Home!$E$7,15,IF(Home!$E$7="",0,-5))-ROW()/100000)))</f>
        <v/>
      </c>
      <c r="O148" s="5">
        <f>IF($D148="","",IF($N148&lt;=-500,"Not recommended right now",TEXTJOIN(" • ",TRUE,IF($F148="High","High Priority",""),IF(AND($I148&lt;&gt;"",$I148&lt;TODAY()),"Overdue",""),IF(AND($I148&lt;&gt;"",$I148&gt;=TODAY(),$I148&lt;=TODAY()+7),"Due This Week",""),IF($M148&lt;=VLOOKUP(Home!$C$7,Lists!$N$2:$O$6,2,FALSE),$H148&amp;" Task",""),IF($G148=Home!$E$7,"Fits Current Energy",""),"No Blockers")))</f>
        <v/>
      </c>
      <c r="P148" s="5">
        <f>IF($D148="","",SWITCH('Task Finder'!$C$6,"High Priority",AND($F148="High",$E148&lt;&gt;"Done",$E148&lt;&gt;"Archive"),"Due This Week",AND($I148&lt;&gt;"",$I148&gt;=TODAY(),$I148&lt;=TODAY()+7,$E148&lt;&gt;"Done"),"Quick Wins (15 mins or less)",AND($M148&lt;=15,$E148&lt;&gt;"Done",$E148&lt;&gt;"Blocked"),"Deep Thinking",AND($G148="Deep Thinking",$E148&lt;&gt;"Done"),"Processing",AND($G148="Processing",$E148&lt;&gt;"Done"),"Blocked",$E148="Blocked","Waiting",$E148="Waiting","Recently Updated",AND($L148&lt;&gt;"",$L148&gt;=TODAY()-7),TRUE))</f>
        <v/>
      </c>
    </row>
    <row r="149">
      <c r="A149" s="19" t="n"/>
      <c r="B149" s="19" t="n"/>
      <c r="C149" s="19" t="n"/>
      <c r="D149" s="19" t="n"/>
      <c r="E149" s="19" t="n"/>
      <c r="F149" s="19" t="n"/>
      <c r="G149" s="19" t="n"/>
      <c r="H149" s="19" t="n"/>
      <c r="I149" s="19" t="n"/>
      <c r="J149" s="19" t="n"/>
      <c r="K149" s="19" t="n"/>
      <c r="L149" s="35" t="n"/>
      <c r="M149" s="5">
        <f>IF($D149="","",IFERROR(VLOOKUP($H149,Lists!$N$2:$O$6,2,FALSE),0))</f>
        <v/>
      </c>
      <c r="N149" s="5">
        <f>IF($D149="","",IF(OR($E149="Blocked",$E149="Done",$E149="Archive"),-9999,IF(AND($E149="Waiting",SUMPRODUCT((($E$5:$E$200="Next")+($E$5:$E$200="In Progress")+($E$5:$E$200="Captured"))*($D$5:$D$200&lt;&gt;""))&gt;0),-500,VLOOKUP($F149,Lists!$L$2:$M$4,2,FALSE)+IF($E149="In Progress",10,0)+IF(AND($I149&lt;&gt;"",$I149&lt;TODAY()),25,0)+IF(AND($I149&lt;&gt;"",$I149&gt;=TODAY(),$I149&lt;=TODAY()+7),15,0)+IF($M149&lt;=VLOOKUP(Home!$C$7,Lists!$N$2:$O$6,2,FALSE),20,-10)+IF($G149=Home!$E$7,15,IF(Home!$E$7="",0,-5))-ROW()/100000)))</f>
        <v/>
      </c>
      <c r="O149" s="5">
        <f>IF($D149="","",IF($N149&lt;=-500,"Not recommended right now",TEXTJOIN(" • ",TRUE,IF($F149="High","High Priority",""),IF(AND($I149&lt;&gt;"",$I149&lt;TODAY()),"Overdue",""),IF(AND($I149&lt;&gt;"",$I149&gt;=TODAY(),$I149&lt;=TODAY()+7),"Due This Week",""),IF($M149&lt;=VLOOKUP(Home!$C$7,Lists!$N$2:$O$6,2,FALSE),$H149&amp;" Task",""),IF($G149=Home!$E$7,"Fits Current Energy",""),"No Blockers")))</f>
        <v/>
      </c>
      <c r="P149" s="5">
        <f>IF($D149="","",SWITCH('Task Finder'!$C$6,"High Priority",AND($F149="High",$E149&lt;&gt;"Done",$E149&lt;&gt;"Archive"),"Due This Week",AND($I149&lt;&gt;"",$I149&gt;=TODAY(),$I149&lt;=TODAY()+7,$E149&lt;&gt;"Done"),"Quick Wins (15 mins or less)",AND($M149&lt;=15,$E149&lt;&gt;"Done",$E149&lt;&gt;"Blocked"),"Deep Thinking",AND($G149="Deep Thinking",$E149&lt;&gt;"Done"),"Processing",AND($G149="Processing",$E149&lt;&gt;"Done"),"Blocked",$E149="Blocked","Waiting",$E149="Waiting","Recently Updated",AND($L149&lt;&gt;"",$L149&gt;=TODAY()-7),TRUE))</f>
        <v/>
      </c>
    </row>
    <row r="150">
      <c r="A150" s="19" t="n"/>
      <c r="B150" s="19" t="n"/>
      <c r="C150" s="19" t="n"/>
      <c r="D150" s="19" t="n"/>
      <c r="E150" s="19" t="n"/>
      <c r="F150" s="19" t="n"/>
      <c r="G150" s="19" t="n"/>
      <c r="H150" s="19" t="n"/>
      <c r="I150" s="19" t="n"/>
      <c r="J150" s="19" t="n"/>
      <c r="K150" s="19" t="n"/>
      <c r="L150" s="35" t="n"/>
      <c r="M150" s="5">
        <f>IF($D150="","",IFERROR(VLOOKUP($H150,Lists!$N$2:$O$6,2,FALSE),0))</f>
        <v/>
      </c>
      <c r="N150" s="5">
        <f>IF($D150="","",IF(OR($E150="Blocked",$E150="Done",$E150="Archive"),-9999,IF(AND($E150="Waiting",SUMPRODUCT((($E$5:$E$200="Next")+($E$5:$E$200="In Progress")+($E$5:$E$200="Captured"))*($D$5:$D$200&lt;&gt;""))&gt;0),-500,VLOOKUP($F150,Lists!$L$2:$M$4,2,FALSE)+IF($E150="In Progress",10,0)+IF(AND($I150&lt;&gt;"",$I150&lt;TODAY()),25,0)+IF(AND($I150&lt;&gt;"",$I150&gt;=TODAY(),$I150&lt;=TODAY()+7),15,0)+IF($M150&lt;=VLOOKUP(Home!$C$7,Lists!$N$2:$O$6,2,FALSE),20,-10)+IF($G150=Home!$E$7,15,IF(Home!$E$7="",0,-5))-ROW()/100000)))</f>
        <v/>
      </c>
      <c r="O150" s="5">
        <f>IF($D150="","",IF($N150&lt;=-500,"Not recommended right now",TEXTJOIN(" • ",TRUE,IF($F150="High","High Priority",""),IF(AND($I150&lt;&gt;"",$I150&lt;TODAY()),"Overdue",""),IF(AND($I150&lt;&gt;"",$I150&gt;=TODAY(),$I150&lt;=TODAY()+7),"Due This Week",""),IF($M150&lt;=VLOOKUP(Home!$C$7,Lists!$N$2:$O$6,2,FALSE),$H150&amp;" Task",""),IF($G150=Home!$E$7,"Fits Current Energy",""),"No Blockers")))</f>
        <v/>
      </c>
      <c r="P150" s="5">
        <f>IF($D150="","",SWITCH('Task Finder'!$C$6,"High Priority",AND($F150="High",$E150&lt;&gt;"Done",$E150&lt;&gt;"Archive"),"Due This Week",AND($I150&lt;&gt;"",$I150&gt;=TODAY(),$I150&lt;=TODAY()+7,$E150&lt;&gt;"Done"),"Quick Wins (15 mins or less)",AND($M150&lt;=15,$E150&lt;&gt;"Done",$E150&lt;&gt;"Blocked"),"Deep Thinking",AND($G150="Deep Thinking",$E150&lt;&gt;"Done"),"Processing",AND($G150="Processing",$E150&lt;&gt;"Done"),"Blocked",$E150="Blocked","Waiting",$E150="Waiting","Recently Updated",AND($L150&lt;&gt;"",$L150&gt;=TODAY()-7),TRUE))</f>
        <v/>
      </c>
    </row>
    <row r="151">
      <c r="A151" s="19" t="n"/>
      <c r="B151" s="19" t="n"/>
      <c r="C151" s="19" t="n"/>
      <c r="D151" s="19" t="n"/>
      <c r="E151" s="19" t="n"/>
      <c r="F151" s="19" t="n"/>
      <c r="G151" s="19" t="n"/>
      <c r="H151" s="19" t="n"/>
      <c r="I151" s="19" t="n"/>
      <c r="J151" s="19" t="n"/>
      <c r="K151" s="19" t="n"/>
      <c r="L151" s="35" t="n"/>
      <c r="M151" s="5">
        <f>IF($D151="","",IFERROR(VLOOKUP($H151,Lists!$N$2:$O$6,2,FALSE),0))</f>
        <v/>
      </c>
      <c r="N151" s="5">
        <f>IF($D151="","",IF(OR($E151="Blocked",$E151="Done",$E151="Archive"),-9999,IF(AND($E151="Waiting",SUMPRODUCT((($E$5:$E$200="Next")+($E$5:$E$200="In Progress")+($E$5:$E$200="Captured"))*($D$5:$D$200&lt;&gt;""))&gt;0),-500,VLOOKUP($F151,Lists!$L$2:$M$4,2,FALSE)+IF($E151="In Progress",10,0)+IF(AND($I151&lt;&gt;"",$I151&lt;TODAY()),25,0)+IF(AND($I151&lt;&gt;"",$I151&gt;=TODAY(),$I151&lt;=TODAY()+7),15,0)+IF($M151&lt;=VLOOKUP(Home!$C$7,Lists!$N$2:$O$6,2,FALSE),20,-10)+IF($G151=Home!$E$7,15,IF(Home!$E$7="",0,-5))-ROW()/100000)))</f>
        <v/>
      </c>
      <c r="O151" s="5">
        <f>IF($D151="","",IF($N151&lt;=-500,"Not recommended right now",TEXTJOIN(" • ",TRUE,IF($F151="High","High Priority",""),IF(AND($I151&lt;&gt;"",$I151&lt;TODAY()),"Overdue",""),IF(AND($I151&lt;&gt;"",$I151&gt;=TODAY(),$I151&lt;=TODAY()+7),"Due This Week",""),IF($M151&lt;=VLOOKUP(Home!$C$7,Lists!$N$2:$O$6,2,FALSE),$H151&amp;" Task",""),IF($G151=Home!$E$7,"Fits Current Energy",""),"No Blockers")))</f>
        <v/>
      </c>
      <c r="P151" s="5">
        <f>IF($D151="","",SWITCH('Task Finder'!$C$6,"High Priority",AND($F151="High",$E151&lt;&gt;"Done",$E151&lt;&gt;"Archive"),"Due This Week",AND($I151&lt;&gt;"",$I151&gt;=TODAY(),$I151&lt;=TODAY()+7,$E151&lt;&gt;"Done"),"Quick Wins (15 mins or less)",AND($M151&lt;=15,$E151&lt;&gt;"Done",$E151&lt;&gt;"Blocked"),"Deep Thinking",AND($G151="Deep Thinking",$E151&lt;&gt;"Done"),"Processing",AND($G151="Processing",$E151&lt;&gt;"Done"),"Blocked",$E151="Blocked","Waiting",$E151="Waiting","Recently Updated",AND($L151&lt;&gt;"",$L151&gt;=TODAY()-7),TRUE))</f>
        <v/>
      </c>
    </row>
    <row r="152">
      <c r="A152" s="19" t="n"/>
      <c r="B152" s="19" t="n"/>
      <c r="C152" s="19" t="n"/>
      <c r="D152" s="19" t="n"/>
      <c r="E152" s="19" t="n"/>
      <c r="F152" s="19" t="n"/>
      <c r="G152" s="19" t="n"/>
      <c r="H152" s="19" t="n"/>
      <c r="I152" s="19" t="n"/>
      <c r="J152" s="19" t="n"/>
      <c r="K152" s="19" t="n"/>
      <c r="L152" s="35" t="n"/>
      <c r="M152" s="5">
        <f>IF($D152="","",IFERROR(VLOOKUP($H152,Lists!$N$2:$O$6,2,FALSE),0))</f>
        <v/>
      </c>
      <c r="N152" s="5">
        <f>IF($D152="","",IF(OR($E152="Blocked",$E152="Done",$E152="Archive"),-9999,IF(AND($E152="Waiting",SUMPRODUCT((($E$5:$E$200="Next")+($E$5:$E$200="In Progress")+($E$5:$E$200="Captured"))*($D$5:$D$200&lt;&gt;""))&gt;0),-500,VLOOKUP($F152,Lists!$L$2:$M$4,2,FALSE)+IF($E152="In Progress",10,0)+IF(AND($I152&lt;&gt;"",$I152&lt;TODAY()),25,0)+IF(AND($I152&lt;&gt;"",$I152&gt;=TODAY(),$I152&lt;=TODAY()+7),15,0)+IF($M152&lt;=VLOOKUP(Home!$C$7,Lists!$N$2:$O$6,2,FALSE),20,-10)+IF($G152=Home!$E$7,15,IF(Home!$E$7="",0,-5))-ROW()/100000)))</f>
        <v/>
      </c>
      <c r="O152" s="5">
        <f>IF($D152="","",IF($N152&lt;=-500,"Not recommended right now",TEXTJOIN(" • ",TRUE,IF($F152="High","High Priority",""),IF(AND($I152&lt;&gt;"",$I152&lt;TODAY()),"Overdue",""),IF(AND($I152&lt;&gt;"",$I152&gt;=TODAY(),$I152&lt;=TODAY()+7),"Due This Week",""),IF($M152&lt;=VLOOKUP(Home!$C$7,Lists!$N$2:$O$6,2,FALSE),$H152&amp;" Task",""),IF($G152=Home!$E$7,"Fits Current Energy",""),"No Blockers")))</f>
        <v/>
      </c>
      <c r="P152" s="5">
        <f>IF($D152="","",SWITCH('Task Finder'!$C$6,"High Priority",AND($F152="High",$E152&lt;&gt;"Done",$E152&lt;&gt;"Archive"),"Due This Week",AND($I152&lt;&gt;"",$I152&gt;=TODAY(),$I152&lt;=TODAY()+7,$E152&lt;&gt;"Done"),"Quick Wins (15 mins or less)",AND($M152&lt;=15,$E152&lt;&gt;"Done",$E152&lt;&gt;"Blocked"),"Deep Thinking",AND($G152="Deep Thinking",$E152&lt;&gt;"Done"),"Processing",AND($G152="Processing",$E152&lt;&gt;"Done"),"Blocked",$E152="Blocked","Waiting",$E152="Waiting","Recently Updated",AND($L152&lt;&gt;"",$L152&gt;=TODAY()-7),TRUE))</f>
        <v/>
      </c>
    </row>
    <row r="153">
      <c r="A153" s="19" t="n"/>
      <c r="B153" s="19" t="n"/>
      <c r="C153" s="19" t="n"/>
      <c r="D153" s="19" t="n"/>
      <c r="E153" s="19" t="n"/>
      <c r="F153" s="19" t="n"/>
      <c r="G153" s="19" t="n"/>
      <c r="H153" s="19" t="n"/>
      <c r="I153" s="19" t="n"/>
      <c r="J153" s="19" t="n"/>
      <c r="K153" s="19" t="n"/>
      <c r="L153" s="35" t="n"/>
      <c r="M153" s="5">
        <f>IF($D153="","",IFERROR(VLOOKUP($H153,Lists!$N$2:$O$6,2,FALSE),0))</f>
        <v/>
      </c>
      <c r="N153" s="5">
        <f>IF($D153="","",IF(OR($E153="Blocked",$E153="Done",$E153="Archive"),-9999,IF(AND($E153="Waiting",SUMPRODUCT((($E$5:$E$200="Next")+($E$5:$E$200="In Progress")+($E$5:$E$200="Captured"))*($D$5:$D$200&lt;&gt;""))&gt;0),-500,VLOOKUP($F153,Lists!$L$2:$M$4,2,FALSE)+IF($E153="In Progress",10,0)+IF(AND($I153&lt;&gt;"",$I153&lt;TODAY()),25,0)+IF(AND($I153&lt;&gt;"",$I153&gt;=TODAY(),$I153&lt;=TODAY()+7),15,0)+IF($M153&lt;=VLOOKUP(Home!$C$7,Lists!$N$2:$O$6,2,FALSE),20,-10)+IF($G153=Home!$E$7,15,IF(Home!$E$7="",0,-5))-ROW()/100000)))</f>
        <v/>
      </c>
      <c r="O153" s="5">
        <f>IF($D153="","",IF($N153&lt;=-500,"Not recommended right now",TEXTJOIN(" • ",TRUE,IF($F153="High","High Priority",""),IF(AND($I153&lt;&gt;"",$I153&lt;TODAY()),"Overdue",""),IF(AND($I153&lt;&gt;"",$I153&gt;=TODAY(),$I153&lt;=TODAY()+7),"Due This Week",""),IF($M153&lt;=VLOOKUP(Home!$C$7,Lists!$N$2:$O$6,2,FALSE),$H153&amp;" Task",""),IF($G153=Home!$E$7,"Fits Current Energy",""),"No Blockers")))</f>
        <v/>
      </c>
      <c r="P153" s="5">
        <f>IF($D153="","",SWITCH('Task Finder'!$C$6,"High Priority",AND($F153="High",$E153&lt;&gt;"Done",$E153&lt;&gt;"Archive"),"Due This Week",AND($I153&lt;&gt;"",$I153&gt;=TODAY(),$I153&lt;=TODAY()+7,$E153&lt;&gt;"Done"),"Quick Wins (15 mins or less)",AND($M153&lt;=15,$E153&lt;&gt;"Done",$E153&lt;&gt;"Blocked"),"Deep Thinking",AND($G153="Deep Thinking",$E153&lt;&gt;"Done"),"Processing",AND($G153="Processing",$E153&lt;&gt;"Done"),"Blocked",$E153="Blocked","Waiting",$E153="Waiting","Recently Updated",AND($L153&lt;&gt;"",$L153&gt;=TODAY()-7),TRUE))</f>
        <v/>
      </c>
    </row>
    <row r="154">
      <c r="A154" s="19" t="n"/>
      <c r="B154" s="19" t="n"/>
      <c r="C154" s="19" t="n"/>
      <c r="D154" s="19" t="n"/>
      <c r="E154" s="19" t="n"/>
      <c r="F154" s="19" t="n"/>
      <c r="G154" s="19" t="n"/>
      <c r="H154" s="19" t="n"/>
      <c r="I154" s="19" t="n"/>
      <c r="J154" s="19" t="n"/>
      <c r="K154" s="19" t="n"/>
      <c r="L154" s="35" t="n"/>
      <c r="M154" s="5">
        <f>IF($D154="","",IFERROR(VLOOKUP($H154,Lists!$N$2:$O$6,2,FALSE),0))</f>
        <v/>
      </c>
      <c r="N154" s="5">
        <f>IF($D154="","",IF(OR($E154="Blocked",$E154="Done",$E154="Archive"),-9999,IF(AND($E154="Waiting",SUMPRODUCT((($E$5:$E$200="Next")+($E$5:$E$200="In Progress")+($E$5:$E$200="Captured"))*($D$5:$D$200&lt;&gt;""))&gt;0),-500,VLOOKUP($F154,Lists!$L$2:$M$4,2,FALSE)+IF($E154="In Progress",10,0)+IF(AND($I154&lt;&gt;"",$I154&lt;TODAY()),25,0)+IF(AND($I154&lt;&gt;"",$I154&gt;=TODAY(),$I154&lt;=TODAY()+7),15,0)+IF($M154&lt;=VLOOKUP(Home!$C$7,Lists!$N$2:$O$6,2,FALSE),20,-10)+IF($G154=Home!$E$7,15,IF(Home!$E$7="",0,-5))-ROW()/100000)))</f>
        <v/>
      </c>
      <c r="O154" s="5">
        <f>IF($D154="","",IF($N154&lt;=-500,"Not recommended right now",TEXTJOIN(" • ",TRUE,IF($F154="High","High Priority",""),IF(AND($I154&lt;&gt;"",$I154&lt;TODAY()),"Overdue",""),IF(AND($I154&lt;&gt;"",$I154&gt;=TODAY(),$I154&lt;=TODAY()+7),"Due This Week",""),IF($M154&lt;=VLOOKUP(Home!$C$7,Lists!$N$2:$O$6,2,FALSE),$H154&amp;" Task",""),IF($G154=Home!$E$7,"Fits Current Energy",""),"No Blockers")))</f>
        <v/>
      </c>
      <c r="P154" s="5">
        <f>IF($D154="","",SWITCH('Task Finder'!$C$6,"High Priority",AND($F154="High",$E154&lt;&gt;"Done",$E154&lt;&gt;"Archive"),"Due This Week",AND($I154&lt;&gt;"",$I154&gt;=TODAY(),$I154&lt;=TODAY()+7,$E154&lt;&gt;"Done"),"Quick Wins (15 mins or less)",AND($M154&lt;=15,$E154&lt;&gt;"Done",$E154&lt;&gt;"Blocked"),"Deep Thinking",AND($G154="Deep Thinking",$E154&lt;&gt;"Done"),"Processing",AND($G154="Processing",$E154&lt;&gt;"Done"),"Blocked",$E154="Blocked","Waiting",$E154="Waiting","Recently Updated",AND($L154&lt;&gt;"",$L154&gt;=TODAY()-7),TRUE))</f>
        <v/>
      </c>
    </row>
    <row r="155">
      <c r="A155" s="19" t="n"/>
      <c r="B155" s="19" t="n"/>
      <c r="C155" s="19" t="n"/>
      <c r="D155" s="19" t="n"/>
      <c r="E155" s="19" t="n"/>
      <c r="F155" s="19" t="n"/>
      <c r="G155" s="19" t="n"/>
      <c r="H155" s="19" t="n"/>
      <c r="I155" s="19" t="n"/>
      <c r="J155" s="19" t="n"/>
      <c r="K155" s="19" t="n"/>
      <c r="L155" s="35" t="n"/>
      <c r="M155" s="5">
        <f>IF($D155="","",IFERROR(VLOOKUP($H155,Lists!$N$2:$O$6,2,FALSE),0))</f>
        <v/>
      </c>
      <c r="N155" s="5">
        <f>IF($D155="","",IF(OR($E155="Blocked",$E155="Done",$E155="Archive"),-9999,IF(AND($E155="Waiting",SUMPRODUCT((($E$5:$E$200="Next")+($E$5:$E$200="In Progress")+($E$5:$E$200="Captured"))*($D$5:$D$200&lt;&gt;""))&gt;0),-500,VLOOKUP($F155,Lists!$L$2:$M$4,2,FALSE)+IF($E155="In Progress",10,0)+IF(AND($I155&lt;&gt;"",$I155&lt;TODAY()),25,0)+IF(AND($I155&lt;&gt;"",$I155&gt;=TODAY(),$I155&lt;=TODAY()+7),15,0)+IF($M155&lt;=VLOOKUP(Home!$C$7,Lists!$N$2:$O$6,2,FALSE),20,-10)+IF($G155=Home!$E$7,15,IF(Home!$E$7="",0,-5))-ROW()/100000)))</f>
        <v/>
      </c>
      <c r="O155" s="5">
        <f>IF($D155="","",IF($N155&lt;=-500,"Not recommended right now",TEXTJOIN(" • ",TRUE,IF($F155="High","High Priority",""),IF(AND($I155&lt;&gt;"",$I155&lt;TODAY()),"Overdue",""),IF(AND($I155&lt;&gt;"",$I155&gt;=TODAY(),$I155&lt;=TODAY()+7),"Due This Week",""),IF($M155&lt;=VLOOKUP(Home!$C$7,Lists!$N$2:$O$6,2,FALSE),$H155&amp;" Task",""),IF($G155=Home!$E$7,"Fits Current Energy",""),"No Blockers")))</f>
        <v/>
      </c>
      <c r="P155" s="5">
        <f>IF($D155="","",SWITCH('Task Finder'!$C$6,"High Priority",AND($F155="High",$E155&lt;&gt;"Done",$E155&lt;&gt;"Archive"),"Due This Week",AND($I155&lt;&gt;"",$I155&gt;=TODAY(),$I155&lt;=TODAY()+7,$E155&lt;&gt;"Done"),"Quick Wins (15 mins or less)",AND($M155&lt;=15,$E155&lt;&gt;"Done",$E155&lt;&gt;"Blocked"),"Deep Thinking",AND($G155="Deep Thinking",$E155&lt;&gt;"Done"),"Processing",AND($G155="Processing",$E155&lt;&gt;"Done"),"Blocked",$E155="Blocked","Waiting",$E155="Waiting","Recently Updated",AND($L155&lt;&gt;"",$L155&gt;=TODAY()-7),TRUE))</f>
        <v/>
      </c>
    </row>
    <row r="156">
      <c r="A156" s="19" t="n"/>
      <c r="B156" s="19" t="n"/>
      <c r="C156" s="19" t="n"/>
      <c r="D156" s="19" t="n"/>
      <c r="E156" s="19" t="n"/>
      <c r="F156" s="19" t="n"/>
      <c r="G156" s="19" t="n"/>
      <c r="H156" s="19" t="n"/>
      <c r="I156" s="19" t="n"/>
      <c r="J156" s="19" t="n"/>
      <c r="K156" s="19" t="n"/>
      <c r="L156" s="35" t="n"/>
      <c r="M156" s="5">
        <f>IF($D156="","",IFERROR(VLOOKUP($H156,Lists!$N$2:$O$6,2,FALSE),0))</f>
        <v/>
      </c>
      <c r="N156" s="5">
        <f>IF($D156="","",IF(OR($E156="Blocked",$E156="Done",$E156="Archive"),-9999,IF(AND($E156="Waiting",SUMPRODUCT((($E$5:$E$200="Next")+($E$5:$E$200="In Progress")+($E$5:$E$200="Captured"))*($D$5:$D$200&lt;&gt;""))&gt;0),-500,VLOOKUP($F156,Lists!$L$2:$M$4,2,FALSE)+IF($E156="In Progress",10,0)+IF(AND($I156&lt;&gt;"",$I156&lt;TODAY()),25,0)+IF(AND($I156&lt;&gt;"",$I156&gt;=TODAY(),$I156&lt;=TODAY()+7),15,0)+IF($M156&lt;=VLOOKUP(Home!$C$7,Lists!$N$2:$O$6,2,FALSE),20,-10)+IF($G156=Home!$E$7,15,IF(Home!$E$7="",0,-5))-ROW()/100000)))</f>
        <v/>
      </c>
      <c r="O156" s="5">
        <f>IF($D156="","",IF($N156&lt;=-500,"Not recommended right now",TEXTJOIN(" • ",TRUE,IF($F156="High","High Priority",""),IF(AND($I156&lt;&gt;"",$I156&lt;TODAY()),"Overdue",""),IF(AND($I156&lt;&gt;"",$I156&gt;=TODAY(),$I156&lt;=TODAY()+7),"Due This Week",""),IF($M156&lt;=VLOOKUP(Home!$C$7,Lists!$N$2:$O$6,2,FALSE),$H156&amp;" Task",""),IF($G156=Home!$E$7,"Fits Current Energy",""),"No Blockers")))</f>
        <v/>
      </c>
      <c r="P156" s="5">
        <f>IF($D156="","",SWITCH('Task Finder'!$C$6,"High Priority",AND($F156="High",$E156&lt;&gt;"Done",$E156&lt;&gt;"Archive"),"Due This Week",AND($I156&lt;&gt;"",$I156&gt;=TODAY(),$I156&lt;=TODAY()+7,$E156&lt;&gt;"Done"),"Quick Wins (15 mins or less)",AND($M156&lt;=15,$E156&lt;&gt;"Done",$E156&lt;&gt;"Blocked"),"Deep Thinking",AND($G156="Deep Thinking",$E156&lt;&gt;"Done"),"Processing",AND($G156="Processing",$E156&lt;&gt;"Done"),"Blocked",$E156="Blocked","Waiting",$E156="Waiting","Recently Updated",AND($L156&lt;&gt;"",$L156&gt;=TODAY()-7),TRUE))</f>
        <v/>
      </c>
    </row>
    <row r="157">
      <c r="A157" s="19" t="n"/>
      <c r="B157" s="19" t="n"/>
      <c r="C157" s="19" t="n"/>
      <c r="D157" s="19" t="n"/>
      <c r="E157" s="19" t="n"/>
      <c r="F157" s="19" t="n"/>
      <c r="G157" s="19" t="n"/>
      <c r="H157" s="19" t="n"/>
      <c r="I157" s="19" t="n"/>
      <c r="J157" s="19" t="n"/>
      <c r="K157" s="19" t="n"/>
      <c r="L157" s="35" t="n"/>
      <c r="M157" s="5">
        <f>IF($D157="","",IFERROR(VLOOKUP($H157,Lists!$N$2:$O$6,2,FALSE),0))</f>
        <v/>
      </c>
      <c r="N157" s="5">
        <f>IF($D157="","",IF(OR($E157="Blocked",$E157="Done",$E157="Archive"),-9999,IF(AND($E157="Waiting",SUMPRODUCT((($E$5:$E$200="Next")+($E$5:$E$200="In Progress")+($E$5:$E$200="Captured"))*($D$5:$D$200&lt;&gt;""))&gt;0),-500,VLOOKUP($F157,Lists!$L$2:$M$4,2,FALSE)+IF($E157="In Progress",10,0)+IF(AND($I157&lt;&gt;"",$I157&lt;TODAY()),25,0)+IF(AND($I157&lt;&gt;"",$I157&gt;=TODAY(),$I157&lt;=TODAY()+7),15,0)+IF($M157&lt;=VLOOKUP(Home!$C$7,Lists!$N$2:$O$6,2,FALSE),20,-10)+IF($G157=Home!$E$7,15,IF(Home!$E$7="",0,-5))-ROW()/100000)))</f>
        <v/>
      </c>
      <c r="O157" s="5">
        <f>IF($D157="","",IF($N157&lt;=-500,"Not recommended right now",TEXTJOIN(" • ",TRUE,IF($F157="High","High Priority",""),IF(AND($I157&lt;&gt;"",$I157&lt;TODAY()),"Overdue",""),IF(AND($I157&lt;&gt;"",$I157&gt;=TODAY(),$I157&lt;=TODAY()+7),"Due This Week",""),IF($M157&lt;=VLOOKUP(Home!$C$7,Lists!$N$2:$O$6,2,FALSE),$H157&amp;" Task",""),IF($G157=Home!$E$7,"Fits Current Energy",""),"No Blockers")))</f>
        <v/>
      </c>
      <c r="P157" s="5">
        <f>IF($D157="","",SWITCH('Task Finder'!$C$6,"High Priority",AND($F157="High",$E157&lt;&gt;"Done",$E157&lt;&gt;"Archive"),"Due This Week",AND($I157&lt;&gt;"",$I157&gt;=TODAY(),$I157&lt;=TODAY()+7,$E157&lt;&gt;"Done"),"Quick Wins (15 mins or less)",AND($M157&lt;=15,$E157&lt;&gt;"Done",$E157&lt;&gt;"Blocked"),"Deep Thinking",AND($G157="Deep Thinking",$E157&lt;&gt;"Done"),"Processing",AND($G157="Processing",$E157&lt;&gt;"Done"),"Blocked",$E157="Blocked","Waiting",$E157="Waiting","Recently Updated",AND($L157&lt;&gt;"",$L157&gt;=TODAY()-7),TRUE))</f>
        <v/>
      </c>
    </row>
    <row r="158">
      <c r="A158" s="19" t="n"/>
      <c r="B158" s="19" t="n"/>
      <c r="C158" s="19" t="n"/>
      <c r="D158" s="19" t="n"/>
      <c r="E158" s="19" t="n"/>
      <c r="F158" s="19" t="n"/>
      <c r="G158" s="19" t="n"/>
      <c r="H158" s="19" t="n"/>
      <c r="I158" s="19" t="n"/>
      <c r="J158" s="19" t="n"/>
      <c r="K158" s="19" t="n"/>
      <c r="L158" s="35" t="n"/>
      <c r="M158" s="5">
        <f>IF($D158="","",IFERROR(VLOOKUP($H158,Lists!$N$2:$O$6,2,FALSE),0))</f>
        <v/>
      </c>
      <c r="N158" s="5">
        <f>IF($D158="","",IF(OR($E158="Blocked",$E158="Done",$E158="Archive"),-9999,IF(AND($E158="Waiting",SUMPRODUCT((($E$5:$E$200="Next")+($E$5:$E$200="In Progress")+($E$5:$E$200="Captured"))*($D$5:$D$200&lt;&gt;""))&gt;0),-500,VLOOKUP($F158,Lists!$L$2:$M$4,2,FALSE)+IF($E158="In Progress",10,0)+IF(AND($I158&lt;&gt;"",$I158&lt;TODAY()),25,0)+IF(AND($I158&lt;&gt;"",$I158&gt;=TODAY(),$I158&lt;=TODAY()+7),15,0)+IF($M158&lt;=VLOOKUP(Home!$C$7,Lists!$N$2:$O$6,2,FALSE),20,-10)+IF($G158=Home!$E$7,15,IF(Home!$E$7="",0,-5))-ROW()/100000)))</f>
        <v/>
      </c>
      <c r="O158" s="5">
        <f>IF($D158="","",IF($N158&lt;=-500,"Not recommended right now",TEXTJOIN(" • ",TRUE,IF($F158="High","High Priority",""),IF(AND($I158&lt;&gt;"",$I158&lt;TODAY()),"Overdue",""),IF(AND($I158&lt;&gt;"",$I158&gt;=TODAY(),$I158&lt;=TODAY()+7),"Due This Week",""),IF($M158&lt;=VLOOKUP(Home!$C$7,Lists!$N$2:$O$6,2,FALSE),$H158&amp;" Task",""),IF($G158=Home!$E$7,"Fits Current Energy",""),"No Blockers")))</f>
        <v/>
      </c>
      <c r="P158" s="5">
        <f>IF($D158="","",SWITCH('Task Finder'!$C$6,"High Priority",AND($F158="High",$E158&lt;&gt;"Done",$E158&lt;&gt;"Archive"),"Due This Week",AND($I158&lt;&gt;"",$I158&gt;=TODAY(),$I158&lt;=TODAY()+7,$E158&lt;&gt;"Done"),"Quick Wins (15 mins or less)",AND($M158&lt;=15,$E158&lt;&gt;"Done",$E158&lt;&gt;"Blocked"),"Deep Thinking",AND($G158="Deep Thinking",$E158&lt;&gt;"Done"),"Processing",AND($G158="Processing",$E158&lt;&gt;"Done"),"Blocked",$E158="Blocked","Waiting",$E158="Waiting","Recently Updated",AND($L158&lt;&gt;"",$L158&gt;=TODAY()-7),TRUE))</f>
        <v/>
      </c>
    </row>
    <row r="159">
      <c r="A159" s="19" t="n"/>
      <c r="B159" s="19" t="n"/>
      <c r="C159" s="19" t="n"/>
      <c r="D159" s="19" t="n"/>
      <c r="E159" s="19" t="n"/>
      <c r="F159" s="19" t="n"/>
      <c r="G159" s="19" t="n"/>
      <c r="H159" s="19" t="n"/>
      <c r="I159" s="19" t="n"/>
      <c r="J159" s="19" t="n"/>
      <c r="K159" s="19" t="n"/>
      <c r="L159" s="35" t="n"/>
      <c r="M159" s="5">
        <f>IF($D159="","",IFERROR(VLOOKUP($H159,Lists!$N$2:$O$6,2,FALSE),0))</f>
        <v/>
      </c>
      <c r="N159" s="5">
        <f>IF($D159="","",IF(OR($E159="Blocked",$E159="Done",$E159="Archive"),-9999,IF(AND($E159="Waiting",SUMPRODUCT((($E$5:$E$200="Next")+($E$5:$E$200="In Progress")+($E$5:$E$200="Captured"))*($D$5:$D$200&lt;&gt;""))&gt;0),-500,VLOOKUP($F159,Lists!$L$2:$M$4,2,FALSE)+IF($E159="In Progress",10,0)+IF(AND($I159&lt;&gt;"",$I159&lt;TODAY()),25,0)+IF(AND($I159&lt;&gt;"",$I159&gt;=TODAY(),$I159&lt;=TODAY()+7),15,0)+IF($M159&lt;=VLOOKUP(Home!$C$7,Lists!$N$2:$O$6,2,FALSE),20,-10)+IF($G159=Home!$E$7,15,IF(Home!$E$7="",0,-5))-ROW()/100000)))</f>
        <v/>
      </c>
      <c r="O159" s="5">
        <f>IF($D159="","",IF($N159&lt;=-500,"Not recommended right now",TEXTJOIN(" • ",TRUE,IF($F159="High","High Priority",""),IF(AND($I159&lt;&gt;"",$I159&lt;TODAY()),"Overdue",""),IF(AND($I159&lt;&gt;"",$I159&gt;=TODAY(),$I159&lt;=TODAY()+7),"Due This Week",""),IF($M159&lt;=VLOOKUP(Home!$C$7,Lists!$N$2:$O$6,2,FALSE),$H159&amp;" Task",""),IF($G159=Home!$E$7,"Fits Current Energy",""),"No Blockers")))</f>
        <v/>
      </c>
      <c r="P159" s="5">
        <f>IF($D159="","",SWITCH('Task Finder'!$C$6,"High Priority",AND($F159="High",$E159&lt;&gt;"Done",$E159&lt;&gt;"Archive"),"Due This Week",AND($I159&lt;&gt;"",$I159&gt;=TODAY(),$I159&lt;=TODAY()+7,$E159&lt;&gt;"Done"),"Quick Wins (15 mins or less)",AND($M159&lt;=15,$E159&lt;&gt;"Done",$E159&lt;&gt;"Blocked"),"Deep Thinking",AND($G159="Deep Thinking",$E159&lt;&gt;"Done"),"Processing",AND($G159="Processing",$E159&lt;&gt;"Done"),"Blocked",$E159="Blocked","Waiting",$E159="Waiting","Recently Updated",AND($L159&lt;&gt;"",$L159&gt;=TODAY()-7),TRUE))</f>
        <v/>
      </c>
    </row>
    <row r="160">
      <c r="A160" s="19" t="n"/>
      <c r="B160" s="19" t="n"/>
      <c r="C160" s="19" t="n"/>
      <c r="D160" s="19" t="n"/>
      <c r="E160" s="19" t="n"/>
      <c r="F160" s="19" t="n"/>
      <c r="G160" s="19" t="n"/>
      <c r="H160" s="19" t="n"/>
      <c r="I160" s="19" t="n"/>
      <c r="J160" s="19" t="n"/>
      <c r="K160" s="19" t="n"/>
      <c r="L160" s="35" t="n"/>
      <c r="M160" s="5">
        <f>IF($D160="","",IFERROR(VLOOKUP($H160,Lists!$N$2:$O$6,2,FALSE),0))</f>
        <v/>
      </c>
      <c r="N160" s="5">
        <f>IF($D160="","",IF(OR($E160="Blocked",$E160="Done",$E160="Archive"),-9999,IF(AND($E160="Waiting",SUMPRODUCT((($E$5:$E$200="Next")+($E$5:$E$200="In Progress")+($E$5:$E$200="Captured"))*($D$5:$D$200&lt;&gt;""))&gt;0),-500,VLOOKUP($F160,Lists!$L$2:$M$4,2,FALSE)+IF($E160="In Progress",10,0)+IF(AND($I160&lt;&gt;"",$I160&lt;TODAY()),25,0)+IF(AND($I160&lt;&gt;"",$I160&gt;=TODAY(),$I160&lt;=TODAY()+7),15,0)+IF($M160&lt;=VLOOKUP(Home!$C$7,Lists!$N$2:$O$6,2,FALSE),20,-10)+IF($G160=Home!$E$7,15,IF(Home!$E$7="",0,-5))-ROW()/100000)))</f>
        <v/>
      </c>
      <c r="O160" s="5">
        <f>IF($D160="","",IF($N160&lt;=-500,"Not recommended right now",TEXTJOIN(" • ",TRUE,IF($F160="High","High Priority",""),IF(AND($I160&lt;&gt;"",$I160&lt;TODAY()),"Overdue",""),IF(AND($I160&lt;&gt;"",$I160&gt;=TODAY(),$I160&lt;=TODAY()+7),"Due This Week",""),IF($M160&lt;=VLOOKUP(Home!$C$7,Lists!$N$2:$O$6,2,FALSE),$H160&amp;" Task",""),IF($G160=Home!$E$7,"Fits Current Energy",""),"No Blockers")))</f>
        <v/>
      </c>
      <c r="P160" s="5">
        <f>IF($D160="","",SWITCH('Task Finder'!$C$6,"High Priority",AND($F160="High",$E160&lt;&gt;"Done",$E160&lt;&gt;"Archive"),"Due This Week",AND($I160&lt;&gt;"",$I160&gt;=TODAY(),$I160&lt;=TODAY()+7,$E160&lt;&gt;"Done"),"Quick Wins (15 mins or less)",AND($M160&lt;=15,$E160&lt;&gt;"Done",$E160&lt;&gt;"Blocked"),"Deep Thinking",AND($G160="Deep Thinking",$E160&lt;&gt;"Done"),"Processing",AND($G160="Processing",$E160&lt;&gt;"Done"),"Blocked",$E160="Blocked","Waiting",$E160="Waiting","Recently Updated",AND($L160&lt;&gt;"",$L160&gt;=TODAY()-7),TRUE))</f>
        <v/>
      </c>
    </row>
    <row r="161">
      <c r="A161" s="19" t="n"/>
      <c r="B161" s="19" t="n"/>
      <c r="C161" s="19" t="n"/>
      <c r="D161" s="19" t="n"/>
      <c r="E161" s="19" t="n"/>
      <c r="F161" s="19" t="n"/>
      <c r="G161" s="19" t="n"/>
      <c r="H161" s="19" t="n"/>
      <c r="I161" s="19" t="n"/>
      <c r="J161" s="19" t="n"/>
      <c r="K161" s="19" t="n"/>
      <c r="L161" s="35" t="n"/>
      <c r="M161" s="5">
        <f>IF($D161="","",IFERROR(VLOOKUP($H161,Lists!$N$2:$O$6,2,FALSE),0))</f>
        <v/>
      </c>
      <c r="N161" s="5">
        <f>IF($D161="","",IF(OR($E161="Blocked",$E161="Done",$E161="Archive"),-9999,IF(AND($E161="Waiting",SUMPRODUCT((($E$5:$E$200="Next")+($E$5:$E$200="In Progress")+($E$5:$E$200="Captured"))*($D$5:$D$200&lt;&gt;""))&gt;0),-500,VLOOKUP($F161,Lists!$L$2:$M$4,2,FALSE)+IF($E161="In Progress",10,0)+IF(AND($I161&lt;&gt;"",$I161&lt;TODAY()),25,0)+IF(AND($I161&lt;&gt;"",$I161&gt;=TODAY(),$I161&lt;=TODAY()+7),15,0)+IF($M161&lt;=VLOOKUP(Home!$C$7,Lists!$N$2:$O$6,2,FALSE),20,-10)+IF($G161=Home!$E$7,15,IF(Home!$E$7="",0,-5))-ROW()/100000)))</f>
        <v/>
      </c>
      <c r="O161" s="5">
        <f>IF($D161="","",IF($N161&lt;=-500,"Not recommended right now",TEXTJOIN(" • ",TRUE,IF($F161="High","High Priority",""),IF(AND($I161&lt;&gt;"",$I161&lt;TODAY()),"Overdue",""),IF(AND($I161&lt;&gt;"",$I161&gt;=TODAY(),$I161&lt;=TODAY()+7),"Due This Week",""),IF($M161&lt;=VLOOKUP(Home!$C$7,Lists!$N$2:$O$6,2,FALSE),$H161&amp;" Task",""),IF($G161=Home!$E$7,"Fits Current Energy",""),"No Blockers")))</f>
        <v/>
      </c>
      <c r="P161" s="5">
        <f>IF($D161="","",SWITCH('Task Finder'!$C$6,"High Priority",AND($F161="High",$E161&lt;&gt;"Done",$E161&lt;&gt;"Archive"),"Due This Week",AND($I161&lt;&gt;"",$I161&gt;=TODAY(),$I161&lt;=TODAY()+7,$E161&lt;&gt;"Done"),"Quick Wins (15 mins or less)",AND($M161&lt;=15,$E161&lt;&gt;"Done",$E161&lt;&gt;"Blocked"),"Deep Thinking",AND($G161="Deep Thinking",$E161&lt;&gt;"Done"),"Processing",AND($G161="Processing",$E161&lt;&gt;"Done"),"Blocked",$E161="Blocked","Waiting",$E161="Waiting","Recently Updated",AND($L161&lt;&gt;"",$L161&gt;=TODAY()-7),TRUE))</f>
        <v/>
      </c>
    </row>
    <row r="162">
      <c r="A162" s="19" t="n"/>
      <c r="B162" s="19" t="n"/>
      <c r="C162" s="19" t="n"/>
      <c r="D162" s="19" t="n"/>
      <c r="E162" s="19" t="n"/>
      <c r="F162" s="19" t="n"/>
      <c r="G162" s="19" t="n"/>
      <c r="H162" s="19" t="n"/>
      <c r="I162" s="19" t="n"/>
      <c r="J162" s="19" t="n"/>
      <c r="K162" s="19" t="n"/>
      <c r="L162" s="35" t="n"/>
      <c r="M162" s="5">
        <f>IF($D162="","",IFERROR(VLOOKUP($H162,Lists!$N$2:$O$6,2,FALSE),0))</f>
        <v/>
      </c>
      <c r="N162" s="5">
        <f>IF($D162="","",IF(OR($E162="Blocked",$E162="Done",$E162="Archive"),-9999,IF(AND($E162="Waiting",SUMPRODUCT((($E$5:$E$200="Next")+($E$5:$E$200="In Progress")+($E$5:$E$200="Captured"))*($D$5:$D$200&lt;&gt;""))&gt;0),-500,VLOOKUP($F162,Lists!$L$2:$M$4,2,FALSE)+IF($E162="In Progress",10,0)+IF(AND($I162&lt;&gt;"",$I162&lt;TODAY()),25,0)+IF(AND($I162&lt;&gt;"",$I162&gt;=TODAY(),$I162&lt;=TODAY()+7),15,0)+IF($M162&lt;=VLOOKUP(Home!$C$7,Lists!$N$2:$O$6,2,FALSE),20,-10)+IF($G162=Home!$E$7,15,IF(Home!$E$7="",0,-5))-ROW()/100000)))</f>
        <v/>
      </c>
      <c r="O162" s="5">
        <f>IF($D162="","",IF($N162&lt;=-500,"Not recommended right now",TEXTJOIN(" • ",TRUE,IF($F162="High","High Priority",""),IF(AND($I162&lt;&gt;"",$I162&lt;TODAY()),"Overdue",""),IF(AND($I162&lt;&gt;"",$I162&gt;=TODAY(),$I162&lt;=TODAY()+7),"Due This Week",""),IF($M162&lt;=VLOOKUP(Home!$C$7,Lists!$N$2:$O$6,2,FALSE),$H162&amp;" Task",""),IF($G162=Home!$E$7,"Fits Current Energy",""),"No Blockers")))</f>
        <v/>
      </c>
      <c r="P162" s="5">
        <f>IF($D162="","",SWITCH('Task Finder'!$C$6,"High Priority",AND($F162="High",$E162&lt;&gt;"Done",$E162&lt;&gt;"Archive"),"Due This Week",AND($I162&lt;&gt;"",$I162&gt;=TODAY(),$I162&lt;=TODAY()+7,$E162&lt;&gt;"Done"),"Quick Wins (15 mins or less)",AND($M162&lt;=15,$E162&lt;&gt;"Done",$E162&lt;&gt;"Blocked"),"Deep Thinking",AND($G162="Deep Thinking",$E162&lt;&gt;"Done"),"Processing",AND($G162="Processing",$E162&lt;&gt;"Done"),"Blocked",$E162="Blocked","Waiting",$E162="Waiting","Recently Updated",AND($L162&lt;&gt;"",$L162&gt;=TODAY()-7),TRUE))</f>
        <v/>
      </c>
    </row>
    <row r="163">
      <c r="A163" s="19" t="n"/>
      <c r="B163" s="19" t="n"/>
      <c r="C163" s="19" t="n"/>
      <c r="D163" s="19" t="n"/>
      <c r="E163" s="19" t="n"/>
      <c r="F163" s="19" t="n"/>
      <c r="G163" s="19" t="n"/>
      <c r="H163" s="19" t="n"/>
      <c r="I163" s="19" t="n"/>
      <c r="J163" s="19" t="n"/>
      <c r="K163" s="19" t="n"/>
      <c r="L163" s="35" t="n"/>
      <c r="M163" s="5">
        <f>IF($D163="","",IFERROR(VLOOKUP($H163,Lists!$N$2:$O$6,2,FALSE),0))</f>
        <v/>
      </c>
      <c r="N163" s="5">
        <f>IF($D163="","",IF(OR($E163="Blocked",$E163="Done",$E163="Archive"),-9999,IF(AND($E163="Waiting",SUMPRODUCT((($E$5:$E$200="Next")+($E$5:$E$200="In Progress")+($E$5:$E$200="Captured"))*($D$5:$D$200&lt;&gt;""))&gt;0),-500,VLOOKUP($F163,Lists!$L$2:$M$4,2,FALSE)+IF($E163="In Progress",10,0)+IF(AND($I163&lt;&gt;"",$I163&lt;TODAY()),25,0)+IF(AND($I163&lt;&gt;"",$I163&gt;=TODAY(),$I163&lt;=TODAY()+7),15,0)+IF($M163&lt;=VLOOKUP(Home!$C$7,Lists!$N$2:$O$6,2,FALSE),20,-10)+IF($G163=Home!$E$7,15,IF(Home!$E$7="",0,-5))-ROW()/100000)))</f>
        <v/>
      </c>
      <c r="O163" s="5">
        <f>IF($D163="","",IF($N163&lt;=-500,"Not recommended right now",TEXTJOIN(" • ",TRUE,IF($F163="High","High Priority",""),IF(AND($I163&lt;&gt;"",$I163&lt;TODAY()),"Overdue",""),IF(AND($I163&lt;&gt;"",$I163&gt;=TODAY(),$I163&lt;=TODAY()+7),"Due This Week",""),IF($M163&lt;=VLOOKUP(Home!$C$7,Lists!$N$2:$O$6,2,FALSE),$H163&amp;" Task",""),IF($G163=Home!$E$7,"Fits Current Energy",""),"No Blockers")))</f>
        <v/>
      </c>
      <c r="P163" s="5">
        <f>IF($D163="","",SWITCH('Task Finder'!$C$6,"High Priority",AND($F163="High",$E163&lt;&gt;"Done",$E163&lt;&gt;"Archive"),"Due This Week",AND($I163&lt;&gt;"",$I163&gt;=TODAY(),$I163&lt;=TODAY()+7,$E163&lt;&gt;"Done"),"Quick Wins (15 mins or less)",AND($M163&lt;=15,$E163&lt;&gt;"Done",$E163&lt;&gt;"Blocked"),"Deep Thinking",AND($G163="Deep Thinking",$E163&lt;&gt;"Done"),"Processing",AND($G163="Processing",$E163&lt;&gt;"Done"),"Blocked",$E163="Blocked","Waiting",$E163="Waiting","Recently Updated",AND($L163&lt;&gt;"",$L163&gt;=TODAY()-7),TRUE))</f>
        <v/>
      </c>
    </row>
    <row r="164">
      <c r="A164" s="19" t="n"/>
      <c r="B164" s="19" t="n"/>
      <c r="C164" s="19" t="n"/>
      <c r="D164" s="19" t="n"/>
      <c r="E164" s="19" t="n"/>
      <c r="F164" s="19" t="n"/>
      <c r="G164" s="19" t="n"/>
      <c r="H164" s="19" t="n"/>
      <c r="I164" s="19" t="n"/>
      <c r="J164" s="19" t="n"/>
      <c r="K164" s="19" t="n"/>
      <c r="L164" s="35" t="n"/>
      <c r="M164" s="5">
        <f>IF($D164="","",IFERROR(VLOOKUP($H164,Lists!$N$2:$O$6,2,FALSE),0))</f>
        <v/>
      </c>
      <c r="N164" s="5">
        <f>IF($D164="","",IF(OR($E164="Blocked",$E164="Done",$E164="Archive"),-9999,IF(AND($E164="Waiting",SUMPRODUCT((($E$5:$E$200="Next")+($E$5:$E$200="In Progress")+($E$5:$E$200="Captured"))*($D$5:$D$200&lt;&gt;""))&gt;0),-500,VLOOKUP($F164,Lists!$L$2:$M$4,2,FALSE)+IF($E164="In Progress",10,0)+IF(AND($I164&lt;&gt;"",$I164&lt;TODAY()),25,0)+IF(AND($I164&lt;&gt;"",$I164&gt;=TODAY(),$I164&lt;=TODAY()+7),15,0)+IF($M164&lt;=VLOOKUP(Home!$C$7,Lists!$N$2:$O$6,2,FALSE),20,-10)+IF($G164=Home!$E$7,15,IF(Home!$E$7="",0,-5))-ROW()/100000)))</f>
        <v/>
      </c>
      <c r="O164" s="5">
        <f>IF($D164="","",IF($N164&lt;=-500,"Not recommended right now",TEXTJOIN(" • ",TRUE,IF($F164="High","High Priority",""),IF(AND($I164&lt;&gt;"",$I164&lt;TODAY()),"Overdue",""),IF(AND($I164&lt;&gt;"",$I164&gt;=TODAY(),$I164&lt;=TODAY()+7),"Due This Week",""),IF($M164&lt;=VLOOKUP(Home!$C$7,Lists!$N$2:$O$6,2,FALSE),$H164&amp;" Task",""),IF($G164=Home!$E$7,"Fits Current Energy",""),"No Blockers")))</f>
        <v/>
      </c>
      <c r="P164" s="5">
        <f>IF($D164="","",SWITCH('Task Finder'!$C$6,"High Priority",AND($F164="High",$E164&lt;&gt;"Done",$E164&lt;&gt;"Archive"),"Due This Week",AND($I164&lt;&gt;"",$I164&gt;=TODAY(),$I164&lt;=TODAY()+7,$E164&lt;&gt;"Done"),"Quick Wins (15 mins or less)",AND($M164&lt;=15,$E164&lt;&gt;"Done",$E164&lt;&gt;"Blocked"),"Deep Thinking",AND($G164="Deep Thinking",$E164&lt;&gt;"Done"),"Processing",AND($G164="Processing",$E164&lt;&gt;"Done"),"Blocked",$E164="Blocked","Waiting",$E164="Waiting","Recently Updated",AND($L164&lt;&gt;"",$L164&gt;=TODAY()-7),TRUE))</f>
        <v/>
      </c>
    </row>
    <row r="165">
      <c r="A165" s="19" t="n"/>
      <c r="B165" s="19" t="n"/>
      <c r="C165" s="19" t="n"/>
      <c r="D165" s="19" t="n"/>
      <c r="E165" s="19" t="n"/>
      <c r="F165" s="19" t="n"/>
      <c r="G165" s="19" t="n"/>
      <c r="H165" s="19" t="n"/>
      <c r="I165" s="19" t="n"/>
      <c r="J165" s="19" t="n"/>
      <c r="K165" s="19" t="n"/>
      <c r="L165" s="35" t="n"/>
      <c r="M165" s="5">
        <f>IF($D165="","",IFERROR(VLOOKUP($H165,Lists!$N$2:$O$6,2,FALSE),0))</f>
        <v/>
      </c>
      <c r="N165" s="5">
        <f>IF($D165="","",IF(OR($E165="Blocked",$E165="Done",$E165="Archive"),-9999,IF(AND($E165="Waiting",SUMPRODUCT((($E$5:$E$200="Next")+($E$5:$E$200="In Progress")+($E$5:$E$200="Captured"))*($D$5:$D$200&lt;&gt;""))&gt;0),-500,VLOOKUP($F165,Lists!$L$2:$M$4,2,FALSE)+IF($E165="In Progress",10,0)+IF(AND($I165&lt;&gt;"",$I165&lt;TODAY()),25,0)+IF(AND($I165&lt;&gt;"",$I165&gt;=TODAY(),$I165&lt;=TODAY()+7),15,0)+IF($M165&lt;=VLOOKUP(Home!$C$7,Lists!$N$2:$O$6,2,FALSE),20,-10)+IF($G165=Home!$E$7,15,IF(Home!$E$7="",0,-5))-ROW()/100000)))</f>
        <v/>
      </c>
      <c r="O165" s="5">
        <f>IF($D165="","",IF($N165&lt;=-500,"Not recommended right now",TEXTJOIN(" • ",TRUE,IF($F165="High","High Priority",""),IF(AND($I165&lt;&gt;"",$I165&lt;TODAY()),"Overdue",""),IF(AND($I165&lt;&gt;"",$I165&gt;=TODAY(),$I165&lt;=TODAY()+7),"Due This Week",""),IF($M165&lt;=VLOOKUP(Home!$C$7,Lists!$N$2:$O$6,2,FALSE),$H165&amp;" Task",""),IF($G165=Home!$E$7,"Fits Current Energy",""),"No Blockers")))</f>
        <v/>
      </c>
      <c r="P165" s="5">
        <f>IF($D165="","",SWITCH('Task Finder'!$C$6,"High Priority",AND($F165="High",$E165&lt;&gt;"Done",$E165&lt;&gt;"Archive"),"Due This Week",AND($I165&lt;&gt;"",$I165&gt;=TODAY(),$I165&lt;=TODAY()+7,$E165&lt;&gt;"Done"),"Quick Wins (15 mins or less)",AND($M165&lt;=15,$E165&lt;&gt;"Done",$E165&lt;&gt;"Blocked"),"Deep Thinking",AND($G165="Deep Thinking",$E165&lt;&gt;"Done"),"Processing",AND($G165="Processing",$E165&lt;&gt;"Done"),"Blocked",$E165="Blocked","Waiting",$E165="Waiting","Recently Updated",AND($L165&lt;&gt;"",$L165&gt;=TODAY()-7),TRUE))</f>
        <v/>
      </c>
    </row>
    <row r="166">
      <c r="A166" s="19" t="n"/>
      <c r="B166" s="19" t="n"/>
      <c r="C166" s="19" t="n"/>
      <c r="D166" s="19" t="n"/>
      <c r="E166" s="19" t="n"/>
      <c r="F166" s="19" t="n"/>
      <c r="G166" s="19" t="n"/>
      <c r="H166" s="19" t="n"/>
      <c r="I166" s="19" t="n"/>
      <c r="J166" s="19" t="n"/>
      <c r="K166" s="19" t="n"/>
      <c r="L166" s="35" t="n"/>
      <c r="M166" s="5">
        <f>IF($D166="","",IFERROR(VLOOKUP($H166,Lists!$N$2:$O$6,2,FALSE),0))</f>
        <v/>
      </c>
      <c r="N166" s="5">
        <f>IF($D166="","",IF(OR($E166="Blocked",$E166="Done",$E166="Archive"),-9999,IF(AND($E166="Waiting",SUMPRODUCT((($E$5:$E$200="Next")+($E$5:$E$200="In Progress")+($E$5:$E$200="Captured"))*($D$5:$D$200&lt;&gt;""))&gt;0),-500,VLOOKUP($F166,Lists!$L$2:$M$4,2,FALSE)+IF($E166="In Progress",10,0)+IF(AND($I166&lt;&gt;"",$I166&lt;TODAY()),25,0)+IF(AND($I166&lt;&gt;"",$I166&gt;=TODAY(),$I166&lt;=TODAY()+7),15,0)+IF($M166&lt;=VLOOKUP(Home!$C$7,Lists!$N$2:$O$6,2,FALSE),20,-10)+IF($G166=Home!$E$7,15,IF(Home!$E$7="",0,-5))-ROW()/100000)))</f>
        <v/>
      </c>
      <c r="O166" s="5">
        <f>IF($D166="","",IF($N166&lt;=-500,"Not recommended right now",TEXTJOIN(" • ",TRUE,IF($F166="High","High Priority",""),IF(AND($I166&lt;&gt;"",$I166&lt;TODAY()),"Overdue",""),IF(AND($I166&lt;&gt;"",$I166&gt;=TODAY(),$I166&lt;=TODAY()+7),"Due This Week",""),IF($M166&lt;=VLOOKUP(Home!$C$7,Lists!$N$2:$O$6,2,FALSE),$H166&amp;" Task",""),IF($G166=Home!$E$7,"Fits Current Energy",""),"No Blockers")))</f>
        <v/>
      </c>
      <c r="P166" s="5">
        <f>IF($D166="","",SWITCH('Task Finder'!$C$6,"High Priority",AND($F166="High",$E166&lt;&gt;"Done",$E166&lt;&gt;"Archive"),"Due This Week",AND($I166&lt;&gt;"",$I166&gt;=TODAY(),$I166&lt;=TODAY()+7,$E166&lt;&gt;"Done"),"Quick Wins (15 mins or less)",AND($M166&lt;=15,$E166&lt;&gt;"Done",$E166&lt;&gt;"Blocked"),"Deep Thinking",AND($G166="Deep Thinking",$E166&lt;&gt;"Done"),"Processing",AND($G166="Processing",$E166&lt;&gt;"Done"),"Blocked",$E166="Blocked","Waiting",$E166="Waiting","Recently Updated",AND($L166&lt;&gt;"",$L166&gt;=TODAY()-7),TRUE))</f>
        <v/>
      </c>
    </row>
    <row r="167">
      <c r="A167" s="19" t="n"/>
      <c r="B167" s="19" t="n"/>
      <c r="C167" s="19" t="n"/>
      <c r="D167" s="19" t="n"/>
      <c r="E167" s="19" t="n"/>
      <c r="F167" s="19" t="n"/>
      <c r="G167" s="19" t="n"/>
      <c r="H167" s="19" t="n"/>
      <c r="I167" s="19" t="n"/>
      <c r="J167" s="19" t="n"/>
      <c r="K167" s="19" t="n"/>
      <c r="L167" s="35" t="n"/>
      <c r="M167" s="5">
        <f>IF($D167="","",IFERROR(VLOOKUP($H167,Lists!$N$2:$O$6,2,FALSE),0))</f>
        <v/>
      </c>
      <c r="N167" s="5">
        <f>IF($D167="","",IF(OR($E167="Blocked",$E167="Done",$E167="Archive"),-9999,IF(AND($E167="Waiting",SUMPRODUCT((($E$5:$E$200="Next")+($E$5:$E$200="In Progress")+($E$5:$E$200="Captured"))*($D$5:$D$200&lt;&gt;""))&gt;0),-500,VLOOKUP($F167,Lists!$L$2:$M$4,2,FALSE)+IF($E167="In Progress",10,0)+IF(AND($I167&lt;&gt;"",$I167&lt;TODAY()),25,0)+IF(AND($I167&lt;&gt;"",$I167&gt;=TODAY(),$I167&lt;=TODAY()+7),15,0)+IF($M167&lt;=VLOOKUP(Home!$C$7,Lists!$N$2:$O$6,2,FALSE),20,-10)+IF($G167=Home!$E$7,15,IF(Home!$E$7="",0,-5))-ROW()/100000)))</f>
        <v/>
      </c>
      <c r="O167" s="5">
        <f>IF($D167="","",IF($N167&lt;=-500,"Not recommended right now",TEXTJOIN(" • ",TRUE,IF($F167="High","High Priority",""),IF(AND($I167&lt;&gt;"",$I167&lt;TODAY()),"Overdue",""),IF(AND($I167&lt;&gt;"",$I167&gt;=TODAY(),$I167&lt;=TODAY()+7),"Due This Week",""),IF($M167&lt;=VLOOKUP(Home!$C$7,Lists!$N$2:$O$6,2,FALSE),$H167&amp;" Task",""),IF($G167=Home!$E$7,"Fits Current Energy",""),"No Blockers")))</f>
        <v/>
      </c>
      <c r="P167" s="5">
        <f>IF($D167="","",SWITCH('Task Finder'!$C$6,"High Priority",AND($F167="High",$E167&lt;&gt;"Done",$E167&lt;&gt;"Archive"),"Due This Week",AND($I167&lt;&gt;"",$I167&gt;=TODAY(),$I167&lt;=TODAY()+7,$E167&lt;&gt;"Done"),"Quick Wins (15 mins or less)",AND($M167&lt;=15,$E167&lt;&gt;"Done",$E167&lt;&gt;"Blocked"),"Deep Thinking",AND($G167="Deep Thinking",$E167&lt;&gt;"Done"),"Processing",AND($G167="Processing",$E167&lt;&gt;"Done"),"Blocked",$E167="Blocked","Waiting",$E167="Waiting","Recently Updated",AND($L167&lt;&gt;"",$L167&gt;=TODAY()-7),TRUE))</f>
        <v/>
      </c>
    </row>
    <row r="168">
      <c r="A168" s="19" t="n"/>
      <c r="B168" s="19" t="n"/>
      <c r="C168" s="19" t="n"/>
      <c r="D168" s="19" t="n"/>
      <c r="E168" s="19" t="n"/>
      <c r="F168" s="19" t="n"/>
      <c r="G168" s="19" t="n"/>
      <c r="H168" s="19" t="n"/>
      <c r="I168" s="19" t="n"/>
      <c r="J168" s="19" t="n"/>
      <c r="K168" s="19" t="n"/>
      <c r="L168" s="35" t="n"/>
      <c r="M168" s="5">
        <f>IF($D168="","",IFERROR(VLOOKUP($H168,Lists!$N$2:$O$6,2,FALSE),0))</f>
        <v/>
      </c>
      <c r="N168" s="5">
        <f>IF($D168="","",IF(OR($E168="Blocked",$E168="Done",$E168="Archive"),-9999,IF(AND($E168="Waiting",SUMPRODUCT((($E$5:$E$200="Next")+($E$5:$E$200="In Progress")+($E$5:$E$200="Captured"))*($D$5:$D$200&lt;&gt;""))&gt;0),-500,VLOOKUP($F168,Lists!$L$2:$M$4,2,FALSE)+IF($E168="In Progress",10,0)+IF(AND($I168&lt;&gt;"",$I168&lt;TODAY()),25,0)+IF(AND($I168&lt;&gt;"",$I168&gt;=TODAY(),$I168&lt;=TODAY()+7),15,0)+IF($M168&lt;=VLOOKUP(Home!$C$7,Lists!$N$2:$O$6,2,FALSE),20,-10)+IF($G168=Home!$E$7,15,IF(Home!$E$7="",0,-5))-ROW()/100000)))</f>
        <v/>
      </c>
      <c r="O168" s="5">
        <f>IF($D168="","",IF($N168&lt;=-500,"Not recommended right now",TEXTJOIN(" • ",TRUE,IF($F168="High","High Priority",""),IF(AND($I168&lt;&gt;"",$I168&lt;TODAY()),"Overdue",""),IF(AND($I168&lt;&gt;"",$I168&gt;=TODAY(),$I168&lt;=TODAY()+7),"Due This Week",""),IF($M168&lt;=VLOOKUP(Home!$C$7,Lists!$N$2:$O$6,2,FALSE),$H168&amp;" Task",""),IF($G168=Home!$E$7,"Fits Current Energy",""),"No Blockers")))</f>
        <v/>
      </c>
      <c r="P168" s="5">
        <f>IF($D168="","",SWITCH('Task Finder'!$C$6,"High Priority",AND($F168="High",$E168&lt;&gt;"Done",$E168&lt;&gt;"Archive"),"Due This Week",AND($I168&lt;&gt;"",$I168&gt;=TODAY(),$I168&lt;=TODAY()+7,$E168&lt;&gt;"Done"),"Quick Wins (15 mins or less)",AND($M168&lt;=15,$E168&lt;&gt;"Done",$E168&lt;&gt;"Blocked"),"Deep Thinking",AND($G168="Deep Thinking",$E168&lt;&gt;"Done"),"Processing",AND($G168="Processing",$E168&lt;&gt;"Done"),"Blocked",$E168="Blocked","Waiting",$E168="Waiting","Recently Updated",AND($L168&lt;&gt;"",$L168&gt;=TODAY()-7),TRUE))</f>
        <v/>
      </c>
    </row>
    <row r="169">
      <c r="A169" s="19" t="n"/>
      <c r="B169" s="19" t="n"/>
      <c r="C169" s="19" t="n"/>
      <c r="D169" s="19" t="n"/>
      <c r="E169" s="19" t="n"/>
      <c r="F169" s="19" t="n"/>
      <c r="G169" s="19" t="n"/>
      <c r="H169" s="19" t="n"/>
      <c r="I169" s="19" t="n"/>
      <c r="J169" s="19" t="n"/>
      <c r="K169" s="19" t="n"/>
      <c r="L169" s="35" t="n"/>
      <c r="M169" s="5">
        <f>IF($D169="","",IFERROR(VLOOKUP($H169,Lists!$N$2:$O$6,2,FALSE),0))</f>
        <v/>
      </c>
      <c r="N169" s="5">
        <f>IF($D169="","",IF(OR($E169="Blocked",$E169="Done",$E169="Archive"),-9999,IF(AND($E169="Waiting",SUMPRODUCT((($E$5:$E$200="Next")+($E$5:$E$200="In Progress")+($E$5:$E$200="Captured"))*($D$5:$D$200&lt;&gt;""))&gt;0),-500,VLOOKUP($F169,Lists!$L$2:$M$4,2,FALSE)+IF($E169="In Progress",10,0)+IF(AND($I169&lt;&gt;"",$I169&lt;TODAY()),25,0)+IF(AND($I169&lt;&gt;"",$I169&gt;=TODAY(),$I169&lt;=TODAY()+7),15,0)+IF($M169&lt;=VLOOKUP(Home!$C$7,Lists!$N$2:$O$6,2,FALSE),20,-10)+IF($G169=Home!$E$7,15,IF(Home!$E$7="",0,-5))-ROW()/100000)))</f>
        <v/>
      </c>
      <c r="O169" s="5">
        <f>IF($D169="","",IF($N169&lt;=-500,"Not recommended right now",TEXTJOIN(" • ",TRUE,IF($F169="High","High Priority",""),IF(AND($I169&lt;&gt;"",$I169&lt;TODAY()),"Overdue",""),IF(AND($I169&lt;&gt;"",$I169&gt;=TODAY(),$I169&lt;=TODAY()+7),"Due This Week",""),IF($M169&lt;=VLOOKUP(Home!$C$7,Lists!$N$2:$O$6,2,FALSE),$H169&amp;" Task",""),IF($G169=Home!$E$7,"Fits Current Energy",""),"No Blockers")))</f>
        <v/>
      </c>
      <c r="P169" s="5">
        <f>IF($D169="","",SWITCH('Task Finder'!$C$6,"High Priority",AND($F169="High",$E169&lt;&gt;"Done",$E169&lt;&gt;"Archive"),"Due This Week",AND($I169&lt;&gt;"",$I169&gt;=TODAY(),$I169&lt;=TODAY()+7,$E169&lt;&gt;"Done"),"Quick Wins (15 mins or less)",AND($M169&lt;=15,$E169&lt;&gt;"Done",$E169&lt;&gt;"Blocked"),"Deep Thinking",AND($G169="Deep Thinking",$E169&lt;&gt;"Done"),"Processing",AND($G169="Processing",$E169&lt;&gt;"Done"),"Blocked",$E169="Blocked","Waiting",$E169="Waiting","Recently Updated",AND($L169&lt;&gt;"",$L169&gt;=TODAY()-7),TRUE))</f>
        <v/>
      </c>
    </row>
    <row r="170">
      <c r="A170" s="19" t="n"/>
      <c r="B170" s="19" t="n"/>
      <c r="C170" s="19" t="n"/>
      <c r="D170" s="19" t="n"/>
      <c r="E170" s="19" t="n"/>
      <c r="F170" s="19" t="n"/>
      <c r="G170" s="19" t="n"/>
      <c r="H170" s="19" t="n"/>
      <c r="I170" s="19" t="n"/>
      <c r="J170" s="19" t="n"/>
      <c r="K170" s="19" t="n"/>
      <c r="L170" s="35" t="n"/>
      <c r="M170" s="5">
        <f>IF($D170="","",IFERROR(VLOOKUP($H170,Lists!$N$2:$O$6,2,FALSE),0))</f>
        <v/>
      </c>
      <c r="N170" s="5">
        <f>IF($D170="","",IF(OR($E170="Blocked",$E170="Done",$E170="Archive"),-9999,IF(AND($E170="Waiting",SUMPRODUCT((($E$5:$E$200="Next")+($E$5:$E$200="In Progress")+($E$5:$E$200="Captured"))*($D$5:$D$200&lt;&gt;""))&gt;0),-500,VLOOKUP($F170,Lists!$L$2:$M$4,2,FALSE)+IF($E170="In Progress",10,0)+IF(AND($I170&lt;&gt;"",$I170&lt;TODAY()),25,0)+IF(AND($I170&lt;&gt;"",$I170&gt;=TODAY(),$I170&lt;=TODAY()+7),15,0)+IF($M170&lt;=VLOOKUP(Home!$C$7,Lists!$N$2:$O$6,2,FALSE),20,-10)+IF($G170=Home!$E$7,15,IF(Home!$E$7="",0,-5))-ROW()/100000)))</f>
        <v/>
      </c>
      <c r="O170" s="5">
        <f>IF($D170="","",IF($N170&lt;=-500,"Not recommended right now",TEXTJOIN(" • ",TRUE,IF($F170="High","High Priority",""),IF(AND($I170&lt;&gt;"",$I170&lt;TODAY()),"Overdue",""),IF(AND($I170&lt;&gt;"",$I170&gt;=TODAY(),$I170&lt;=TODAY()+7),"Due This Week",""),IF($M170&lt;=VLOOKUP(Home!$C$7,Lists!$N$2:$O$6,2,FALSE),$H170&amp;" Task",""),IF($G170=Home!$E$7,"Fits Current Energy",""),"No Blockers")))</f>
        <v/>
      </c>
      <c r="P170" s="5">
        <f>IF($D170="","",SWITCH('Task Finder'!$C$6,"High Priority",AND($F170="High",$E170&lt;&gt;"Done",$E170&lt;&gt;"Archive"),"Due This Week",AND($I170&lt;&gt;"",$I170&gt;=TODAY(),$I170&lt;=TODAY()+7,$E170&lt;&gt;"Done"),"Quick Wins (15 mins or less)",AND($M170&lt;=15,$E170&lt;&gt;"Done",$E170&lt;&gt;"Blocked"),"Deep Thinking",AND($G170="Deep Thinking",$E170&lt;&gt;"Done"),"Processing",AND($G170="Processing",$E170&lt;&gt;"Done"),"Blocked",$E170="Blocked","Waiting",$E170="Waiting","Recently Updated",AND($L170&lt;&gt;"",$L170&gt;=TODAY()-7),TRUE))</f>
        <v/>
      </c>
    </row>
    <row r="171">
      <c r="A171" s="19" t="n"/>
      <c r="B171" s="19" t="n"/>
      <c r="C171" s="19" t="n"/>
      <c r="D171" s="19" t="n"/>
      <c r="E171" s="19" t="n"/>
      <c r="F171" s="19" t="n"/>
      <c r="G171" s="19" t="n"/>
      <c r="H171" s="19" t="n"/>
      <c r="I171" s="19" t="n"/>
      <c r="J171" s="19" t="n"/>
      <c r="K171" s="19" t="n"/>
      <c r="L171" s="35" t="n"/>
      <c r="M171" s="5">
        <f>IF($D171="","",IFERROR(VLOOKUP($H171,Lists!$N$2:$O$6,2,FALSE),0))</f>
        <v/>
      </c>
      <c r="N171" s="5">
        <f>IF($D171="","",IF(OR($E171="Blocked",$E171="Done",$E171="Archive"),-9999,IF(AND($E171="Waiting",SUMPRODUCT((($E$5:$E$200="Next")+($E$5:$E$200="In Progress")+($E$5:$E$200="Captured"))*($D$5:$D$200&lt;&gt;""))&gt;0),-500,VLOOKUP($F171,Lists!$L$2:$M$4,2,FALSE)+IF($E171="In Progress",10,0)+IF(AND($I171&lt;&gt;"",$I171&lt;TODAY()),25,0)+IF(AND($I171&lt;&gt;"",$I171&gt;=TODAY(),$I171&lt;=TODAY()+7),15,0)+IF($M171&lt;=VLOOKUP(Home!$C$7,Lists!$N$2:$O$6,2,FALSE),20,-10)+IF($G171=Home!$E$7,15,IF(Home!$E$7="",0,-5))-ROW()/100000)))</f>
        <v/>
      </c>
      <c r="O171" s="5">
        <f>IF($D171="","",IF($N171&lt;=-500,"Not recommended right now",TEXTJOIN(" • ",TRUE,IF($F171="High","High Priority",""),IF(AND($I171&lt;&gt;"",$I171&lt;TODAY()),"Overdue",""),IF(AND($I171&lt;&gt;"",$I171&gt;=TODAY(),$I171&lt;=TODAY()+7),"Due This Week",""),IF($M171&lt;=VLOOKUP(Home!$C$7,Lists!$N$2:$O$6,2,FALSE),$H171&amp;" Task",""),IF($G171=Home!$E$7,"Fits Current Energy",""),"No Blockers")))</f>
        <v/>
      </c>
      <c r="P171" s="5">
        <f>IF($D171="","",SWITCH('Task Finder'!$C$6,"High Priority",AND($F171="High",$E171&lt;&gt;"Done",$E171&lt;&gt;"Archive"),"Due This Week",AND($I171&lt;&gt;"",$I171&gt;=TODAY(),$I171&lt;=TODAY()+7,$E171&lt;&gt;"Done"),"Quick Wins (15 mins or less)",AND($M171&lt;=15,$E171&lt;&gt;"Done",$E171&lt;&gt;"Blocked"),"Deep Thinking",AND($G171="Deep Thinking",$E171&lt;&gt;"Done"),"Processing",AND($G171="Processing",$E171&lt;&gt;"Done"),"Blocked",$E171="Blocked","Waiting",$E171="Waiting","Recently Updated",AND($L171&lt;&gt;"",$L171&gt;=TODAY()-7),TRUE))</f>
        <v/>
      </c>
    </row>
    <row r="172">
      <c r="A172" s="19" t="n"/>
      <c r="B172" s="19" t="n"/>
      <c r="C172" s="19" t="n"/>
      <c r="D172" s="19" t="n"/>
      <c r="E172" s="19" t="n"/>
      <c r="F172" s="19" t="n"/>
      <c r="G172" s="19" t="n"/>
      <c r="H172" s="19" t="n"/>
      <c r="I172" s="19" t="n"/>
      <c r="J172" s="19" t="n"/>
      <c r="K172" s="19" t="n"/>
      <c r="L172" s="35" t="n"/>
      <c r="M172" s="5">
        <f>IF($D172="","",IFERROR(VLOOKUP($H172,Lists!$N$2:$O$6,2,FALSE),0))</f>
        <v/>
      </c>
      <c r="N172" s="5">
        <f>IF($D172="","",IF(OR($E172="Blocked",$E172="Done",$E172="Archive"),-9999,IF(AND($E172="Waiting",SUMPRODUCT((($E$5:$E$200="Next")+($E$5:$E$200="In Progress")+($E$5:$E$200="Captured"))*($D$5:$D$200&lt;&gt;""))&gt;0),-500,VLOOKUP($F172,Lists!$L$2:$M$4,2,FALSE)+IF($E172="In Progress",10,0)+IF(AND($I172&lt;&gt;"",$I172&lt;TODAY()),25,0)+IF(AND($I172&lt;&gt;"",$I172&gt;=TODAY(),$I172&lt;=TODAY()+7),15,0)+IF($M172&lt;=VLOOKUP(Home!$C$7,Lists!$N$2:$O$6,2,FALSE),20,-10)+IF($G172=Home!$E$7,15,IF(Home!$E$7="",0,-5))-ROW()/100000)))</f>
        <v/>
      </c>
      <c r="O172" s="5">
        <f>IF($D172="","",IF($N172&lt;=-500,"Not recommended right now",TEXTJOIN(" • ",TRUE,IF($F172="High","High Priority",""),IF(AND($I172&lt;&gt;"",$I172&lt;TODAY()),"Overdue",""),IF(AND($I172&lt;&gt;"",$I172&gt;=TODAY(),$I172&lt;=TODAY()+7),"Due This Week",""),IF($M172&lt;=VLOOKUP(Home!$C$7,Lists!$N$2:$O$6,2,FALSE),$H172&amp;" Task",""),IF($G172=Home!$E$7,"Fits Current Energy",""),"No Blockers")))</f>
        <v/>
      </c>
      <c r="P172" s="5">
        <f>IF($D172="","",SWITCH('Task Finder'!$C$6,"High Priority",AND($F172="High",$E172&lt;&gt;"Done",$E172&lt;&gt;"Archive"),"Due This Week",AND($I172&lt;&gt;"",$I172&gt;=TODAY(),$I172&lt;=TODAY()+7,$E172&lt;&gt;"Done"),"Quick Wins (15 mins or less)",AND($M172&lt;=15,$E172&lt;&gt;"Done",$E172&lt;&gt;"Blocked"),"Deep Thinking",AND($G172="Deep Thinking",$E172&lt;&gt;"Done"),"Processing",AND($G172="Processing",$E172&lt;&gt;"Done"),"Blocked",$E172="Blocked","Waiting",$E172="Waiting","Recently Updated",AND($L172&lt;&gt;"",$L172&gt;=TODAY()-7),TRUE))</f>
        <v/>
      </c>
    </row>
    <row r="173">
      <c r="A173" s="19" t="n"/>
      <c r="B173" s="19" t="n"/>
      <c r="C173" s="19" t="n"/>
      <c r="D173" s="19" t="n"/>
      <c r="E173" s="19" t="n"/>
      <c r="F173" s="19" t="n"/>
      <c r="G173" s="19" t="n"/>
      <c r="H173" s="19" t="n"/>
      <c r="I173" s="19" t="n"/>
      <c r="J173" s="19" t="n"/>
      <c r="K173" s="19" t="n"/>
      <c r="L173" s="35" t="n"/>
      <c r="M173" s="5">
        <f>IF($D173="","",IFERROR(VLOOKUP($H173,Lists!$N$2:$O$6,2,FALSE),0))</f>
        <v/>
      </c>
      <c r="N173" s="5">
        <f>IF($D173="","",IF(OR($E173="Blocked",$E173="Done",$E173="Archive"),-9999,IF(AND($E173="Waiting",SUMPRODUCT((($E$5:$E$200="Next")+($E$5:$E$200="In Progress")+($E$5:$E$200="Captured"))*($D$5:$D$200&lt;&gt;""))&gt;0),-500,VLOOKUP($F173,Lists!$L$2:$M$4,2,FALSE)+IF($E173="In Progress",10,0)+IF(AND($I173&lt;&gt;"",$I173&lt;TODAY()),25,0)+IF(AND($I173&lt;&gt;"",$I173&gt;=TODAY(),$I173&lt;=TODAY()+7),15,0)+IF($M173&lt;=VLOOKUP(Home!$C$7,Lists!$N$2:$O$6,2,FALSE),20,-10)+IF($G173=Home!$E$7,15,IF(Home!$E$7="",0,-5))-ROW()/100000)))</f>
        <v/>
      </c>
      <c r="O173" s="5">
        <f>IF($D173="","",IF($N173&lt;=-500,"Not recommended right now",TEXTJOIN(" • ",TRUE,IF($F173="High","High Priority",""),IF(AND($I173&lt;&gt;"",$I173&lt;TODAY()),"Overdue",""),IF(AND($I173&lt;&gt;"",$I173&gt;=TODAY(),$I173&lt;=TODAY()+7),"Due This Week",""),IF($M173&lt;=VLOOKUP(Home!$C$7,Lists!$N$2:$O$6,2,FALSE),$H173&amp;" Task",""),IF($G173=Home!$E$7,"Fits Current Energy",""),"No Blockers")))</f>
        <v/>
      </c>
      <c r="P173" s="5">
        <f>IF($D173="","",SWITCH('Task Finder'!$C$6,"High Priority",AND($F173="High",$E173&lt;&gt;"Done",$E173&lt;&gt;"Archive"),"Due This Week",AND($I173&lt;&gt;"",$I173&gt;=TODAY(),$I173&lt;=TODAY()+7,$E173&lt;&gt;"Done"),"Quick Wins (15 mins or less)",AND($M173&lt;=15,$E173&lt;&gt;"Done",$E173&lt;&gt;"Blocked"),"Deep Thinking",AND($G173="Deep Thinking",$E173&lt;&gt;"Done"),"Processing",AND($G173="Processing",$E173&lt;&gt;"Done"),"Blocked",$E173="Blocked","Waiting",$E173="Waiting","Recently Updated",AND($L173&lt;&gt;"",$L173&gt;=TODAY()-7),TRUE))</f>
        <v/>
      </c>
    </row>
    <row r="174">
      <c r="A174" s="19" t="n"/>
      <c r="B174" s="19" t="n"/>
      <c r="C174" s="19" t="n"/>
      <c r="D174" s="19" t="n"/>
      <c r="E174" s="19" t="n"/>
      <c r="F174" s="19" t="n"/>
      <c r="G174" s="19" t="n"/>
      <c r="H174" s="19" t="n"/>
      <c r="I174" s="19" t="n"/>
      <c r="J174" s="19" t="n"/>
      <c r="K174" s="19" t="n"/>
      <c r="L174" s="35" t="n"/>
      <c r="M174" s="5">
        <f>IF($D174="","",IFERROR(VLOOKUP($H174,Lists!$N$2:$O$6,2,FALSE),0))</f>
        <v/>
      </c>
      <c r="N174" s="5">
        <f>IF($D174="","",IF(OR($E174="Blocked",$E174="Done",$E174="Archive"),-9999,IF(AND($E174="Waiting",SUMPRODUCT((($E$5:$E$200="Next")+($E$5:$E$200="In Progress")+($E$5:$E$200="Captured"))*($D$5:$D$200&lt;&gt;""))&gt;0),-500,VLOOKUP($F174,Lists!$L$2:$M$4,2,FALSE)+IF($E174="In Progress",10,0)+IF(AND($I174&lt;&gt;"",$I174&lt;TODAY()),25,0)+IF(AND($I174&lt;&gt;"",$I174&gt;=TODAY(),$I174&lt;=TODAY()+7),15,0)+IF($M174&lt;=VLOOKUP(Home!$C$7,Lists!$N$2:$O$6,2,FALSE),20,-10)+IF($G174=Home!$E$7,15,IF(Home!$E$7="",0,-5))-ROW()/100000)))</f>
        <v/>
      </c>
      <c r="O174" s="5">
        <f>IF($D174="","",IF($N174&lt;=-500,"Not recommended right now",TEXTJOIN(" • ",TRUE,IF($F174="High","High Priority",""),IF(AND($I174&lt;&gt;"",$I174&lt;TODAY()),"Overdue",""),IF(AND($I174&lt;&gt;"",$I174&gt;=TODAY(),$I174&lt;=TODAY()+7),"Due This Week",""),IF($M174&lt;=VLOOKUP(Home!$C$7,Lists!$N$2:$O$6,2,FALSE),$H174&amp;" Task",""),IF($G174=Home!$E$7,"Fits Current Energy",""),"No Blockers")))</f>
        <v/>
      </c>
      <c r="P174" s="5">
        <f>IF($D174="","",SWITCH('Task Finder'!$C$6,"High Priority",AND($F174="High",$E174&lt;&gt;"Done",$E174&lt;&gt;"Archive"),"Due This Week",AND($I174&lt;&gt;"",$I174&gt;=TODAY(),$I174&lt;=TODAY()+7,$E174&lt;&gt;"Done"),"Quick Wins (15 mins or less)",AND($M174&lt;=15,$E174&lt;&gt;"Done",$E174&lt;&gt;"Blocked"),"Deep Thinking",AND($G174="Deep Thinking",$E174&lt;&gt;"Done"),"Processing",AND($G174="Processing",$E174&lt;&gt;"Done"),"Blocked",$E174="Blocked","Waiting",$E174="Waiting","Recently Updated",AND($L174&lt;&gt;"",$L174&gt;=TODAY()-7),TRUE))</f>
        <v/>
      </c>
    </row>
    <row r="175">
      <c r="A175" s="19" t="n"/>
      <c r="B175" s="19" t="n"/>
      <c r="C175" s="19" t="n"/>
      <c r="D175" s="19" t="n"/>
      <c r="E175" s="19" t="n"/>
      <c r="F175" s="19" t="n"/>
      <c r="G175" s="19" t="n"/>
      <c r="H175" s="19" t="n"/>
      <c r="I175" s="19" t="n"/>
      <c r="J175" s="19" t="n"/>
      <c r="K175" s="19" t="n"/>
      <c r="L175" s="35" t="n"/>
      <c r="M175" s="5">
        <f>IF($D175="","",IFERROR(VLOOKUP($H175,Lists!$N$2:$O$6,2,FALSE),0))</f>
        <v/>
      </c>
      <c r="N175" s="5">
        <f>IF($D175="","",IF(OR($E175="Blocked",$E175="Done",$E175="Archive"),-9999,IF(AND($E175="Waiting",SUMPRODUCT((($E$5:$E$200="Next")+($E$5:$E$200="In Progress")+($E$5:$E$200="Captured"))*($D$5:$D$200&lt;&gt;""))&gt;0),-500,VLOOKUP($F175,Lists!$L$2:$M$4,2,FALSE)+IF($E175="In Progress",10,0)+IF(AND($I175&lt;&gt;"",$I175&lt;TODAY()),25,0)+IF(AND($I175&lt;&gt;"",$I175&gt;=TODAY(),$I175&lt;=TODAY()+7),15,0)+IF($M175&lt;=VLOOKUP(Home!$C$7,Lists!$N$2:$O$6,2,FALSE),20,-10)+IF($G175=Home!$E$7,15,IF(Home!$E$7="",0,-5))-ROW()/100000)))</f>
        <v/>
      </c>
      <c r="O175" s="5">
        <f>IF($D175="","",IF($N175&lt;=-500,"Not recommended right now",TEXTJOIN(" • ",TRUE,IF($F175="High","High Priority",""),IF(AND($I175&lt;&gt;"",$I175&lt;TODAY()),"Overdue",""),IF(AND($I175&lt;&gt;"",$I175&gt;=TODAY(),$I175&lt;=TODAY()+7),"Due This Week",""),IF($M175&lt;=VLOOKUP(Home!$C$7,Lists!$N$2:$O$6,2,FALSE),$H175&amp;" Task",""),IF($G175=Home!$E$7,"Fits Current Energy",""),"No Blockers")))</f>
        <v/>
      </c>
      <c r="P175" s="5">
        <f>IF($D175="","",SWITCH('Task Finder'!$C$6,"High Priority",AND($F175="High",$E175&lt;&gt;"Done",$E175&lt;&gt;"Archive"),"Due This Week",AND($I175&lt;&gt;"",$I175&gt;=TODAY(),$I175&lt;=TODAY()+7,$E175&lt;&gt;"Done"),"Quick Wins (15 mins or less)",AND($M175&lt;=15,$E175&lt;&gt;"Done",$E175&lt;&gt;"Blocked"),"Deep Thinking",AND($G175="Deep Thinking",$E175&lt;&gt;"Done"),"Processing",AND($G175="Processing",$E175&lt;&gt;"Done"),"Blocked",$E175="Blocked","Waiting",$E175="Waiting","Recently Updated",AND($L175&lt;&gt;"",$L175&gt;=TODAY()-7),TRUE))</f>
        <v/>
      </c>
    </row>
    <row r="176">
      <c r="A176" s="19" t="n"/>
      <c r="B176" s="19" t="n"/>
      <c r="C176" s="19" t="n"/>
      <c r="D176" s="19" t="n"/>
      <c r="E176" s="19" t="n"/>
      <c r="F176" s="19" t="n"/>
      <c r="G176" s="19" t="n"/>
      <c r="H176" s="19" t="n"/>
      <c r="I176" s="19" t="n"/>
      <c r="J176" s="19" t="n"/>
      <c r="K176" s="19" t="n"/>
      <c r="L176" s="35" t="n"/>
      <c r="M176" s="5">
        <f>IF($D176="","",IFERROR(VLOOKUP($H176,Lists!$N$2:$O$6,2,FALSE),0))</f>
        <v/>
      </c>
      <c r="N176" s="5">
        <f>IF($D176="","",IF(OR($E176="Blocked",$E176="Done",$E176="Archive"),-9999,IF(AND($E176="Waiting",SUMPRODUCT((($E$5:$E$200="Next")+($E$5:$E$200="In Progress")+($E$5:$E$200="Captured"))*($D$5:$D$200&lt;&gt;""))&gt;0),-500,VLOOKUP($F176,Lists!$L$2:$M$4,2,FALSE)+IF($E176="In Progress",10,0)+IF(AND($I176&lt;&gt;"",$I176&lt;TODAY()),25,0)+IF(AND($I176&lt;&gt;"",$I176&gt;=TODAY(),$I176&lt;=TODAY()+7),15,0)+IF($M176&lt;=VLOOKUP(Home!$C$7,Lists!$N$2:$O$6,2,FALSE),20,-10)+IF($G176=Home!$E$7,15,IF(Home!$E$7="",0,-5))-ROW()/100000)))</f>
        <v/>
      </c>
      <c r="O176" s="5">
        <f>IF($D176="","",IF($N176&lt;=-500,"Not recommended right now",TEXTJOIN(" • ",TRUE,IF($F176="High","High Priority",""),IF(AND($I176&lt;&gt;"",$I176&lt;TODAY()),"Overdue",""),IF(AND($I176&lt;&gt;"",$I176&gt;=TODAY(),$I176&lt;=TODAY()+7),"Due This Week",""),IF($M176&lt;=VLOOKUP(Home!$C$7,Lists!$N$2:$O$6,2,FALSE),$H176&amp;" Task",""),IF($G176=Home!$E$7,"Fits Current Energy",""),"No Blockers")))</f>
        <v/>
      </c>
      <c r="P176" s="5">
        <f>IF($D176="","",SWITCH('Task Finder'!$C$6,"High Priority",AND($F176="High",$E176&lt;&gt;"Done",$E176&lt;&gt;"Archive"),"Due This Week",AND($I176&lt;&gt;"",$I176&gt;=TODAY(),$I176&lt;=TODAY()+7,$E176&lt;&gt;"Done"),"Quick Wins (15 mins or less)",AND($M176&lt;=15,$E176&lt;&gt;"Done",$E176&lt;&gt;"Blocked"),"Deep Thinking",AND($G176="Deep Thinking",$E176&lt;&gt;"Done"),"Processing",AND($G176="Processing",$E176&lt;&gt;"Done"),"Blocked",$E176="Blocked","Waiting",$E176="Waiting","Recently Updated",AND($L176&lt;&gt;"",$L176&gt;=TODAY()-7),TRUE))</f>
        <v/>
      </c>
    </row>
    <row r="177">
      <c r="A177" s="19" t="n"/>
      <c r="B177" s="19" t="n"/>
      <c r="C177" s="19" t="n"/>
      <c r="D177" s="19" t="n"/>
      <c r="E177" s="19" t="n"/>
      <c r="F177" s="19" t="n"/>
      <c r="G177" s="19" t="n"/>
      <c r="H177" s="19" t="n"/>
      <c r="I177" s="19" t="n"/>
      <c r="J177" s="19" t="n"/>
      <c r="K177" s="19" t="n"/>
      <c r="L177" s="35" t="n"/>
      <c r="M177" s="5">
        <f>IF($D177="","",IFERROR(VLOOKUP($H177,Lists!$N$2:$O$6,2,FALSE),0))</f>
        <v/>
      </c>
      <c r="N177" s="5">
        <f>IF($D177="","",IF(OR($E177="Blocked",$E177="Done",$E177="Archive"),-9999,IF(AND($E177="Waiting",SUMPRODUCT((($E$5:$E$200="Next")+($E$5:$E$200="In Progress")+($E$5:$E$200="Captured"))*($D$5:$D$200&lt;&gt;""))&gt;0),-500,VLOOKUP($F177,Lists!$L$2:$M$4,2,FALSE)+IF($E177="In Progress",10,0)+IF(AND($I177&lt;&gt;"",$I177&lt;TODAY()),25,0)+IF(AND($I177&lt;&gt;"",$I177&gt;=TODAY(),$I177&lt;=TODAY()+7),15,0)+IF($M177&lt;=VLOOKUP(Home!$C$7,Lists!$N$2:$O$6,2,FALSE),20,-10)+IF($G177=Home!$E$7,15,IF(Home!$E$7="",0,-5))-ROW()/100000)))</f>
        <v/>
      </c>
      <c r="O177" s="5">
        <f>IF($D177="","",IF($N177&lt;=-500,"Not recommended right now",TEXTJOIN(" • ",TRUE,IF($F177="High","High Priority",""),IF(AND($I177&lt;&gt;"",$I177&lt;TODAY()),"Overdue",""),IF(AND($I177&lt;&gt;"",$I177&gt;=TODAY(),$I177&lt;=TODAY()+7),"Due This Week",""),IF($M177&lt;=VLOOKUP(Home!$C$7,Lists!$N$2:$O$6,2,FALSE),$H177&amp;" Task",""),IF($G177=Home!$E$7,"Fits Current Energy",""),"No Blockers")))</f>
        <v/>
      </c>
      <c r="P177" s="5">
        <f>IF($D177="","",SWITCH('Task Finder'!$C$6,"High Priority",AND($F177="High",$E177&lt;&gt;"Done",$E177&lt;&gt;"Archive"),"Due This Week",AND($I177&lt;&gt;"",$I177&gt;=TODAY(),$I177&lt;=TODAY()+7,$E177&lt;&gt;"Done"),"Quick Wins (15 mins or less)",AND($M177&lt;=15,$E177&lt;&gt;"Done",$E177&lt;&gt;"Blocked"),"Deep Thinking",AND($G177="Deep Thinking",$E177&lt;&gt;"Done"),"Processing",AND($G177="Processing",$E177&lt;&gt;"Done"),"Blocked",$E177="Blocked","Waiting",$E177="Waiting","Recently Updated",AND($L177&lt;&gt;"",$L177&gt;=TODAY()-7),TRUE))</f>
        <v/>
      </c>
    </row>
    <row r="178">
      <c r="A178" s="19" t="n"/>
      <c r="B178" s="19" t="n"/>
      <c r="C178" s="19" t="n"/>
      <c r="D178" s="19" t="n"/>
      <c r="E178" s="19" t="n"/>
      <c r="F178" s="19" t="n"/>
      <c r="G178" s="19" t="n"/>
      <c r="H178" s="19" t="n"/>
      <c r="I178" s="19" t="n"/>
      <c r="J178" s="19" t="n"/>
      <c r="K178" s="19" t="n"/>
      <c r="L178" s="35" t="n"/>
      <c r="M178" s="5">
        <f>IF($D178="","",IFERROR(VLOOKUP($H178,Lists!$N$2:$O$6,2,FALSE),0))</f>
        <v/>
      </c>
      <c r="N178" s="5">
        <f>IF($D178="","",IF(OR($E178="Blocked",$E178="Done",$E178="Archive"),-9999,IF(AND($E178="Waiting",SUMPRODUCT((($E$5:$E$200="Next")+($E$5:$E$200="In Progress")+($E$5:$E$200="Captured"))*($D$5:$D$200&lt;&gt;""))&gt;0),-500,VLOOKUP($F178,Lists!$L$2:$M$4,2,FALSE)+IF($E178="In Progress",10,0)+IF(AND($I178&lt;&gt;"",$I178&lt;TODAY()),25,0)+IF(AND($I178&lt;&gt;"",$I178&gt;=TODAY(),$I178&lt;=TODAY()+7),15,0)+IF($M178&lt;=VLOOKUP(Home!$C$7,Lists!$N$2:$O$6,2,FALSE),20,-10)+IF($G178=Home!$E$7,15,IF(Home!$E$7="",0,-5))-ROW()/100000)))</f>
        <v/>
      </c>
      <c r="O178" s="5">
        <f>IF($D178="","",IF($N178&lt;=-500,"Not recommended right now",TEXTJOIN(" • ",TRUE,IF($F178="High","High Priority",""),IF(AND($I178&lt;&gt;"",$I178&lt;TODAY()),"Overdue",""),IF(AND($I178&lt;&gt;"",$I178&gt;=TODAY(),$I178&lt;=TODAY()+7),"Due This Week",""),IF($M178&lt;=VLOOKUP(Home!$C$7,Lists!$N$2:$O$6,2,FALSE),$H178&amp;" Task",""),IF($G178=Home!$E$7,"Fits Current Energy",""),"No Blockers")))</f>
        <v/>
      </c>
      <c r="P178" s="5">
        <f>IF($D178="","",SWITCH('Task Finder'!$C$6,"High Priority",AND($F178="High",$E178&lt;&gt;"Done",$E178&lt;&gt;"Archive"),"Due This Week",AND($I178&lt;&gt;"",$I178&gt;=TODAY(),$I178&lt;=TODAY()+7,$E178&lt;&gt;"Done"),"Quick Wins (15 mins or less)",AND($M178&lt;=15,$E178&lt;&gt;"Done",$E178&lt;&gt;"Blocked"),"Deep Thinking",AND($G178="Deep Thinking",$E178&lt;&gt;"Done"),"Processing",AND($G178="Processing",$E178&lt;&gt;"Done"),"Blocked",$E178="Blocked","Waiting",$E178="Waiting","Recently Updated",AND($L178&lt;&gt;"",$L178&gt;=TODAY()-7),TRUE))</f>
        <v/>
      </c>
    </row>
    <row r="179">
      <c r="A179" s="19" t="n"/>
      <c r="B179" s="19" t="n"/>
      <c r="C179" s="19" t="n"/>
      <c r="D179" s="19" t="n"/>
      <c r="E179" s="19" t="n"/>
      <c r="F179" s="19" t="n"/>
      <c r="G179" s="19" t="n"/>
      <c r="H179" s="19" t="n"/>
      <c r="I179" s="19" t="n"/>
      <c r="J179" s="19" t="n"/>
      <c r="K179" s="19" t="n"/>
      <c r="L179" s="35" t="n"/>
      <c r="M179" s="5">
        <f>IF($D179="","",IFERROR(VLOOKUP($H179,Lists!$N$2:$O$6,2,FALSE),0))</f>
        <v/>
      </c>
      <c r="N179" s="5">
        <f>IF($D179="","",IF(OR($E179="Blocked",$E179="Done",$E179="Archive"),-9999,IF(AND($E179="Waiting",SUMPRODUCT((($E$5:$E$200="Next")+($E$5:$E$200="In Progress")+($E$5:$E$200="Captured"))*($D$5:$D$200&lt;&gt;""))&gt;0),-500,VLOOKUP($F179,Lists!$L$2:$M$4,2,FALSE)+IF($E179="In Progress",10,0)+IF(AND($I179&lt;&gt;"",$I179&lt;TODAY()),25,0)+IF(AND($I179&lt;&gt;"",$I179&gt;=TODAY(),$I179&lt;=TODAY()+7),15,0)+IF($M179&lt;=VLOOKUP(Home!$C$7,Lists!$N$2:$O$6,2,FALSE),20,-10)+IF($G179=Home!$E$7,15,IF(Home!$E$7="",0,-5))-ROW()/100000)))</f>
        <v/>
      </c>
      <c r="O179" s="5">
        <f>IF($D179="","",IF($N179&lt;=-500,"Not recommended right now",TEXTJOIN(" • ",TRUE,IF($F179="High","High Priority",""),IF(AND($I179&lt;&gt;"",$I179&lt;TODAY()),"Overdue",""),IF(AND($I179&lt;&gt;"",$I179&gt;=TODAY(),$I179&lt;=TODAY()+7),"Due This Week",""),IF($M179&lt;=VLOOKUP(Home!$C$7,Lists!$N$2:$O$6,2,FALSE),$H179&amp;" Task",""),IF($G179=Home!$E$7,"Fits Current Energy",""),"No Blockers")))</f>
        <v/>
      </c>
      <c r="P179" s="5">
        <f>IF($D179="","",SWITCH('Task Finder'!$C$6,"High Priority",AND($F179="High",$E179&lt;&gt;"Done",$E179&lt;&gt;"Archive"),"Due This Week",AND($I179&lt;&gt;"",$I179&gt;=TODAY(),$I179&lt;=TODAY()+7,$E179&lt;&gt;"Done"),"Quick Wins (15 mins or less)",AND($M179&lt;=15,$E179&lt;&gt;"Done",$E179&lt;&gt;"Blocked"),"Deep Thinking",AND($G179="Deep Thinking",$E179&lt;&gt;"Done"),"Processing",AND($G179="Processing",$E179&lt;&gt;"Done"),"Blocked",$E179="Blocked","Waiting",$E179="Waiting","Recently Updated",AND($L179&lt;&gt;"",$L179&gt;=TODAY()-7),TRUE))</f>
        <v/>
      </c>
    </row>
    <row r="180">
      <c r="A180" s="19" t="n"/>
      <c r="B180" s="19" t="n"/>
      <c r="C180" s="19" t="n"/>
      <c r="D180" s="19" t="n"/>
      <c r="E180" s="19" t="n"/>
      <c r="F180" s="19" t="n"/>
      <c r="G180" s="19" t="n"/>
      <c r="H180" s="19" t="n"/>
      <c r="I180" s="19" t="n"/>
      <c r="J180" s="19" t="n"/>
      <c r="K180" s="19" t="n"/>
      <c r="L180" s="35" t="n"/>
      <c r="M180" s="5">
        <f>IF($D180="","",IFERROR(VLOOKUP($H180,Lists!$N$2:$O$6,2,FALSE),0))</f>
        <v/>
      </c>
      <c r="N180" s="5">
        <f>IF($D180="","",IF(OR($E180="Blocked",$E180="Done",$E180="Archive"),-9999,IF(AND($E180="Waiting",SUMPRODUCT((($E$5:$E$200="Next")+($E$5:$E$200="In Progress")+($E$5:$E$200="Captured"))*($D$5:$D$200&lt;&gt;""))&gt;0),-500,VLOOKUP($F180,Lists!$L$2:$M$4,2,FALSE)+IF($E180="In Progress",10,0)+IF(AND($I180&lt;&gt;"",$I180&lt;TODAY()),25,0)+IF(AND($I180&lt;&gt;"",$I180&gt;=TODAY(),$I180&lt;=TODAY()+7),15,0)+IF($M180&lt;=VLOOKUP(Home!$C$7,Lists!$N$2:$O$6,2,FALSE),20,-10)+IF($G180=Home!$E$7,15,IF(Home!$E$7="",0,-5))-ROW()/100000)))</f>
        <v/>
      </c>
      <c r="O180" s="5">
        <f>IF($D180="","",IF($N180&lt;=-500,"Not recommended right now",TEXTJOIN(" • ",TRUE,IF($F180="High","High Priority",""),IF(AND($I180&lt;&gt;"",$I180&lt;TODAY()),"Overdue",""),IF(AND($I180&lt;&gt;"",$I180&gt;=TODAY(),$I180&lt;=TODAY()+7),"Due This Week",""),IF($M180&lt;=VLOOKUP(Home!$C$7,Lists!$N$2:$O$6,2,FALSE),$H180&amp;" Task",""),IF($G180=Home!$E$7,"Fits Current Energy",""),"No Blockers")))</f>
        <v/>
      </c>
      <c r="P180" s="5">
        <f>IF($D180="","",SWITCH('Task Finder'!$C$6,"High Priority",AND($F180="High",$E180&lt;&gt;"Done",$E180&lt;&gt;"Archive"),"Due This Week",AND($I180&lt;&gt;"",$I180&gt;=TODAY(),$I180&lt;=TODAY()+7,$E180&lt;&gt;"Done"),"Quick Wins (15 mins or less)",AND($M180&lt;=15,$E180&lt;&gt;"Done",$E180&lt;&gt;"Blocked"),"Deep Thinking",AND($G180="Deep Thinking",$E180&lt;&gt;"Done"),"Processing",AND($G180="Processing",$E180&lt;&gt;"Done"),"Blocked",$E180="Blocked","Waiting",$E180="Waiting","Recently Updated",AND($L180&lt;&gt;"",$L180&gt;=TODAY()-7),TRUE))</f>
        <v/>
      </c>
    </row>
    <row r="181">
      <c r="A181" s="19" t="n"/>
      <c r="B181" s="19" t="n"/>
      <c r="C181" s="19" t="n"/>
      <c r="D181" s="19" t="n"/>
      <c r="E181" s="19" t="n"/>
      <c r="F181" s="19" t="n"/>
      <c r="G181" s="19" t="n"/>
      <c r="H181" s="19" t="n"/>
      <c r="I181" s="19" t="n"/>
      <c r="J181" s="19" t="n"/>
      <c r="K181" s="19" t="n"/>
      <c r="L181" s="35" t="n"/>
      <c r="M181" s="5">
        <f>IF($D181="","",IFERROR(VLOOKUP($H181,Lists!$N$2:$O$6,2,FALSE),0))</f>
        <v/>
      </c>
      <c r="N181" s="5">
        <f>IF($D181="","",IF(OR($E181="Blocked",$E181="Done",$E181="Archive"),-9999,IF(AND($E181="Waiting",SUMPRODUCT((($E$5:$E$200="Next")+($E$5:$E$200="In Progress")+($E$5:$E$200="Captured"))*($D$5:$D$200&lt;&gt;""))&gt;0),-500,VLOOKUP($F181,Lists!$L$2:$M$4,2,FALSE)+IF($E181="In Progress",10,0)+IF(AND($I181&lt;&gt;"",$I181&lt;TODAY()),25,0)+IF(AND($I181&lt;&gt;"",$I181&gt;=TODAY(),$I181&lt;=TODAY()+7),15,0)+IF($M181&lt;=VLOOKUP(Home!$C$7,Lists!$N$2:$O$6,2,FALSE),20,-10)+IF($G181=Home!$E$7,15,IF(Home!$E$7="",0,-5))-ROW()/100000)))</f>
        <v/>
      </c>
      <c r="O181" s="5">
        <f>IF($D181="","",IF($N181&lt;=-500,"Not recommended right now",TEXTJOIN(" • ",TRUE,IF($F181="High","High Priority",""),IF(AND($I181&lt;&gt;"",$I181&lt;TODAY()),"Overdue",""),IF(AND($I181&lt;&gt;"",$I181&gt;=TODAY(),$I181&lt;=TODAY()+7),"Due This Week",""),IF($M181&lt;=VLOOKUP(Home!$C$7,Lists!$N$2:$O$6,2,FALSE),$H181&amp;" Task",""),IF($G181=Home!$E$7,"Fits Current Energy",""),"No Blockers")))</f>
        <v/>
      </c>
      <c r="P181" s="5">
        <f>IF($D181="","",SWITCH('Task Finder'!$C$6,"High Priority",AND($F181="High",$E181&lt;&gt;"Done",$E181&lt;&gt;"Archive"),"Due This Week",AND($I181&lt;&gt;"",$I181&gt;=TODAY(),$I181&lt;=TODAY()+7,$E181&lt;&gt;"Done"),"Quick Wins (15 mins or less)",AND($M181&lt;=15,$E181&lt;&gt;"Done",$E181&lt;&gt;"Blocked"),"Deep Thinking",AND($G181="Deep Thinking",$E181&lt;&gt;"Done"),"Processing",AND($G181="Processing",$E181&lt;&gt;"Done"),"Blocked",$E181="Blocked","Waiting",$E181="Waiting","Recently Updated",AND($L181&lt;&gt;"",$L181&gt;=TODAY()-7),TRUE))</f>
        <v/>
      </c>
    </row>
    <row r="182">
      <c r="A182" s="19" t="n"/>
      <c r="B182" s="19" t="n"/>
      <c r="C182" s="19" t="n"/>
      <c r="D182" s="19" t="n"/>
      <c r="E182" s="19" t="n"/>
      <c r="F182" s="19" t="n"/>
      <c r="G182" s="19" t="n"/>
      <c r="H182" s="19" t="n"/>
      <c r="I182" s="19" t="n"/>
      <c r="J182" s="19" t="n"/>
      <c r="K182" s="19" t="n"/>
      <c r="L182" s="35" t="n"/>
      <c r="M182" s="5">
        <f>IF($D182="","",IFERROR(VLOOKUP($H182,Lists!$N$2:$O$6,2,FALSE),0))</f>
        <v/>
      </c>
      <c r="N182" s="5">
        <f>IF($D182="","",IF(OR($E182="Blocked",$E182="Done",$E182="Archive"),-9999,IF(AND($E182="Waiting",SUMPRODUCT((($E$5:$E$200="Next")+($E$5:$E$200="In Progress")+($E$5:$E$200="Captured"))*($D$5:$D$200&lt;&gt;""))&gt;0),-500,VLOOKUP($F182,Lists!$L$2:$M$4,2,FALSE)+IF($E182="In Progress",10,0)+IF(AND($I182&lt;&gt;"",$I182&lt;TODAY()),25,0)+IF(AND($I182&lt;&gt;"",$I182&gt;=TODAY(),$I182&lt;=TODAY()+7),15,0)+IF($M182&lt;=VLOOKUP(Home!$C$7,Lists!$N$2:$O$6,2,FALSE),20,-10)+IF($G182=Home!$E$7,15,IF(Home!$E$7="",0,-5))-ROW()/100000)))</f>
        <v/>
      </c>
      <c r="O182" s="5">
        <f>IF($D182="","",IF($N182&lt;=-500,"Not recommended right now",TEXTJOIN(" • ",TRUE,IF($F182="High","High Priority",""),IF(AND($I182&lt;&gt;"",$I182&lt;TODAY()),"Overdue",""),IF(AND($I182&lt;&gt;"",$I182&gt;=TODAY(),$I182&lt;=TODAY()+7),"Due This Week",""),IF($M182&lt;=VLOOKUP(Home!$C$7,Lists!$N$2:$O$6,2,FALSE),$H182&amp;" Task",""),IF($G182=Home!$E$7,"Fits Current Energy",""),"No Blockers")))</f>
        <v/>
      </c>
      <c r="P182" s="5">
        <f>IF($D182="","",SWITCH('Task Finder'!$C$6,"High Priority",AND($F182="High",$E182&lt;&gt;"Done",$E182&lt;&gt;"Archive"),"Due This Week",AND($I182&lt;&gt;"",$I182&gt;=TODAY(),$I182&lt;=TODAY()+7,$E182&lt;&gt;"Done"),"Quick Wins (15 mins or less)",AND($M182&lt;=15,$E182&lt;&gt;"Done",$E182&lt;&gt;"Blocked"),"Deep Thinking",AND($G182="Deep Thinking",$E182&lt;&gt;"Done"),"Processing",AND($G182="Processing",$E182&lt;&gt;"Done"),"Blocked",$E182="Blocked","Waiting",$E182="Waiting","Recently Updated",AND($L182&lt;&gt;"",$L182&gt;=TODAY()-7),TRUE))</f>
        <v/>
      </c>
    </row>
    <row r="183">
      <c r="A183" s="19" t="n"/>
      <c r="B183" s="19" t="n"/>
      <c r="C183" s="19" t="n"/>
      <c r="D183" s="19" t="n"/>
      <c r="E183" s="19" t="n"/>
      <c r="F183" s="19" t="n"/>
      <c r="G183" s="19" t="n"/>
      <c r="H183" s="19" t="n"/>
      <c r="I183" s="19" t="n"/>
      <c r="J183" s="19" t="n"/>
      <c r="K183" s="19" t="n"/>
      <c r="L183" s="35" t="n"/>
      <c r="M183" s="5">
        <f>IF($D183="","",IFERROR(VLOOKUP($H183,Lists!$N$2:$O$6,2,FALSE),0))</f>
        <v/>
      </c>
      <c r="N183" s="5">
        <f>IF($D183="","",IF(OR($E183="Blocked",$E183="Done",$E183="Archive"),-9999,IF(AND($E183="Waiting",SUMPRODUCT((($E$5:$E$200="Next")+($E$5:$E$200="In Progress")+($E$5:$E$200="Captured"))*($D$5:$D$200&lt;&gt;""))&gt;0),-500,VLOOKUP($F183,Lists!$L$2:$M$4,2,FALSE)+IF($E183="In Progress",10,0)+IF(AND($I183&lt;&gt;"",$I183&lt;TODAY()),25,0)+IF(AND($I183&lt;&gt;"",$I183&gt;=TODAY(),$I183&lt;=TODAY()+7),15,0)+IF($M183&lt;=VLOOKUP(Home!$C$7,Lists!$N$2:$O$6,2,FALSE),20,-10)+IF($G183=Home!$E$7,15,IF(Home!$E$7="",0,-5))-ROW()/100000)))</f>
        <v/>
      </c>
      <c r="O183" s="5">
        <f>IF($D183="","",IF($N183&lt;=-500,"Not recommended right now",TEXTJOIN(" • ",TRUE,IF($F183="High","High Priority",""),IF(AND($I183&lt;&gt;"",$I183&lt;TODAY()),"Overdue",""),IF(AND($I183&lt;&gt;"",$I183&gt;=TODAY(),$I183&lt;=TODAY()+7),"Due This Week",""),IF($M183&lt;=VLOOKUP(Home!$C$7,Lists!$N$2:$O$6,2,FALSE),$H183&amp;" Task",""),IF($G183=Home!$E$7,"Fits Current Energy",""),"No Blockers")))</f>
        <v/>
      </c>
      <c r="P183" s="5">
        <f>IF($D183="","",SWITCH('Task Finder'!$C$6,"High Priority",AND($F183="High",$E183&lt;&gt;"Done",$E183&lt;&gt;"Archive"),"Due This Week",AND($I183&lt;&gt;"",$I183&gt;=TODAY(),$I183&lt;=TODAY()+7,$E183&lt;&gt;"Done"),"Quick Wins (15 mins or less)",AND($M183&lt;=15,$E183&lt;&gt;"Done",$E183&lt;&gt;"Blocked"),"Deep Thinking",AND($G183="Deep Thinking",$E183&lt;&gt;"Done"),"Processing",AND($G183="Processing",$E183&lt;&gt;"Done"),"Blocked",$E183="Blocked","Waiting",$E183="Waiting","Recently Updated",AND($L183&lt;&gt;"",$L183&gt;=TODAY()-7),TRUE))</f>
        <v/>
      </c>
    </row>
    <row r="184">
      <c r="A184" s="19" t="n"/>
      <c r="B184" s="19" t="n"/>
      <c r="C184" s="19" t="n"/>
      <c r="D184" s="19" t="n"/>
      <c r="E184" s="19" t="n"/>
      <c r="F184" s="19" t="n"/>
      <c r="G184" s="19" t="n"/>
      <c r="H184" s="19" t="n"/>
      <c r="I184" s="19" t="n"/>
      <c r="J184" s="19" t="n"/>
      <c r="K184" s="19" t="n"/>
      <c r="L184" s="35" t="n"/>
      <c r="M184" s="5">
        <f>IF($D184="","",IFERROR(VLOOKUP($H184,Lists!$N$2:$O$6,2,FALSE),0))</f>
        <v/>
      </c>
      <c r="N184" s="5">
        <f>IF($D184="","",IF(OR($E184="Blocked",$E184="Done",$E184="Archive"),-9999,IF(AND($E184="Waiting",SUMPRODUCT((($E$5:$E$200="Next")+($E$5:$E$200="In Progress")+($E$5:$E$200="Captured"))*($D$5:$D$200&lt;&gt;""))&gt;0),-500,VLOOKUP($F184,Lists!$L$2:$M$4,2,FALSE)+IF($E184="In Progress",10,0)+IF(AND($I184&lt;&gt;"",$I184&lt;TODAY()),25,0)+IF(AND($I184&lt;&gt;"",$I184&gt;=TODAY(),$I184&lt;=TODAY()+7),15,0)+IF($M184&lt;=VLOOKUP(Home!$C$7,Lists!$N$2:$O$6,2,FALSE),20,-10)+IF($G184=Home!$E$7,15,IF(Home!$E$7="",0,-5))-ROW()/100000)))</f>
        <v/>
      </c>
      <c r="O184" s="5">
        <f>IF($D184="","",IF($N184&lt;=-500,"Not recommended right now",TEXTJOIN(" • ",TRUE,IF($F184="High","High Priority",""),IF(AND($I184&lt;&gt;"",$I184&lt;TODAY()),"Overdue",""),IF(AND($I184&lt;&gt;"",$I184&gt;=TODAY(),$I184&lt;=TODAY()+7),"Due This Week",""),IF($M184&lt;=VLOOKUP(Home!$C$7,Lists!$N$2:$O$6,2,FALSE),$H184&amp;" Task",""),IF($G184=Home!$E$7,"Fits Current Energy",""),"No Blockers")))</f>
        <v/>
      </c>
      <c r="P184" s="5">
        <f>IF($D184="","",SWITCH('Task Finder'!$C$6,"High Priority",AND($F184="High",$E184&lt;&gt;"Done",$E184&lt;&gt;"Archive"),"Due This Week",AND($I184&lt;&gt;"",$I184&gt;=TODAY(),$I184&lt;=TODAY()+7,$E184&lt;&gt;"Done"),"Quick Wins (15 mins or less)",AND($M184&lt;=15,$E184&lt;&gt;"Done",$E184&lt;&gt;"Blocked"),"Deep Thinking",AND($G184="Deep Thinking",$E184&lt;&gt;"Done"),"Processing",AND($G184="Processing",$E184&lt;&gt;"Done"),"Blocked",$E184="Blocked","Waiting",$E184="Waiting","Recently Updated",AND($L184&lt;&gt;"",$L184&gt;=TODAY()-7),TRUE))</f>
        <v/>
      </c>
    </row>
    <row r="185">
      <c r="A185" s="19" t="n"/>
      <c r="B185" s="19" t="n"/>
      <c r="C185" s="19" t="n"/>
      <c r="D185" s="19" t="n"/>
      <c r="E185" s="19" t="n"/>
      <c r="F185" s="19" t="n"/>
      <c r="G185" s="19" t="n"/>
      <c r="H185" s="19" t="n"/>
      <c r="I185" s="19" t="n"/>
      <c r="J185" s="19" t="n"/>
      <c r="K185" s="19" t="n"/>
      <c r="L185" s="35" t="n"/>
      <c r="M185" s="5">
        <f>IF($D185="","",IFERROR(VLOOKUP($H185,Lists!$N$2:$O$6,2,FALSE),0))</f>
        <v/>
      </c>
      <c r="N185" s="5">
        <f>IF($D185="","",IF(OR($E185="Blocked",$E185="Done",$E185="Archive"),-9999,IF(AND($E185="Waiting",SUMPRODUCT((($E$5:$E$200="Next")+($E$5:$E$200="In Progress")+($E$5:$E$200="Captured"))*($D$5:$D$200&lt;&gt;""))&gt;0),-500,VLOOKUP($F185,Lists!$L$2:$M$4,2,FALSE)+IF($E185="In Progress",10,0)+IF(AND($I185&lt;&gt;"",$I185&lt;TODAY()),25,0)+IF(AND($I185&lt;&gt;"",$I185&gt;=TODAY(),$I185&lt;=TODAY()+7),15,0)+IF($M185&lt;=VLOOKUP(Home!$C$7,Lists!$N$2:$O$6,2,FALSE),20,-10)+IF($G185=Home!$E$7,15,IF(Home!$E$7="",0,-5))-ROW()/100000)))</f>
        <v/>
      </c>
      <c r="O185" s="5">
        <f>IF($D185="","",IF($N185&lt;=-500,"Not recommended right now",TEXTJOIN(" • ",TRUE,IF($F185="High","High Priority",""),IF(AND($I185&lt;&gt;"",$I185&lt;TODAY()),"Overdue",""),IF(AND($I185&lt;&gt;"",$I185&gt;=TODAY(),$I185&lt;=TODAY()+7),"Due This Week",""),IF($M185&lt;=VLOOKUP(Home!$C$7,Lists!$N$2:$O$6,2,FALSE),$H185&amp;" Task",""),IF($G185=Home!$E$7,"Fits Current Energy",""),"No Blockers")))</f>
        <v/>
      </c>
      <c r="P185" s="5">
        <f>IF($D185="","",SWITCH('Task Finder'!$C$6,"High Priority",AND($F185="High",$E185&lt;&gt;"Done",$E185&lt;&gt;"Archive"),"Due This Week",AND($I185&lt;&gt;"",$I185&gt;=TODAY(),$I185&lt;=TODAY()+7,$E185&lt;&gt;"Done"),"Quick Wins (15 mins or less)",AND($M185&lt;=15,$E185&lt;&gt;"Done",$E185&lt;&gt;"Blocked"),"Deep Thinking",AND($G185="Deep Thinking",$E185&lt;&gt;"Done"),"Processing",AND($G185="Processing",$E185&lt;&gt;"Done"),"Blocked",$E185="Blocked","Waiting",$E185="Waiting","Recently Updated",AND($L185&lt;&gt;"",$L185&gt;=TODAY()-7),TRUE))</f>
        <v/>
      </c>
    </row>
    <row r="186">
      <c r="A186" s="19" t="n"/>
      <c r="B186" s="19" t="n"/>
      <c r="C186" s="19" t="n"/>
      <c r="D186" s="19" t="n"/>
      <c r="E186" s="19" t="n"/>
      <c r="F186" s="19" t="n"/>
      <c r="G186" s="19" t="n"/>
      <c r="H186" s="19" t="n"/>
      <c r="I186" s="19" t="n"/>
      <c r="J186" s="19" t="n"/>
      <c r="K186" s="19" t="n"/>
      <c r="L186" s="35" t="n"/>
      <c r="M186" s="5">
        <f>IF($D186="","",IFERROR(VLOOKUP($H186,Lists!$N$2:$O$6,2,FALSE),0))</f>
        <v/>
      </c>
      <c r="N186" s="5">
        <f>IF($D186="","",IF(OR($E186="Blocked",$E186="Done",$E186="Archive"),-9999,IF(AND($E186="Waiting",SUMPRODUCT((($E$5:$E$200="Next")+($E$5:$E$200="In Progress")+($E$5:$E$200="Captured"))*($D$5:$D$200&lt;&gt;""))&gt;0),-500,VLOOKUP($F186,Lists!$L$2:$M$4,2,FALSE)+IF($E186="In Progress",10,0)+IF(AND($I186&lt;&gt;"",$I186&lt;TODAY()),25,0)+IF(AND($I186&lt;&gt;"",$I186&gt;=TODAY(),$I186&lt;=TODAY()+7),15,0)+IF($M186&lt;=VLOOKUP(Home!$C$7,Lists!$N$2:$O$6,2,FALSE),20,-10)+IF($G186=Home!$E$7,15,IF(Home!$E$7="",0,-5))-ROW()/100000)))</f>
        <v/>
      </c>
      <c r="O186" s="5">
        <f>IF($D186="","",IF($N186&lt;=-500,"Not recommended right now",TEXTJOIN(" • ",TRUE,IF($F186="High","High Priority",""),IF(AND($I186&lt;&gt;"",$I186&lt;TODAY()),"Overdue",""),IF(AND($I186&lt;&gt;"",$I186&gt;=TODAY(),$I186&lt;=TODAY()+7),"Due This Week",""),IF($M186&lt;=VLOOKUP(Home!$C$7,Lists!$N$2:$O$6,2,FALSE),$H186&amp;" Task",""),IF($G186=Home!$E$7,"Fits Current Energy",""),"No Blockers")))</f>
        <v/>
      </c>
      <c r="P186" s="5">
        <f>IF($D186="","",SWITCH('Task Finder'!$C$6,"High Priority",AND($F186="High",$E186&lt;&gt;"Done",$E186&lt;&gt;"Archive"),"Due This Week",AND($I186&lt;&gt;"",$I186&gt;=TODAY(),$I186&lt;=TODAY()+7,$E186&lt;&gt;"Done"),"Quick Wins (15 mins or less)",AND($M186&lt;=15,$E186&lt;&gt;"Done",$E186&lt;&gt;"Blocked"),"Deep Thinking",AND($G186="Deep Thinking",$E186&lt;&gt;"Done"),"Processing",AND($G186="Processing",$E186&lt;&gt;"Done"),"Blocked",$E186="Blocked","Waiting",$E186="Waiting","Recently Updated",AND($L186&lt;&gt;"",$L186&gt;=TODAY()-7),TRUE))</f>
        <v/>
      </c>
    </row>
    <row r="187">
      <c r="A187" s="19" t="n"/>
      <c r="B187" s="19" t="n"/>
      <c r="C187" s="19" t="n"/>
      <c r="D187" s="19" t="n"/>
      <c r="E187" s="19" t="n"/>
      <c r="F187" s="19" t="n"/>
      <c r="G187" s="19" t="n"/>
      <c r="H187" s="19" t="n"/>
      <c r="I187" s="19" t="n"/>
      <c r="J187" s="19" t="n"/>
      <c r="K187" s="19" t="n"/>
      <c r="L187" s="35" t="n"/>
      <c r="M187" s="5">
        <f>IF($D187="","",IFERROR(VLOOKUP($H187,Lists!$N$2:$O$6,2,FALSE),0))</f>
        <v/>
      </c>
      <c r="N187" s="5">
        <f>IF($D187="","",IF(OR($E187="Blocked",$E187="Done",$E187="Archive"),-9999,IF(AND($E187="Waiting",SUMPRODUCT((($E$5:$E$200="Next")+($E$5:$E$200="In Progress")+($E$5:$E$200="Captured"))*($D$5:$D$200&lt;&gt;""))&gt;0),-500,VLOOKUP($F187,Lists!$L$2:$M$4,2,FALSE)+IF($E187="In Progress",10,0)+IF(AND($I187&lt;&gt;"",$I187&lt;TODAY()),25,0)+IF(AND($I187&lt;&gt;"",$I187&gt;=TODAY(),$I187&lt;=TODAY()+7),15,0)+IF($M187&lt;=VLOOKUP(Home!$C$7,Lists!$N$2:$O$6,2,FALSE),20,-10)+IF($G187=Home!$E$7,15,IF(Home!$E$7="",0,-5))-ROW()/100000)))</f>
        <v/>
      </c>
      <c r="O187" s="5">
        <f>IF($D187="","",IF($N187&lt;=-500,"Not recommended right now",TEXTJOIN(" • ",TRUE,IF($F187="High","High Priority",""),IF(AND($I187&lt;&gt;"",$I187&lt;TODAY()),"Overdue",""),IF(AND($I187&lt;&gt;"",$I187&gt;=TODAY(),$I187&lt;=TODAY()+7),"Due This Week",""),IF($M187&lt;=VLOOKUP(Home!$C$7,Lists!$N$2:$O$6,2,FALSE),$H187&amp;" Task",""),IF($G187=Home!$E$7,"Fits Current Energy",""),"No Blockers")))</f>
        <v/>
      </c>
      <c r="P187" s="5">
        <f>IF($D187="","",SWITCH('Task Finder'!$C$6,"High Priority",AND($F187="High",$E187&lt;&gt;"Done",$E187&lt;&gt;"Archive"),"Due This Week",AND($I187&lt;&gt;"",$I187&gt;=TODAY(),$I187&lt;=TODAY()+7,$E187&lt;&gt;"Done"),"Quick Wins (15 mins or less)",AND($M187&lt;=15,$E187&lt;&gt;"Done",$E187&lt;&gt;"Blocked"),"Deep Thinking",AND($G187="Deep Thinking",$E187&lt;&gt;"Done"),"Processing",AND($G187="Processing",$E187&lt;&gt;"Done"),"Blocked",$E187="Blocked","Waiting",$E187="Waiting","Recently Updated",AND($L187&lt;&gt;"",$L187&gt;=TODAY()-7),TRUE))</f>
        <v/>
      </c>
    </row>
    <row r="188">
      <c r="A188" s="19" t="n"/>
      <c r="B188" s="19" t="n"/>
      <c r="C188" s="19" t="n"/>
      <c r="D188" s="19" t="n"/>
      <c r="E188" s="19" t="n"/>
      <c r="F188" s="19" t="n"/>
      <c r="G188" s="19" t="n"/>
      <c r="H188" s="19" t="n"/>
      <c r="I188" s="19" t="n"/>
      <c r="J188" s="19" t="n"/>
      <c r="K188" s="19" t="n"/>
      <c r="L188" s="35" t="n"/>
      <c r="M188" s="5">
        <f>IF($D188="","",IFERROR(VLOOKUP($H188,Lists!$N$2:$O$6,2,FALSE),0))</f>
        <v/>
      </c>
      <c r="N188" s="5">
        <f>IF($D188="","",IF(OR($E188="Blocked",$E188="Done",$E188="Archive"),-9999,IF(AND($E188="Waiting",SUMPRODUCT((($E$5:$E$200="Next")+($E$5:$E$200="In Progress")+($E$5:$E$200="Captured"))*($D$5:$D$200&lt;&gt;""))&gt;0),-500,VLOOKUP($F188,Lists!$L$2:$M$4,2,FALSE)+IF($E188="In Progress",10,0)+IF(AND($I188&lt;&gt;"",$I188&lt;TODAY()),25,0)+IF(AND($I188&lt;&gt;"",$I188&gt;=TODAY(),$I188&lt;=TODAY()+7),15,0)+IF($M188&lt;=VLOOKUP(Home!$C$7,Lists!$N$2:$O$6,2,FALSE),20,-10)+IF($G188=Home!$E$7,15,IF(Home!$E$7="",0,-5))-ROW()/100000)))</f>
        <v/>
      </c>
      <c r="O188" s="5">
        <f>IF($D188="","",IF($N188&lt;=-500,"Not recommended right now",TEXTJOIN(" • ",TRUE,IF($F188="High","High Priority",""),IF(AND($I188&lt;&gt;"",$I188&lt;TODAY()),"Overdue",""),IF(AND($I188&lt;&gt;"",$I188&gt;=TODAY(),$I188&lt;=TODAY()+7),"Due This Week",""),IF($M188&lt;=VLOOKUP(Home!$C$7,Lists!$N$2:$O$6,2,FALSE),$H188&amp;" Task",""),IF($G188=Home!$E$7,"Fits Current Energy",""),"No Blockers")))</f>
        <v/>
      </c>
      <c r="P188" s="5">
        <f>IF($D188="","",SWITCH('Task Finder'!$C$6,"High Priority",AND($F188="High",$E188&lt;&gt;"Done",$E188&lt;&gt;"Archive"),"Due This Week",AND($I188&lt;&gt;"",$I188&gt;=TODAY(),$I188&lt;=TODAY()+7,$E188&lt;&gt;"Done"),"Quick Wins (15 mins or less)",AND($M188&lt;=15,$E188&lt;&gt;"Done",$E188&lt;&gt;"Blocked"),"Deep Thinking",AND($G188="Deep Thinking",$E188&lt;&gt;"Done"),"Processing",AND($G188="Processing",$E188&lt;&gt;"Done"),"Blocked",$E188="Blocked","Waiting",$E188="Waiting","Recently Updated",AND($L188&lt;&gt;"",$L188&gt;=TODAY()-7),TRUE))</f>
        <v/>
      </c>
    </row>
    <row r="189">
      <c r="A189" s="19" t="n"/>
      <c r="B189" s="19" t="n"/>
      <c r="C189" s="19" t="n"/>
      <c r="D189" s="19" t="n"/>
      <c r="E189" s="19" t="n"/>
      <c r="F189" s="19" t="n"/>
      <c r="G189" s="19" t="n"/>
      <c r="H189" s="19" t="n"/>
      <c r="I189" s="19" t="n"/>
      <c r="J189" s="19" t="n"/>
      <c r="K189" s="19" t="n"/>
      <c r="L189" s="35" t="n"/>
      <c r="M189" s="5">
        <f>IF($D189="","",IFERROR(VLOOKUP($H189,Lists!$N$2:$O$6,2,FALSE),0))</f>
        <v/>
      </c>
      <c r="N189" s="5">
        <f>IF($D189="","",IF(OR($E189="Blocked",$E189="Done",$E189="Archive"),-9999,IF(AND($E189="Waiting",SUMPRODUCT((($E$5:$E$200="Next")+($E$5:$E$200="In Progress")+($E$5:$E$200="Captured"))*($D$5:$D$200&lt;&gt;""))&gt;0),-500,VLOOKUP($F189,Lists!$L$2:$M$4,2,FALSE)+IF($E189="In Progress",10,0)+IF(AND($I189&lt;&gt;"",$I189&lt;TODAY()),25,0)+IF(AND($I189&lt;&gt;"",$I189&gt;=TODAY(),$I189&lt;=TODAY()+7),15,0)+IF($M189&lt;=VLOOKUP(Home!$C$7,Lists!$N$2:$O$6,2,FALSE),20,-10)+IF($G189=Home!$E$7,15,IF(Home!$E$7="",0,-5))-ROW()/100000)))</f>
        <v/>
      </c>
      <c r="O189" s="5">
        <f>IF($D189="","",IF($N189&lt;=-500,"Not recommended right now",TEXTJOIN(" • ",TRUE,IF($F189="High","High Priority",""),IF(AND($I189&lt;&gt;"",$I189&lt;TODAY()),"Overdue",""),IF(AND($I189&lt;&gt;"",$I189&gt;=TODAY(),$I189&lt;=TODAY()+7),"Due This Week",""),IF($M189&lt;=VLOOKUP(Home!$C$7,Lists!$N$2:$O$6,2,FALSE),$H189&amp;" Task",""),IF($G189=Home!$E$7,"Fits Current Energy",""),"No Blockers")))</f>
        <v/>
      </c>
      <c r="P189" s="5">
        <f>IF($D189="","",SWITCH('Task Finder'!$C$6,"High Priority",AND($F189="High",$E189&lt;&gt;"Done",$E189&lt;&gt;"Archive"),"Due This Week",AND($I189&lt;&gt;"",$I189&gt;=TODAY(),$I189&lt;=TODAY()+7,$E189&lt;&gt;"Done"),"Quick Wins (15 mins or less)",AND($M189&lt;=15,$E189&lt;&gt;"Done",$E189&lt;&gt;"Blocked"),"Deep Thinking",AND($G189="Deep Thinking",$E189&lt;&gt;"Done"),"Processing",AND($G189="Processing",$E189&lt;&gt;"Done"),"Blocked",$E189="Blocked","Waiting",$E189="Waiting","Recently Updated",AND($L189&lt;&gt;"",$L189&gt;=TODAY()-7),TRUE))</f>
        <v/>
      </c>
    </row>
    <row r="190">
      <c r="A190" s="19" t="n"/>
      <c r="B190" s="19" t="n"/>
      <c r="C190" s="19" t="n"/>
      <c r="D190" s="19" t="n"/>
      <c r="E190" s="19" t="n"/>
      <c r="F190" s="19" t="n"/>
      <c r="G190" s="19" t="n"/>
      <c r="H190" s="19" t="n"/>
      <c r="I190" s="19" t="n"/>
      <c r="J190" s="19" t="n"/>
      <c r="K190" s="19" t="n"/>
      <c r="L190" s="35" t="n"/>
      <c r="M190" s="5">
        <f>IF($D190="","",IFERROR(VLOOKUP($H190,Lists!$N$2:$O$6,2,FALSE),0))</f>
        <v/>
      </c>
      <c r="N190" s="5">
        <f>IF($D190="","",IF(OR($E190="Blocked",$E190="Done",$E190="Archive"),-9999,IF(AND($E190="Waiting",SUMPRODUCT((($E$5:$E$200="Next")+($E$5:$E$200="In Progress")+($E$5:$E$200="Captured"))*($D$5:$D$200&lt;&gt;""))&gt;0),-500,VLOOKUP($F190,Lists!$L$2:$M$4,2,FALSE)+IF($E190="In Progress",10,0)+IF(AND($I190&lt;&gt;"",$I190&lt;TODAY()),25,0)+IF(AND($I190&lt;&gt;"",$I190&gt;=TODAY(),$I190&lt;=TODAY()+7),15,0)+IF($M190&lt;=VLOOKUP(Home!$C$7,Lists!$N$2:$O$6,2,FALSE),20,-10)+IF($G190=Home!$E$7,15,IF(Home!$E$7="",0,-5))-ROW()/100000)))</f>
        <v/>
      </c>
      <c r="O190" s="5">
        <f>IF($D190="","",IF($N190&lt;=-500,"Not recommended right now",TEXTJOIN(" • ",TRUE,IF($F190="High","High Priority",""),IF(AND($I190&lt;&gt;"",$I190&lt;TODAY()),"Overdue",""),IF(AND($I190&lt;&gt;"",$I190&gt;=TODAY(),$I190&lt;=TODAY()+7),"Due This Week",""),IF($M190&lt;=VLOOKUP(Home!$C$7,Lists!$N$2:$O$6,2,FALSE),$H190&amp;" Task",""),IF($G190=Home!$E$7,"Fits Current Energy",""),"No Blockers")))</f>
        <v/>
      </c>
      <c r="P190" s="5">
        <f>IF($D190="","",SWITCH('Task Finder'!$C$6,"High Priority",AND($F190="High",$E190&lt;&gt;"Done",$E190&lt;&gt;"Archive"),"Due This Week",AND($I190&lt;&gt;"",$I190&gt;=TODAY(),$I190&lt;=TODAY()+7,$E190&lt;&gt;"Done"),"Quick Wins (15 mins or less)",AND($M190&lt;=15,$E190&lt;&gt;"Done",$E190&lt;&gt;"Blocked"),"Deep Thinking",AND($G190="Deep Thinking",$E190&lt;&gt;"Done"),"Processing",AND($G190="Processing",$E190&lt;&gt;"Done"),"Blocked",$E190="Blocked","Waiting",$E190="Waiting","Recently Updated",AND($L190&lt;&gt;"",$L190&gt;=TODAY()-7),TRUE))</f>
        <v/>
      </c>
    </row>
    <row r="191">
      <c r="A191" s="19" t="n"/>
      <c r="B191" s="19" t="n"/>
      <c r="C191" s="19" t="n"/>
      <c r="D191" s="19" t="n"/>
      <c r="E191" s="19" t="n"/>
      <c r="F191" s="19" t="n"/>
      <c r="G191" s="19" t="n"/>
      <c r="H191" s="19" t="n"/>
      <c r="I191" s="19" t="n"/>
      <c r="J191" s="19" t="n"/>
      <c r="K191" s="19" t="n"/>
      <c r="L191" s="35" t="n"/>
      <c r="M191" s="5">
        <f>IF($D191="","",IFERROR(VLOOKUP($H191,Lists!$N$2:$O$6,2,FALSE),0))</f>
        <v/>
      </c>
      <c r="N191" s="5">
        <f>IF($D191="","",IF(OR($E191="Blocked",$E191="Done",$E191="Archive"),-9999,IF(AND($E191="Waiting",SUMPRODUCT((($E$5:$E$200="Next")+($E$5:$E$200="In Progress")+($E$5:$E$200="Captured"))*($D$5:$D$200&lt;&gt;""))&gt;0),-500,VLOOKUP($F191,Lists!$L$2:$M$4,2,FALSE)+IF($E191="In Progress",10,0)+IF(AND($I191&lt;&gt;"",$I191&lt;TODAY()),25,0)+IF(AND($I191&lt;&gt;"",$I191&gt;=TODAY(),$I191&lt;=TODAY()+7),15,0)+IF($M191&lt;=VLOOKUP(Home!$C$7,Lists!$N$2:$O$6,2,FALSE),20,-10)+IF($G191=Home!$E$7,15,IF(Home!$E$7="",0,-5))-ROW()/100000)))</f>
        <v/>
      </c>
      <c r="O191" s="5">
        <f>IF($D191="","",IF($N191&lt;=-500,"Not recommended right now",TEXTJOIN(" • ",TRUE,IF($F191="High","High Priority",""),IF(AND($I191&lt;&gt;"",$I191&lt;TODAY()),"Overdue",""),IF(AND($I191&lt;&gt;"",$I191&gt;=TODAY(),$I191&lt;=TODAY()+7),"Due This Week",""),IF($M191&lt;=VLOOKUP(Home!$C$7,Lists!$N$2:$O$6,2,FALSE),$H191&amp;" Task",""),IF($G191=Home!$E$7,"Fits Current Energy",""),"No Blockers")))</f>
        <v/>
      </c>
      <c r="P191" s="5">
        <f>IF($D191="","",SWITCH('Task Finder'!$C$6,"High Priority",AND($F191="High",$E191&lt;&gt;"Done",$E191&lt;&gt;"Archive"),"Due This Week",AND($I191&lt;&gt;"",$I191&gt;=TODAY(),$I191&lt;=TODAY()+7,$E191&lt;&gt;"Done"),"Quick Wins (15 mins or less)",AND($M191&lt;=15,$E191&lt;&gt;"Done",$E191&lt;&gt;"Blocked"),"Deep Thinking",AND($G191="Deep Thinking",$E191&lt;&gt;"Done"),"Processing",AND($G191="Processing",$E191&lt;&gt;"Done"),"Blocked",$E191="Blocked","Waiting",$E191="Waiting","Recently Updated",AND($L191&lt;&gt;"",$L191&gt;=TODAY()-7),TRUE))</f>
        <v/>
      </c>
    </row>
    <row r="192">
      <c r="A192" s="19" t="n"/>
      <c r="B192" s="19" t="n"/>
      <c r="C192" s="19" t="n"/>
      <c r="D192" s="19" t="n"/>
      <c r="E192" s="19" t="n"/>
      <c r="F192" s="19" t="n"/>
      <c r="G192" s="19" t="n"/>
      <c r="H192" s="19" t="n"/>
      <c r="I192" s="19" t="n"/>
      <c r="J192" s="19" t="n"/>
      <c r="K192" s="19" t="n"/>
      <c r="L192" s="35" t="n"/>
      <c r="M192" s="5">
        <f>IF($D192="","",IFERROR(VLOOKUP($H192,Lists!$N$2:$O$6,2,FALSE),0))</f>
        <v/>
      </c>
      <c r="N192" s="5">
        <f>IF($D192="","",IF(OR($E192="Blocked",$E192="Done",$E192="Archive"),-9999,IF(AND($E192="Waiting",SUMPRODUCT((($E$5:$E$200="Next")+($E$5:$E$200="In Progress")+($E$5:$E$200="Captured"))*($D$5:$D$200&lt;&gt;""))&gt;0),-500,VLOOKUP($F192,Lists!$L$2:$M$4,2,FALSE)+IF($E192="In Progress",10,0)+IF(AND($I192&lt;&gt;"",$I192&lt;TODAY()),25,0)+IF(AND($I192&lt;&gt;"",$I192&gt;=TODAY(),$I192&lt;=TODAY()+7),15,0)+IF($M192&lt;=VLOOKUP(Home!$C$7,Lists!$N$2:$O$6,2,FALSE),20,-10)+IF($G192=Home!$E$7,15,IF(Home!$E$7="",0,-5))-ROW()/100000)))</f>
        <v/>
      </c>
      <c r="O192" s="5">
        <f>IF($D192="","",IF($N192&lt;=-500,"Not recommended right now",TEXTJOIN(" • ",TRUE,IF($F192="High","High Priority",""),IF(AND($I192&lt;&gt;"",$I192&lt;TODAY()),"Overdue",""),IF(AND($I192&lt;&gt;"",$I192&gt;=TODAY(),$I192&lt;=TODAY()+7),"Due This Week",""),IF($M192&lt;=VLOOKUP(Home!$C$7,Lists!$N$2:$O$6,2,FALSE),$H192&amp;" Task",""),IF($G192=Home!$E$7,"Fits Current Energy",""),"No Blockers")))</f>
        <v/>
      </c>
      <c r="P192" s="5">
        <f>IF($D192="","",SWITCH('Task Finder'!$C$6,"High Priority",AND($F192="High",$E192&lt;&gt;"Done",$E192&lt;&gt;"Archive"),"Due This Week",AND($I192&lt;&gt;"",$I192&gt;=TODAY(),$I192&lt;=TODAY()+7,$E192&lt;&gt;"Done"),"Quick Wins (15 mins or less)",AND($M192&lt;=15,$E192&lt;&gt;"Done",$E192&lt;&gt;"Blocked"),"Deep Thinking",AND($G192="Deep Thinking",$E192&lt;&gt;"Done"),"Processing",AND($G192="Processing",$E192&lt;&gt;"Done"),"Blocked",$E192="Blocked","Waiting",$E192="Waiting","Recently Updated",AND($L192&lt;&gt;"",$L192&gt;=TODAY()-7),TRUE))</f>
        <v/>
      </c>
    </row>
    <row r="193">
      <c r="A193" s="19" t="n"/>
      <c r="B193" s="19" t="n"/>
      <c r="C193" s="19" t="n"/>
      <c r="D193" s="19" t="n"/>
      <c r="E193" s="19" t="n"/>
      <c r="F193" s="19" t="n"/>
      <c r="G193" s="19" t="n"/>
      <c r="H193" s="19" t="n"/>
      <c r="I193" s="19" t="n"/>
      <c r="J193" s="19" t="n"/>
      <c r="K193" s="19" t="n"/>
      <c r="L193" s="35" t="n"/>
      <c r="M193" s="5">
        <f>IF($D193="","",IFERROR(VLOOKUP($H193,Lists!$N$2:$O$6,2,FALSE),0))</f>
        <v/>
      </c>
      <c r="N193" s="5">
        <f>IF($D193="","",IF(OR($E193="Blocked",$E193="Done",$E193="Archive"),-9999,IF(AND($E193="Waiting",SUMPRODUCT((($E$5:$E$200="Next")+($E$5:$E$200="In Progress")+($E$5:$E$200="Captured"))*($D$5:$D$200&lt;&gt;""))&gt;0),-500,VLOOKUP($F193,Lists!$L$2:$M$4,2,FALSE)+IF($E193="In Progress",10,0)+IF(AND($I193&lt;&gt;"",$I193&lt;TODAY()),25,0)+IF(AND($I193&lt;&gt;"",$I193&gt;=TODAY(),$I193&lt;=TODAY()+7),15,0)+IF($M193&lt;=VLOOKUP(Home!$C$7,Lists!$N$2:$O$6,2,FALSE),20,-10)+IF($G193=Home!$E$7,15,IF(Home!$E$7="",0,-5))-ROW()/100000)))</f>
        <v/>
      </c>
      <c r="O193" s="5">
        <f>IF($D193="","",IF($N193&lt;=-500,"Not recommended right now",TEXTJOIN(" • ",TRUE,IF($F193="High","High Priority",""),IF(AND($I193&lt;&gt;"",$I193&lt;TODAY()),"Overdue",""),IF(AND($I193&lt;&gt;"",$I193&gt;=TODAY(),$I193&lt;=TODAY()+7),"Due This Week",""),IF($M193&lt;=VLOOKUP(Home!$C$7,Lists!$N$2:$O$6,2,FALSE),$H193&amp;" Task",""),IF($G193=Home!$E$7,"Fits Current Energy",""),"No Blockers")))</f>
        <v/>
      </c>
      <c r="P193" s="5">
        <f>IF($D193="","",SWITCH('Task Finder'!$C$6,"High Priority",AND($F193="High",$E193&lt;&gt;"Done",$E193&lt;&gt;"Archive"),"Due This Week",AND($I193&lt;&gt;"",$I193&gt;=TODAY(),$I193&lt;=TODAY()+7,$E193&lt;&gt;"Done"),"Quick Wins (15 mins or less)",AND($M193&lt;=15,$E193&lt;&gt;"Done",$E193&lt;&gt;"Blocked"),"Deep Thinking",AND($G193="Deep Thinking",$E193&lt;&gt;"Done"),"Processing",AND($G193="Processing",$E193&lt;&gt;"Done"),"Blocked",$E193="Blocked","Waiting",$E193="Waiting","Recently Updated",AND($L193&lt;&gt;"",$L193&gt;=TODAY()-7),TRUE))</f>
        <v/>
      </c>
    </row>
    <row r="194">
      <c r="A194" s="19" t="n"/>
      <c r="B194" s="19" t="n"/>
      <c r="C194" s="19" t="n"/>
      <c r="D194" s="19" t="n"/>
      <c r="E194" s="19" t="n"/>
      <c r="F194" s="19" t="n"/>
      <c r="G194" s="19" t="n"/>
      <c r="H194" s="19" t="n"/>
      <c r="I194" s="19" t="n"/>
      <c r="J194" s="19" t="n"/>
      <c r="K194" s="19" t="n"/>
      <c r="L194" s="35" t="n"/>
      <c r="M194" s="5">
        <f>IF($D194="","",IFERROR(VLOOKUP($H194,Lists!$N$2:$O$6,2,FALSE),0))</f>
        <v/>
      </c>
      <c r="N194" s="5">
        <f>IF($D194="","",IF(OR($E194="Blocked",$E194="Done",$E194="Archive"),-9999,IF(AND($E194="Waiting",SUMPRODUCT((($E$5:$E$200="Next")+($E$5:$E$200="In Progress")+($E$5:$E$200="Captured"))*($D$5:$D$200&lt;&gt;""))&gt;0),-500,VLOOKUP($F194,Lists!$L$2:$M$4,2,FALSE)+IF($E194="In Progress",10,0)+IF(AND($I194&lt;&gt;"",$I194&lt;TODAY()),25,0)+IF(AND($I194&lt;&gt;"",$I194&gt;=TODAY(),$I194&lt;=TODAY()+7),15,0)+IF($M194&lt;=VLOOKUP(Home!$C$7,Lists!$N$2:$O$6,2,FALSE),20,-10)+IF($G194=Home!$E$7,15,IF(Home!$E$7="",0,-5))-ROW()/100000)))</f>
        <v/>
      </c>
      <c r="O194" s="5">
        <f>IF($D194="","",IF($N194&lt;=-500,"Not recommended right now",TEXTJOIN(" • ",TRUE,IF($F194="High","High Priority",""),IF(AND($I194&lt;&gt;"",$I194&lt;TODAY()),"Overdue",""),IF(AND($I194&lt;&gt;"",$I194&gt;=TODAY(),$I194&lt;=TODAY()+7),"Due This Week",""),IF($M194&lt;=VLOOKUP(Home!$C$7,Lists!$N$2:$O$6,2,FALSE),$H194&amp;" Task",""),IF($G194=Home!$E$7,"Fits Current Energy",""),"No Blockers")))</f>
        <v/>
      </c>
      <c r="P194" s="5">
        <f>IF($D194="","",SWITCH('Task Finder'!$C$6,"High Priority",AND($F194="High",$E194&lt;&gt;"Done",$E194&lt;&gt;"Archive"),"Due This Week",AND($I194&lt;&gt;"",$I194&gt;=TODAY(),$I194&lt;=TODAY()+7,$E194&lt;&gt;"Done"),"Quick Wins (15 mins or less)",AND($M194&lt;=15,$E194&lt;&gt;"Done",$E194&lt;&gt;"Blocked"),"Deep Thinking",AND($G194="Deep Thinking",$E194&lt;&gt;"Done"),"Processing",AND($G194="Processing",$E194&lt;&gt;"Done"),"Blocked",$E194="Blocked","Waiting",$E194="Waiting","Recently Updated",AND($L194&lt;&gt;"",$L194&gt;=TODAY()-7),TRUE))</f>
        <v/>
      </c>
    </row>
    <row r="195">
      <c r="A195" s="19" t="n"/>
      <c r="B195" s="19" t="n"/>
      <c r="C195" s="19" t="n"/>
      <c r="D195" s="19" t="n"/>
      <c r="E195" s="19" t="n"/>
      <c r="F195" s="19" t="n"/>
      <c r="G195" s="19" t="n"/>
      <c r="H195" s="19" t="n"/>
      <c r="I195" s="19" t="n"/>
      <c r="J195" s="19" t="n"/>
      <c r="K195" s="19" t="n"/>
      <c r="L195" s="35" t="n"/>
      <c r="M195" s="5">
        <f>IF($D195="","",IFERROR(VLOOKUP($H195,Lists!$N$2:$O$6,2,FALSE),0))</f>
        <v/>
      </c>
      <c r="N195" s="5">
        <f>IF($D195="","",IF(OR($E195="Blocked",$E195="Done",$E195="Archive"),-9999,IF(AND($E195="Waiting",SUMPRODUCT((($E$5:$E$200="Next")+($E$5:$E$200="In Progress")+($E$5:$E$200="Captured"))*($D$5:$D$200&lt;&gt;""))&gt;0),-500,VLOOKUP($F195,Lists!$L$2:$M$4,2,FALSE)+IF($E195="In Progress",10,0)+IF(AND($I195&lt;&gt;"",$I195&lt;TODAY()),25,0)+IF(AND($I195&lt;&gt;"",$I195&gt;=TODAY(),$I195&lt;=TODAY()+7),15,0)+IF($M195&lt;=VLOOKUP(Home!$C$7,Lists!$N$2:$O$6,2,FALSE),20,-10)+IF($G195=Home!$E$7,15,IF(Home!$E$7="",0,-5))-ROW()/100000)))</f>
        <v/>
      </c>
      <c r="O195" s="5">
        <f>IF($D195="","",IF($N195&lt;=-500,"Not recommended right now",TEXTJOIN(" • ",TRUE,IF($F195="High","High Priority",""),IF(AND($I195&lt;&gt;"",$I195&lt;TODAY()),"Overdue",""),IF(AND($I195&lt;&gt;"",$I195&gt;=TODAY(),$I195&lt;=TODAY()+7),"Due This Week",""),IF($M195&lt;=VLOOKUP(Home!$C$7,Lists!$N$2:$O$6,2,FALSE),$H195&amp;" Task",""),IF($G195=Home!$E$7,"Fits Current Energy",""),"No Blockers")))</f>
        <v/>
      </c>
      <c r="P195" s="5">
        <f>IF($D195="","",SWITCH('Task Finder'!$C$6,"High Priority",AND($F195="High",$E195&lt;&gt;"Done",$E195&lt;&gt;"Archive"),"Due This Week",AND($I195&lt;&gt;"",$I195&gt;=TODAY(),$I195&lt;=TODAY()+7,$E195&lt;&gt;"Done"),"Quick Wins (15 mins or less)",AND($M195&lt;=15,$E195&lt;&gt;"Done",$E195&lt;&gt;"Blocked"),"Deep Thinking",AND($G195="Deep Thinking",$E195&lt;&gt;"Done"),"Processing",AND($G195="Processing",$E195&lt;&gt;"Done"),"Blocked",$E195="Blocked","Waiting",$E195="Waiting","Recently Updated",AND($L195&lt;&gt;"",$L195&gt;=TODAY()-7),TRUE))</f>
        <v/>
      </c>
    </row>
    <row r="196">
      <c r="A196" s="19" t="n"/>
      <c r="B196" s="19" t="n"/>
      <c r="C196" s="19" t="n"/>
      <c r="D196" s="19" t="n"/>
      <c r="E196" s="19" t="n"/>
      <c r="F196" s="19" t="n"/>
      <c r="G196" s="19" t="n"/>
      <c r="H196" s="19" t="n"/>
      <c r="I196" s="19" t="n"/>
      <c r="J196" s="19" t="n"/>
      <c r="K196" s="19" t="n"/>
      <c r="L196" s="35" t="n"/>
      <c r="M196" s="5">
        <f>IF($D196="","",IFERROR(VLOOKUP($H196,Lists!$N$2:$O$6,2,FALSE),0))</f>
        <v/>
      </c>
      <c r="N196" s="5">
        <f>IF($D196="","",IF(OR($E196="Blocked",$E196="Done",$E196="Archive"),-9999,IF(AND($E196="Waiting",SUMPRODUCT((($E$5:$E$200="Next")+($E$5:$E$200="In Progress")+($E$5:$E$200="Captured"))*($D$5:$D$200&lt;&gt;""))&gt;0),-500,VLOOKUP($F196,Lists!$L$2:$M$4,2,FALSE)+IF($E196="In Progress",10,0)+IF(AND($I196&lt;&gt;"",$I196&lt;TODAY()),25,0)+IF(AND($I196&lt;&gt;"",$I196&gt;=TODAY(),$I196&lt;=TODAY()+7),15,0)+IF($M196&lt;=VLOOKUP(Home!$C$7,Lists!$N$2:$O$6,2,FALSE),20,-10)+IF($G196=Home!$E$7,15,IF(Home!$E$7="",0,-5))-ROW()/100000)))</f>
        <v/>
      </c>
      <c r="O196" s="5">
        <f>IF($D196="","",IF($N196&lt;=-500,"Not recommended right now",TEXTJOIN(" • ",TRUE,IF($F196="High","High Priority",""),IF(AND($I196&lt;&gt;"",$I196&lt;TODAY()),"Overdue",""),IF(AND($I196&lt;&gt;"",$I196&gt;=TODAY(),$I196&lt;=TODAY()+7),"Due This Week",""),IF($M196&lt;=VLOOKUP(Home!$C$7,Lists!$N$2:$O$6,2,FALSE),$H196&amp;" Task",""),IF($G196=Home!$E$7,"Fits Current Energy",""),"No Blockers")))</f>
        <v/>
      </c>
      <c r="P196" s="5">
        <f>IF($D196="","",SWITCH('Task Finder'!$C$6,"High Priority",AND($F196="High",$E196&lt;&gt;"Done",$E196&lt;&gt;"Archive"),"Due This Week",AND($I196&lt;&gt;"",$I196&gt;=TODAY(),$I196&lt;=TODAY()+7,$E196&lt;&gt;"Done"),"Quick Wins (15 mins or less)",AND($M196&lt;=15,$E196&lt;&gt;"Done",$E196&lt;&gt;"Blocked"),"Deep Thinking",AND($G196="Deep Thinking",$E196&lt;&gt;"Done"),"Processing",AND($G196="Processing",$E196&lt;&gt;"Done"),"Blocked",$E196="Blocked","Waiting",$E196="Waiting","Recently Updated",AND($L196&lt;&gt;"",$L196&gt;=TODAY()-7),TRUE))</f>
        <v/>
      </c>
    </row>
    <row r="197">
      <c r="A197" s="19" t="n"/>
      <c r="B197" s="19" t="n"/>
      <c r="C197" s="19" t="n"/>
      <c r="D197" s="19" t="n"/>
      <c r="E197" s="19" t="n"/>
      <c r="F197" s="19" t="n"/>
      <c r="G197" s="19" t="n"/>
      <c r="H197" s="19" t="n"/>
      <c r="I197" s="19" t="n"/>
      <c r="J197" s="19" t="n"/>
      <c r="K197" s="19" t="n"/>
      <c r="L197" s="35" t="n"/>
      <c r="M197" s="5">
        <f>IF($D197="","",IFERROR(VLOOKUP($H197,Lists!$N$2:$O$6,2,FALSE),0))</f>
        <v/>
      </c>
      <c r="N197" s="5">
        <f>IF($D197="","",IF(OR($E197="Blocked",$E197="Done",$E197="Archive"),-9999,IF(AND($E197="Waiting",SUMPRODUCT((($E$5:$E$200="Next")+($E$5:$E$200="In Progress")+($E$5:$E$200="Captured"))*($D$5:$D$200&lt;&gt;""))&gt;0),-500,VLOOKUP($F197,Lists!$L$2:$M$4,2,FALSE)+IF($E197="In Progress",10,0)+IF(AND($I197&lt;&gt;"",$I197&lt;TODAY()),25,0)+IF(AND($I197&lt;&gt;"",$I197&gt;=TODAY(),$I197&lt;=TODAY()+7),15,0)+IF($M197&lt;=VLOOKUP(Home!$C$7,Lists!$N$2:$O$6,2,FALSE),20,-10)+IF($G197=Home!$E$7,15,IF(Home!$E$7="",0,-5))-ROW()/100000)))</f>
        <v/>
      </c>
      <c r="O197" s="5">
        <f>IF($D197="","",IF($N197&lt;=-500,"Not recommended right now",TEXTJOIN(" • ",TRUE,IF($F197="High","High Priority",""),IF(AND($I197&lt;&gt;"",$I197&lt;TODAY()),"Overdue",""),IF(AND($I197&lt;&gt;"",$I197&gt;=TODAY(),$I197&lt;=TODAY()+7),"Due This Week",""),IF($M197&lt;=VLOOKUP(Home!$C$7,Lists!$N$2:$O$6,2,FALSE),$H197&amp;" Task",""),IF($G197=Home!$E$7,"Fits Current Energy",""),"No Blockers")))</f>
        <v/>
      </c>
      <c r="P197" s="5">
        <f>IF($D197="","",SWITCH('Task Finder'!$C$6,"High Priority",AND($F197="High",$E197&lt;&gt;"Done",$E197&lt;&gt;"Archive"),"Due This Week",AND($I197&lt;&gt;"",$I197&gt;=TODAY(),$I197&lt;=TODAY()+7,$E197&lt;&gt;"Done"),"Quick Wins (15 mins or less)",AND($M197&lt;=15,$E197&lt;&gt;"Done",$E197&lt;&gt;"Blocked"),"Deep Thinking",AND($G197="Deep Thinking",$E197&lt;&gt;"Done"),"Processing",AND($G197="Processing",$E197&lt;&gt;"Done"),"Blocked",$E197="Blocked","Waiting",$E197="Waiting","Recently Updated",AND($L197&lt;&gt;"",$L197&gt;=TODAY()-7),TRUE))</f>
        <v/>
      </c>
    </row>
    <row r="198">
      <c r="A198" s="19" t="n"/>
      <c r="B198" s="19" t="n"/>
      <c r="C198" s="19" t="n"/>
      <c r="D198" s="19" t="n"/>
      <c r="E198" s="19" t="n"/>
      <c r="F198" s="19" t="n"/>
      <c r="G198" s="19" t="n"/>
      <c r="H198" s="19" t="n"/>
      <c r="I198" s="19" t="n"/>
      <c r="J198" s="19" t="n"/>
      <c r="K198" s="19" t="n"/>
      <c r="L198" s="35" t="n"/>
      <c r="M198" s="5">
        <f>IF($D198="","",IFERROR(VLOOKUP($H198,Lists!$N$2:$O$6,2,FALSE),0))</f>
        <v/>
      </c>
      <c r="N198" s="5">
        <f>IF($D198="","",IF(OR($E198="Blocked",$E198="Done",$E198="Archive"),-9999,IF(AND($E198="Waiting",SUMPRODUCT((($E$5:$E$200="Next")+($E$5:$E$200="In Progress")+($E$5:$E$200="Captured"))*($D$5:$D$200&lt;&gt;""))&gt;0),-500,VLOOKUP($F198,Lists!$L$2:$M$4,2,FALSE)+IF($E198="In Progress",10,0)+IF(AND($I198&lt;&gt;"",$I198&lt;TODAY()),25,0)+IF(AND($I198&lt;&gt;"",$I198&gt;=TODAY(),$I198&lt;=TODAY()+7),15,0)+IF($M198&lt;=VLOOKUP(Home!$C$7,Lists!$N$2:$O$6,2,FALSE),20,-10)+IF($G198=Home!$E$7,15,IF(Home!$E$7="",0,-5))-ROW()/100000)))</f>
        <v/>
      </c>
      <c r="O198" s="5">
        <f>IF($D198="","",IF($N198&lt;=-500,"Not recommended right now",TEXTJOIN(" • ",TRUE,IF($F198="High","High Priority",""),IF(AND($I198&lt;&gt;"",$I198&lt;TODAY()),"Overdue",""),IF(AND($I198&lt;&gt;"",$I198&gt;=TODAY(),$I198&lt;=TODAY()+7),"Due This Week",""),IF($M198&lt;=VLOOKUP(Home!$C$7,Lists!$N$2:$O$6,2,FALSE),$H198&amp;" Task",""),IF($G198=Home!$E$7,"Fits Current Energy",""),"No Blockers")))</f>
        <v/>
      </c>
      <c r="P198" s="5">
        <f>IF($D198="","",SWITCH('Task Finder'!$C$6,"High Priority",AND($F198="High",$E198&lt;&gt;"Done",$E198&lt;&gt;"Archive"),"Due This Week",AND($I198&lt;&gt;"",$I198&gt;=TODAY(),$I198&lt;=TODAY()+7,$E198&lt;&gt;"Done"),"Quick Wins (15 mins or less)",AND($M198&lt;=15,$E198&lt;&gt;"Done",$E198&lt;&gt;"Blocked"),"Deep Thinking",AND($G198="Deep Thinking",$E198&lt;&gt;"Done"),"Processing",AND($G198="Processing",$E198&lt;&gt;"Done"),"Blocked",$E198="Blocked","Waiting",$E198="Waiting","Recently Updated",AND($L198&lt;&gt;"",$L198&gt;=TODAY()-7),TRUE))</f>
        <v/>
      </c>
    </row>
    <row r="199">
      <c r="A199" s="19" t="n"/>
      <c r="B199" s="19" t="n"/>
      <c r="C199" s="19" t="n"/>
      <c r="D199" s="19" t="n"/>
      <c r="E199" s="19" t="n"/>
      <c r="F199" s="19" t="n"/>
      <c r="G199" s="19" t="n"/>
      <c r="H199" s="19" t="n"/>
      <c r="I199" s="19" t="n"/>
      <c r="J199" s="19" t="n"/>
      <c r="K199" s="19" t="n"/>
      <c r="L199" s="35" t="n"/>
      <c r="M199" s="5">
        <f>IF($D199="","",IFERROR(VLOOKUP($H199,Lists!$N$2:$O$6,2,FALSE),0))</f>
        <v/>
      </c>
      <c r="N199" s="5">
        <f>IF($D199="","",IF(OR($E199="Blocked",$E199="Done",$E199="Archive"),-9999,IF(AND($E199="Waiting",SUMPRODUCT((($E$5:$E$200="Next")+($E$5:$E$200="In Progress")+($E$5:$E$200="Captured"))*($D$5:$D$200&lt;&gt;""))&gt;0),-500,VLOOKUP($F199,Lists!$L$2:$M$4,2,FALSE)+IF($E199="In Progress",10,0)+IF(AND($I199&lt;&gt;"",$I199&lt;TODAY()),25,0)+IF(AND($I199&lt;&gt;"",$I199&gt;=TODAY(),$I199&lt;=TODAY()+7),15,0)+IF($M199&lt;=VLOOKUP(Home!$C$7,Lists!$N$2:$O$6,2,FALSE),20,-10)+IF($G199=Home!$E$7,15,IF(Home!$E$7="",0,-5))-ROW()/100000)))</f>
        <v/>
      </c>
      <c r="O199" s="5">
        <f>IF($D199="","",IF($N199&lt;=-500,"Not recommended right now",TEXTJOIN(" • ",TRUE,IF($F199="High","High Priority",""),IF(AND($I199&lt;&gt;"",$I199&lt;TODAY()),"Overdue",""),IF(AND($I199&lt;&gt;"",$I199&gt;=TODAY(),$I199&lt;=TODAY()+7),"Due This Week",""),IF($M199&lt;=VLOOKUP(Home!$C$7,Lists!$N$2:$O$6,2,FALSE),$H199&amp;" Task",""),IF($G199=Home!$E$7,"Fits Current Energy",""),"No Blockers")))</f>
        <v/>
      </c>
      <c r="P199" s="5">
        <f>IF($D199="","",SWITCH('Task Finder'!$C$6,"High Priority",AND($F199="High",$E199&lt;&gt;"Done",$E199&lt;&gt;"Archive"),"Due This Week",AND($I199&lt;&gt;"",$I199&gt;=TODAY(),$I199&lt;=TODAY()+7,$E199&lt;&gt;"Done"),"Quick Wins (15 mins or less)",AND($M199&lt;=15,$E199&lt;&gt;"Done",$E199&lt;&gt;"Blocked"),"Deep Thinking",AND($G199="Deep Thinking",$E199&lt;&gt;"Done"),"Processing",AND($G199="Processing",$E199&lt;&gt;"Done"),"Blocked",$E199="Blocked","Waiting",$E199="Waiting","Recently Updated",AND($L199&lt;&gt;"",$L199&gt;=TODAY()-7),TRUE))</f>
        <v/>
      </c>
    </row>
    <row r="200">
      <c r="A200" s="19" t="n"/>
      <c r="B200" s="19" t="n"/>
      <c r="C200" s="19" t="n"/>
      <c r="D200" s="19" t="n"/>
      <c r="E200" s="19" t="n"/>
      <c r="F200" s="19" t="n"/>
      <c r="G200" s="19" t="n"/>
      <c r="H200" s="19" t="n"/>
      <c r="I200" s="19" t="n"/>
      <c r="J200" s="19" t="n"/>
      <c r="K200" s="19" t="n"/>
      <c r="L200" s="35" t="n"/>
      <c r="M200" s="5">
        <f>IF($D200="","",IFERROR(VLOOKUP($H200,Lists!$N$2:$O$6,2,FALSE),0))</f>
        <v/>
      </c>
      <c r="N200" s="5">
        <f>IF($D200="","",IF(OR($E200="Blocked",$E200="Done",$E200="Archive"),-9999,IF(AND($E200="Waiting",SUMPRODUCT((($E$5:$E$200="Next")+($E$5:$E$200="In Progress")+($E$5:$E$200="Captured"))*($D$5:$D$200&lt;&gt;""))&gt;0),-500,VLOOKUP($F200,Lists!$L$2:$M$4,2,FALSE)+IF($E200="In Progress",10,0)+IF(AND($I200&lt;&gt;"",$I200&lt;TODAY()),25,0)+IF(AND($I200&lt;&gt;"",$I200&gt;=TODAY(),$I200&lt;=TODAY()+7),15,0)+IF($M200&lt;=VLOOKUP(Home!$C$7,Lists!$N$2:$O$6,2,FALSE),20,-10)+IF($G200=Home!$E$7,15,IF(Home!$E$7="",0,-5))-ROW()/100000)))</f>
        <v/>
      </c>
      <c r="O200" s="5">
        <f>IF($D200="","",IF($N200&lt;=-500,"Not recommended right now",TEXTJOIN(" • ",TRUE,IF($F200="High","High Priority",""),IF(AND($I200&lt;&gt;"",$I200&lt;TODAY()),"Overdue",""),IF(AND($I200&lt;&gt;"",$I200&gt;=TODAY(),$I200&lt;=TODAY()+7),"Due This Week",""),IF($M200&lt;=VLOOKUP(Home!$C$7,Lists!$N$2:$O$6,2,FALSE),$H200&amp;" Task",""),IF($G200=Home!$E$7,"Fits Current Energy",""),"No Blockers")))</f>
        <v/>
      </c>
      <c r="P200" s="5">
        <f>IF($D200="","",SWITCH('Task Finder'!$C$6,"High Priority",AND($F200="High",$E200&lt;&gt;"Done",$E200&lt;&gt;"Archive"),"Due This Week",AND($I200&lt;&gt;"",$I200&gt;=TODAY(),$I200&lt;=TODAY()+7,$E200&lt;&gt;"Done"),"Quick Wins (15 mins or less)",AND($M200&lt;=15,$E200&lt;&gt;"Done",$E200&lt;&gt;"Blocked"),"Deep Thinking",AND($G200="Deep Thinking",$E200&lt;&gt;"Done"),"Processing",AND($G200="Processing",$E200&lt;&gt;"Done"),"Blocked",$E200="Blocked","Waiting",$E200="Waiting","Recently Updated",AND($L200&lt;&gt;"",$L200&gt;=TODAY()-7),TRUE))</f>
        <v/>
      </c>
    </row>
  </sheetData>
  <sheetProtection selectLockedCells="0" selectUnlockedCells="0" sheet="1" objects="0" insertRows="1" insertHyperlinks="1" autoFilter="1" scenarios="0" formatColumns="1" deleteColumns="1" insertColumns="1" pivotTables="1" deleteRows="1" formatCells="1" formatRows="1" sort="1"/>
  <conditionalFormatting sqref="E5:E1000">
    <cfRule type="cellIs" priority="1" operator="equal" dxfId="0">
      <formula>"Done"</formula>
    </cfRule>
    <cfRule type="cellIs" priority="2" operator="equal" dxfId="1">
      <formula>"In Progress"</formula>
    </cfRule>
    <cfRule type="cellIs" priority="3" operator="equal" dxfId="2">
      <formula>"Waiting"</formula>
    </cfRule>
    <cfRule type="cellIs" priority="4" operator="equal" dxfId="3">
      <formula>"Blocked"</formula>
    </cfRule>
    <cfRule type="cellIs" priority="5" operator="equal" dxfId="4">
      <formula>"Captured"</formula>
    </cfRule>
  </conditionalFormatting>
  <conditionalFormatting sqref="F5:F1000">
    <cfRule type="cellIs" priority="6" operator="equal" dxfId="3">
      <formula>"High"</formula>
    </cfRule>
    <cfRule type="cellIs" priority="7" operator="equal" dxfId="2">
      <formula>"Medium"</formula>
    </cfRule>
    <cfRule type="cellIs" priority="8" operator="equal" dxfId="0">
      <formula>"Low"</formula>
    </cfRule>
  </conditionalFormatting>
  <dataValidations count="4">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showDropDown="0" showInputMessage="0" showErrorMessage="0" allowBlank="1" type="list">
      <formula1>StatusList</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showDropDown="0" showInputMessage="0" showErrorMessage="0" allowBlank="1" type="list">
      <formula1>PriorityList</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showDropDown="0" showInputMessage="0" showErrorMessage="0" allowBlank="1" type="list">
      <formula1>EnergyList</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showDropDown="0" showInputMessage="0" showErrorMessage="0" allowBlank="1" type="list">
      <formula1>TimeList</formula1>
    </dataValidation>
  </dataValidation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0"/>
  <sheetViews>
    <sheetView showGridLines="0" workbookViewId="0">
      <selection activeCell="A1" sqref="A1"/>
    </sheetView>
  </sheetViews>
  <sheetFormatPr baseColWidth="8" defaultRowHeight="15"/>
  <cols>
    <col width="24" customWidth="1" min="1" max="1"/>
    <col width="10" customWidth="1" min="2" max="2"/>
    <col width="12" customWidth="1" min="3" max="3"/>
    <col width="14" customWidth="1" min="4" max="4"/>
    <col width="8" customWidth="1" min="5" max="5"/>
    <col width="10" customWidth="1" min="6" max="6"/>
    <col width="8" customWidth="1" min="7" max="7"/>
    <col width="10" customWidth="1" min="8" max="8"/>
    <col width="14" customWidth="1" min="9" max="9"/>
    <col width="13" customWidth="1" min="10" max="10"/>
    <col width="12" customWidth="1" min="11" max="11"/>
    <col width="13" customWidth="1" min="12" max="12"/>
    <col width="26" customWidth="1" min="14" max="14"/>
    <col width="9" customWidth="1" min="15" max="15"/>
    <col width="40" customWidth="1" min="16" max="16"/>
  </cols>
  <sheetData>
    <row r="1">
      <c r="A1" s="10" t="inlineStr">
        <is>
          <t>Missions</t>
        </is>
      </c>
      <c r="N1" s="3" t="inlineStr">
        <is>
          <t>Warning</t>
        </is>
      </c>
      <c r="O1" s="3" t="inlineStr">
        <is>
          <t>Active</t>
        </is>
      </c>
      <c r="P1" s="3" t="inlineStr">
        <is>
          <t>Detail</t>
        </is>
      </c>
    </row>
    <row r="2" ht="20" customHeight="1">
      <c r="A2" s="11" t="inlineStr">
        <is>
          <t>← Home</t>
        </is>
      </c>
      <c r="N2" s="5" t="inlineStr">
        <is>
          <t>Deep Thinking Overload</t>
        </is>
      </c>
      <c r="O2" s="36">
        <f>IF(Home!$D$26=0,FALSE,Home!$E$21&gt;0.6)</f>
        <v/>
      </c>
      <c r="P2" s="5" t="inlineStr">
        <is>
          <t>More than 60% of active work is Deep Thinking</t>
        </is>
      </c>
    </row>
    <row r="3">
      <c r="A3" s="33" t="inlineStr">
        <is>
          <t>One row per mission. Add a row here whenever you start a new mission — this powers Mission Balance and workload warnings.</t>
        </is>
      </c>
      <c r="N3" s="5" t="inlineStr">
        <is>
          <t>Too Many Blocked Tasks</t>
        </is>
      </c>
      <c r="O3" s="36">
        <f>COUNTIF('Work Register'!$E$5:$E$200,"Blocked")&gt;10</f>
        <v/>
      </c>
      <c r="P3" s="5" t="inlineStr">
        <is>
          <t>More than 10 tasks are Blocked</t>
        </is>
      </c>
    </row>
    <row r="4">
      <c r="A4" s="31" t="inlineStr">
        <is>
          <t>Mission</t>
        </is>
      </c>
      <c r="B4" s="31" t="inlineStr">
        <is>
          <t>Priority</t>
        </is>
      </c>
      <c r="C4" s="31" t="inlineStr">
        <is>
          <t>Due Date</t>
        </is>
      </c>
      <c r="D4" s="31" t="inlineStr">
        <is>
          <t>Status</t>
        </is>
      </c>
      <c r="E4" s="31" t="inlineStr">
        <is>
          <t>Open</t>
        </is>
      </c>
      <c r="F4" s="31" t="inlineStr">
        <is>
          <t>In Progress</t>
        </is>
      </c>
      <c r="G4" s="31" t="inlineStr">
        <is>
          <t>Blocked</t>
        </is>
      </c>
      <c r="H4" s="31" t="inlineStr">
        <is>
          <t>Completed</t>
        </is>
      </c>
      <c r="I4" s="31" t="inlineStr">
        <is>
          <t>Est. Remaining Hrs</t>
        </is>
      </c>
      <c r="J4" s="31" t="inlineStr">
        <is>
          <t>Last Activity</t>
        </is>
      </c>
      <c r="K4" s="31" t="inlineStr">
        <is>
          <t>No Next Action</t>
        </is>
      </c>
      <c r="L4" s="31" t="inlineStr">
        <is>
          <t>Inactive 14+ Days</t>
        </is>
      </c>
      <c r="N4" s="5" t="inlineStr">
        <is>
          <t>Mission Missing Next Action</t>
        </is>
      </c>
      <c r="O4" s="36">
        <f>COUNTIF($K$5:$K$20,TRUE)&gt;0</f>
        <v/>
      </c>
      <c r="P4" s="5" t="inlineStr">
        <is>
          <t>A mission has no task with Status = Next</t>
        </is>
      </c>
    </row>
    <row r="5">
      <c r="A5" s="35" t="inlineStr">
        <is>
          <t>Operational Resilience Framework</t>
        </is>
      </c>
      <c r="B5" s="17" t="inlineStr">
        <is>
          <t>High</t>
        </is>
      </c>
      <c r="C5" s="17" t="inlineStr">
        <is>
          <t>2026-09-15</t>
        </is>
      </c>
      <c r="D5" s="17" t="inlineStr">
        <is>
          <t>In Progress</t>
        </is>
      </c>
      <c r="E5" s="36">
        <f>IF($A5="","",COUNTIFS('Work Register'!$A$5:$A$200,$A5,'Work Register'!$E$5:$E$200,"Captured")+COUNTIFS('Work Register'!$A$5:$A$200,$A5,'Work Register'!$E$5:$E$200,"Next"))</f>
        <v/>
      </c>
      <c r="F5" s="36">
        <f>IF($A5="","",COUNTIFS('Work Register'!$A$5:$A$200,$A5,'Work Register'!$E$5:$E$200,"In Progress"))</f>
        <v/>
      </c>
      <c r="G5" s="36">
        <f>IF($A5="","",COUNTIFS('Work Register'!$A$5:$A$200,$A5,'Work Register'!$E$5:$E$200,"Blocked"))</f>
        <v/>
      </c>
      <c r="H5" s="36">
        <f>IF($A5="","",COUNTIFS('Work Register'!$A$5:$A$200,$A5,'Work Register'!$E$5:$E$200,"Done"))</f>
        <v/>
      </c>
      <c r="I5" s="36">
        <f>IF($A5="","",ROUND(SUMIFS('Work Register'!$M$5:$M$200,'Work Register'!$A$5:$A$200,$A5,'Work Register'!$E$5:$E$200,"&lt;&gt;Done")/60,1))</f>
        <v/>
      </c>
      <c r="J5" s="37">
        <f>IF($A5="","",IFERROR(MAXIFS('Work Register'!$L$5:$L$200,'Work Register'!$A$5:$A$200,$A5),""))</f>
        <v/>
      </c>
      <c r="K5" s="36">
        <f>IF($A5="",FALSE,COUNTIFS('Work Register'!$A$5:$A$200,$A5,'Work Register'!$E$5:$E$200,"Next")=0)</f>
        <v/>
      </c>
      <c r="L5" s="36">
        <f>IF($A5="",FALSE,AND($J5&lt;&gt;"",$J5&lt;TODAY()-14,$D5&lt;&gt;"Done"))</f>
        <v/>
      </c>
      <c r="N5" s="5" t="inlineStr">
        <is>
          <t>Mission Inactive 14+ Days</t>
        </is>
      </c>
      <c r="O5" s="36">
        <f>COUNTIF($L$5:$L$20,TRUE)&gt;0</f>
        <v/>
      </c>
      <c r="P5" s="5" t="inlineStr">
        <is>
          <t>A mission has had no activity in 14+ days</t>
        </is>
      </c>
    </row>
    <row r="6">
      <c r="A6" s="35" t="inlineStr">
        <is>
          <t>Client Onboarding Playbook</t>
        </is>
      </c>
      <c r="B6" s="17" t="inlineStr">
        <is>
          <t>High</t>
        </is>
      </c>
      <c r="C6" s="17" t="inlineStr">
        <is>
          <t>2026-08-20</t>
        </is>
      </c>
      <c r="D6" s="17" t="inlineStr">
        <is>
          <t>In Progress</t>
        </is>
      </c>
      <c r="E6" s="36">
        <f>IF($A6="","",COUNTIFS('Work Register'!$A$5:$A$200,$A6,'Work Register'!$E$5:$E$200,"Captured")+COUNTIFS('Work Register'!$A$5:$A$200,$A6,'Work Register'!$E$5:$E$200,"Next"))</f>
        <v/>
      </c>
      <c r="F6" s="36">
        <f>IF($A6="","",COUNTIFS('Work Register'!$A$5:$A$200,$A6,'Work Register'!$E$5:$E$200,"In Progress"))</f>
        <v/>
      </c>
      <c r="G6" s="36">
        <f>IF($A6="","",COUNTIFS('Work Register'!$A$5:$A$200,$A6,'Work Register'!$E$5:$E$200,"Blocked"))</f>
        <v/>
      </c>
      <c r="H6" s="36">
        <f>IF($A6="","",COUNTIFS('Work Register'!$A$5:$A$200,$A6,'Work Register'!$E$5:$E$200,"Done"))</f>
        <v/>
      </c>
      <c r="I6" s="36">
        <f>IF($A6="","",ROUND(SUMIFS('Work Register'!$M$5:$M$200,'Work Register'!$A$5:$A$200,$A6,'Work Register'!$E$5:$E$200,"&lt;&gt;Done")/60,1))</f>
        <v/>
      </c>
      <c r="J6" s="37">
        <f>IF($A6="","",IFERROR(MAXIFS('Work Register'!$L$5:$L$200,'Work Register'!$A$5:$A$200,$A6),""))</f>
        <v/>
      </c>
      <c r="K6" s="36">
        <f>IF($A6="",FALSE,COUNTIFS('Work Register'!$A$5:$A$200,$A6,'Work Register'!$E$5:$E$200,"Next")=0)</f>
        <v/>
      </c>
      <c r="L6" s="36">
        <f>IF($A6="",FALSE,AND($J6&lt;&gt;"",$J6&lt;TODAY()-14,$D6&lt;&gt;"Done"))</f>
        <v/>
      </c>
      <c r="N6" s="5" t="inlineStr">
        <is>
          <t>Overdue Tasks</t>
        </is>
      </c>
      <c r="O6" s="36">
        <f>COUNTIFS('Work Register'!$I$5:$I$200,"&lt;&gt;",'Work Register'!$I$5:$I$200,"&lt;"&amp;TODAY(),'Work Register'!$E$5:$E$200,"&lt;&gt;Done")&gt;0</f>
        <v/>
      </c>
      <c r="P6" s="5" t="inlineStr">
        <is>
          <t>One or more tasks are past their Due Date</t>
        </is>
      </c>
    </row>
    <row r="7">
      <c r="A7" s="35" t="n"/>
      <c r="B7" s="17" t="n"/>
      <c r="C7" s="17" t="n"/>
      <c r="D7" s="17" t="n"/>
      <c r="E7" s="36">
        <f>IF($A7="","",COUNTIFS('Work Register'!$A$5:$A$200,$A7,'Work Register'!$E$5:$E$200,"Captured")+COUNTIFS('Work Register'!$A$5:$A$200,$A7,'Work Register'!$E$5:$E$200,"Next"))</f>
        <v/>
      </c>
      <c r="F7" s="36">
        <f>IF($A7="","",COUNTIFS('Work Register'!$A$5:$A$200,$A7,'Work Register'!$E$5:$E$200,"In Progress"))</f>
        <v/>
      </c>
      <c r="G7" s="36">
        <f>IF($A7="","",COUNTIFS('Work Register'!$A$5:$A$200,$A7,'Work Register'!$E$5:$E$200,"Blocked"))</f>
        <v/>
      </c>
      <c r="H7" s="36">
        <f>IF($A7="","",COUNTIFS('Work Register'!$A$5:$A$200,$A7,'Work Register'!$E$5:$E$200,"Done"))</f>
        <v/>
      </c>
      <c r="I7" s="36">
        <f>IF($A7="","",ROUND(SUMIFS('Work Register'!$M$5:$M$200,'Work Register'!$A$5:$A$200,$A7,'Work Register'!$E$5:$E$200,"&lt;&gt;Done")/60,1))</f>
        <v/>
      </c>
      <c r="J7" s="37">
        <f>IF($A7="","",IFERROR(MAXIFS('Work Register'!$L$5:$L$200,'Work Register'!$A$5:$A$200,$A7),""))</f>
        <v/>
      </c>
      <c r="K7" s="36">
        <f>IF($A7="",FALSE,COUNTIFS('Work Register'!$A$5:$A$200,$A7,'Work Register'!$E$5:$E$200,"Next")=0)</f>
        <v/>
      </c>
      <c r="L7" s="36">
        <f>IF($A7="",FALSE,AND($J7&lt;&gt;"",$J7&lt;TODAY()-14,$D7&lt;&gt;"Done"))</f>
        <v/>
      </c>
      <c r="N7" s="5" t="inlineStr">
        <is>
          <t>Too Many High Priority</t>
        </is>
      </c>
      <c r="O7" s="36">
        <f>COUNTIFS('Work Register'!$F$5:$F$200,"High",'Work Register'!$E$5:$E$200,"&lt;&gt;Done")&gt;5</f>
        <v/>
      </c>
      <c r="P7" s="5" t="inlineStr">
        <is>
          <t>More than 5 active tasks are High Priority</t>
        </is>
      </c>
    </row>
    <row r="8">
      <c r="A8" s="35" t="n"/>
      <c r="B8" s="17" t="n"/>
      <c r="C8" s="17" t="n"/>
      <c r="D8" s="17" t="n"/>
      <c r="E8" s="36">
        <f>IF($A8="","",COUNTIFS('Work Register'!$A$5:$A$200,$A8,'Work Register'!$E$5:$E$200,"Captured")+COUNTIFS('Work Register'!$A$5:$A$200,$A8,'Work Register'!$E$5:$E$200,"Next"))</f>
        <v/>
      </c>
      <c r="F8" s="36">
        <f>IF($A8="","",COUNTIFS('Work Register'!$A$5:$A$200,$A8,'Work Register'!$E$5:$E$200,"In Progress"))</f>
        <v/>
      </c>
      <c r="G8" s="36">
        <f>IF($A8="","",COUNTIFS('Work Register'!$A$5:$A$200,$A8,'Work Register'!$E$5:$E$200,"Blocked"))</f>
        <v/>
      </c>
      <c r="H8" s="36">
        <f>IF($A8="","",COUNTIFS('Work Register'!$A$5:$A$200,$A8,'Work Register'!$E$5:$E$200,"Done"))</f>
        <v/>
      </c>
      <c r="I8" s="36">
        <f>IF($A8="","",ROUND(SUMIFS('Work Register'!$M$5:$M$200,'Work Register'!$A$5:$A$200,$A8,'Work Register'!$E$5:$E$200,"&lt;&gt;Done")/60,1))</f>
        <v/>
      </c>
      <c r="J8" s="37">
        <f>IF($A8="","",IFERROR(MAXIFS('Work Register'!$L$5:$L$200,'Work Register'!$A$5:$A$200,$A8),""))</f>
        <v/>
      </c>
      <c r="K8" s="36">
        <f>IF($A8="",FALSE,COUNTIFS('Work Register'!$A$5:$A$200,$A8,'Work Register'!$E$5:$E$200,"Next")=0)</f>
        <v/>
      </c>
      <c r="L8" s="36">
        <f>IF($A8="",FALSE,AND($J8&lt;&gt;"",$J8&lt;TODAY()-14,$D8&lt;&gt;"Done"))</f>
        <v/>
      </c>
    </row>
    <row r="9">
      <c r="A9" s="35" t="n"/>
      <c r="B9" s="17" t="n"/>
      <c r="C9" s="17" t="n"/>
      <c r="D9" s="17" t="n"/>
      <c r="E9" s="36">
        <f>IF($A9="","",COUNTIFS('Work Register'!$A$5:$A$200,$A9,'Work Register'!$E$5:$E$200,"Captured")+COUNTIFS('Work Register'!$A$5:$A$200,$A9,'Work Register'!$E$5:$E$200,"Next"))</f>
        <v/>
      </c>
      <c r="F9" s="36">
        <f>IF($A9="","",COUNTIFS('Work Register'!$A$5:$A$200,$A9,'Work Register'!$E$5:$E$200,"In Progress"))</f>
        <v/>
      </c>
      <c r="G9" s="36">
        <f>IF($A9="","",COUNTIFS('Work Register'!$A$5:$A$200,$A9,'Work Register'!$E$5:$E$200,"Blocked"))</f>
        <v/>
      </c>
      <c r="H9" s="36">
        <f>IF($A9="","",COUNTIFS('Work Register'!$A$5:$A$200,$A9,'Work Register'!$E$5:$E$200,"Done"))</f>
        <v/>
      </c>
      <c r="I9" s="36">
        <f>IF($A9="","",ROUND(SUMIFS('Work Register'!$M$5:$M$200,'Work Register'!$A$5:$A$200,$A9,'Work Register'!$E$5:$E$200,"&lt;&gt;Done")/60,1))</f>
        <v/>
      </c>
      <c r="J9" s="37">
        <f>IF($A9="","",IFERROR(MAXIFS('Work Register'!$L$5:$L$200,'Work Register'!$A$5:$A$200,$A9),""))</f>
        <v/>
      </c>
      <c r="K9" s="36">
        <f>IF($A9="",FALSE,COUNTIFS('Work Register'!$A$5:$A$200,$A9,'Work Register'!$E$5:$E$200,"Next")=0)</f>
        <v/>
      </c>
      <c r="L9" s="36">
        <f>IF($A9="",FALSE,AND($J9&lt;&gt;"",$J9&lt;TODAY()-14,$D9&lt;&gt;"Done"))</f>
        <v/>
      </c>
    </row>
    <row r="10">
      <c r="A10" s="35" t="n"/>
      <c r="B10" s="17" t="n"/>
      <c r="C10" s="17" t="n"/>
      <c r="D10" s="17" t="n"/>
      <c r="E10" s="36">
        <f>IF($A10="","",COUNTIFS('Work Register'!$A$5:$A$200,$A10,'Work Register'!$E$5:$E$200,"Captured")+COUNTIFS('Work Register'!$A$5:$A$200,$A10,'Work Register'!$E$5:$E$200,"Next"))</f>
        <v/>
      </c>
      <c r="F10" s="36">
        <f>IF($A10="","",COUNTIFS('Work Register'!$A$5:$A$200,$A10,'Work Register'!$E$5:$E$200,"In Progress"))</f>
        <v/>
      </c>
      <c r="G10" s="36">
        <f>IF($A10="","",COUNTIFS('Work Register'!$A$5:$A$200,$A10,'Work Register'!$E$5:$E$200,"Blocked"))</f>
        <v/>
      </c>
      <c r="H10" s="36">
        <f>IF($A10="","",COUNTIFS('Work Register'!$A$5:$A$200,$A10,'Work Register'!$E$5:$E$200,"Done"))</f>
        <v/>
      </c>
      <c r="I10" s="36">
        <f>IF($A10="","",ROUND(SUMIFS('Work Register'!$M$5:$M$200,'Work Register'!$A$5:$A$200,$A10,'Work Register'!$E$5:$E$200,"&lt;&gt;Done")/60,1))</f>
        <v/>
      </c>
      <c r="J10" s="37">
        <f>IF($A10="","",IFERROR(MAXIFS('Work Register'!$L$5:$L$200,'Work Register'!$A$5:$A$200,$A10),""))</f>
        <v/>
      </c>
      <c r="K10" s="36">
        <f>IF($A10="",FALSE,COUNTIFS('Work Register'!$A$5:$A$200,$A10,'Work Register'!$E$5:$E$200,"Next")=0)</f>
        <v/>
      </c>
      <c r="L10" s="36">
        <f>IF($A10="",FALSE,AND($J10&lt;&gt;"",$J10&lt;TODAY()-14,$D10&lt;&gt;"Done"))</f>
        <v/>
      </c>
    </row>
    <row r="11">
      <c r="A11" s="35" t="n"/>
      <c r="B11" s="17" t="n"/>
      <c r="C11" s="17" t="n"/>
      <c r="D11" s="17" t="n"/>
      <c r="E11" s="36">
        <f>IF($A11="","",COUNTIFS('Work Register'!$A$5:$A$200,$A11,'Work Register'!$E$5:$E$200,"Captured")+COUNTIFS('Work Register'!$A$5:$A$200,$A11,'Work Register'!$E$5:$E$200,"Next"))</f>
        <v/>
      </c>
      <c r="F11" s="36">
        <f>IF($A11="","",COUNTIFS('Work Register'!$A$5:$A$200,$A11,'Work Register'!$E$5:$E$200,"In Progress"))</f>
        <v/>
      </c>
      <c r="G11" s="36">
        <f>IF($A11="","",COUNTIFS('Work Register'!$A$5:$A$200,$A11,'Work Register'!$E$5:$E$200,"Blocked"))</f>
        <v/>
      </c>
      <c r="H11" s="36">
        <f>IF($A11="","",COUNTIFS('Work Register'!$A$5:$A$200,$A11,'Work Register'!$E$5:$E$200,"Done"))</f>
        <v/>
      </c>
      <c r="I11" s="36">
        <f>IF($A11="","",ROUND(SUMIFS('Work Register'!$M$5:$M$200,'Work Register'!$A$5:$A$200,$A11,'Work Register'!$E$5:$E$200,"&lt;&gt;Done")/60,1))</f>
        <v/>
      </c>
      <c r="J11" s="37">
        <f>IF($A11="","",IFERROR(MAXIFS('Work Register'!$L$5:$L$200,'Work Register'!$A$5:$A$200,$A11),""))</f>
        <v/>
      </c>
      <c r="K11" s="36">
        <f>IF($A11="",FALSE,COUNTIFS('Work Register'!$A$5:$A$200,$A11,'Work Register'!$E$5:$E$200,"Next")=0)</f>
        <v/>
      </c>
      <c r="L11" s="36">
        <f>IF($A11="",FALSE,AND($J11&lt;&gt;"",$J11&lt;TODAY()-14,$D11&lt;&gt;"Done"))</f>
        <v/>
      </c>
    </row>
    <row r="12">
      <c r="A12" s="35" t="n"/>
      <c r="B12" s="17" t="n"/>
      <c r="C12" s="17" t="n"/>
      <c r="D12" s="17" t="n"/>
      <c r="E12" s="36">
        <f>IF($A12="","",COUNTIFS('Work Register'!$A$5:$A$200,$A12,'Work Register'!$E$5:$E$200,"Captured")+COUNTIFS('Work Register'!$A$5:$A$200,$A12,'Work Register'!$E$5:$E$200,"Next"))</f>
        <v/>
      </c>
      <c r="F12" s="36">
        <f>IF($A12="","",COUNTIFS('Work Register'!$A$5:$A$200,$A12,'Work Register'!$E$5:$E$200,"In Progress"))</f>
        <v/>
      </c>
      <c r="G12" s="36">
        <f>IF($A12="","",COUNTIFS('Work Register'!$A$5:$A$200,$A12,'Work Register'!$E$5:$E$200,"Blocked"))</f>
        <v/>
      </c>
      <c r="H12" s="36">
        <f>IF($A12="","",COUNTIFS('Work Register'!$A$5:$A$200,$A12,'Work Register'!$E$5:$E$200,"Done"))</f>
        <v/>
      </c>
      <c r="I12" s="36">
        <f>IF($A12="","",ROUND(SUMIFS('Work Register'!$M$5:$M$200,'Work Register'!$A$5:$A$200,$A12,'Work Register'!$E$5:$E$200,"&lt;&gt;Done")/60,1))</f>
        <v/>
      </c>
      <c r="J12" s="37">
        <f>IF($A12="","",IFERROR(MAXIFS('Work Register'!$L$5:$L$200,'Work Register'!$A$5:$A$200,$A12),""))</f>
        <v/>
      </c>
      <c r="K12" s="36">
        <f>IF($A12="",FALSE,COUNTIFS('Work Register'!$A$5:$A$200,$A12,'Work Register'!$E$5:$E$200,"Next")=0)</f>
        <v/>
      </c>
      <c r="L12" s="36">
        <f>IF($A12="",FALSE,AND($J12&lt;&gt;"",$J12&lt;TODAY()-14,$D12&lt;&gt;"Done"))</f>
        <v/>
      </c>
    </row>
    <row r="13">
      <c r="A13" s="35" t="n"/>
      <c r="B13" s="17" t="n"/>
      <c r="C13" s="17" t="n"/>
      <c r="D13" s="17" t="n"/>
      <c r="E13" s="36">
        <f>IF($A13="","",COUNTIFS('Work Register'!$A$5:$A$200,$A13,'Work Register'!$E$5:$E$200,"Captured")+COUNTIFS('Work Register'!$A$5:$A$200,$A13,'Work Register'!$E$5:$E$200,"Next"))</f>
        <v/>
      </c>
      <c r="F13" s="36">
        <f>IF($A13="","",COUNTIFS('Work Register'!$A$5:$A$200,$A13,'Work Register'!$E$5:$E$200,"In Progress"))</f>
        <v/>
      </c>
      <c r="G13" s="36">
        <f>IF($A13="","",COUNTIFS('Work Register'!$A$5:$A$200,$A13,'Work Register'!$E$5:$E$200,"Blocked"))</f>
        <v/>
      </c>
      <c r="H13" s="36">
        <f>IF($A13="","",COUNTIFS('Work Register'!$A$5:$A$200,$A13,'Work Register'!$E$5:$E$200,"Done"))</f>
        <v/>
      </c>
      <c r="I13" s="36">
        <f>IF($A13="","",ROUND(SUMIFS('Work Register'!$M$5:$M$200,'Work Register'!$A$5:$A$200,$A13,'Work Register'!$E$5:$E$200,"&lt;&gt;Done")/60,1))</f>
        <v/>
      </c>
      <c r="J13" s="37">
        <f>IF($A13="","",IFERROR(MAXIFS('Work Register'!$L$5:$L$200,'Work Register'!$A$5:$A$200,$A13),""))</f>
        <v/>
      </c>
      <c r="K13" s="36">
        <f>IF($A13="",FALSE,COUNTIFS('Work Register'!$A$5:$A$200,$A13,'Work Register'!$E$5:$E$200,"Next")=0)</f>
        <v/>
      </c>
      <c r="L13" s="36">
        <f>IF($A13="",FALSE,AND($J13&lt;&gt;"",$J13&lt;TODAY()-14,$D13&lt;&gt;"Done"))</f>
        <v/>
      </c>
    </row>
    <row r="14">
      <c r="A14" s="35" t="n"/>
      <c r="B14" s="17" t="n"/>
      <c r="C14" s="17" t="n"/>
      <c r="D14" s="17" t="n"/>
      <c r="E14" s="36">
        <f>IF($A14="","",COUNTIFS('Work Register'!$A$5:$A$200,$A14,'Work Register'!$E$5:$E$200,"Captured")+COUNTIFS('Work Register'!$A$5:$A$200,$A14,'Work Register'!$E$5:$E$200,"Next"))</f>
        <v/>
      </c>
      <c r="F14" s="36">
        <f>IF($A14="","",COUNTIFS('Work Register'!$A$5:$A$200,$A14,'Work Register'!$E$5:$E$200,"In Progress"))</f>
        <v/>
      </c>
      <c r="G14" s="36">
        <f>IF($A14="","",COUNTIFS('Work Register'!$A$5:$A$200,$A14,'Work Register'!$E$5:$E$200,"Blocked"))</f>
        <v/>
      </c>
      <c r="H14" s="36">
        <f>IF($A14="","",COUNTIFS('Work Register'!$A$5:$A$200,$A14,'Work Register'!$E$5:$E$200,"Done"))</f>
        <v/>
      </c>
      <c r="I14" s="36">
        <f>IF($A14="","",ROUND(SUMIFS('Work Register'!$M$5:$M$200,'Work Register'!$A$5:$A$200,$A14,'Work Register'!$E$5:$E$200,"&lt;&gt;Done")/60,1))</f>
        <v/>
      </c>
      <c r="J14" s="37">
        <f>IF($A14="","",IFERROR(MAXIFS('Work Register'!$L$5:$L$200,'Work Register'!$A$5:$A$200,$A14),""))</f>
        <v/>
      </c>
      <c r="K14" s="36">
        <f>IF($A14="",FALSE,COUNTIFS('Work Register'!$A$5:$A$200,$A14,'Work Register'!$E$5:$E$200,"Next")=0)</f>
        <v/>
      </c>
      <c r="L14" s="36">
        <f>IF($A14="",FALSE,AND($J14&lt;&gt;"",$J14&lt;TODAY()-14,$D14&lt;&gt;"Done"))</f>
        <v/>
      </c>
    </row>
    <row r="15">
      <c r="A15" s="35" t="n"/>
      <c r="B15" s="17" t="n"/>
      <c r="C15" s="17" t="n"/>
      <c r="D15" s="17" t="n"/>
      <c r="E15" s="36">
        <f>IF($A15="","",COUNTIFS('Work Register'!$A$5:$A$200,$A15,'Work Register'!$E$5:$E$200,"Captured")+COUNTIFS('Work Register'!$A$5:$A$200,$A15,'Work Register'!$E$5:$E$200,"Next"))</f>
        <v/>
      </c>
      <c r="F15" s="36">
        <f>IF($A15="","",COUNTIFS('Work Register'!$A$5:$A$200,$A15,'Work Register'!$E$5:$E$200,"In Progress"))</f>
        <v/>
      </c>
      <c r="G15" s="36">
        <f>IF($A15="","",COUNTIFS('Work Register'!$A$5:$A$200,$A15,'Work Register'!$E$5:$E$200,"Blocked"))</f>
        <v/>
      </c>
      <c r="H15" s="36">
        <f>IF($A15="","",COUNTIFS('Work Register'!$A$5:$A$200,$A15,'Work Register'!$E$5:$E$200,"Done"))</f>
        <v/>
      </c>
      <c r="I15" s="36">
        <f>IF($A15="","",ROUND(SUMIFS('Work Register'!$M$5:$M$200,'Work Register'!$A$5:$A$200,$A15,'Work Register'!$E$5:$E$200,"&lt;&gt;Done")/60,1))</f>
        <v/>
      </c>
      <c r="J15" s="37">
        <f>IF($A15="","",IFERROR(MAXIFS('Work Register'!$L$5:$L$200,'Work Register'!$A$5:$A$200,$A15),""))</f>
        <v/>
      </c>
      <c r="K15" s="36">
        <f>IF($A15="",FALSE,COUNTIFS('Work Register'!$A$5:$A$200,$A15,'Work Register'!$E$5:$E$200,"Next")=0)</f>
        <v/>
      </c>
      <c r="L15" s="36">
        <f>IF($A15="",FALSE,AND($J15&lt;&gt;"",$J15&lt;TODAY()-14,$D15&lt;&gt;"Done"))</f>
        <v/>
      </c>
    </row>
    <row r="16">
      <c r="A16" s="35" t="n"/>
      <c r="B16" s="17" t="n"/>
      <c r="C16" s="17" t="n"/>
      <c r="D16" s="17" t="n"/>
      <c r="E16" s="36">
        <f>IF($A16="","",COUNTIFS('Work Register'!$A$5:$A$200,$A16,'Work Register'!$E$5:$E$200,"Captured")+COUNTIFS('Work Register'!$A$5:$A$200,$A16,'Work Register'!$E$5:$E$200,"Next"))</f>
        <v/>
      </c>
      <c r="F16" s="36">
        <f>IF($A16="","",COUNTIFS('Work Register'!$A$5:$A$200,$A16,'Work Register'!$E$5:$E$200,"In Progress"))</f>
        <v/>
      </c>
      <c r="G16" s="36">
        <f>IF($A16="","",COUNTIFS('Work Register'!$A$5:$A$200,$A16,'Work Register'!$E$5:$E$200,"Blocked"))</f>
        <v/>
      </c>
      <c r="H16" s="36">
        <f>IF($A16="","",COUNTIFS('Work Register'!$A$5:$A$200,$A16,'Work Register'!$E$5:$E$200,"Done"))</f>
        <v/>
      </c>
      <c r="I16" s="36">
        <f>IF($A16="","",ROUND(SUMIFS('Work Register'!$M$5:$M$200,'Work Register'!$A$5:$A$200,$A16,'Work Register'!$E$5:$E$200,"&lt;&gt;Done")/60,1))</f>
        <v/>
      </c>
      <c r="J16" s="37">
        <f>IF($A16="","",IFERROR(MAXIFS('Work Register'!$L$5:$L$200,'Work Register'!$A$5:$A$200,$A16),""))</f>
        <v/>
      </c>
      <c r="K16" s="36">
        <f>IF($A16="",FALSE,COUNTIFS('Work Register'!$A$5:$A$200,$A16,'Work Register'!$E$5:$E$200,"Next")=0)</f>
        <v/>
      </c>
      <c r="L16" s="36">
        <f>IF($A16="",FALSE,AND($J16&lt;&gt;"",$J16&lt;TODAY()-14,$D16&lt;&gt;"Done"))</f>
        <v/>
      </c>
    </row>
    <row r="17">
      <c r="A17" s="35" t="n"/>
      <c r="B17" s="17" t="n"/>
      <c r="C17" s="17" t="n"/>
      <c r="D17" s="17" t="n"/>
      <c r="E17" s="36">
        <f>IF($A17="","",COUNTIFS('Work Register'!$A$5:$A$200,$A17,'Work Register'!$E$5:$E$200,"Captured")+COUNTIFS('Work Register'!$A$5:$A$200,$A17,'Work Register'!$E$5:$E$200,"Next"))</f>
        <v/>
      </c>
      <c r="F17" s="36">
        <f>IF($A17="","",COUNTIFS('Work Register'!$A$5:$A$200,$A17,'Work Register'!$E$5:$E$200,"In Progress"))</f>
        <v/>
      </c>
      <c r="G17" s="36">
        <f>IF($A17="","",COUNTIFS('Work Register'!$A$5:$A$200,$A17,'Work Register'!$E$5:$E$200,"Blocked"))</f>
        <v/>
      </c>
      <c r="H17" s="36">
        <f>IF($A17="","",COUNTIFS('Work Register'!$A$5:$A$200,$A17,'Work Register'!$E$5:$E$200,"Done"))</f>
        <v/>
      </c>
      <c r="I17" s="36">
        <f>IF($A17="","",ROUND(SUMIFS('Work Register'!$M$5:$M$200,'Work Register'!$A$5:$A$200,$A17,'Work Register'!$E$5:$E$200,"&lt;&gt;Done")/60,1))</f>
        <v/>
      </c>
      <c r="J17" s="37">
        <f>IF($A17="","",IFERROR(MAXIFS('Work Register'!$L$5:$L$200,'Work Register'!$A$5:$A$200,$A17),""))</f>
        <v/>
      </c>
      <c r="K17" s="36">
        <f>IF($A17="",FALSE,COUNTIFS('Work Register'!$A$5:$A$200,$A17,'Work Register'!$E$5:$E$200,"Next")=0)</f>
        <v/>
      </c>
      <c r="L17" s="36">
        <f>IF($A17="",FALSE,AND($J17&lt;&gt;"",$J17&lt;TODAY()-14,$D17&lt;&gt;"Done"))</f>
        <v/>
      </c>
    </row>
    <row r="18">
      <c r="A18" s="35" t="n"/>
      <c r="B18" s="17" t="n"/>
      <c r="C18" s="17" t="n"/>
      <c r="D18" s="17" t="n"/>
      <c r="E18" s="36">
        <f>IF($A18="","",COUNTIFS('Work Register'!$A$5:$A$200,$A18,'Work Register'!$E$5:$E$200,"Captured")+COUNTIFS('Work Register'!$A$5:$A$200,$A18,'Work Register'!$E$5:$E$200,"Next"))</f>
        <v/>
      </c>
      <c r="F18" s="36">
        <f>IF($A18="","",COUNTIFS('Work Register'!$A$5:$A$200,$A18,'Work Register'!$E$5:$E$200,"In Progress"))</f>
        <v/>
      </c>
      <c r="G18" s="36">
        <f>IF($A18="","",COUNTIFS('Work Register'!$A$5:$A$200,$A18,'Work Register'!$E$5:$E$200,"Blocked"))</f>
        <v/>
      </c>
      <c r="H18" s="36">
        <f>IF($A18="","",COUNTIFS('Work Register'!$A$5:$A$200,$A18,'Work Register'!$E$5:$E$200,"Done"))</f>
        <v/>
      </c>
      <c r="I18" s="36">
        <f>IF($A18="","",ROUND(SUMIFS('Work Register'!$M$5:$M$200,'Work Register'!$A$5:$A$200,$A18,'Work Register'!$E$5:$E$200,"&lt;&gt;Done")/60,1))</f>
        <v/>
      </c>
      <c r="J18" s="37">
        <f>IF($A18="","",IFERROR(MAXIFS('Work Register'!$L$5:$L$200,'Work Register'!$A$5:$A$200,$A18),""))</f>
        <v/>
      </c>
      <c r="K18" s="36">
        <f>IF($A18="",FALSE,COUNTIFS('Work Register'!$A$5:$A$200,$A18,'Work Register'!$E$5:$E$200,"Next")=0)</f>
        <v/>
      </c>
      <c r="L18" s="36">
        <f>IF($A18="",FALSE,AND($J18&lt;&gt;"",$J18&lt;TODAY()-14,$D18&lt;&gt;"Done"))</f>
        <v/>
      </c>
    </row>
    <row r="19">
      <c r="A19" s="35" t="n"/>
      <c r="B19" s="17" t="n"/>
      <c r="C19" s="17" t="n"/>
      <c r="D19" s="17" t="n"/>
      <c r="E19" s="36">
        <f>IF($A19="","",COUNTIFS('Work Register'!$A$5:$A$200,$A19,'Work Register'!$E$5:$E$200,"Captured")+COUNTIFS('Work Register'!$A$5:$A$200,$A19,'Work Register'!$E$5:$E$200,"Next"))</f>
        <v/>
      </c>
      <c r="F19" s="36">
        <f>IF($A19="","",COUNTIFS('Work Register'!$A$5:$A$200,$A19,'Work Register'!$E$5:$E$200,"In Progress"))</f>
        <v/>
      </c>
      <c r="G19" s="36">
        <f>IF($A19="","",COUNTIFS('Work Register'!$A$5:$A$200,$A19,'Work Register'!$E$5:$E$200,"Blocked"))</f>
        <v/>
      </c>
      <c r="H19" s="36">
        <f>IF($A19="","",COUNTIFS('Work Register'!$A$5:$A$200,$A19,'Work Register'!$E$5:$E$200,"Done"))</f>
        <v/>
      </c>
      <c r="I19" s="36">
        <f>IF($A19="","",ROUND(SUMIFS('Work Register'!$M$5:$M$200,'Work Register'!$A$5:$A$200,$A19,'Work Register'!$E$5:$E$200,"&lt;&gt;Done")/60,1))</f>
        <v/>
      </c>
      <c r="J19" s="37">
        <f>IF($A19="","",IFERROR(MAXIFS('Work Register'!$L$5:$L$200,'Work Register'!$A$5:$A$200,$A19),""))</f>
        <v/>
      </c>
      <c r="K19" s="36">
        <f>IF($A19="",FALSE,COUNTIFS('Work Register'!$A$5:$A$200,$A19,'Work Register'!$E$5:$E$200,"Next")=0)</f>
        <v/>
      </c>
      <c r="L19" s="36">
        <f>IF($A19="",FALSE,AND($J19&lt;&gt;"",$J19&lt;TODAY()-14,$D19&lt;&gt;"Done"))</f>
        <v/>
      </c>
    </row>
    <row r="20">
      <c r="A20" s="35" t="n"/>
      <c r="B20" s="17" t="n"/>
      <c r="C20" s="17" t="n"/>
      <c r="D20" s="17" t="n"/>
      <c r="E20" s="36">
        <f>IF($A20="","",COUNTIFS('Work Register'!$A$5:$A$200,$A20,'Work Register'!$E$5:$E$200,"Captured")+COUNTIFS('Work Register'!$A$5:$A$200,$A20,'Work Register'!$E$5:$E$200,"Next"))</f>
        <v/>
      </c>
      <c r="F20" s="36">
        <f>IF($A20="","",COUNTIFS('Work Register'!$A$5:$A$200,$A20,'Work Register'!$E$5:$E$200,"In Progress"))</f>
        <v/>
      </c>
      <c r="G20" s="36">
        <f>IF($A20="","",COUNTIFS('Work Register'!$A$5:$A$200,$A20,'Work Register'!$E$5:$E$200,"Blocked"))</f>
        <v/>
      </c>
      <c r="H20" s="36">
        <f>IF($A20="","",COUNTIFS('Work Register'!$A$5:$A$200,$A20,'Work Register'!$E$5:$E$200,"Done"))</f>
        <v/>
      </c>
      <c r="I20" s="36">
        <f>IF($A20="","",ROUND(SUMIFS('Work Register'!$M$5:$M$200,'Work Register'!$A$5:$A$200,$A20,'Work Register'!$E$5:$E$200,"&lt;&gt;Done")/60,1))</f>
        <v/>
      </c>
      <c r="J20" s="37">
        <f>IF($A20="","",IFERROR(MAXIFS('Work Register'!$L$5:$L$200,'Work Register'!$A$5:$A$200,$A20),""))</f>
        <v/>
      </c>
      <c r="K20" s="36">
        <f>IF($A20="",FALSE,COUNTIFS('Work Register'!$A$5:$A$200,$A20,'Work Register'!$E$5:$E$200,"Next")=0)</f>
        <v/>
      </c>
      <c r="L20" s="36">
        <f>IF($A20="",FALSE,AND($J20&lt;&gt;"",$J20&lt;TODAY()-14,$D20&lt;&gt;"Done"))</f>
        <v/>
      </c>
    </row>
  </sheetData>
  <sheetProtection selectLockedCells="0" selectUnlockedCells="0" sheet="1" objects="0" insertRows="1" insertHyperlinks="1" autoFilter="1" scenarios="0" formatColumns="1" deleteColumns="1" insertColumns="1" pivotTables="1" deleteRows="1" formatCells="1" formatRows="1" sort="1"/>
  <mergeCells count="1">
    <mergeCell ref="A3:D3"/>
  </mergeCells>
  <dataValidations count="2">
    <dataValidation sqref="B5 B6 B7 B8 B9 B10 B11 B12 B13 B14 B15 B16 B17 B18 B19 B20" showDropDown="0" showInputMessage="0" showErrorMessage="0" allowBlank="1" type="list">
      <formula1>PriorityList</formula1>
    </dataValidation>
    <dataValidation sqref="D5 D6 D7 D8 D9 D10 D11 D12 D13 D14 D15 D16 D17 D18 D19 D20" showDropDown="0" showInputMessage="0" showErrorMessage="0" allowBlank="1" type="list">
      <formula1>StatusList</formula1>
    </dataValidation>
  </dataValidation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26"/>
  <sheetViews>
    <sheetView showGridLines="0" workbookViewId="0">
      <selection activeCell="A1" sqref="A1"/>
    </sheetView>
  </sheetViews>
  <sheetFormatPr baseColWidth="8" defaultRowHeight="15"/>
  <cols>
    <col width="26" customWidth="1" min="2" max="2"/>
    <col width="22" customWidth="1" min="3" max="3"/>
    <col width="16" customWidth="1" min="4" max="4"/>
    <col width="12" customWidth="1" min="5" max="5"/>
    <col width="10" customWidth="1" min="6" max="6"/>
    <col width="12" customWidth="1" min="7" max="7"/>
    <col width="10" customWidth="1" min="8" max="8"/>
    <col width="14" customWidth="1" min="9" max="9"/>
  </cols>
  <sheetData>
    <row r="1">
      <c r="T1" t="inlineStr">
        <is>
          <t>All</t>
        </is>
      </c>
    </row>
    <row r="2">
      <c r="B2" s="10" t="inlineStr">
        <is>
          <t>Task Finder</t>
        </is>
      </c>
      <c r="T2" t="inlineStr">
        <is>
          <t>High Priority</t>
        </is>
      </c>
    </row>
    <row r="3">
      <c r="T3" t="inlineStr">
        <is>
          <t>Due This Week</t>
        </is>
      </c>
    </row>
    <row r="4" ht="20" customHeight="1">
      <c r="B4" s="11" t="inlineStr">
        <is>
          <t>← Home</t>
        </is>
      </c>
      <c r="T4" t="inlineStr">
        <is>
          <t>Quick Wins (15 mins or less)</t>
        </is>
      </c>
    </row>
    <row r="5">
      <c r="T5" t="inlineStr">
        <is>
          <t>Deep Thinking</t>
        </is>
      </c>
    </row>
    <row r="6">
      <c r="B6" s="8" t="inlineStr">
        <is>
          <t>Filter</t>
        </is>
      </c>
      <c r="C6" s="70" t="inlineStr">
        <is>
          <t>All</t>
        </is>
      </c>
      <c r="D6" s="66">
        <f>COUNTIF('Work Register'!$P$5:$P$200,TRUE)&amp;" matching task(s)"</f>
        <v/>
      </c>
      <c r="T6" t="inlineStr">
        <is>
          <t>Processing</t>
        </is>
      </c>
    </row>
    <row r="7">
      <c r="T7" t="inlineStr">
        <is>
          <t>Blocked</t>
        </is>
      </c>
    </row>
    <row r="8">
      <c r="B8" s="10" t="inlineStr">
        <is>
          <t>Matching Tasks</t>
        </is>
      </c>
      <c r="T8" t="inlineStr">
        <is>
          <t>Waiting</t>
        </is>
      </c>
    </row>
    <row r="9">
      <c r="B9" s="13" t="inlineStr">
        <is>
          <t>Task</t>
        </is>
      </c>
      <c r="C9" s="13" t="inlineStr">
        <is>
          <t>Mission</t>
        </is>
      </c>
      <c r="D9" s="13" t="inlineStr">
        <is>
          <t>Component</t>
        </is>
      </c>
      <c r="E9" s="13" t="inlineStr">
        <is>
          <t>Status</t>
        </is>
      </c>
      <c r="F9" s="13" t="inlineStr">
        <is>
          <t>Priority</t>
        </is>
      </c>
      <c r="G9" s="13" t="inlineStr">
        <is>
          <t>Due Date</t>
        </is>
      </c>
      <c r="H9" s="13" t="inlineStr">
        <is>
          <t>Time</t>
        </is>
      </c>
      <c r="I9" s="13" t="inlineStr">
        <is>
          <t>Energy</t>
        </is>
      </c>
      <c r="T9" t="inlineStr">
        <is>
          <t>Recently Updated</t>
        </is>
      </c>
    </row>
    <row r="10">
      <c r="B10" s="30">
        <f>IFERROR(INDEX('Work Register'!D:D,AGGREGATE(15,6,ROW('Work Register'!$D$5:$D$200)/('Work Register'!$P$5:$P$200=TRUE),1)),"")</f>
        <v/>
      </c>
      <c r="C10" s="30">
        <f>IFERROR(INDEX('Work Register'!A:A,AGGREGATE(15,6,ROW('Work Register'!$D$5:$D$200)/('Work Register'!$P$5:$P$200=TRUE),1)),"")</f>
        <v/>
      </c>
      <c r="D10" s="30">
        <f>IFERROR(INDEX('Work Register'!C:C,AGGREGATE(15,6,ROW('Work Register'!$D$5:$D$200)/('Work Register'!$P$5:$P$200=TRUE),1)),"")</f>
        <v/>
      </c>
      <c r="E10" s="67">
        <f>IFERROR(INDEX('Work Register'!E:E,AGGREGATE(15,6,ROW('Work Register'!$D$5:$D$200)/('Work Register'!$P$5:$P$200=TRUE),1)),"")</f>
        <v/>
      </c>
      <c r="F10" s="67">
        <f>IFERROR(INDEX('Work Register'!F:F,AGGREGATE(15,6,ROW('Work Register'!$D$5:$D$200)/('Work Register'!$P$5:$P$200=TRUE),1)),"")</f>
        <v/>
      </c>
      <c r="G10" s="67">
        <f>IFERROR(INDEX('Work Register'!I:I,AGGREGATE(15,6,ROW('Work Register'!$D$5:$D$200)/('Work Register'!$P$5:$P$200=TRUE),1)),"")</f>
        <v/>
      </c>
      <c r="H10" s="67">
        <f>IFERROR(INDEX('Work Register'!H:H,AGGREGATE(15,6,ROW('Work Register'!$D$5:$D$200)/('Work Register'!$P$5:$P$200=TRUE),1)),"")</f>
        <v/>
      </c>
      <c r="I10" s="67">
        <f>IFERROR(INDEX('Work Register'!G:G,AGGREGATE(15,6,ROW('Work Register'!$D$5:$D$200)/('Work Register'!$P$5:$P$200=TRUE),1)),"")</f>
        <v/>
      </c>
    </row>
    <row r="11">
      <c r="B11" s="30">
        <f>IFERROR(INDEX('Work Register'!D:D,AGGREGATE(15,6,ROW('Work Register'!$D$5:$D$200)/('Work Register'!$P$5:$P$200=TRUE),2)),"")</f>
        <v/>
      </c>
      <c r="C11" s="30">
        <f>IFERROR(INDEX('Work Register'!A:A,AGGREGATE(15,6,ROW('Work Register'!$D$5:$D$200)/('Work Register'!$P$5:$P$200=TRUE),2)),"")</f>
        <v/>
      </c>
      <c r="D11" s="30">
        <f>IFERROR(INDEX('Work Register'!C:C,AGGREGATE(15,6,ROW('Work Register'!$D$5:$D$200)/('Work Register'!$P$5:$P$200=TRUE),2)),"")</f>
        <v/>
      </c>
      <c r="E11" s="67">
        <f>IFERROR(INDEX('Work Register'!E:E,AGGREGATE(15,6,ROW('Work Register'!$D$5:$D$200)/('Work Register'!$P$5:$P$200=TRUE),2)),"")</f>
        <v/>
      </c>
      <c r="F11" s="67">
        <f>IFERROR(INDEX('Work Register'!F:F,AGGREGATE(15,6,ROW('Work Register'!$D$5:$D$200)/('Work Register'!$P$5:$P$200=TRUE),2)),"")</f>
        <v/>
      </c>
      <c r="G11" s="67">
        <f>IFERROR(INDEX('Work Register'!I:I,AGGREGATE(15,6,ROW('Work Register'!$D$5:$D$200)/('Work Register'!$P$5:$P$200=TRUE),2)),"")</f>
        <v/>
      </c>
      <c r="H11" s="67">
        <f>IFERROR(INDEX('Work Register'!H:H,AGGREGATE(15,6,ROW('Work Register'!$D$5:$D$200)/('Work Register'!$P$5:$P$200=TRUE),2)),"")</f>
        <v/>
      </c>
      <c r="I11" s="67">
        <f>IFERROR(INDEX('Work Register'!G:G,AGGREGATE(15,6,ROW('Work Register'!$D$5:$D$200)/('Work Register'!$P$5:$P$200=TRUE),2)),"")</f>
        <v/>
      </c>
    </row>
    <row r="12">
      <c r="B12" s="30">
        <f>IFERROR(INDEX('Work Register'!D:D,AGGREGATE(15,6,ROW('Work Register'!$D$5:$D$200)/('Work Register'!$P$5:$P$200=TRUE),3)),"")</f>
        <v/>
      </c>
      <c r="C12" s="30">
        <f>IFERROR(INDEX('Work Register'!A:A,AGGREGATE(15,6,ROW('Work Register'!$D$5:$D$200)/('Work Register'!$P$5:$P$200=TRUE),3)),"")</f>
        <v/>
      </c>
      <c r="D12" s="30">
        <f>IFERROR(INDEX('Work Register'!C:C,AGGREGATE(15,6,ROW('Work Register'!$D$5:$D$200)/('Work Register'!$P$5:$P$200=TRUE),3)),"")</f>
        <v/>
      </c>
      <c r="E12" s="67">
        <f>IFERROR(INDEX('Work Register'!E:E,AGGREGATE(15,6,ROW('Work Register'!$D$5:$D$200)/('Work Register'!$P$5:$P$200=TRUE),3)),"")</f>
        <v/>
      </c>
      <c r="F12" s="67">
        <f>IFERROR(INDEX('Work Register'!F:F,AGGREGATE(15,6,ROW('Work Register'!$D$5:$D$200)/('Work Register'!$P$5:$P$200=TRUE),3)),"")</f>
        <v/>
      </c>
      <c r="G12" s="67">
        <f>IFERROR(INDEX('Work Register'!I:I,AGGREGATE(15,6,ROW('Work Register'!$D$5:$D$200)/('Work Register'!$P$5:$P$200=TRUE),3)),"")</f>
        <v/>
      </c>
      <c r="H12" s="67">
        <f>IFERROR(INDEX('Work Register'!H:H,AGGREGATE(15,6,ROW('Work Register'!$D$5:$D$200)/('Work Register'!$P$5:$P$200=TRUE),3)),"")</f>
        <v/>
      </c>
      <c r="I12" s="67">
        <f>IFERROR(INDEX('Work Register'!G:G,AGGREGATE(15,6,ROW('Work Register'!$D$5:$D$200)/('Work Register'!$P$5:$P$200=TRUE),3)),"")</f>
        <v/>
      </c>
    </row>
    <row r="13">
      <c r="B13" s="30">
        <f>IFERROR(INDEX('Work Register'!D:D,AGGREGATE(15,6,ROW('Work Register'!$D$5:$D$200)/('Work Register'!$P$5:$P$200=TRUE),4)),"")</f>
        <v/>
      </c>
      <c r="C13" s="30">
        <f>IFERROR(INDEX('Work Register'!A:A,AGGREGATE(15,6,ROW('Work Register'!$D$5:$D$200)/('Work Register'!$P$5:$P$200=TRUE),4)),"")</f>
        <v/>
      </c>
      <c r="D13" s="30">
        <f>IFERROR(INDEX('Work Register'!C:C,AGGREGATE(15,6,ROW('Work Register'!$D$5:$D$200)/('Work Register'!$P$5:$P$200=TRUE),4)),"")</f>
        <v/>
      </c>
      <c r="E13" s="67">
        <f>IFERROR(INDEX('Work Register'!E:E,AGGREGATE(15,6,ROW('Work Register'!$D$5:$D$200)/('Work Register'!$P$5:$P$200=TRUE),4)),"")</f>
        <v/>
      </c>
      <c r="F13" s="67">
        <f>IFERROR(INDEX('Work Register'!F:F,AGGREGATE(15,6,ROW('Work Register'!$D$5:$D$200)/('Work Register'!$P$5:$P$200=TRUE),4)),"")</f>
        <v/>
      </c>
      <c r="G13" s="67">
        <f>IFERROR(INDEX('Work Register'!I:I,AGGREGATE(15,6,ROW('Work Register'!$D$5:$D$200)/('Work Register'!$P$5:$P$200=TRUE),4)),"")</f>
        <v/>
      </c>
      <c r="H13" s="67">
        <f>IFERROR(INDEX('Work Register'!H:H,AGGREGATE(15,6,ROW('Work Register'!$D$5:$D$200)/('Work Register'!$P$5:$P$200=TRUE),4)),"")</f>
        <v/>
      </c>
      <c r="I13" s="67">
        <f>IFERROR(INDEX('Work Register'!G:G,AGGREGATE(15,6,ROW('Work Register'!$D$5:$D$200)/('Work Register'!$P$5:$P$200=TRUE),4)),"")</f>
        <v/>
      </c>
    </row>
    <row r="14">
      <c r="B14" s="30">
        <f>IFERROR(INDEX('Work Register'!D:D,AGGREGATE(15,6,ROW('Work Register'!$D$5:$D$200)/('Work Register'!$P$5:$P$200=TRUE),5)),"")</f>
        <v/>
      </c>
      <c r="C14" s="30">
        <f>IFERROR(INDEX('Work Register'!A:A,AGGREGATE(15,6,ROW('Work Register'!$D$5:$D$200)/('Work Register'!$P$5:$P$200=TRUE),5)),"")</f>
        <v/>
      </c>
      <c r="D14" s="30">
        <f>IFERROR(INDEX('Work Register'!C:C,AGGREGATE(15,6,ROW('Work Register'!$D$5:$D$200)/('Work Register'!$P$5:$P$200=TRUE),5)),"")</f>
        <v/>
      </c>
      <c r="E14" s="67">
        <f>IFERROR(INDEX('Work Register'!E:E,AGGREGATE(15,6,ROW('Work Register'!$D$5:$D$200)/('Work Register'!$P$5:$P$200=TRUE),5)),"")</f>
        <v/>
      </c>
      <c r="F14" s="67">
        <f>IFERROR(INDEX('Work Register'!F:F,AGGREGATE(15,6,ROW('Work Register'!$D$5:$D$200)/('Work Register'!$P$5:$P$200=TRUE),5)),"")</f>
        <v/>
      </c>
      <c r="G14" s="67">
        <f>IFERROR(INDEX('Work Register'!I:I,AGGREGATE(15,6,ROW('Work Register'!$D$5:$D$200)/('Work Register'!$P$5:$P$200=TRUE),5)),"")</f>
        <v/>
      </c>
      <c r="H14" s="67">
        <f>IFERROR(INDEX('Work Register'!H:H,AGGREGATE(15,6,ROW('Work Register'!$D$5:$D$200)/('Work Register'!$P$5:$P$200=TRUE),5)),"")</f>
        <v/>
      </c>
      <c r="I14" s="67">
        <f>IFERROR(INDEX('Work Register'!G:G,AGGREGATE(15,6,ROW('Work Register'!$D$5:$D$200)/('Work Register'!$P$5:$P$200=TRUE),5)),"")</f>
        <v/>
      </c>
    </row>
    <row r="15">
      <c r="B15" s="30">
        <f>IFERROR(INDEX('Work Register'!D:D,AGGREGATE(15,6,ROW('Work Register'!$D$5:$D$200)/('Work Register'!$P$5:$P$200=TRUE),6)),"")</f>
        <v/>
      </c>
      <c r="C15" s="30">
        <f>IFERROR(INDEX('Work Register'!A:A,AGGREGATE(15,6,ROW('Work Register'!$D$5:$D$200)/('Work Register'!$P$5:$P$200=TRUE),6)),"")</f>
        <v/>
      </c>
      <c r="D15" s="30">
        <f>IFERROR(INDEX('Work Register'!C:C,AGGREGATE(15,6,ROW('Work Register'!$D$5:$D$200)/('Work Register'!$P$5:$P$200=TRUE),6)),"")</f>
        <v/>
      </c>
      <c r="E15" s="67">
        <f>IFERROR(INDEX('Work Register'!E:E,AGGREGATE(15,6,ROW('Work Register'!$D$5:$D$200)/('Work Register'!$P$5:$P$200=TRUE),6)),"")</f>
        <v/>
      </c>
      <c r="F15" s="67">
        <f>IFERROR(INDEX('Work Register'!F:F,AGGREGATE(15,6,ROW('Work Register'!$D$5:$D$200)/('Work Register'!$P$5:$P$200=TRUE),6)),"")</f>
        <v/>
      </c>
      <c r="G15" s="67">
        <f>IFERROR(INDEX('Work Register'!I:I,AGGREGATE(15,6,ROW('Work Register'!$D$5:$D$200)/('Work Register'!$P$5:$P$200=TRUE),6)),"")</f>
        <v/>
      </c>
      <c r="H15" s="67">
        <f>IFERROR(INDEX('Work Register'!H:H,AGGREGATE(15,6,ROW('Work Register'!$D$5:$D$200)/('Work Register'!$P$5:$P$200=TRUE),6)),"")</f>
        <v/>
      </c>
      <c r="I15" s="67">
        <f>IFERROR(INDEX('Work Register'!G:G,AGGREGATE(15,6,ROW('Work Register'!$D$5:$D$200)/('Work Register'!$P$5:$P$200=TRUE),6)),"")</f>
        <v/>
      </c>
    </row>
    <row r="16">
      <c r="B16" s="30">
        <f>IFERROR(INDEX('Work Register'!D:D,AGGREGATE(15,6,ROW('Work Register'!$D$5:$D$200)/('Work Register'!$P$5:$P$200=TRUE),7)),"")</f>
        <v/>
      </c>
      <c r="C16" s="30">
        <f>IFERROR(INDEX('Work Register'!A:A,AGGREGATE(15,6,ROW('Work Register'!$D$5:$D$200)/('Work Register'!$P$5:$P$200=TRUE),7)),"")</f>
        <v/>
      </c>
      <c r="D16" s="30">
        <f>IFERROR(INDEX('Work Register'!C:C,AGGREGATE(15,6,ROW('Work Register'!$D$5:$D$200)/('Work Register'!$P$5:$P$200=TRUE),7)),"")</f>
        <v/>
      </c>
      <c r="E16" s="67">
        <f>IFERROR(INDEX('Work Register'!E:E,AGGREGATE(15,6,ROW('Work Register'!$D$5:$D$200)/('Work Register'!$P$5:$P$200=TRUE),7)),"")</f>
        <v/>
      </c>
      <c r="F16" s="67">
        <f>IFERROR(INDEX('Work Register'!F:F,AGGREGATE(15,6,ROW('Work Register'!$D$5:$D$200)/('Work Register'!$P$5:$P$200=TRUE),7)),"")</f>
        <v/>
      </c>
      <c r="G16" s="67">
        <f>IFERROR(INDEX('Work Register'!I:I,AGGREGATE(15,6,ROW('Work Register'!$D$5:$D$200)/('Work Register'!$P$5:$P$200=TRUE),7)),"")</f>
        <v/>
      </c>
      <c r="H16" s="67">
        <f>IFERROR(INDEX('Work Register'!H:H,AGGREGATE(15,6,ROW('Work Register'!$D$5:$D$200)/('Work Register'!$P$5:$P$200=TRUE),7)),"")</f>
        <v/>
      </c>
      <c r="I16" s="67">
        <f>IFERROR(INDEX('Work Register'!G:G,AGGREGATE(15,6,ROW('Work Register'!$D$5:$D$200)/('Work Register'!$P$5:$P$200=TRUE),7)),"")</f>
        <v/>
      </c>
    </row>
    <row r="17">
      <c r="B17" s="30">
        <f>IFERROR(INDEX('Work Register'!D:D,AGGREGATE(15,6,ROW('Work Register'!$D$5:$D$200)/('Work Register'!$P$5:$P$200=TRUE),8)),"")</f>
        <v/>
      </c>
      <c r="C17" s="30">
        <f>IFERROR(INDEX('Work Register'!A:A,AGGREGATE(15,6,ROW('Work Register'!$D$5:$D$200)/('Work Register'!$P$5:$P$200=TRUE),8)),"")</f>
        <v/>
      </c>
      <c r="D17" s="30">
        <f>IFERROR(INDEX('Work Register'!C:C,AGGREGATE(15,6,ROW('Work Register'!$D$5:$D$200)/('Work Register'!$P$5:$P$200=TRUE),8)),"")</f>
        <v/>
      </c>
      <c r="E17" s="67">
        <f>IFERROR(INDEX('Work Register'!E:E,AGGREGATE(15,6,ROW('Work Register'!$D$5:$D$200)/('Work Register'!$P$5:$P$200=TRUE),8)),"")</f>
        <v/>
      </c>
      <c r="F17" s="67">
        <f>IFERROR(INDEX('Work Register'!F:F,AGGREGATE(15,6,ROW('Work Register'!$D$5:$D$200)/('Work Register'!$P$5:$P$200=TRUE),8)),"")</f>
        <v/>
      </c>
      <c r="G17" s="67">
        <f>IFERROR(INDEX('Work Register'!I:I,AGGREGATE(15,6,ROW('Work Register'!$D$5:$D$200)/('Work Register'!$P$5:$P$200=TRUE),8)),"")</f>
        <v/>
      </c>
      <c r="H17" s="67">
        <f>IFERROR(INDEX('Work Register'!H:H,AGGREGATE(15,6,ROW('Work Register'!$D$5:$D$200)/('Work Register'!$P$5:$P$200=TRUE),8)),"")</f>
        <v/>
      </c>
      <c r="I17" s="67">
        <f>IFERROR(INDEX('Work Register'!G:G,AGGREGATE(15,6,ROW('Work Register'!$D$5:$D$200)/('Work Register'!$P$5:$P$200=TRUE),8)),"")</f>
        <v/>
      </c>
    </row>
    <row r="18">
      <c r="B18" s="30">
        <f>IFERROR(INDEX('Work Register'!D:D,AGGREGATE(15,6,ROW('Work Register'!$D$5:$D$200)/('Work Register'!$P$5:$P$200=TRUE),9)),"")</f>
        <v/>
      </c>
      <c r="C18" s="30">
        <f>IFERROR(INDEX('Work Register'!A:A,AGGREGATE(15,6,ROW('Work Register'!$D$5:$D$200)/('Work Register'!$P$5:$P$200=TRUE),9)),"")</f>
        <v/>
      </c>
      <c r="D18" s="30">
        <f>IFERROR(INDEX('Work Register'!C:C,AGGREGATE(15,6,ROW('Work Register'!$D$5:$D$200)/('Work Register'!$P$5:$P$200=TRUE),9)),"")</f>
        <v/>
      </c>
      <c r="E18" s="67">
        <f>IFERROR(INDEX('Work Register'!E:E,AGGREGATE(15,6,ROW('Work Register'!$D$5:$D$200)/('Work Register'!$P$5:$P$200=TRUE),9)),"")</f>
        <v/>
      </c>
      <c r="F18" s="67">
        <f>IFERROR(INDEX('Work Register'!F:F,AGGREGATE(15,6,ROW('Work Register'!$D$5:$D$200)/('Work Register'!$P$5:$P$200=TRUE),9)),"")</f>
        <v/>
      </c>
      <c r="G18" s="67">
        <f>IFERROR(INDEX('Work Register'!I:I,AGGREGATE(15,6,ROW('Work Register'!$D$5:$D$200)/('Work Register'!$P$5:$P$200=TRUE),9)),"")</f>
        <v/>
      </c>
      <c r="H18" s="67">
        <f>IFERROR(INDEX('Work Register'!H:H,AGGREGATE(15,6,ROW('Work Register'!$D$5:$D$200)/('Work Register'!$P$5:$P$200=TRUE),9)),"")</f>
        <v/>
      </c>
      <c r="I18" s="67">
        <f>IFERROR(INDEX('Work Register'!G:G,AGGREGATE(15,6,ROW('Work Register'!$D$5:$D$200)/('Work Register'!$P$5:$P$200=TRUE),9)),"")</f>
        <v/>
      </c>
    </row>
    <row r="19">
      <c r="B19" s="30">
        <f>IFERROR(INDEX('Work Register'!D:D,AGGREGATE(15,6,ROW('Work Register'!$D$5:$D$200)/('Work Register'!$P$5:$P$200=TRUE),10)),"")</f>
        <v/>
      </c>
      <c r="C19" s="30">
        <f>IFERROR(INDEX('Work Register'!A:A,AGGREGATE(15,6,ROW('Work Register'!$D$5:$D$200)/('Work Register'!$P$5:$P$200=TRUE),10)),"")</f>
        <v/>
      </c>
      <c r="D19" s="30">
        <f>IFERROR(INDEX('Work Register'!C:C,AGGREGATE(15,6,ROW('Work Register'!$D$5:$D$200)/('Work Register'!$P$5:$P$200=TRUE),10)),"")</f>
        <v/>
      </c>
      <c r="E19" s="67">
        <f>IFERROR(INDEX('Work Register'!E:E,AGGREGATE(15,6,ROW('Work Register'!$D$5:$D$200)/('Work Register'!$P$5:$P$200=TRUE),10)),"")</f>
        <v/>
      </c>
      <c r="F19" s="67">
        <f>IFERROR(INDEX('Work Register'!F:F,AGGREGATE(15,6,ROW('Work Register'!$D$5:$D$200)/('Work Register'!$P$5:$P$200=TRUE),10)),"")</f>
        <v/>
      </c>
      <c r="G19" s="67">
        <f>IFERROR(INDEX('Work Register'!I:I,AGGREGATE(15,6,ROW('Work Register'!$D$5:$D$200)/('Work Register'!$P$5:$P$200=TRUE),10)),"")</f>
        <v/>
      </c>
      <c r="H19" s="67">
        <f>IFERROR(INDEX('Work Register'!H:H,AGGREGATE(15,6,ROW('Work Register'!$D$5:$D$200)/('Work Register'!$P$5:$P$200=TRUE),10)),"")</f>
        <v/>
      </c>
      <c r="I19" s="67">
        <f>IFERROR(INDEX('Work Register'!G:G,AGGREGATE(15,6,ROW('Work Register'!$D$5:$D$200)/('Work Register'!$P$5:$P$200=TRUE),10)),"")</f>
        <v/>
      </c>
    </row>
    <row r="20">
      <c r="B20" s="30">
        <f>IFERROR(INDEX('Work Register'!D:D,AGGREGATE(15,6,ROW('Work Register'!$D$5:$D$200)/('Work Register'!$P$5:$P$200=TRUE),11)),"")</f>
        <v/>
      </c>
      <c r="C20" s="30">
        <f>IFERROR(INDEX('Work Register'!A:A,AGGREGATE(15,6,ROW('Work Register'!$D$5:$D$200)/('Work Register'!$P$5:$P$200=TRUE),11)),"")</f>
        <v/>
      </c>
      <c r="D20" s="30">
        <f>IFERROR(INDEX('Work Register'!C:C,AGGREGATE(15,6,ROW('Work Register'!$D$5:$D$200)/('Work Register'!$P$5:$P$200=TRUE),11)),"")</f>
        <v/>
      </c>
      <c r="E20" s="67">
        <f>IFERROR(INDEX('Work Register'!E:E,AGGREGATE(15,6,ROW('Work Register'!$D$5:$D$200)/('Work Register'!$P$5:$P$200=TRUE),11)),"")</f>
        <v/>
      </c>
      <c r="F20" s="67">
        <f>IFERROR(INDEX('Work Register'!F:F,AGGREGATE(15,6,ROW('Work Register'!$D$5:$D$200)/('Work Register'!$P$5:$P$200=TRUE),11)),"")</f>
        <v/>
      </c>
      <c r="G20" s="67">
        <f>IFERROR(INDEX('Work Register'!I:I,AGGREGATE(15,6,ROW('Work Register'!$D$5:$D$200)/('Work Register'!$P$5:$P$200=TRUE),11)),"")</f>
        <v/>
      </c>
      <c r="H20" s="67">
        <f>IFERROR(INDEX('Work Register'!H:H,AGGREGATE(15,6,ROW('Work Register'!$D$5:$D$200)/('Work Register'!$P$5:$P$200=TRUE),11)),"")</f>
        <v/>
      </c>
      <c r="I20" s="67">
        <f>IFERROR(INDEX('Work Register'!G:G,AGGREGATE(15,6,ROW('Work Register'!$D$5:$D$200)/('Work Register'!$P$5:$P$200=TRUE),11)),"")</f>
        <v/>
      </c>
    </row>
    <row r="21">
      <c r="B21" s="30">
        <f>IFERROR(INDEX('Work Register'!D:D,AGGREGATE(15,6,ROW('Work Register'!$D$5:$D$200)/('Work Register'!$P$5:$P$200=TRUE),12)),"")</f>
        <v/>
      </c>
      <c r="C21" s="30">
        <f>IFERROR(INDEX('Work Register'!A:A,AGGREGATE(15,6,ROW('Work Register'!$D$5:$D$200)/('Work Register'!$P$5:$P$200=TRUE),12)),"")</f>
        <v/>
      </c>
      <c r="D21" s="30">
        <f>IFERROR(INDEX('Work Register'!C:C,AGGREGATE(15,6,ROW('Work Register'!$D$5:$D$200)/('Work Register'!$P$5:$P$200=TRUE),12)),"")</f>
        <v/>
      </c>
      <c r="E21" s="67">
        <f>IFERROR(INDEX('Work Register'!E:E,AGGREGATE(15,6,ROW('Work Register'!$D$5:$D$200)/('Work Register'!$P$5:$P$200=TRUE),12)),"")</f>
        <v/>
      </c>
      <c r="F21" s="67">
        <f>IFERROR(INDEX('Work Register'!F:F,AGGREGATE(15,6,ROW('Work Register'!$D$5:$D$200)/('Work Register'!$P$5:$P$200=TRUE),12)),"")</f>
        <v/>
      </c>
      <c r="G21" s="67">
        <f>IFERROR(INDEX('Work Register'!I:I,AGGREGATE(15,6,ROW('Work Register'!$D$5:$D$200)/('Work Register'!$P$5:$P$200=TRUE),12)),"")</f>
        <v/>
      </c>
      <c r="H21" s="67">
        <f>IFERROR(INDEX('Work Register'!H:H,AGGREGATE(15,6,ROW('Work Register'!$D$5:$D$200)/('Work Register'!$P$5:$P$200=TRUE),12)),"")</f>
        <v/>
      </c>
      <c r="I21" s="67">
        <f>IFERROR(INDEX('Work Register'!G:G,AGGREGATE(15,6,ROW('Work Register'!$D$5:$D$200)/('Work Register'!$P$5:$P$200=TRUE),12)),"")</f>
        <v/>
      </c>
    </row>
    <row r="22">
      <c r="B22" s="30">
        <f>IFERROR(INDEX('Work Register'!D:D,AGGREGATE(15,6,ROW('Work Register'!$D$5:$D$200)/('Work Register'!$P$5:$P$200=TRUE),13)),"")</f>
        <v/>
      </c>
      <c r="C22" s="30">
        <f>IFERROR(INDEX('Work Register'!A:A,AGGREGATE(15,6,ROW('Work Register'!$D$5:$D$200)/('Work Register'!$P$5:$P$200=TRUE),13)),"")</f>
        <v/>
      </c>
      <c r="D22" s="30">
        <f>IFERROR(INDEX('Work Register'!C:C,AGGREGATE(15,6,ROW('Work Register'!$D$5:$D$200)/('Work Register'!$P$5:$P$200=TRUE),13)),"")</f>
        <v/>
      </c>
      <c r="E22" s="67">
        <f>IFERROR(INDEX('Work Register'!E:E,AGGREGATE(15,6,ROW('Work Register'!$D$5:$D$200)/('Work Register'!$P$5:$P$200=TRUE),13)),"")</f>
        <v/>
      </c>
      <c r="F22" s="67">
        <f>IFERROR(INDEX('Work Register'!F:F,AGGREGATE(15,6,ROW('Work Register'!$D$5:$D$200)/('Work Register'!$P$5:$P$200=TRUE),13)),"")</f>
        <v/>
      </c>
      <c r="G22" s="67">
        <f>IFERROR(INDEX('Work Register'!I:I,AGGREGATE(15,6,ROW('Work Register'!$D$5:$D$200)/('Work Register'!$P$5:$P$200=TRUE),13)),"")</f>
        <v/>
      </c>
      <c r="H22" s="67">
        <f>IFERROR(INDEX('Work Register'!H:H,AGGREGATE(15,6,ROW('Work Register'!$D$5:$D$200)/('Work Register'!$P$5:$P$200=TRUE),13)),"")</f>
        <v/>
      </c>
      <c r="I22" s="67">
        <f>IFERROR(INDEX('Work Register'!G:G,AGGREGATE(15,6,ROW('Work Register'!$D$5:$D$200)/('Work Register'!$P$5:$P$200=TRUE),13)),"")</f>
        <v/>
      </c>
    </row>
    <row r="23">
      <c r="B23" s="30">
        <f>IFERROR(INDEX('Work Register'!D:D,AGGREGATE(15,6,ROW('Work Register'!$D$5:$D$200)/('Work Register'!$P$5:$P$200=TRUE),14)),"")</f>
        <v/>
      </c>
      <c r="C23" s="30">
        <f>IFERROR(INDEX('Work Register'!A:A,AGGREGATE(15,6,ROW('Work Register'!$D$5:$D$200)/('Work Register'!$P$5:$P$200=TRUE),14)),"")</f>
        <v/>
      </c>
      <c r="D23" s="30">
        <f>IFERROR(INDEX('Work Register'!C:C,AGGREGATE(15,6,ROW('Work Register'!$D$5:$D$200)/('Work Register'!$P$5:$P$200=TRUE),14)),"")</f>
        <v/>
      </c>
      <c r="E23" s="67">
        <f>IFERROR(INDEX('Work Register'!E:E,AGGREGATE(15,6,ROW('Work Register'!$D$5:$D$200)/('Work Register'!$P$5:$P$200=TRUE),14)),"")</f>
        <v/>
      </c>
      <c r="F23" s="67">
        <f>IFERROR(INDEX('Work Register'!F:F,AGGREGATE(15,6,ROW('Work Register'!$D$5:$D$200)/('Work Register'!$P$5:$P$200=TRUE),14)),"")</f>
        <v/>
      </c>
      <c r="G23" s="67">
        <f>IFERROR(INDEX('Work Register'!I:I,AGGREGATE(15,6,ROW('Work Register'!$D$5:$D$200)/('Work Register'!$P$5:$P$200=TRUE),14)),"")</f>
        <v/>
      </c>
      <c r="H23" s="67">
        <f>IFERROR(INDEX('Work Register'!H:H,AGGREGATE(15,6,ROW('Work Register'!$D$5:$D$200)/('Work Register'!$P$5:$P$200=TRUE),14)),"")</f>
        <v/>
      </c>
      <c r="I23" s="67">
        <f>IFERROR(INDEX('Work Register'!G:G,AGGREGATE(15,6,ROW('Work Register'!$D$5:$D$200)/('Work Register'!$P$5:$P$200=TRUE),14)),"")</f>
        <v/>
      </c>
    </row>
    <row r="24">
      <c r="B24" s="30">
        <f>IFERROR(INDEX('Work Register'!D:D,AGGREGATE(15,6,ROW('Work Register'!$D$5:$D$200)/('Work Register'!$P$5:$P$200=TRUE),15)),"")</f>
        <v/>
      </c>
      <c r="C24" s="30">
        <f>IFERROR(INDEX('Work Register'!A:A,AGGREGATE(15,6,ROW('Work Register'!$D$5:$D$200)/('Work Register'!$P$5:$P$200=TRUE),15)),"")</f>
        <v/>
      </c>
      <c r="D24" s="30">
        <f>IFERROR(INDEX('Work Register'!C:C,AGGREGATE(15,6,ROW('Work Register'!$D$5:$D$200)/('Work Register'!$P$5:$P$200=TRUE),15)),"")</f>
        <v/>
      </c>
      <c r="E24" s="67">
        <f>IFERROR(INDEX('Work Register'!E:E,AGGREGATE(15,6,ROW('Work Register'!$D$5:$D$200)/('Work Register'!$P$5:$P$200=TRUE),15)),"")</f>
        <v/>
      </c>
      <c r="F24" s="67">
        <f>IFERROR(INDEX('Work Register'!F:F,AGGREGATE(15,6,ROW('Work Register'!$D$5:$D$200)/('Work Register'!$P$5:$P$200=TRUE),15)),"")</f>
        <v/>
      </c>
      <c r="G24" s="67">
        <f>IFERROR(INDEX('Work Register'!I:I,AGGREGATE(15,6,ROW('Work Register'!$D$5:$D$200)/('Work Register'!$P$5:$P$200=TRUE),15)),"")</f>
        <v/>
      </c>
      <c r="H24" s="67">
        <f>IFERROR(INDEX('Work Register'!H:H,AGGREGATE(15,6,ROW('Work Register'!$D$5:$D$200)/('Work Register'!$P$5:$P$200=TRUE),15)),"")</f>
        <v/>
      </c>
      <c r="I24" s="67">
        <f>IFERROR(INDEX('Work Register'!G:G,AGGREGATE(15,6,ROW('Work Register'!$D$5:$D$200)/('Work Register'!$P$5:$P$200=TRUE),15)),"")</f>
        <v/>
      </c>
    </row>
    <row r="26">
      <c r="B26" s="33" t="inlineStr">
        <is>
          <t>Showing up to 15 matches. Narrow the filter for a shorter list.</t>
        </is>
      </c>
    </row>
  </sheetData>
  <sheetProtection selectLockedCells="0" selectUnlockedCells="0" sheet="1" objects="0" insertRows="1" insertHyperlinks="1" autoFilter="1" scenarios="0" formatColumns="1" deleteColumns="1" insertColumns="1" pivotTables="1" deleteRows="1" formatCells="1" formatRows="1" sort="1"/>
  <mergeCells count="2">
    <mergeCell ref="D6:F6"/>
    <mergeCell ref="B26:F26"/>
  </mergeCells>
  <dataValidations count="1">
    <dataValidation sqref="C6" showDropDown="0" showInputMessage="0" showErrorMessage="0" allowBlank="0" type="list">
      <formula1>FilterOptions</formula1>
    </dataValidation>
  </dataValidations>
  <hyperlinks>
    <hyperlink xmlns:r="http://schemas.openxmlformats.org/officeDocument/2006/relationships" ref="B4"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J40"/>
  <sheetViews>
    <sheetView showGridLines="0" workbookViewId="0">
      <selection activeCell="A1" sqref="A1"/>
    </sheetView>
  </sheetViews>
  <sheetFormatPr baseColWidth="8" defaultRowHeight="15"/>
  <cols>
    <col width="25" customWidth="1" min="2" max="2"/>
    <col width="20" customWidth="1" min="3" max="3"/>
    <col width="20" customWidth="1" min="4" max="4"/>
    <col width="15" customWidth="1" min="5" max="5"/>
    <col width="15" customWidth="1" min="6" max="6"/>
    <col width="25" customWidth="1" min="7" max="7"/>
  </cols>
  <sheetData>
    <row r="2">
      <c r="B2" s="10" t="inlineStr">
        <is>
          <t>Today</t>
        </is>
      </c>
    </row>
    <row r="3">
      <c r="B3" s="20">
        <f>TEXT(TODAY(),"dddd, mmmm d, yyyy")</f>
        <v/>
      </c>
    </row>
    <row r="4" ht="20" customHeight="1">
      <c r="B4" s="11" t="inlineStr">
        <is>
          <t>← Home</t>
        </is>
      </c>
    </row>
    <row r="5">
      <c r="A5" s="39" t="n"/>
      <c r="B5" s="39" t="n"/>
      <c r="C5" s="39" t="n"/>
      <c r="D5" s="39" t="n"/>
      <c r="E5" s="39" t="n"/>
      <c r="F5" s="39" t="n"/>
      <c r="G5" s="39" t="n"/>
      <c r="H5" s="39" t="n"/>
      <c r="I5" s="39" t="n"/>
      <c r="J5" s="39" t="n"/>
    </row>
    <row r="6">
      <c r="A6" s="39" t="n"/>
      <c r="B6" s="40" t="inlineStr">
        <is>
          <t>Recommended Next Task</t>
        </is>
      </c>
      <c r="H6" s="39" t="n"/>
      <c r="I6" s="39" t="n"/>
      <c r="J6" s="39" t="n"/>
    </row>
    <row r="7" ht="26" customHeight="1">
      <c r="A7" s="39" t="n"/>
      <c r="B7" s="56">
        <f>IF(Home!$Z$1=0,"No actionable tasks right now",Home!C10&amp;"  ›  "&amp;Home!C11&amp;"  ›  "&amp;Home!C12)</f>
        <v/>
      </c>
      <c r="C7" s="6" t="n"/>
      <c r="D7" s="6" t="n"/>
      <c r="E7" s="6" t="n"/>
      <c r="F7" s="6" t="n"/>
      <c r="G7" s="7" t="n"/>
      <c r="H7" s="39" t="n"/>
      <c r="I7" s="39" t="n"/>
      <c r="J7" s="39" t="n"/>
    </row>
    <row r="8" ht="18" customHeight="1">
      <c r="A8" s="39" t="n"/>
      <c r="B8" s="71">
        <f>Home!C13</f>
        <v/>
      </c>
      <c r="G8" s="72">
        <f>Home!C14</f>
        <v/>
      </c>
      <c r="H8" s="39" t="n"/>
      <c r="I8" s="39" t="n"/>
      <c r="J8" s="39" t="n"/>
    </row>
    <row r="9">
      <c r="A9" s="39" t="n"/>
      <c r="B9" s="39" t="n"/>
      <c r="C9" s="39" t="n"/>
      <c r="D9" s="39" t="n"/>
      <c r="E9" s="39" t="n"/>
      <c r="F9" s="39" t="n"/>
      <c r="G9" s="39" t="n"/>
      <c r="H9" s="39" t="n"/>
      <c r="I9" s="39" t="n"/>
      <c r="J9" s="39" t="n"/>
    </row>
    <row r="10">
      <c r="A10" s="39" t="n"/>
      <c r="B10" s="40" t="inlineStr">
        <is>
          <t>Planned Tasks (Your Selection)</t>
        </is>
      </c>
      <c r="C10" s="39" t="n"/>
      <c r="D10" s="39" t="n"/>
      <c r="E10" s="39" t="n"/>
      <c r="F10" s="39" t="n"/>
      <c r="G10" s="39" t="n"/>
      <c r="H10" s="39" t="n"/>
      <c r="I10" s="39" t="n"/>
      <c r="J10" s="39" t="n"/>
    </row>
    <row r="11">
      <c r="A11" s="39" t="n"/>
      <c r="B11" s="61" t="inlineStr">
        <is>
          <t>Copy from Recommended Next Task or Top 3 below — the user always has the final say.</t>
        </is>
      </c>
      <c r="H11" s="39" t="n"/>
      <c r="I11" s="39" t="n"/>
      <c r="J11" s="39" t="n"/>
    </row>
    <row r="12">
      <c r="A12" s="39" t="n"/>
      <c r="B12" s="13" t="inlineStr">
        <is>
          <t>Priority</t>
        </is>
      </c>
      <c r="C12" s="13" t="inlineStr">
        <is>
          <t>Task</t>
        </is>
      </c>
      <c r="D12" s="13" t="inlineStr">
        <is>
          <t>Mission</t>
        </is>
      </c>
      <c r="E12" s="13" t="inlineStr">
        <is>
          <t>Estimated Time</t>
        </is>
      </c>
      <c r="F12" s="13" t="inlineStr">
        <is>
          <t>Energy</t>
        </is>
      </c>
      <c r="G12" s="13" t="inlineStr">
        <is>
          <t>Status</t>
        </is>
      </c>
      <c r="H12" s="39" t="n"/>
      <c r="I12" s="39" t="n"/>
      <c r="J12" s="39" t="n"/>
    </row>
    <row r="13" ht="25" customHeight="1">
      <c r="A13" s="39" t="n"/>
      <c r="B13" s="63" t="n"/>
      <c r="C13" s="63" t="n"/>
      <c r="D13" s="63" t="n"/>
      <c r="E13" s="63" t="n"/>
      <c r="F13" s="63" t="n"/>
      <c r="G13" s="63" t="n"/>
      <c r="H13" s="39" t="n"/>
      <c r="I13" s="39" t="n"/>
      <c r="J13" s="39" t="n"/>
    </row>
    <row r="14" ht="25" customHeight="1">
      <c r="A14" s="39" t="n"/>
      <c r="B14" s="63" t="n"/>
      <c r="C14" s="63" t="n"/>
      <c r="D14" s="63" t="n"/>
      <c r="E14" s="63" t="n"/>
      <c r="F14" s="63" t="n"/>
      <c r="G14" s="63" t="n"/>
      <c r="H14" s="39" t="n"/>
      <c r="I14" s="39" t="n"/>
      <c r="J14" s="39" t="n"/>
    </row>
    <row r="15" ht="25" customHeight="1">
      <c r="A15" s="39" t="n"/>
      <c r="B15" s="63" t="n"/>
      <c r="C15" s="63" t="n"/>
      <c r="D15" s="63" t="n"/>
      <c r="E15" s="63" t="n"/>
      <c r="F15" s="63" t="n"/>
      <c r="G15" s="63" t="n"/>
      <c r="H15" s="39" t="n"/>
      <c r="I15" s="39" t="n"/>
      <c r="J15" s="39" t="n"/>
    </row>
    <row r="16" ht="25" customHeight="1">
      <c r="A16" s="39" t="n"/>
      <c r="B16" s="39" t="n"/>
      <c r="C16" s="39" t="n"/>
      <c r="D16" s="39" t="n"/>
      <c r="E16" s="39" t="n"/>
      <c r="F16" s="39" t="n"/>
      <c r="G16" s="39" t="n"/>
      <c r="H16" s="39" t="n"/>
      <c r="I16" s="39" t="n"/>
      <c r="J16" s="39" t="n"/>
    </row>
    <row r="17" ht="25" customHeight="1">
      <c r="A17" s="39" t="n"/>
      <c r="B17" s="39" t="n"/>
      <c r="C17" s="39" t="n"/>
      <c r="D17" s="39" t="n"/>
      <c r="E17" s="39" t="n"/>
      <c r="F17" s="39" t="n"/>
      <c r="G17" s="39" t="n"/>
      <c r="H17" s="39" t="n"/>
      <c r="I17" s="39" t="n"/>
      <c r="J17" s="39" t="n"/>
    </row>
    <row r="18" ht="25" customHeight="1">
      <c r="A18" s="39" t="n"/>
      <c r="B18" s="40" t="inlineStr">
        <is>
          <t>Current Focus</t>
        </is>
      </c>
      <c r="C18" s="39" t="n"/>
      <c r="D18" s="39" t="n"/>
      <c r="E18" s="39" t="n"/>
      <c r="F18" s="39" t="n"/>
      <c r="G18" s="39" t="n"/>
      <c r="H18" s="39" t="n"/>
      <c r="I18" s="39" t="n"/>
      <c r="J18" s="39" t="n"/>
    </row>
    <row r="19" ht="22" customHeight="1">
      <c r="A19" s="39" t="n"/>
      <c r="B19" s="8" t="inlineStr">
        <is>
          <t>Current Mission</t>
        </is>
      </c>
      <c r="C19" s="63" t="n"/>
      <c r="D19" s="25" t="n"/>
      <c r="E19" s="25" t="n"/>
      <c r="F19" s="25" t="n"/>
      <c r="G19" s="26" t="n"/>
      <c r="H19" s="39" t="n"/>
      <c r="I19" s="39" t="n"/>
      <c r="J19" s="39" t="n"/>
    </row>
    <row r="20" ht="22" customHeight="1">
      <c r="A20" s="39" t="n"/>
      <c r="B20" s="8" t="inlineStr">
        <is>
          <t>Current Deliverable</t>
        </is>
      </c>
      <c r="C20" s="63" t="n"/>
      <c r="D20" s="25" t="n"/>
      <c r="E20" s="25" t="n"/>
      <c r="F20" s="25" t="n"/>
      <c r="G20" s="26" t="n"/>
      <c r="H20" s="39" t="n"/>
      <c r="I20" s="39" t="n"/>
      <c r="J20" s="39" t="n"/>
    </row>
    <row r="21" ht="22" customHeight="1">
      <c r="A21" s="39" t="n"/>
      <c r="B21" s="8" t="inlineStr">
        <is>
          <t>Current Component</t>
        </is>
      </c>
      <c r="C21" s="63" t="n"/>
      <c r="D21" s="25" t="n"/>
      <c r="E21" s="25" t="n"/>
      <c r="F21" s="25" t="n"/>
      <c r="G21" s="26" t="n"/>
      <c r="H21" s="39" t="n"/>
      <c r="I21" s="39" t="n"/>
      <c r="J21" s="39" t="n"/>
    </row>
    <row r="22" ht="22" customHeight="1">
      <c r="A22" s="39" t="n"/>
      <c r="B22" s="8" t="inlineStr">
        <is>
          <t>Current Task</t>
        </is>
      </c>
      <c r="C22" s="63" t="n"/>
      <c r="D22" s="25" t="n"/>
      <c r="E22" s="25" t="n"/>
      <c r="F22" s="25" t="n"/>
      <c r="G22" s="26" t="n"/>
      <c r="H22" s="39" t="n"/>
      <c r="I22" s="39" t="n"/>
      <c r="J22" s="39" t="n"/>
    </row>
    <row r="23" ht="22" customHeight="1">
      <c r="A23" s="39" t="n"/>
      <c r="B23" s="8" t="inlineStr">
        <is>
          <t>Definition of Done</t>
        </is>
      </c>
      <c r="C23" s="63" t="n"/>
      <c r="D23" s="25" t="n"/>
      <c r="E23" s="25" t="n"/>
      <c r="F23" s="25" t="n"/>
      <c r="G23" s="26" t="n"/>
      <c r="H23" s="39" t="n"/>
      <c r="I23" s="39" t="n"/>
      <c r="J23" s="39" t="n"/>
    </row>
    <row r="24" ht="22" customHeight="1">
      <c r="A24" s="39" t="n"/>
      <c r="B24" s="8" t="inlineStr">
        <is>
          <t>Current Blocker</t>
        </is>
      </c>
      <c r="C24" s="63" t="n"/>
      <c r="D24" s="25" t="n"/>
      <c r="E24" s="25" t="n"/>
      <c r="F24" s="25" t="n"/>
      <c r="G24" s="26" t="n"/>
      <c r="H24" s="39" t="n"/>
      <c r="I24" s="39" t="n"/>
      <c r="J24" s="39" t="n"/>
    </row>
    <row r="25" ht="22" customHeight="1">
      <c r="A25" s="39" t="n"/>
      <c r="B25" s="8" t="inlineStr">
        <is>
          <t>Next Physical Action</t>
        </is>
      </c>
      <c r="C25" s="63" t="n"/>
      <c r="D25" s="25" t="n"/>
      <c r="E25" s="25" t="n"/>
      <c r="F25" s="25" t="n"/>
      <c r="G25" s="26" t="n"/>
      <c r="H25" s="39" t="n"/>
      <c r="I25" s="39" t="n"/>
      <c r="J25" s="39" t="n"/>
    </row>
    <row r="26">
      <c r="A26" s="39" t="n"/>
      <c r="B26" s="39" t="n"/>
      <c r="C26" s="39" t="n"/>
      <c r="D26" s="39" t="n"/>
      <c r="E26" s="39" t="n"/>
      <c r="F26" s="39" t="n"/>
      <c r="G26" s="39" t="n"/>
      <c r="H26" s="39" t="n"/>
      <c r="I26" s="39" t="n"/>
      <c r="J26" s="39" t="n"/>
    </row>
    <row r="27">
      <c r="A27" s="39" t="n"/>
      <c r="B27" s="40" t="inlineStr">
        <is>
          <t>Top 3 Recommended (Auto)</t>
        </is>
      </c>
      <c r="C27" s="39" t="n"/>
      <c r="D27" s="39" t="n"/>
      <c r="E27" s="39" t="n"/>
      <c r="F27" s="39" t="n"/>
      <c r="G27" s="39" t="n"/>
      <c r="H27" s="39" t="n"/>
      <c r="I27" s="39" t="n"/>
      <c r="J27" s="39" t="n"/>
    </row>
    <row r="28">
      <c r="A28" s="39" t="n"/>
      <c r="B28" s="61" t="inlineStr">
        <is>
          <t>Ranked automatically by priority, due date, fit to your available time, and current energy.</t>
        </is>
      </c>
      <c r="H28" s="39" t="n"/>
      <c r="I28" s="39" t="n"/>
      <c r="J28" s="39" t="n"/>
    </row>
    <row r="29">
      <c r="A29" s="39" t="n"/>
      <c r="B29" s="13" t="inlineStr">
        <is>
          <t>Priority</t>
        </is>
      </c>
      <c r="C29" s="13" t="inlineStr">
        <is>
          <t>Task</t>
        </is>
      </c>
      <c r="D29" s="13" t="inlineStr">
        <is>
          <t>Mission</t>
        </is>
      </c>
      <c r="E29" s="13" t="inlineStr">
        <is>
          <t>Due Date</t>
        </is>
      </c>
      <c r="F29" s="13" t="inlineStr">
        <is>
          <t>Time</t>
        </is>
      </c>
      <c r="G29" s="13" t="inlineStr">
        <is>
          <t>Energy</t>
        </is>
      </c>
      <c r="H29" s="39" t="n"/>
      <c r="I29" s="39" t="n"/>
      <c r="J29" s="39" t="n"/>
    </row>
    <row r="30">
      <c r="A30" s="39" t="n"/>
      <c r="B30" s="64">
        <f>IFERROR(IF(LARGE('Work Register'!$N$5:$N$200,1)&lt;=-500,"",INDEX('Work Register'!F:F,MATCH(LARGE('Work Register'!$N$5:$N$200,1),'Work Register'!$N$5:$N$200,0)+4)),"")</f>
        <v/>
      </c>
      <c r="C30" s="42">
        <f>IFERROR(IF(LARGE('Work Register'!$N$5:$N$200,1)&lt;=-500,"",INDEX('Work Register'!D:D,MATCH(LARGE('Work Register'!$N$5:$N$200,1),'Work Register'!$N$5:$N$200,0)+4)),"")</f>
        <v/>
      </c>
      <c r="D30" s="42">
        <f>IFERROR(IF(LARGE('Work Register'!$N$5:$N$200,1)&lt;=-500,"",INDEX('Work Register'!A:A,MATCH(LARGE('Work Register'!$N$5:$N$200,1),'Work Register'!$N$5:$N$200,0)+4)),"")</f>
        <v/>
      </c>
      <c r="E30" s="64">
        <f>IFERROR(IF(LARGE('Work Register'!$N$5:$N$200,1)&lt;=-500,"",INDEX('Work Register'!I:I,MATCH(LARGE('Work Register'!$N$5:$N$200,1),'Work Register'!$N$5:$N$200,0)+4)),"")</f>
        <v/>
      </c>
      <c r="F30" s="64">
        <f>IFERROR(IF(LARGE('Work Register'!$N$5:$N$200,1)&lt;=-500,"",INDEX('Work Register'!H:H,MATCH(LARGE('Work Register'!$N$5:$N$200,1),'Work Register'!$N$5:$N$200,0)+4)),"")</f>
        <v/>
      </c>
      <c r="G30" s="64">
        <f>IFERROR(IF(LARGE('Work Register'!$N$5:$N$200,1)&lt;=-500,"",INDEX('Work Register'!G:G,MATCH(LARGE('Work Register'!$N$5:$N$200,1),'Work Register'!$N$5:$N$200,0)+4)),"")</f>
        <v/>
      </c>
      <c r="H30" s="39" t="n"/>
      <c r="I30" s="39" t="n"/>
      <c r="J30" s="39" t="n"/>
    </row>
    <row r="31">
      <c r="A31" s="39" t="n"/>
      <c r="B31" s="64">
        <f>IFERROR(IF(LARGE('Work Register'!$N$5:$N$200,2)&lt;=-500,"",INDEX('Work Register'!F:F,MATCH(LARGE('Work Register'!$N$5:$N$200,2),'Work Register'!$N$5:$N$200,0)+4)),"")</f>
        <v/>
      </c>
      <c r="C31" s="42">
        <f>IFERROR(IF(LARGE('Work Register'!$N$5:$N$200,2)&lt;=-500,"",INDEX('Work Register'!D:D,MATCH(LARGE('Work Register'!$N$5:$N$200,2),'Work Register'!$N$5:$N$200,0)+4)),"")</f>
        <v/>
      </c>
      <c r="D31" s="42">
        <f>IFERROR(IF(LARGE('Work Register'!$N$5:$N$200,2)&lt;=-500,"",INDEX('Work Register'!A:A,MATCH(LARGE('Work Register'!$N$5:$N$200,2),'Work Register'!$N$5:$N$200,0)+4)),"")</f>
        <v/>
      </c>
      <c r="E31" s="64">
        <f>IFERROR(IF(LARGE('Work Register'!$N$5:$N$200,2)&lt;=-500,"",INDEX('Work Register'!I:I,MATCH(LARGE('Work Register'!$N$5:$N$200,2),'Work Register'!$N$5:$N$200,0)+4)),"")</f>
        <v/>
      </c>
      <c r="F31" s="64">
        <f>IFERROR(IF(LARGE('Work Register'!$N$5:$N$200,2)&lt;=-500,"",INDEX('Work Register'!H:H,MATCH(LARGE('Work Register'!$N$5:$N$200,2),'Work Register'!$N$5:$N$200,0)+4)),"")</f>
        <v/>
      </c>
      <c r="G31" s="64">
        <f>IFERROR(IF(LARGE('Work Register'!$N$5:$N$200,2)&lt;=-500,"",INDEX('Work Register'!G:G,MATCH(LARGE('Work Register'!$N$5:$N$200,2),'Work Register'!$N$5:$N$200,0)+4)),"")</f>
        <v/>
      </c>
      <c r="H31" s="39" t="n"/>
      <c r="I31" s="39" t="n"/>
      <c r="J31" s="39" t="n"/>
    </row>
    <row r="32">
      <c r="A32" s="39" t="n"/>
      <c r="B32" s="64">
        <f>IFERROR(IF(LARGE('Work Register'!$N$5:$N$200,3)&lt;=-500,"",INDEX('Work Register'!F:F,MATCH(LARGE('Work Register'!$N$5:$N$200,3),'Work Register'!$N$5:$N$200,0)+4)),"")</f>
        <v/>
      </c>
      <c r="C32" s="42">
        <f>IFERROR(IF(LARGE('Work Register'!$N$5:$N$200,3)&lt;=-500,"",INDEX('Work Register'!D:D,MATCH(LARGE('Work Register'!$N$5:$N$200,3),'Work Register'!$N$5:$N$200,0)+4)),"")</f>
        <v/>
      </c>
      <c r="D32" s="42">
        <f>IFERROR(IF(LARGE('Work Register'!$N$5:$N$200,3)&lt;=-500,"",INDEX('Work Register'!A:A,MATCH(LARGE('Work Register'!$N$5:$N$200,3),'Work Register'!$N$5:$N$200,0)+4)),"")</f>
        <v/>
      </c>
      <c r="E32" s="64">
        <f>IFERROR(IF(LARGE('Work Register'!$N$5:$N$200,3)&lt;=-500,"",INDEX('Work Register'!I:I,MATCH(LARGE('Work Register'!$N$5:$N$200,3),'Work Register'!$N$5:$N$200,0)+4)),"")</f>
        <v/>
      </c>
      <c r="F32" s="64">
        <f>IFERROR(IF(LARGE('Work Register'!$N$5:$N$200,3)&lt;=-500,"",INDEX('Work Register'!H:H,MATCH(LARGE('Work Register'!$N$5:$N$200,3),'Work Register'!$N$5:$N$200,0)+4)),"")</f>
        <v/>
      </c>
      <c r="G32" s="64">
        <f>IFERROR(IF(LARGE('Work Register'!$N$5:$N$200,3)&lt;=-500,"",INDEX('Work Register'!G:G,MATCH(LARGE('Work Register'!$N$5:$N$200,3),'Work Register'!$N$5:$N$200,0)+4)),"")</f>
        <v/>
      </c>
      <c r="H32" s="39" t="n"/>
      <c r="I32" s="39" t="n"/>
      <c r="J32" s="39" t="n"/>
    </row>
    <row r="33">
      <c r="A33" s="39" t="n"/>
      <c r="B33" s="39" t="n"/>
      <c r="C33" s="39" t="n"/>
      <c r="D33" s="39" t="n"/>
      <c r="E33" s="39" t="n"/>
      <c r="F33" s="39" t="n"/>
      <c r="G33" s="39" t="n"/>
      <c r="H33" s="39" t="n"/>
      <c r="I33" s="39" t="n"/>
      <c r="J33" s="39" t="n"/>
    </row>
    <row r="34">
      <c r="A34" s="39" t="n"/>
      <c r="B34" s="39" t="n"/>
      <c r="C34" s="39" t="n"/>
      <c r="D34" s="39" t="n"/>
      <c r="E34" s="39" t="n"/>
      <c r="F34" s="39" t="n"/>
      <c r="G34" s="39" t="n"/>
      <c r="H34" s="39" t="n"/>
      <c r="I34" s="39" t="n"/>
      <c r="J34" s="39" t="n"/>
    </row>
    <row r="35">
      <c r="A35" s="39" t="n"/>
      <c r="B35" s="39" t="n"/>
      <c r="C35" s="39" t="n"/>
      <c r="D35" s="39" t="n"/>
      <c r="E35" s="39" t="n"/>
      <c r="F35" s="39" t="n"/>
      <c r="G35" s="39" t="n"/>
      <c r="H35" s="39" t="n"/>
      <c r="I35" s="39" t="n"/>
      <c r="J35" s="39" t="n"/>
    </row>
    <row r="36">
      <c r="A36" s="39" t="n"/>
      <c r="B36" s="39" t="n"/>
      <c r="C36" s="39" t="n"/>
      <c r="D36" s="39" t="n"/>
      <c r="E36" s="39" t="n"/>
      <c r="F36" s="39" t="n"/>
      <c r="G36" s="39" t="n"/>
      <c r="H36" s="39" t="n"/>
      <c r="I36" s="39" t="n"/>
      <c r="J36" s="39" t="n"/>
    </row>
    <row r="37">
      <c r="A37" s="39" t="n"/>
      <c r="B37" s="39" t="n"/>
      <c r="C37" s="39" t="n"/>
      <c r="D37" s="39" t="n"/>
      <c r="E37" s="39" t="n"/>
      <c r="F37" s="39" t="n"/>
      <c r="G37" s="39" t="n"/>
      <c r="H37" s="39" t="n"/>
      <c r="I37" s="39" t="n"/>
      <c r="J37" s="39" t="n"/>
    </row>
    <row r="38">
      <c r="A38" s="39" t="n"/>
      <c r="B38" s="39" t="n"/>
      <c r="C38" s="39" t="n"/>
      <c r="D38" s="39" t="n"/>
      <c r="E38" s="39" t="n"/>
      <c r="F38" s="39" t="n"/>
      <c r="G38" s="39" t="n"/>
      <c r="H38" s="39" t="n"/>
      <c r="I38" s="39" t="n"/>
      <c r="J38" s="39" t="n"/>
    </row>
    <row r="39">
      <c r="A39" s="39" t="n"/>
      <c r="B39" s="39" t="n"/>
      <c r="C39" s="39" t="n"/>
      <c r="D39" s="39" t="n"/>
      <c r="E39" s="39" t="n"/>
      <c r="F39" s="39" t="n"/>
      <c r="G39" s="39" t="n"/>
      <c r="H39" s="39" t="n"/>
      <c r="I39" s="39" t="n"/>
      <c r="J39" s="39" t="n"/>
    </row>
    <row r="40">
      <c r="A40" s="39" t="n"/>
      <c r="B40" s="39" t="n"/>
      <c r="C40" s="39" t="n"/>
      <c r="D40" s="39" t="n"/>
      <c r="E40" s="39" t="n"/>
      <c r="F40" s="39" t="n"/>
      <c r="G40" s="39" t="n"/>
      <c r="H40" s="39" t="n"/>
      <c r="I40" s="39" t="n"/>
      <c r="J40" s="39" t="n"/>
    </row>
  </sheetData>
  <sheetProtection selectLockedCells="0" selectUnlockedCells="0" sheet="1" objects="0" insertRows="1" insertHyperlinks="1" autoFilter="1" scenarios="0" formatColumns="1" deleteColumns="1" insertColumns="1" pivotTables="1" deleteRows="1" formatCells="1" formatRows="1" sort="1"/>
  <mergeCells count="12">
    <mergeCell ref="C21:G21"/>
    <mergeCell ref="C20:G20"/>
    <mergeCell ref="B28:G28"/>
    <mergeCell ref="C24:G24"/>
    <mergeCell ref="C25:G25"/>
    <mergeCell ref="C19:G19"/>
    <mergeCell ref="C23:G23"/>
    <mergeCell ref="C22:G22"/>
    <mergeCell ref="B8:F8"/>
    <mergeCell ref="B7:G7"/>
    <mergeCell ref="B11:G11"/>
    <mergeCell ref="B6:G6"/>
  </mergeCells>
  <dataValidations count="6">
    <dataValidation sqref="B8 B9 B10" showDropDown="0" showInputMessage="0" showErrorMessage="0" allowBlank="1" type="list">
      <formula1>PriorityList</formula1>
    </dataValidation>
    <dataValidation sqref="F8 F9 F10" showDropDown="0" showInputMessage="0" showErrorMessage="0" allowBlank="1" type="list">
      <formula1>EnergyList</formula1>
    </dataValidation>
    <dataValidation sqref="G8 G9 G10" showDropDown="0" showInputMessage="0" showErrorMessage="0" allowBlank="1" type="list">
      <formula1>StatusList</formula1>
    </dataValidation>
    <dataValidation sqref="B13 B14 B15" showDropDown="0" showInputMessage="0" showErrorMessage="0" allowBlank="1" type="list">
      <formula1>PriorityList</formula1>
    </dataValidation>
    <dataValidation sqref="F13 F14 F15" showDropDown="0" showInputMessage="0" showErrorMessage="0" allowBlank="1" type="list">
      <formula1>EnergyList</formula1>
    </dataValidation>
    <dataValidation sqref="G13 G14 G15" showDropDown="0" showInputMessage="0" showErrorMessage="0" allowBlank="1" type="list">
      <formula1>StatusList</formula1>
    </dataValidation>
  </dataValidations>
  <hyperlinks>
    <hyperlink xmlns:r="http://schemas.openxmlformats.org/officeDocument/2006/relationships" ref="B4"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25" customWidth="1" min="2" max="2"/>
    <col width="40" customWidth="1" min="3" max="3"/>
  </cols>
  <sheetData>
    <row r="2">
      <c r="B2" s="10" t="inlineStr">
        <is>
          <t>Current Focus</t>
        </is>
      </c>
    </row>
    <row r="3" ht="20" customHeight="1">
      <c r="B3" s="11" t="inlineStr">
        <is>
          <t>← Home</t>
        </is>
      </c>
    </row>
    <row r="5" ht="25" customHeight="1">
      <c r="B5" s="8" t="inlineStr">
        <is>
          <t>Mission</t>
        </is>
      </c>
      <c r="C5" s="15" t="n"/>
      <c r="D5" s="25" t="n"/>
      <c r="E5" s="26" t="n"/>
    </row>
    <row r="6" ht="25" customHeight="1">
      <c r="B6" s="8" t="inlineStr">
        <is>
          <t>Deliverable</t>
        </is>
      </c>
      <c r="C6" s="15" t="n"/>
      <c r="D6" s="25" t="n"/>
      <c r="E6" s="26" t="n"/>
    </row>
    <row r="7" ht="25" customHeight="1">
      <c r="B7" s="8" t="inlineStr">
        <is>
          <t>Component</t>
        </is>
      </c>
      <c r="C7" s="15" t="n"/>
      <c r="D7" s="25" t="n"/>
      <c r="E7" s="26" t="n"/>
    </row>
    <row r="8" ht="25" customHeight="1">
      <c r="B8" s="8" t="inlineStr">
        <is>
          <t>Current Task</t>
        </is>
      </c>
      <c r="C8" s="15" t="n"/>
      <c r="D8" s="25" t="n"/>
      <c r="E8" s="26" t="n"/>
    </row>
    <row r="9" ht="25" customHeight="1">
      <c r="B9" s="8" t="inlineStr">
        <is>
          <t>Definition of Done</t>
        </is>
      </c>
      <c r="C9" s="15" t="n"/>
      <c r="D9" s="25" t="n"/>
      <c r="E9" s="26" t="n"/>
    </row>
    <row r="10" ht="25" customHeight="1">
      <c r="B10" s="8" t="inlineStr">
        <is>
          <t>Next Physical Action</t>
        </is>
      </c>
      <c r="C10" s="15" t="n"/>
      <c r="D10" s="25" t="n"/>
      <c r="E10" s="26" t="n"/>
    </row>
    <row r="11" ht="25" customHeight="1">
      <c r="B11" s="8" t="inlineStr">
        <is>
          <t>Current Blocker</t>
        </is>
      </c>
      <c r="C11" s="15" t="n"/>
      <c r="D11" s="25" t="n"/>
      <c r="E11" s="26" t="n"/>
    </row>
    <row r="12" ht="25" customHeight="1">
      <c r="B12" s="8" t="inlineStr">
        <is>
          <t>Last Updated</t>
        </is>
      </c>
      <c r="C12" s="15" t="n"/>
      <c r="D12" s="25" t="n"/>
      <c r="E12" s="26" t="n"/>
    </row>
    <row r="15">
      <c r="B15" s="28" t="inlineStr">
        <is>
          <t>How to use Current Focus:</t>
        </is>
      </c>
    </row>
    <row r="16">
      <c r="B16" s="27" t="inlineStr">
        <is>
          <t>1. Navigate to a task in Work Register</t>
        </is>
      </c>
    </row>
    <row r="17">
      <c r="B17" s="27" t="inlineStr">
        <is>
          <t>2. Copy the Mission, Deliverable, Component, and Task details</t>
        </is>
      </c>
    </row>
    <row r="18">
      <c r="B18" s="27" t="inlineStr">
        <is>
          <t>3. Paste them into the fields above</t>
        </is>
      </c>
    </row>
    <row r="19">
      <c r="B19" s="27" t="inlineStr">
        <is>
          <t>4. This page now shows your current work context</t>
        </is>
      </c>
    </row>
  </sheetData>
  <sheetProtection selectLockedCells="0" selectUnlockedCells="0" sheet="1" objects="0" insertRows="1" insertHyperlinks="1" autoFilter="1" scenarios="0" formatColumns="1" deleteColumns="1" insertColumns="1" pivotTables="1" deleteRows="1" formatCells="1" formatRows="1" sort="1"/>
  <mergeCells count="8">
    <mergeCell ref="C11:E11"/>
    <mergeCell ref="C5:E5"/>
    <mergeCell ref="C8:E8"/>
    <mergeCell ref="C9:E9"/>
    <mergeCell ref="C7:E7"/>
    <mergeCell ref="C12:E12"/>
    <mergeCell ref="C6:E6"/>
    <mergeCell ref="C10:E10"/>
  </mergeCells>
  <hyperlinks>
    <hyperlink xmlns:r="http://schemas.openxmlformats.org/officeDocument/2006/relationships" ref="B3"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8"/>
  <sheetViews>
    <sheetView showGridLines="0" workbookViewId="0">
      <selection activeCell="A1" sqref="A1"/>
    </sheetView>
  </sheetViews>
  <sheetFormatPr baseColWidth="8" defaultRowHeight="15"/>
  <cols>
    <col width="20" customWidth="1" min="2" max="2"/>
    <col width="20" customWidth="1" min="3" max="3"/>
    <col width="20" customWidth="1" min="4" max="4"/>
    <col width="20" customWidth="1" min="5" max="5"/>
  </cols>
  <sheetData>
    <row r="2">
      <c r="B2" s="10" t="inlineStr">
        <is>
          <t>Weekly Review</t>
        </is>
      </c>
    </row>
    <row r="3" ht="20" customHeight="1">
      <c r="B3" s="11" t="inlineStr">
        <is>
          <t>← Home</t>
        </is>
      </c>
    </row>
    <row r="4">
      <c r="B4" s="20" t="inlineStr">
        <is>
          <t>Week of August 06, 2026</t>
        </is>
      </c>
    </row>
    <row r="6">
      <c r="B6" s="29" t="inlineStr">
        <is>
          <t>Active Missions</t>
        </is>
      </c>
      <c r="C6" s="29" t="inlineStr">
        <is>
          <t>Blocked Tasks</t>
        </is>
      </c>
      <c r="D6" s="29" t="inlineStr">
        <is>
          <t>Waiting Tasks</t>
        </is>
      </c>
      <c r="E6" s="29" t="inlineStr">
        <is>
          <t>Completed This Week</t>
        </is>
      </c>
    </row>
    <row r="7">
      <c r="B7" s="9">
        <f>COUNTIF('Work Register'!F:F,"In Progress")+COUNTIF('Work Register'!F:F,"Captured")+COUNTIF('Work Register'!F:F,"Next")</f>
        <v/>
      </c>
      <c r="C7" s="9">
        <f>COUNTIF('Work Register'!F:F,"Blocked")</f>
        <v/>
      </c>
      <c r="D7" s="9">
        <f>COUNTIF('Work Register'!F:F,"Waiting")</f>
        <v/>
      </c>
      <c r="E7" s="9">
        <f>COUNTIF('Work Register'!F:F,"Done")</f>
        <v/>
      </c>
    </row>
    <row r="10">
      <c r="B10" s="4" t="inlineStr">
        <is>
          <t>Weekly Review Checklist</t>
        </is>
      </c>
    </row>
    <row r="11" ht="20" customHeight="1">
      <c r="B11" s="30" t="inlineStr">
        <is>
          <t>□ Review all Blocked tasks - escalate or reassign</t>
        </is>
      </c>
      <c r="C11" s="6" t="n"/>
      <c r="D11" s="6" t="n"/>
      <c r="E11" s="7" t="n"/>
    </row>
    <row r="12" ht="20" customHeight="1">
      <c r="B12" s="30" t="inlineStr">
        <is>
          <t>□ Review all Waiting tasks - follow up on dependencies</t>
        </is>
      </c>
      <c r="C12" s="6" t="n"/>
      <c r="D12" s="6" t="n"/>
      <c r="E12" s="7" t="n"/>
    </row>
    <row r="13" ht="20" customHeight="1">
      <c r="B13" s="30" t="inlineStr">
        <is>
          <t>□ Check for overdue tasks - adjust priority or defer</t>
        </is>
      </c>
      <c r="C13" s="6" t="n"/>
      <c r="D13" s="6" t="n"/>
      <c r="E13" s="7" t="n"/>
    </row>
    <row r="14" ht="20" customHeight="1">
      <c r="B14" s="30" t="inlineStr">
        <is>
          <t>□ Celebrate completed work from this week</t>
        </is>
      </c>
      <c r="C14" s="6" t="n"/>
      <c r="D14" s="6" t="n"/>
      <c r="E14" s="7" t="n"/>
    </row>
    <row r="15" ht="20" customHeight="1">
      <c r="B15" s="30" t="inlineStr">
        <is>
          <t>□ Identify missions with no recent activity</t>
        </is>
      </c>
      <c r="C15" s="6" t="n"/>
      <c r="D15" s="6" t="n"/>
      <c r="E15" s="7" t="n"/>
    </row>
    <row r="16" ht="20" customHeight="1">
      <c r="B16" s="30" t="inlineStr">
        <is>
          <t>□ Check for tasks with no Next Action defined</t>
        </is>
      </c>
      <c r="C16" s="6" t="n"/>
      <c r="D16" s="6" t="n"/>
      <c r="E16" s="7" t="n"/>
    </row>
    <row r="17" ht="20" customHeight="1">
      <c r="B17" s="30" t="inlineStr">
        <is>
          <t>□ Plan new missions for next week</t>
        </is>
      </c>
      <c r="C17" s="6" t="n"/>
      <c r="D17" s="6" t="n"/>
      <c r="E17" s="7" t="n"/>
    </row>
    <row r="18" ht="20" customHeight="1">
      <c r="B18" s="30" t="inlineStr">
        <is>
          <t>□ Archive completed missions</t>
        </is>
      </c>
      <c r="C18" s="6" t="n"/>
      <c r="D18" s="6" t="n"/>
      <c r="E18" s="7" t="n"/>
    </row>
  </sheetData>
  <sheetProtection selectLockedCells="0" selectUnlockedCells="0" sheet="1" objects="0" insertRows="1" insertHyperlinks="1" autoFilter="1" scenarios="0" formatColumns="1" deleteColumns="1" insertColumns="1" pivotTables="1" deleteRows="1" formatCells="1" formatRows="1" sort="1"/>
  <mergeCells count="9">
    <mergeCell ref="B17:E17"/>
    <mergeCell ref="B18:E18"/>
    <mergeCell ref="B12:E12"/>
    <mergeCell ref="B13:E13"/>
    <mergeCell ref="B16:E16"/>
    <mergeCell ref="B15:E15"/>
    <mergeCell ref="B11:E11"/>
    <mergeCell ref="B10:E10"/>
    <mergeCell ref="B14:E14"/>
  </mergeCells>
  <hyperlinks>
    <hyperlink xmlns:r="http://schemas.openxmlformats.org/officeDocument/2006/relationships" ref="B3"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200"/>
  <sheetViews>
    <sheetView showGridLines="0" workbookViewId="0">
      <selection activeCell="A1" sqref="A1"/>
    </sheetView>
  </sheetViews>
  <sheetFormatPr baseColWidth="8" defaultRowHeight="15"/>
  <cols>
    <col width="12" customWidth="1" min="1" max="1"/>
    <col width="20" customWidth="1" min="2" max="2"/>
    <col width="20" customWidth="1" min="3" max="3"/>
    <col width="18" customWidth="1" min="4" max="4"/>
    <col width="25" customWidth="1" min="5" max="5"/>
    <col width="15" customWidth="1" min="6" max="6"/>
    <col width="12" customWidth="1" min="7" max="7"/>
    <col width="16" customWidth="1" min="8" max="8"/>
    <col width="16" customWidth="1" min="9" max="9"/>
    <col width="12" customWidth="1" min="10" max="10"/>
    <col width="10" customWidth="1" min="11" max="11"/>
    <col width="25" customWidth="1" min="12" max="12"/>
    <col width="15" customWidth="1" min="13" max="13"/>
  </cols>
  <sheetData>
    <row r="1">
      <c r="A1" s="10" t="inlineStr">
        <is>
          <t>Archive</t>
        </is>
      </c>
    </row>
    <row r="2" ht="20" customHeight="1">
      <c r="A2" s="11" t="inlineStr">
        <is>
          <t>← Home</t>
        </is>
      </c>
    </row>
    <row r="3">
      <c r="A3" s="20" t="inlineStr">
        <is>
          <t>Completed missions and archived tasks</t>
        </is>
      </c>
    </row>
    <row r="5">
      <c r="A5" s="31" t="inlineStr">
        <is>
          <t>Task ID</t>
        </is>
      </c>
      <c r="B5" s="31" t="inlineStr">
        <is>
          <t>Mission</t>
        </is>
      </c>
      <c r="C5" s="31" t="inlineStr">
        <is>
          <t>Deliverable</t>
        </is>
      </c>
      <c r="D5" s="31" t="inlineStr">
        <is>
          <t>Component</t>
        </is>
      </c>
      <c r="E5" s="31" t="inlineStr">
        <is>
          <t>Task</t>
        </is>
      </c>
      <c r="F5" s="31" t="inlineStr">
        <is>
          <t>Status</t>
        </is>
      </c>
      <c r="G5" s="31" t="inlineStr">
        <is>
          <t>Priority</t>
        </is>
      </c>
      <c r="H5" s="31" t="inlineStr">
        <is>
          <t>Energy</t>
        </is>
      </c>
      <c r="I5" s="31" t="inlineStr">
        <is>
          <t>Estimated Time</t>
        </is>
      </c>
      <c r="J5" s="31" t="inlineStr">
        <is>
          <t>Due Date</t>
        </is>
      </c>
      <c r="K5" s="31" t="inlineStr">
        <is>
          <t>Owner</t>
        </is>
      </c>
      <c r="L5" s="31" t="inlineStr">
        <is>
          <t>Notes</t>
        </is>
      </c>
      <c r="M5" s="31" t="inlineStr">
        <is>
          <t>Completed Date</t>
        </is>
      </c>
    </row>
    <row r="6">
      <c r="A6" s="32" t="inlineStr">
        <is>
          <t>To archive a task: Copy completed tasks from Work Register here, then delete from Work Register.</t>
        </is>
      </c>
      <c r="B6" s="19" t="n"/>
      <c r="C6" s="19" t="n"/>
      <c r="D6" s="19" t="n"/>
      <c r="E6" s="19" t="n"/>
      <c r="F6" s="19" t="n"/>
      <c r="G6" s="19" t="n"/>
      <c r="H6" s="19" t="n"/>
      <c r="I6" s="19" t="n"/>
      <c r="J6" s="19" t="n"/>
      <c r="K6" s="19" t="n"/>
      <c r="L6" s="19" t="n"/>
      <c r="M6" s="19" t="n"/>
    </row>
    <row r="7">
      <c r="A7" s="19" t="n"/>
      <c r="B7" s="19" t="n"/>
      <c r="C7" s="19" t="n"/>
      <c r="D7" s="19" t="n"/>
      <c r="E7" s="19" t="n"/>
      <c r="F7" s="19" t="n"/>
      <c r="G7" s="19" t="n"/>
      <c r="H7" s="19" t="n"/>
      <c r="I7" s="19" t="n"/>
      <c r="J7" s="19" t="n"/>
      <c r="K7" s="19" t="n"/>
      <c r="L7" s="19" t="n"/>
      <c r="M7" s="19" t="n"/>
    </row>
    <row r="8">
      <c r="A8" s="19" t="n"/>
      <c r="B8" s="19" t="n"/>
      <c r="C8" s="19" t="n"/>
      <c r="D8" s="19" t="n"/>
      <c r="E8" s="19" t="n"/>
      <c r="F8" s="19" t="n"/>
      <c r="G8" s="19" t="n"/>
      <c r="H8" s="19" t="n"/>
      <c r="I8" s="19" t="n"/>
      <c r="J8" s="19" t="n"/>
      <c r="K8" s="19" t="n"/>
      <c r="L8" s="19" t="n"/>
      <c r="M8" s="19" t="n"/>
    </row>
    <row r="9">
      <c r="A9" s="19" t="n"/>
      <c r="B9" s="19" t="n"/>
      <c r="C9" s="19" t="n"/>
      <c r="D9" s="19" t="n"/>
      <c r="E9" s="19" t="n"/>
      <c r="F9" s="19" t="n"/>
      <c r="G9" s="19" t="n"/>
      <c r="H9" s="19" t="n"/>
      <c r="I9" s="19" t="n"/>
      <c r="J9" s="19" t="n"/>
      <c r="K9" s="19" t="n"/>
      <c r="L9" s="19" t="n"/>
      <c r="M9" s="19" t="n"/>
    </row>
    <row r="10">
      <c r="A10" s="19" t="n"/>
      <c r="B10" s="19" t="n"/>
      <c r="C10" s="19" t="n"/>
      <c r="D10" s="19" t="n"/>
      <c r="E10" s="19" t="n"/>
      <c r="F10" s="19" t="n"/>
      <c r="G10" s="19" t="n"/>
      <c r="H10" s="19" t="n"/>
      <c r="I10" s="19" t="n"/>
      <c r="J10" s="19" t="n"/>
      <c r="K10" s="19" t="n"/>
      <c r="L10" s="19" t="n"/>
      <c r="M10" s="19" t="n"/>
    </row>
    <row r="11">
      <c r="A11" s="19" t="n"/>
      <c r="B11" s="19" t="n"/>
      <c r="C11" s="19" t="n"/>
      <c r="D11" s="19" t="n"/>
      <c r="E11" s="19" t="n"/>
      <c r="F11" s="19" t="n"/>
      <c r="G11" s="19" t="n"/>
      <c r="H11" s="19" t="n"/>
      <c r="I11" s="19" t="n"/>
      <c r="J11" s="19" t="n"/>
      <c r="K11" s="19" t="n"/>
      <c r="L11" s="19" t="n"/>
      <c r="M11" s="19" t="n"/>
    </row>
    <row r="12">
      <c r="A12" s="19" t="n"/>
      <c r="B12" s="19" t="n"/>
      <c r="C12" s="19" t="n"/>
      <c r="D12" s="19" t="n"/>
      <c r="E12" s="19" t="n"/>
      <c r="F12" s="19" t="n"/>
      <c r="G12" s="19" t="n"/>
      <c r="H12" s="19" t="n"/>
      <c r="I12" s="19" t="n"/>
      <c r="J12" s="19" t="n"/>
      <c r="K12" s="19" t="n"/>
      <c r="L12" s="19" t="n"/>
      <c r="M12" s="19" t="n"/>
    </row>
    <row r="13">
      <c r="A13" s="19" t="n"/>
      <c r="B13" s="19" t="n"/>
      <c r="C13" s="19" t="n"/>
      <c r="D13" s="19" t="n"/>
      <c r="E13" s="19" t="n"/>
      <c r="F13" s="19" t="n"/>
      <c r="G13" s="19" t="n"/>
      <c r="H13" s="19" t="n"/>
      <c r="I13" s="19" t="n"/>
      <c r="J13" s="19" t="n"/>
      <c r="K13" s="19" t="n"/>
      <c r="L13" s="19" t="n"/>
      <c r="M13" s="19" t="n"/>
    </row>
    <row r="14">
      <c r="A14" s="19" t="n"/>
      <c r="B14" s="19" t="n"/>
      <c r="C14" s="19" t="n"/>
      <c r="D14" s="19" t="n"/>
      <c r="E14" s="19" t="n"/>
      <c r="F14" s="19" t="n"/>
      <c r="G14" s="19" t="n"/>
      <c r="H14" s="19" t="n"/>
      <c r="I14" s="19" t="n"/>
      <c r="J14" s="19" t="n"/>
      <c r="K14" s="19" t="n"/>
      <c r="L14" s="19" t="n"/>
      <c r="M14" s="19" t="n"/>
    </row>
    <row r="15">
      <c r="A15" s="19" t="n"/>
      <c r="B15" s="19" t="n"/>
      <c r="C15" s="19" t="n"/>
      <c r="D15" s="19" t="n"/>
      <c r="E15" s="19" t="n"/>
      <c r="F15" s="19" t="n"/>
      <c r="G15" s="19" t="n"/>
      <c r="H15" s="19" t="n"/>
      <c r="I15" s="19" t="n"/>
      <c r="J15" s="19" t="n"/>
      <c r="K15" s="19" t="n"/>
      <c r="L15" s="19" t="n"/>
      <c r="M15" s="19" t="n"/>
    </row>
    <row r="16">
      <c r="A16" s="19" t="n"/>
      <c r="B16" s="19" t="n"/>
      <c r="C16" s="19" t="n"/>
      <c r="D16" s="19" t="n"/>
      <c r="E16" s="19" t="n"/>
      <c r="F16" s="19" t="n"/>
      <c r="G16" s="19" t="n"/>
      <c r="H16" s="19" t="n"/>
      <c r="I16" s="19" t="n"/>
      <c r="J16" s="19" t="n"/>
      <c r="K16" s="19" t="n"/>
      <c r="L16" s="19" t="n"/>
      <c r="M16" s="19" t="n"/>
    </row>
    <row r="17">
      <c r="A17" s="19" t="n"/>
      <c r="B17" s="19" t="n"/>
      <c r="C17" s="19" t="n"/>
      <c r="D17" s="19" t="n"/>
      <c r="E17" s="19" t="n"/>
      <c r="F17" s="19" t="n"/>
      <c r="G17" s="19" t="n"/>
      <c r="H17" s="19" t="n"/>
      <c r="I17" s="19" t="n"/>
      <c r="J17" s="19" t="n"/>
      <c r="K17" s="19" t="n"/>
      <c r="L17" s="19" t="n"/>
      <c r="M17" s="19" t="n"/>
    </row>
    <row r="18">
      <c r="A18" s="19" t="n"/>
      <c r="B18" s="19" t="n"/>
      <c r="C18" s="19" t="n"/>
      <c r="D18" s="19" t="n"/>
      <c r="E18" s="19" t="n"/>
      <c r="F18" s="19" t="n"/>
      <c r="G18" s="19" t="n"/>
      <c r="H18" s="19" t="n"/>
      <c r="I18" s="19" t="n"/>
      <c r="J18" s="19" t="n"/>
      <c r="K18" s="19" t="n"/>
      <c r="L18" s="19" t="n"/>
      <c r="M18" s="19" t="n"/>
    </row>
    <row r="19">
      <c r="A19" s="19" t="n"/>
      <c r="B19" s="19" t="n"/>
      <c r="C19" s="19" t="n"/>
      <c r="D19" s="19" t="n"/>
      <c r="E19" s="19" t="n"/>
      <c r="F19" s="19" t="n"/>
      <c r="G19" s="19" t="n"/>
      <c r="H19" s="19" t="n"/>
      <c r="I19" s="19" t="n"/>
      <c r="J19" s="19" t="n"/>
      <c r="K19" s="19" t="n"/>
      <c r="L19" s="19" t="n"/>
      <c r="M19" s="19" t="n"/>
    </row>
    <row r="20">
      <c r="A20" s="19" t="n"/>
      <c r="B20" s="19" t="n"/>
      <c r="C20" s="19" t="n"/>
      <c r="D20" s="19" t="n"/>
      <c r="E20" s="19" t="n"/>
      <c r="F20" s="19" t="n"/>
      <c r="G20" s="19" t="n"/>
      <c r="H20" s="19" t="n"/>
      <c r="I20" s="19" t="n"/>
      <c r="J20" s="19" t="n"/>
      <c r="K20" s="19" t="n"/>
      <c r="L20" s="19" t="n"/>
      <c r="M20" s="19" t="n"/>
    </row>
    <row r="21">
      <c r="A21" s="19" t="n"/>
      <c r="B21" s="19" t="n"/>
      <c r="C21" s="19" t="n"/>
      <c r="D21" s="19" t="n"/>
      <c r="E21" s="19" t="n"/>
      <c r="F21" s="19" t="n"/>
      <c r="G21" s="19" t="n"/>
      <c r="H21" s="19" t="n"/>
      <c r="I21" s="19" t="n"/>
      <c r="J21" s="19" t="n"/>
      <c r="K21" s="19" t="n"/>
      <c r="L21" s="19" t="n"/>
      <c r="M21" s="19" t="n"/>
    </row>
    <row r="22">
      <c r="A22" s="19" t="n"/>
      <c r="B22" s="19" t="n"/>
      <c r="C22" s="19" t="n"/>
      <c r="D22" s="19" t="n"/>
      <c r="E22" s="19" t="n"/>
      <c r="F22" s="19" t="n"/>
      <c r="G22" s="19" t="n"/>
      <c r="H22" s="19" t="n"/>
      <c r="I22" s="19" t="n"/>
      <c r="J22" s="19" t="n"/>
      <c r="K22" s="19" t="n"/>
      <c r="L22" s="19" t="n"/>
      <c r="M22" s="19" t="n"/>
    </row>
    <row r="23">
      <c r="A23" s="19" t="n"/>
      <c r="B23" s="19" t="n"/>
      <c r="C23" s="19" t="n"/>
      <c r="D23" s="19" t="n"/>
      <c r="E23" s="19" t="n"/>
      <c r="F23" s="19" t="n"/>
      <c r="G23" s="19" t="n"/>
      <c r="H23" s="19" t="n"/>
      <c r="I23" s="19" t="n"/>
      <c r="J23" s="19" t="n"/>
      <c r="K23" s="19" t="n"/>
      <c r="L23" s="19" t="n"/>
      <c r="M23" s="19" t="n"/>
    </row>
    <row r="24">
      <c r="A24" s="19" t="n"/>
      <c r="B24" s="19" t="n"/>
      <c r="C24" s="19" t="n"/>
      <c r="D24" s="19" t="n"/>
      <c r="E24" s="19" t="n"/>
      <c r="F24" s="19" t="n"/>
      <c r="G24" s="19" t="n"/>
      <c r="H24" s="19" t="n"/>
      <c r="I24" s="19" t="n"/>
      <c r="J24" s="19" t="n"/>
      <c r="K24" s="19" t="n"/>
      <c r="L24" s="19" t="n"/>
      <c r="M24" s="19" t="n"/>
    </row>
    <row r="25">
      <c r="A25" s="19" t="n"/>
      <c r="B25" s="19" t="n"/>
      <c r="C25" s="19" t="n"/>
      <c r="D25" s="19" t="n"/>
      <c r="E25" s="19" t="n"/>
      <c r="F25" s="19" t="n"/>
      <c r="G25" s="19" t="n"/>
      <c r="H25" s="19" t="n"/>
      <c r="I25" s="19" t="n"/>
      <c r="J25" s="19" t="n"/>
      <c r="K25" s="19" t="n"/>
      <c r="L25" s="19" t="n"/>
      <c r="M25" s="19" t="n"/>
    </row>
    <row r="26">
      <c r="A26" s="19" t="n"/>
      <c r="B26" s="19" t="n"/>
      <c r="C26" s="19" t="n"/>
      <c r="D26" s="19" t="n"/>
      <c r="E26" s="19" t="n"/>
      <c r="F26" s="19" t="n"/>
      <c r="G26" s="19" t="n"/>
      <c r="H26" s="19" t="n"/>
      <c r="I26" s="19" t="n"/>
      <c r="J26" s="19" t="n"/>
      <c r="K26" s="19" t="n"/>
      <c r="L26" s="19" t="n"/>
      <c r="M26" s="19" t="n"/>
    </row>
    <row r="27">
      <c r="A27" s="19" t="n"/>
      <c r="B27" s="19" t="n"/>
      <c r="C27" s="19" t="n"/>
      <c r="D27" s="19" t="n"/>
      <c r="E27" s="19" t="n"/>
      <c r="F27" s="19" t="n"/>
      <c r="G27" s="19" t="n"/>
      <c r="H27" s="19" t="n"/>
      <c r="I27" s="19" t="n"/>
      <c r="J27" s="19" t="n"/>
      <c r="K27" s="19" t="n"/>
      <c r="L27" s="19" t="n"/>
      <c r="M27" s="19" t="n"/>
    </row>
    <row r="28">
      <c r="A28" s="19" t="n"/>
      <c r="B28" s="19" t="n"/>
      <c r="C28" s="19" t="n"/>
      <c r="D28" s="19" t="n"/>
      <c r="E28" s="19" t="n"/>
      <c r="F28" s="19" t="n"/>
      <c r="G28" s="19" t="n"/>
      <c r="H28" s="19" t="n"/>
      <c r="I28" s="19" t="n"/>
      <c r="J28" s="19" t="n"/>
      <c r="K28" s="19" t="n"/>
      <c r="L28" s="19" t="n"/>
      <c r="M28" s="19" t="n"/>
    </row>
    <row r="29">
      <c r="A29" s="19" t="n"/>
      <c r="B29" s="19" t="n"/>
      <c r="C29" s="19" t="n"/>
      <c r="D29" s="19" t="n"/>
      <c r="E29" s="19" t="n"/>
      <c r="F29" s="19" t="n"/>
      <c r="G29" s="19" t="n"/>
      <c r="H29" s="19" t="n"/>
      <c r="I29" s="19" t="n"/>
      <c r="J29" s="19" t="n"/>
      <c r="K29" s="19" t="n"/>
      <c r="L29" s="19" t="n"/>
      <c r="M29" s="19" t="n"/>
    </row>
    <row r="30">
      <c r="A30" s="19" t="n"/>
      <c r="B30" s="19" t="n"/>
      <c r="C30" s="19" t="n"/>
      <c r="D30" s="19" t="n"/>
      <c r="E30" s="19" t="n"/>
      <c r="F30" s="19" t="n"/>
      <c r="G30" s="19" t="n"/>
      <c r="H30" s="19" t="n"/>
      <c r="I30" s="19" t="n"/>
      <c r="J30" s="19" t="n"/>
      <c r="K30" s="19" t="n"/>
      <c r="L30" s="19" t="n"/>
      <c r="M30" s="19" t="n"/>
    </row>
    <row r="31">
      <c r="A31" s="19" t="n"/>
      <c r="B31" s="19" t="n"/>
      <c r="C31" s="19" t="n"/>
      <c r="D31" s="19" t="n"/>
      <c r="E31" s="19" t="n"/>
      <c r="F31" s="19" t="n"/>
      <c r="G31" s="19" t="n"/>
      <c r="H31" s="19" t="n"/>
      <c r="I31" s="19" t="n"/>
      <c r="J31" s="19" t="n"/>
      <c r="K31" s="19" t="n"/>
      <c r="L31" s="19" t="n"/>
      <c r="M31" s="19" t="n"/>
    </row>
    <row r="32">
      <c r="A32" s="19" t="n"/>
      <c r="B32" s="19" t="n"/>
      <c r="C32" s="19" t="n"/>
      <c r="D32" s="19" t="n"/>
      <c r="E32" s="19" t="n"/>
      <c r="F32" s="19" t="n"/>
      <c r="G32" s="19" t="n"/>
      <c r="H32" s="19" t="n"/>
      <c r="I32" s="19" t="n"/>
      <c r="J32" s="19" t="n"/>
      <c r="K32" s="19" t="n"/>
      <c r="L32" s="19" t="n"/>
      <c r="M32" s="19" t="n"/>
    </row>
    <row r="33">
      <c r="A33" s="19" t="n"/>
      <c r="B33" s="19" t="n"/>
      <c r="C33" s="19" t="n"/>
      <c r="D33" s="19" t="n"/>
      <c r="E33" s="19" t="n"/>
      <c r="F33" s="19" t="n"/>
      <c r="G33" s="19" t="n"/>
      <c r="H33" s="19" t="n"/>
      <c r="I33" s="19" t="n"/>
      <c r="J33" s="19" t="n"/>
      <c r="K33" s="19" t="n"/>
      <c r="L33" s="19" t="n"/>
      <c r="M33" s="19" t="n"/>
    </row>
    <row r="34">
      <c r="A34" s="19" t="n"/>
      <c r="B34" s="19" t="n"/>
      <c r="C34" s="19" t="n"/>
      <c r="D34" s="19" t="n"/>
      <c r="E34" s="19" t="n"/>
      <c r="F34" s="19" t="n"/>
      <c r="G34" s="19" t="n"/>
      <c r="H34" s="19" t="n"/>
      <c r="I34" s="19" t="n"/>
      <c r="J34" s="19" t="n"/>
      <c r="K34" s="19" t="n"/>
      <c r="L34" s="19" t="n"/>
      <c r="M34" s="19" t="n"/>
    </row>
    <row r="35">
      <c r="A35" s="19" t="n"/>
      <c r="B35" s="19" t="n"/>
      <c r="C35" s="19" t="n"/>
      <c r="D35" s="19" t="n"/>
      <c r="E35" s="19" t="n"/>
      <c r="F35" s="19" t="n"/>
      <c r="G35" s="19" t="n"/>
      <c r="H35" s="19" t="n"/>
      <c r="I35" s="19" t="n"/>
      <c r="J35" s="19" t="n"/>
      <c r="K35" s="19" t="n"/>
      <c r="L35" s="19" t="n"/>
      <c r="M35" s="19" t="n"/>
    </row>
    <row r="36">
      <c r="A36" s="19" t="n"/>
      <c r="B36" s="19" t="n"/>
      <c r="C36" s="19" t="n"/>
      <c r="D36" s="19" t="n"/>
      <c r="E36" s="19" t="n"/>
      <c r="F36" s="19" t="n"/>
      <c r="G36" s="19" t="n"/>
      <c r="H36" s="19" t="n"/>
      <c r="I36" s="19" t="n"/>
      <c r="J36" s="19" t="n"/>
      <c r="K36" s="19" t="n"/>
      <c r="L36" s="19" t="n"/>
      <c r="M36" s="19" t="n"/>
    </row>
    <row r="37">
      <c r="A37" s="19" t="n"/>
      <c r="B37" s="19" t="n"/>
      <c r="C37" s="19" t="n"/>
      <c r="D37" s="19" t="n"/>
      <c r="E37" s="19" t="n"/>
      <c r="F37" s="19" t="n"/>
      <c r="G37" s="19" t="n"/>
      <c r="H37" s="19" t="n"/>
      <c r="I37" s="19" t="n"/>
      <c r="J37" s="19" t="n"/>
      <c r="K37" s="19" t="n"/>
      <c r="L37" s="19" t="n"/>
      <c r="M37" s="19" t="n"/>
    </row>
    <row r="38">
      <c r="A38" s="19" t="n"/>
      <c r="B38" s="19" t="n"/>
      <c r="C38" s="19" t="n"/>
      <c r="D38" s="19" t="n"/>
      <c r="E38" s="19" t="n"/>
      <c r="F38" s="19" t="n"/>
      <c r="G38" s="19" t="n"/>
      <c r="H38" s="19" t="n"/>
      <c r="I38" s="19" t="n"/>
      <c r="J38" s="19" t="n"/>
      <c r="K38" s="19" t="n"/>
      <c r="L38" s="19" t="n"/>
      <c r="M38" s="19" t="n"/>
    </row>
    <row r="39">
      <c r="A39" s="19" t="n"/>
      <c r="B39" s="19" t="n"/>
      <c r="C39" s="19" t="n"/>
      <c r="D39" s="19" t="n"/>
      <c r="E39" s="19" t="n"/>
      <c r="F39" s="19" t="n"/>
      <c r="G39" s="19" t="n"/>
      <c r="H39" s="19" t="n"/>
      <c r="I39" s="19" t="n"/>
      <c r="J39" s="19" t="n"/>
      <c r="K39" s="19" t="n"/>
      <c r="L39" s="19" t="n"/>
      <c r="M39" s="19" t="n"/>
    </row>
    <row r="40">
      <c r="A40" s="19" t="n"/>
      <c r="B40" s="19" t="n"/>
      <c r="C40" s="19" t="n"/>
      <c r="D40" s="19" t="n"/>
      <c r="E40" s="19" t="n"/>
      <c r="F40" s="19" t="n"/>
      <c r="G40" s="19" t="n"/>
      <c r="H40" s="19" t="n"/>
      <c r="I40" s="19" t="n"/>
      <c r="J40" s="19" t="n"/>
      <c r="K40" s="19" t="n"/>
      <c r="L40" s="19" t="n"/>
      <c r="M40" s="19" t="n"/>
    </row>
    <row r="41">
      <c r="A41" s="19" t="n"/>
      <c r="B41" s="19" t="n"/>
      <c r="C41" s="19" t="n"/>
      <c r="D41" s="19" t="n"/>
      <c r="E41" s="19" t="n"/>
      <c r="F41" s="19" t="n"/>
      <c r="G41" s="19" t="n"/>
      <c r="H41" s="19" t="n"/>
      <c r="I41" s="19" t="n"/>
      <c r="J41" s="19" t="n"/>
      <c r="K41" s="19" t="n"/>
      <c r="L41" s="19" t="n"/>
      <c r="M41" s="19" t="n"/>
    </row>
    <row r="42">
      <c r="A42" s="19" t="n"/>
      <c r="B42" s="19" t="n"/>
      <c r="C42" s="19" t="n"/>
      <c r="D42" s="19" t="n"/>
      <c r="E42" s="19" t="n"/>
      <c r="F42" s="19" t="n"/>
      <c r="G42" s="19" t="n"/>
      <c r="H42" s="19" t="n"/>
      <c r="I42" s="19" t="n"/>
      <c r="J42" s="19" t="n"/>
      <c r="K42" s="19" t="n"/>
      <c r="L42" s="19" t="n"/>
      <c r="M42" s="19" t="n"/>
    </row>
    <row r="43">
      <c r="A43" s="19" t="n"/>
      <c r="B43" s="19" t="n"/>
      <c r="C43" s="19" t="n"/>
      <c r="D43" s="19" t="n"/>
      <c r="E43" s="19" t="n"/>
      <c r="F43" s="19" t="n"/>
      <c r="G43" s="19" t="n"/>
      <c r="H43" s="19" t="n"/>
      <c r="I43" s="19" t="n"/>
      <c r="J43" s="19" t="n"/>
      <c r="K43" s="19" t="n"/>
      <c r="L43" s="19" t="n"/>
      <c r="M43" s="19" t="n"/>
    </row>
    <row r="44">
      <c r="A44" s="19" t="n"/>
      <c r="B44" s="19" t="n"/>
      <c r="C44" s="19" t="n"/>
      <c r="D44" s="19" t="n"/>
      <c r="E44" s="19" t="n"/>
      <c r="F44" s="19" t="n"/>
      <c r="G44" s="19" t="n"/>
      <c r="H44" s="19" t="n"/>
      <c r="I44" s="19" t="n"/>
      <c r="J44" s="19" t="n"/>
      <c r="K44" s="19" t="n"/>
      <c r="L44" s="19" t="n"/>
      <c r="M44" s="19" t="n"/>
    </row>
    <row r="45">
      <c r="A45" s="19" t="n"/>
      <c r="B45" s="19" t="n"/>
      <c r="C45" s="19" t="n"/>
      <c r="D45" s="19" t="n"/>
      <c r="E45" s="19" t="n"/>
      <c r="F45" s="19" t="n"/>
      <c r="G45" s="19" t="n"/>
      <c r="H45" s="19" t="n"/>
      <c r="I45" s="19" t="n"/>
      <c r="J45" s="19" t="n"/>
      <c r="K45" s="19" t="n"/>
      <c r="L45" s="19" t="n"/>
      <c r="M45" s="19" t="n"/>
    </row>
    <row r="46">
      <c r="A46" s="19" t="n"/>
      <c r="B46" s="19" t="n"/>
      <c r="C46" s="19" t="n"/>
      <c r="D46" s="19" t="n"/>
      <c r="E46" s="19" t="n"/>
      <c r="F46" s="19" t="n"/>
      <c r="G46" s="19" t="n"/>
      <c r="H46" s="19" t="n"/>
      <c r="I46" s="19" t="n"/>
      <c r="J46" s="19" t="n"/>
      <c r="K46" s="19" t="n"/>
      <c r="L46" s="19" t="n"/>
      <c r="M46" s="19" t="n"/>
    </row>
    <row r="47">
      <c r="A47" s="19" t="n"/>
      <c r="B47" s="19" t="n"/>
      <c r="C47" s="19" t="n"/>
      <c r="D47" s="19" t="n"/>
      <c r="E47" s="19" t="n"/>
      <c r="F47" s="19" t="n"/>
      <c r="G47" s="19" t="n"/>
      <c r="H47" s="19" t="n"/>
      <c r="I47" s="19" t="n"/>
      <c r="J47" s="19" t="n"/>
      <c r="K47" s="19" t="n"/>
      <c r="L47" s="19" t="n"/>
      <c r="M47" s="19" t="n"/>
    </row>
    <row r="48">
      <c r="A48" s="19" t="n"/>
      <c r="B48" s="19" t="n"/>
      <c r="C48" s="19" t="n"/>
      <c r="D48" s="19" t="n"/>
      <c r="E48" s="19" t="n"/>
      <c r="F48" s="19" t="n"/>
      <c r="G48" s="19" t="n"/>
      <c r="H48" s="19" t="n"/>
      <c r="I48" s="19" t="n"/>
      <c r="J48" s="19" t="n"/>
      <c r="K48" s="19" t="n"/>
      <c r="L48" s="19" t="n"/>
      <c r="M48" s="19" t="n"/>
    </row>
    <row r="49">
      <c r="A49" s="19" t="n"/>
      <c r="B49" s="19" t="n"/>
      <c r="C49" s="19" t="n"/>
      <c r="D49" s="19" t="n"/>
      <c r="E49" s="19" t="n"/>
      <c r="F49" s="19" t="n"/>
      <c r="G49" s="19" t="n"/>
      <c r="H49" s="19" t="n"/>
      <c r="I49" s="19" t="n"/>
      <c r="J49" s="19" t="n"/>
      <c r="K49" s="19" t="n"/>
      <c r="L49" s="19" t="n"/>
      <c r="M49" s="19" t="n"/>
    </row>
    <row r="50">
      <c r="A50" s="19" t="n"/>
      <c r="B50" s="19" t="n"/>
      <c r="C50" s="19" t="n"/>
      <c r="D50" s="19" t="n"/>
      <c r="E50" s="19" t="n"/>
      <c r="F50" s="19" t="n"/>
      <c r="G50" s="19" t="n"/>
      <c r="H50" s="19" t="n"/>
      <c r="I50" s="19" t="n"/>
      <c r="J50" s="19" t="n"/>
      <c r="K50" s="19" t="n"/>
      <c r="L50" s="19" t="n"/>
      <c r="M50" s="19" t="n"/>
    </row>
    <row r="51">
      <c r="A51" s="19" t="n"/>
      <c r="B51" s="19" t="n"/>
      <c r="C51" s="19" t="n"/>
      <c r="D51" s="19" t="n"/>
      <c r="E51" s="19" t="n"/>
      <c r="F51" s="19" t="n"/>
      <c r="G51" s="19" t="n"/>
      <c r="H51" s="19" t="n"/>
      <c r="I51" s="19" t="n"/>
      <c r="J51" s="19" t="n"/>
      <c r="K51" s="19" t="n"/>
      <c r="L51" s="19" t="n"/>
      <c r="M51" s="19" t="n"/>
    </row>
    <row r="52">
      <c r="A52" s="19" t="n"/>
      <c r="B52" s="19" t="n"/>
      <c r="C52" s="19" t="n"/>
      <c r="D52" s="19" t="n"/>
      <c r="E52" s="19" t="n"/>
      <c r="F52" s="19" t="n"/>
      <c r="G52" s="19" t="n"/>
      <c r="H52" s="19" t="n"/>
      <c r="I52" s="19" t="n"/>
      <c r="J52" s="19" t="n"/>
      <c r="K52" s="19" t="n"/>
      <c r="L52" s="19" t="n"/>
      <c r="M52" s="19" t="n"/>
    </row>
    <row r="53">
      <c r="A53" s="19" t="n"/>
      <c r="B53" s="19" t="n"/>
      <c r="C53" s="19" t="n"/>
      <c r="D53" s="19" t="n"/>
      <c r="E53" s="19" t="n"/>
      <c r="F53" s="19" t="n"/>
      <c r="G53" s="19" t="n"/>
      <c r="H53" s="19" t="n"/>
      <c r="I53" s="19" t="n"/>
      <c r="J53" s="19" t="n"/>
      <c r="K53" s="19" t="n"/>
      <c r="L53" s="19" t="n"/>
      <c r="M53" s="19" t="n"/>
    </row>
    <row r="54">
      <c r="A54" s="19" t="n"/>
      <c r="B54" s="19" t="n"/>
      <c r="C54" s="19" t="n"/>
      <c r="D54" s="19" t="n"/>
      <c r="E54" s="19" t="n"/>
      <c r="F54" s="19" t="n"/>
      <c r="G54" s="19" t="n"/>
      <c r="H54" s="19" t="n"/>
      <c r="I54" s="19" t="n"/>
      <c r="J54" s="19" t="n"/>
      <c r="K54" s="19" t="n"/>
      <c r="L54" s="19" t="n"/>
      <c r="M54" s="19" t="n"/>
    </row>
    <row r="55">
      <c r="A55" s="19" t="n"/>
      <c r="B55" s="19" t="n"/>
      <c r="C55" s="19" t="n"/>
      <c r="D55" s="19" t="n"/>
      <c r="E55" s="19" t="n"/>
      <c r="F55" s="19" t="n"/>
      <c r="G55" s="19" t="n"/>
      <c r="H55" s="19" t="n"/>
      <c r="I55" s="19" t="n"/>
      <c r="J55" s="19" t="n"/>
      <c r="K55" s="19" t="n"/>
      <c r="L55" s="19" t="n"/>
      <c r="M55" s="19" t="n"/>
    </row>
    <row r="56">
      <c r="A56" s="19" t="n"/>
      <c r="B56" s="19" t="n"/>
      <c r="C56" s="19" t="n"/>
      <c r="D56" s="19" t="n"/>
      <c r="E56" s="19" t="n"/>
      <c r="F56" s="19" t="n"/>
      <c r="G56" s="19" t="n"/>
      <c r="H56" s="19" t="n"/>
      <c r="I56" s="19" t="n"/>
      <c r="J56" s="19" t="n"/>
      <c r="K56" s="19" t="n"/>
      <c r="L56" s="19" t="n"/>
      <c r="M56" s="19" t="n"/>
    </row>
    <row r="57">
      <c r="A57" s="19" t="n"/>
      <c r="B57" s="19" t="n"/>
      <c r="C57" s="19" t="n"/>
      <c r="D57" s="19" t="n"/>
      <c r="E57" s="19" t="n"/>
      <c r="F57" s="19" t="n"/>
      <c r="G57" s="19" t="n"/>
      <c r="H57" s="19" t="n"/>
      <c r="I57" s="19" t="n"/>
      <c r="J57" s="19" t="n"/>
      <c r="K57" s="19" t="n"/>
      <c r="L57" s="19" t="n"/>
      <c r="M57" s="19" t="n"/>
    </row>
    <row r="58">
      <c r="A58" s="19" t="n"/>
      <c r="B58" s="19" t="n"/>
      <c r="C58" s="19" t="n"/>
      <c r="D58" s="19" t="n"/>
      <c r="E58" s="19" t="n"/>
      <c r="F58" s="19" t="n"/>
      <c r="G58" s="19" t="n"/>
      <c r="H58" s="19" t="n"/>
      <c r="I58" s="19" t="n"/>
      <c r="J58" s="19" t="n"/>
      <c r="K58" s="19" t="n"/>
      <c r="L58" s="19" t="n"/>
      <c r="M58" s="19" t="n"/>
    </row>
    <row r="59">
      <c r="A59" s="19" t="n"/>
      <c r="B59" s="19" t="n"/>
      <c r="C59" s="19" t="n"/>
      <c r="D59" s="19" t="n"/>
      <c r="E59" s="19" t="n"/>
      <c r="F59" s="19" t="n"/>
      <c r="G59" s="19" t="n"/>
      <c r="H59" s="19" t="n"/>
      <c r="I59" s="19" t="n"/>
      <c r="J59" s="19" t="n"/>
      <c r="K59" s="19" t="n"/>
      <c r="L59" s="19" t="n"/>
      <c r="M59" s="19" t="n"/>
    </row>
    <row r="60">
      <c r="A60" s="19" t="n"/>
      <c r="B60" s="19" t="n"/>
      <c r="C60" s="19" t="n"/>
      <c r="D60" s="19" t="n"/>
      <c r="E60" s="19" t="n"/>
      <c r="F60" s="19" t="n"/>
      <c r="G60" s="19" t="n"/>
      <c r="H60" s="19" t="n"/>
      <c r="I60" s="19" t="n"/>
      <c r="J60" s="19" t="n"/>
      <c r="K60" s="19" t="n"/>
      <c r="L60" s="19" t="n"/>
      <c r="M60" s="19" t="n"/>
    </row>
    <row r="61">
      <c r="A61" s="19" t="n"/>
      <c r="B61" s="19" t="n"/>
      <c r="C61" s="19" t="n"/>
      <c r="D61" s="19" t="n"/>
      <c r="E61" s="19" t="n"/>
      <c r="F61" s="19" t="n"/>
      <c r="G61" s="19" t="n"/>
      <c r="H61" s="19" t="n"/>
      <c r="I61" s="19" t="n"/>
      <c r="J61" s="19" t="n"/>
      <c r="K61" s="19" t="n"/>
      <c r="L61" s="19" t="n"/>
      <c r="M61" s="19" t="n"/>
    </row>
    <row r="62">
      <c r="A62" s="19" t="n"/>
      <c r="B62" s="19" t="n"/>
      <c r="C62" s="19" t="n"/>
      <c r="D62" s="19" t="n"/>
      <c r="E62" s="19" t="n"/>
      <c r="F62" s="19" t="n"/>
      <c r="G62" s="19" t="n"/>
      <c r="H62" s="19" t="n"/>
      <c r="I62" s="19" t="n"/>
      <c r="J62" s="19" t="n"/>
      <c r="K62" s="19" t="n"/>
      <c r="L62" s="19" t="n"/>
      <c r="M62" s="19" t="n"/>
    </row>
    <row r="63">
      <c r="A63" s="19" t="n"/>
      <c r="B63" s="19" t="n"/>
      <c r="C63" s="19" t="n"/>
      <c r="D63" s="19" t="n"/>
      <c r="E63" s="19" t="n"/>
      <c r="F63" s="19" t="n"/>
      <c r="G63" s="19" t="n"/>
      <c r="H63" s="19" t="n"/>
      <c r="I63" s="19" t="n"/>
      <c r="J63" s="19" t="n"/>
      <c r="K63" s="19" t="n"/>
      <c r="L63" s="19" t="n"/>
      <c r="M63" s="19" t="n"/>
    </row>
    <row r="64">
      <c r="A64" s="19" t="n"/>
      <c r="B64" s="19" t="n"/>
      <c r="C64" s="19" t="n"/>
      <c r="D64" s="19" t="n"/>
      <c r="E64" s="19" t="n"/>
      <c r="F64" s="19" t="n"/>
      <c r="G64" s="19" t="n"/>
      <c r="H64" s="19" t="n"/>
      <c r="I64" s="19" t="n"/>
      <c r="J64" s="19" t="n"/>
      <c r="K64" s="19" t="n"/>
      <c r="L64" s="19" t="n"/>
      <c r="M64" s="19" t="n"/>
    </row>
    <row r="65">
      <c r="A65" s="19" t="n"/>
      <c r="B65" s="19" t="n"/>
      <c r="C65" s="19" t="n"/>
      <c r="D65" s="19" t="n"/>
      <c r="E65" s="19" t="n"/>
      <c r="F65" s="19" t="n"/>
      <c r="G65" s="19" t="n"/>
      <c r="H65" s="19" t="n"/>
      <c r="I65" s="19" t="n"/>
      <c r="J65" s="19" t="n"/>
      <c r="K65" s="19" t="n"/>
      <c r="L65" s="19" t="n"/>
      <c r="M65" s="19" t="n"/>
    </row>
    <row r="66">
      <c r="A66" s="19" t="n"/>
      <c r="B66" s="19" t="n"/>
      <c r="C66" s="19" t="n"/>
      <c r="D66" s="19" t="n"/>
      <c r="E66" s="19" t="n"/>
      <c r="F66" s="19" t="n"/>
      <c r="G66" s="19" t="n"/>
      <c r="H66" s="19" t="n"/>
      <c r="I66" s="19" t="n"/>
      <c r="J66" s="19" t="n"/>
      <c r="K66" s="19" t="n"/>
      <c r="L66" s="19" t="n"/>
      <c r="M66" s="19" t="n"/>
    </row>
    <row r="67">
      <c r="A67" s="19" t="n"/>
      <c r="B67" s="19" t="n"/>
      <c r="C67" s="19" t="n"/>
      <c r="D67" s="19" t="n"/>
      <c r="E67" s="19" t="n"/>
      <c r="F67" s="19" t="n"/>
      <c r="G67" s="19" t="n"/>
      <c r="H67" s="19" t="n"/>
      <c r="I67" s="19" t="n"/>
      <c r="J67" s="19" t="n"/>
      <c r="K67" s="19" t="n"/>
      <c r="L67" s="19" t="n"/>
      <c r="M67" s="19" t="n"/>
    </row>
    <row r="68">
      <c r="A68" s="19" t="n"/>
      <c r="B68" s="19" t="n"/>
      <c r="C68" s="19" t="n"/>
      <c r="D68" s="19" t="n"/>
      <c r="E68" s="19" t="n"/>
      <c r="F68" s="19" t="n"/>
      <c r="G68" s="19" t="n"/>
      <c r="H68" s="19" t="n"/>
      <c r="I68" s="19" t="n"/>
      <c r="J68" s="19" t="n"/>
      <c r="K68" s="19" t="n"/>
      <c r="L68" s="19" t="n"/>
      <c r="M68" s="19" t="n"/>
    </row>
    <row r="69">
      <c r="A69" s="19" t="n"/>
      <c r="B69" s="19" t="n"/>
      <c r="C69" s="19" t="n"/>
      <c r="D69" s="19" t="n"/>
      <c r="E69" s="19" t="n"/>
      <c r="F69" s="19" t="n"/>
      <c r="G69" s="19" t="n"/>
      <c r="H69" s="19" t="n"/>
      <c r="I69" s="19" t="n"/>
      <c r="J69" s="19" t="n"/>
      <c r="K69" s="19" t="n"/>
      <c r="L69" s="19" t="n"/>
      <c r="M69" s="19" t="n"/>
    </row>
    <row r="70">
      <c r="A70" s="19" t="n"/>
      <c r="B70" s="19" t="n"/>
      <c r="C70" s="19" t="n"/>
      <c r="D70" s="19" t="n"/>
      <c r="E70" s="19" t="n"/>
      <c r="F70" s="19" t="n"/>
      <c r="G70" s="19" t="n"/>
      <c r="H70" s="19" t="n"/>
      <c r="I70" s="19" t="n"/>
      <c r="J70" s="19" t="n"/>
      <c r="K70" s="19" t="n"/>
      <c r="L70" s="19" t="n"/>
      <c r="M70" s="19" t="n"/>
    </row>
    <row r="71">
      <c r="A71" s="19" t="n"/>
      <c r="B71" s="19" t="n"/>
      <c r="C71" s="19" t="n"/>
      <c r="D71" s="19" t="n"/>
      <c r="E71" s="19" t="n"/>
      <c r="F71" s="19" t="n"/>
      <c r="G71" s="19" t="n"/>
      <c r="H71" s="19" t="n"/>
      <c r="I71" s="19" t="n"/>
      <c r="J71" s="19" t="n"/>
      <c r="K71" s="19" t="n"/>
      <c r="L71" s="19" t="n"/>
      <c r="M71" s="19" t="n"/>
    </row>
    <row r="72">
      <c r="A72" s="19" t="n"/>
      <c r="B72" s="19" t="n"/>
      <c r="C72" s="19" t="n"/>
      <c r="D72" s="19" t="n"/>
      <c r="E72" s="19" t="n"/>
      <c r="F72" s="19" t="n"/>
      <c r="G72" s="19" t="n"/>
      <c r="H72" s="19" t="n"/>
      <c r="I72" s="19" t="n"/>
      <c r="J72" s="19" t="n"/>
      <c r="K72" s="19" t="n"/>
      <c r="L72" s="19" t="n"/>
      <c r="M72" s="19" t="n"/>
    </row>
    <row r="73">
      <c r="A73" s="19" t="n"/>
      <c r="B73" s="19" t="n"/>
      <c r="C73" s="19" t="n"/>
      <c r="D73" s="19" t="n"/>
      <c r="E73" s="19" t="n"/>
      <c r="F73" s="19" t="n"/>
      <c r="G73" s="19" t="n"/>
      <c r="H73" s="19" t="n"/>
      <c r="I73" s="19" t="n"/>
      <c r="J73" s="19" t="n"/>
      <c r="K73" s="19" t="n"/>
      <c r="L73" s="19" t="n"/>
      <c r="M73" s="19" t="n"/>
    </row>
    <row r="74">
      <c r="A74" s="19" t="n"/>
      <c r="B74" s="19" t="n"/>
      <c r="C74" s="19" t="n"/>
      <c r="D74" s="19" t="n"/>
      <c r="E74" s="19" t="n"/>
      <c r="F74" s="19" t="n"/>
      <c r="G74" s="19" t="n"/>
      <c r="H74" s="19" t="n"/>
      <c r="I74" s="19" t="n"/>
      <c r="J74" s="19" t="n"/>
      <c r="K74" s="19" t="n"/>
      <c r="L74" s="19" t="n"/>
      <c r="M74" s="19" t="n"/>
    </row>
    <row r="75">
      <c r="A75" s="19" t="n"/>
      <c r="B75" s="19" t="n"/>
      <c r="C75" s="19" t="n"/>
      <c r="D75" s="19" t="n"/>
      <c r="E75" s="19" t="n"/>
      <c r="F75" s="19" t="n"/>
      <c r="G75" s="19" t="n"/>
      <c r="H75" s="19" t="n"/>
      <c r="I75" s="19" t="n"/>
      <c r="J75" s="19" t="n"/>
      <c r="K75" s="19" t="n"/>
      <c r="L75" s="19" t="n"/>
      <c r="M75" s="19" t="n"/>
    </row>
    <row r="76">
      <c r="A76" s="19" t="n"/>
      <c r="B76" s="19" t="n"/>
      <c r="C76" s="19" t="n"/>
      <c r="D76" s="19" t="n"/>
      <c r="E76" s="19" t="n"/>
      <c r="F76" s="19" t="n"/>
      <c r="G76" s="19" t="n"/>
      <c r="H76" s="19" t="n"/>
      <c r="I76" s="19" t="n"/>
      <c r="J76" s="19" t="n"/>
      <c r="K76" s="19" t="n"/>
      <c r="L76" s="19" t="n"/>
      <c r="M76" s="19" t="n"/>
    </row>
    <row r="77">
      <c r="A77" s="19" t="n"/>
      <c r="B77" s="19" t="n"/>
      <c r="C77" s="19" t="n"/>
      <c r="D77" s="19" t="n"/>
      <c r="E77" s="19" t="n"/>
      <c r="F77" s="19" t="n"/>
      <c r="G77" s="19" t="n"/>
      <c r="H77" s="19" t="n"/>
      <c r="I77" s="19" t="n"/>
      <c r="J77" s="19" t="n"/>
      <c r="K77" s="19" t="n"/>
      <c r="L77" s="19" t="n"/>
      <c r="M77" s="19" t="n"/>
    </row>
    <row r="78">
      <c r="A78" s="19" t="n"/>
      <c r="B78" s="19" t="n"/>
      <c r="C78" s="19" t="n"/>
      <c r="D78" s="19" t="n"/>
      <c r="E78" s="19" t="n"/>
      <c r="F78" s="19" t="n"/>
      <c r="G78" s="19" t="n"/>
      <c r="H78" s="19" t="n"/>
      <c r="I78" s="19" t="n"/>
      <c r="J78" s="19" t="n"/>
      <c r="K78" s="19" t="n"/>
      <c r="L78" s="19" t="n"/>
      <c r="M78" s="19" t="n"/>
    </row>
    <row r="79">
      <c r="A79" s="19" t="n"/>
      <c r="B79" s="19" t="n"/>
      <c r="C79" s="19" t="n"/>
      <c r="D79" s="19" t="n"/>
      <c r="E79" s="19" t="n"/>
      <c r="F79" s="19" t="n"/>
      <c r="G79" s="19" t="n"/>
      <c r="H79" s="19" t="n"/>
      <c r="I79" s="19" t="n"/>
      <c r="J79" s="19" t="n"/>
      <c r="K79" s="19" t="n"/>
      <c r="L79" s="19" t="n"/>
      <c r="M79" s="19" t="n"/>
    </row>
    <row r="80">
      <c r="A80" s="19" t="n"/>
      <c r="B80" s="19" t="n"/>
      <c r="C80" s="19" t="n"/>
      <c r="D80" s="19" t="n"/>
      <c r="E80" s="19" t="n"/>
      <c r="F80" s="19" t="n"/>
      <c r="G80" s="19" t="n"/>
      <c r="H80" s="19" t="n"/>
      <c r="I80" s="19" t="n"/>
      <c r="J80" s="19" t="n"/>
      <c r="K80" s="19" t="n"/>
      <c r="L80" s="19" t="n"/>
      <c r="M80" s="19" t="n"/>
    </row>
    <row r="81">
      <c r="A81" s="19" t="n"/>
      <c r="B81" s="19" t="n"/>
      <c r="C81" s="19" t="n"/>
      <c r="D81" s="19" t="n"/>
      <c r="E81" s="19" t="n"/>
      <c r="F81" s="19" t="n"/>
      <c r="G81" s="19" t="n"/>
      <c r="H81" s="19" t="n"/>
      <c r="I81" s="19" t="n"/>
      <c r="J81" s="19" t="n"/>
      <c r="K81" s="19" t="n"/>
      <c r="L81" s="19" t="n"/>
      <c r="M81" s="19" t="n"/>
    </row>
    <row r="82">
      <c r="A82" s="19" t="n"/>
      <c r="B82" s="19" t="n"/>
      <c r="C82" s="19" t="n"/>
      <c r="D82" s="19" t="n"/>
      <c r="E82" s="19" t="n"/>
      <c r="F82" s="19" t="n"/>
      <c r="G82" s="19" t="n"/>
      <c r="H82" s="19" t="n"/>
      <c r="I82" s="19" t="n"/>
      <c r="J82" s="19" t="n"/>
      <c r="K82" s="19" t="n"/>
      <c r="L82" s="19" t="n"/>
      <c r="M82" s="19" t="n"/>
    </row>
    <row r="83">
      <c r="A83" s="19" t="n"/>
      <c r="B83" s="19" t="n"/>
      <c r="C83" s="19" t="n"/>
      <c r="D83" s="19" t="n"/>
      <c r="E83" s="19" t="n"/>
      <c r="F83" s="19" t="n"/>
      <c r="G83" s="19" t="n"/>
      <c r="H83" s="19" t="n"/>
      <c r="I83" s="19" t="n"/>
      <c r="J83" s="19" t="n"/>
      <c r="K83" s="19" t="n"/>
      <c r="L83" s="19" t="n"/>
      <c r="M83" s="19" t="n"/>
    </row>
    <row r="84">
      <c r="A84" s="19" t="n"/>
      <c r="B84" s="19" t="n"/>
      <c r="C84" s="19" t="n"/>
      <c r="D84" s="19" t="n"/>
      <c r="E84" s="19" t="n"/>
      <c r="F84" s="19" t="n"/>
      <c r="G84" s="19" t="n"/>
      <c r="H84" s="19" t="n"/>
      <c r="I84" s="19" t="n"/>
      <c r="J84" s="19" t="n"/>
      <c r="K84" s="19" t="n"/>
      <c r="L84" s="19" t="n"/>
      <c r="M84" s="19" t="n"/>
    </row>
    <row r="85">
      <c r="A85" s="19" t="n"/>
      <c r="B85" s="19" t="n"/>
      <c r="C85" s="19" t="n"/>
      <c r="D85" s="19" t="n"/>
      <c r="E85" s="19" t="n"/>
      <c r="F85" s="19" t="n"/>
      <c r="G85" s="19" t="n"/>
      <c r="H85" s="19" t="n"/>
      <c r="I85" s="19" t="n"/>
      <c r="J85" s="19" t="n"/>
      <c r="K85" s="19" t="n"/>
      <c r="L85" s="19" t="n"/>
      <c r="M85" s="19" t="n"/>
    </row>
    <row r="86">
      <c r="A86" s="19" t="n"/>
      <c r="B86" s="19" t="n"/>
      <c r="C86" s="19" t="n"/>
      <c r="D86" s="19" t="n"/>
      <c r="E86" s="19" t="n"/>
      <c r="F86" s="19" t="n"/>
      <c r="G86" s="19" t="n"/>
      <c r="H86" s="19" t="n"/>
      <c r="I86" s="19" t="n"/>
      <c r="J86" s="19" t="n"/>
      <c r="K86" s="19" t="n"/>
      <c r="L86" s="19" t="n"/>
      <c r="M86" s="19" t="n"/>
    </row>
    <row r="87">
      <c r="A87" s="19" t="n"/>
      <c r="B87" s="19" t="n"/>
      <c r="C87" s="19" t="n"/>
      <c r="D87" s="19" t="n"/>
      <c r="E87" s="19" t="n"/>
      <c r="F87" s="19" t="n"/>
      <c r="G87" s="19" t="n"/>
      <c r="H87" s="19" t="n"/>
      <c r="I87" s="19" t="n"/>
      <c r="J87" s="19" t="n"/>
      <c r="K87" s="19" t="n"/>
      <c r="L87" s="19" t="n"/>
      <c r="M87" s="19" t="n"/>
    </row>
    <row r="88">
      <c r="A88" s="19" t="n"/>
      <c r="B88" s="19" t="n"/>
      <c r="C88" s="19" t="n"/>
      <c r="D88" s="19" t="n"/>
      <c r="E88" s="19" t="n"/>
      <c r="F88" s="19" t="n"/>
      <c r="G88" s="19" t="n"/>
      <c r="H88" s="19" t="n"/>
      <c r="I88" s="19" t="n"/>
      <c r="J88" s="19" t="n"/>
      <c r="K88" s="19" t="n"/>
      <c r="L88" s="19" t="n"/>
      <c r="M88" s="19" t="n"/>
    </row>
    <row r="89">
      <c r="A89" s="19" t="n"/>
      <c r="B89" s="19" t="n"/>
      <c r="C89" s="19" t="n"/>
      <c r="D89" s="19" t="n"/>
      <c r="E89" s="19" t="n"/>
      <c r="F89" s="19" t="n"/>
      <c r="G89" s="19" t="n"/>
      <c r="H89" s="19" t="n"/>
      <c r="I89" s="19" t="n"/>
      <c r="J89" s="19" t="n"/>
      <c r="K89" s="19" t="n"/>
      <c r="L89" s="19" t="n"/>
      <c r="M89" s="19" t="n"/>
    </row>
    <row r="90">
      <c r="A90" s="19" t="n"/>
      <c r="B90" s="19" t="n"/>
      <c r="C90" s="19" t="n"/>
      <c r="D90" s="19" t="n"/>
      <c r="E90" s="19" t="n"/>
      <c r="F90" s="19" t="n"/>
      <c r="G90" s="19" t="n"/>
      <c r="H90" s="19" t="n"/>
      <c r="I90" s="19" t="n"/>
      <c r="J90" s="19" t="n"/>
      <c r="K90" s="19" t="n"/>
      <c r="L90" s="19" t="n"/>
      <c r="M90" s="19" t="n"/>
    </row>
    <row r="91">
      <c r="A91" s="19" t="n"/>
      <c r="B91" s="19" t="n"/>
      <c r="C91" s="19" t="n"/>
      <c r="D91" s="19" t="n"/>
      <c r="E91" s="19" t="n"/>
      <c r="F91" s="19" t="n"/>
      <c r="G91" s="19" t="n"/>
      <c r="H91" s="19" t="n"/>
      <c r="I91" s="19" t="n"/>
      <c r="J91" s="19" t="n"/>
      <c r="K91" s="19" t="n"/>
      <c r="L91" s="19" t="n"/>
      <c r="M91" s="19" t="n"/>
    </row>
    <row r="92">
      <c r="A92" s="19" t="n"/>
      <c r="B92" s="19" t="n"/>
      <c r="C92" s="19" t="n"/>
      <c r="D92" s="19" t="n"/>
      <c r="E92" s="19" t="n"/>
      <c r="F92" s="19" t="n"/>
      <c r="G92" s="19" t="n"/>
      <c r="H92" s="19" t="n"/>
      <c r="I92" s="19" t="n"/>
      <c r="J92" s="19" t="n"/>
      <c r="K92" s="19" t="n"/>
      <c r="L92" s="19" t="n"/>
      <c r="M92" s="19" t="n"/>
    </row>
    <row r="93">
      <c r="A93" s="19" t="n"/>
      <c r="B93" s="19" t="n"/>
      <c r="C93" s="19" t="n"/>
      <c r="D93" s="19" t="n"/>
      <c r="E93" s="19" t="n"/>
      <c r="F93" s="19" t="n"/>
      <c r="G93" s="19" t="n"/>
      <c r="H93" s="19" t="n"/>
      <c r="I93" s="19" t="n"/>
      <c r="J93" s="19" t="n"/>
      <c r="K93" s="19" t="n"/>
      <c r="L93" s="19" t="n"/>
      <c r="M93" s="19" t="n"/>
    </row>
    <row r="94">
      <c r="A94" s="19" t="n"/>
      <c r="B94" s="19" t="n"/>
      <c r="C94" s="19" t="n"/>
      <c r="D94" s="19" t="n"/>
      <c r="E94" s="19" t="n"/>
      <c r="F94" s="19" t="n"/>
      <c r="G94" s="19" t="n"/>
      <c r="H94" s="19" t="n"/>
      <c r="I94" s="19" t="n"/>
      <c r="J94" s="19" t="n"/>
      <c r="K94" s="19" t="n"/>
      <c r="L94" s="19" t="n"/>
      <c r="M94" s="19" t="n"/>
    </row>
    <row r="95">
      <c r="A95" s="19" t="n"/>
      <c r="B95" s="19" t="n"/>
      <c r="C95" s="19" t="n"/>
      <c r="D95" s="19" t="n"/>
      <c r="E95" s="19" t="n"/>
      <c r="F95" s="19" t="n"/>
      <c r="G95" s="19" t="n"/>
      <c r="H95" s="19" t="n"/>
      <c r="I95" s="19" t="n"/>
      <c r="J95" s="19" t="n"/>
      <c r="K95" s="19" t="n"/>
      <c r="L95" s="19" t="n"/>
      <c r="M95" s="19" t="n"/>
    </row>
    <row r="96">
      <c r="A96" s="19" t="n"/>
      <c r="B96" s="19" t="n"/>
      <c r="C96" s="19" t="n"/>
      <c r="D96" s="19" t="n"/>
      <c r="E96" s="19" t="n"/>
      <c r="F96" s="19" t="n"/>
      <c r="G96" s="19" t="n"/>
      <c r="H96" s="19" t="n"/>
      <c r="I96" s="19" t="n"/>
      <c r="J96" s="19" t="n"/>
      <c r="K96" s="19" t="n"/>
      <c r="L96" s="19" t="n"/>
      <c r="M96" s="19" t="n"/>
    </row>
    <row r="97">
      <c r="A97" s="19" t="n"/>
      <c r="B97" s="19" t="n"/>
      <c r="C97" s="19" t="n"/>
      <c r="D97" s="19" t="n"/>
      <c r="E97" s="19" t="n"/>
      <c r="F97" s="19" t="n"/>
      <c r="G97" s="19" t="n"/>
      <c r="H97" s="19" t="n"/>
      <c r="I97" s="19" t="n"/>
      <c r="J97" s="19" t="n"/>
      <c r="K97" s="19" t="n"/>
      <c r="L97" s="19" t="n"/>
      <c r="M97" s="19" t="n"/>
    </row>
    <row r="98">
      <c r="A98" s="19" t="n"/>
      <c r="B98" s="19" t="n"/>
      <c r="C98" s="19" t="n"/>
      <c r="D98" s="19" t="n"/>
      <c r="E98" s="19" t="n"/>
      <c r="F98" s="19" t="n"/>
      <c r="G98" s="19" t="n"/>
      <c r="H98" s="19" t="n"/>
      <c r="I98" s="19" t="n"/>
      <c r="J98" s="19" t="n"/>
      <c r="K98" s="19" t="n"/>
      <c r="L98" s="19" t="n"/>
      <c r="M98" s="19" t="n"/>
    </row>
    <row r="99">
      <c r="A99" s="19" t="n"/>
      <c r="B99" s="19" t="n"/>
      <c r="C99" s="19" t="n"/>
      <c r="D99" s="19" t="n"/>
      <c r="E99" s="19" t="n"/>
      <c r="F99" s="19" t="n"/>
      <c r="G99" s="19" t="n"/>
      <c r="H99" s="19" t="n"/>
      <c r="I99" s="19" t="n"/>
      <c r="J99" s="19" t="n"/>
      <c r="K99" s="19" t="n"/>
      <c r="L99" s="19" t="n"/>
      <c r="M99" s="19" t="n"/>
    </row>
    <row r="100">
      <c r="A100" s="19" t="n"/>
      <c r="B100" s="19" t="n"/>
      <c r="C100" s="19" t="n"/>
      <c r="D100" s="19" t="n"/>
      <c r="E100" s="19" t="n"/>
      <c r="F100" s="19" t="n"/>
      <c r="G100" s="19" t="n"/>
      <c r="H100" s="19" t="n"/>
      <c r="I100" s="19" t="n"/>
      <c r="J100" s="19" t="n"/>
      <c r="K100" s="19" t="n"/>
      <c r="L100" s="19" t="n"/>
      <c r="M100" s="19" t="n"/>
    </row>
    <row r="101">
      <c r="A101" s="19" t="n"/>
      <c r="B101" s="19" t="n"/>
      <c r="C101" s="19" t="n"/>
      <c r="D101" s="19" t="n"/>
      <c r="E101" s="19" t="n"/>
      <c r="F101" s="19" t="n"/>
      <c r="G101" s="19" t="n"/>
      <c r="H101" s="19" t="n"/>
      <c r="I101" s="19" t="n"/>
      <c r="J101" s="19" t="n"/>
      <c r="K101" s="19" t="n"/>
      <c r="L101" s="19" t="n"/>
      <c r="M101" s="19" t="n"/>
    </row>
    <row r="102">
      <c r="A102" s="19" t="n"/>
      <c r="B102" s="19" t="n"/>
      <c r="C102" s="19" t="n"/>
      <c r="D102" s="19" t="n"/>
      <c r="E102" s="19" t="n"/>
      <c r="F102" s="19" t="n"/>
      <c r="G102" s="19" t="n"/>
      <c r="H102" s="19" t="n"/>
      <c r="I102" s="19" t="n"/>
      <c r="J102" s="19" t="n"/>
      <c r="K102" s="19" t="n"/>
      <c r="L102" s="19" t="n"/>
      <c r="M102" s="19" t="n"/>
    </row>
    <row r="103">
      <c r="A103" s="19" t="n"/>
      <c r="B103" s="19" t="n"/>
      <c r="C103" s="19" t="n"/>
      <c r="D103" s="19" t="n"/>
      <c r="E103" s="19" t="n"/>
      <c r="F103" s="19" t="n"/>
      <c r="G103" s="19" t="n"/>
      <c r="H103" s="19" t="n"/>
      <c r="I103" s="19" t="n"/>
      <c r="J103" s="19" t="n"/>
      <c r="K103" s="19" t="n"/>
      <c r="L103" s="19" t="n"/>
      <c r="M103" s="19" t="n"/>
    </row>
    <row r="104">
      <c r="A104" s="19" t="n"/>
      <c r="B104" s="19" t="n"/>
      <c r="C104" s="19" t="n"/>
      <c r="D104" s="19" t="n"/>
      <c r="E104" s="19" t="n"/>
      <c r="F104" s="19" t="n"/>
      <c r="G104" s="19" t="n"/>
      <c r="H104" s="19" t="n"/>
      <c r="I104" s="19" t="n"/>
      <c r="J104" s="19" t="n"/>
      <c r="K104" s="19" t="n"/>
      <c r="L104" s="19" t="n"/>
      <c r="M104" s="19" t="n"/>
    </row>
    <row r="105">
      <c r="A105" s="19" t="n"/>
      <c r="B105" s="19" t="n"/>
      <c r="C105" s="19" t="n"/>
      <c r="D105" s="19" t="n"/>
      <c r="E105" s="19" t="n"/>
      <c r="F105" s="19" t="n"/>
      <c r="G105" s="19" t="n"/>
      <c r="H105" s="19" t="n"/>
      <c r="I105" s="19" t="n"/>
      <c r="J105" s="19" t="n"/>
      <c r="K105" s="19" t="n"/>
      <c r="L105" s="19" t="n"/>
      <c r="M105" s="19" t="n"/>
    </row>
    <row r="106">
      <c r="A106" s="19" t="n"/>
      <c r="B106" s="19" t="n"/>
      <c r="C106" s="19" t="n"/>
      <c r="D106" s="19" t="n"/>
      <c r="E106" s="19" t="n"/>
      <c r="F106" s="19" t="n"/>
      <c r="G106" s="19" t="n"/>
      <c r="H106" s="19" t="n"/>
      <c r="I106" s="19" t="n"/>
      <c r="J106" s="19" t="n"/>
      <c r="K106" s="19" t="n"/>
      <c r="L106" s="19" t="n"/>
      <c r="M106" s="19" t="n"/>
    </row>
    <row r="107">
      <c r="A107" s="19" t="n"/>
      <c r="B107" s="19" t="n"/>
      <c r="C107" s="19" t="n"/>
      <c r="D107" s="19" t="n"/>
      <c r="E107" s="19" t="n"/>
      <c r="F107" s="19" t="n"/>
      <c r="G107" s="19" t="n"/>
      <c r="H107" s="19" t="n"/>
      <c r="I107" s="19" t="n"/>
      <c r="J107" s="19" t="n"/>
      <c r="K107" s="19" t="n"/>
      <c r="L107" s="19" t="n"/>
      <c r="M107" s="19" t="n"/>
    </row>
    <row r="108">
      <c r="A108" s="19" t="n"/>
      <c r="B108" s="19" t="n"/>
      <c r="C108" s="19" t="n"/>
      <c r="D108" s="19" t="n"/>
      <c r="E108" s="19" t="n"/>
      <c r="F108" s="19" t="n"/>
      <c r="G108" s="19" t="n"/>
      <c r="H108" s="19" t="n"/>
      <c r="I108" s="19" t="n"/>
      <c r="J108" s="19" t="n"/>
      <c r="K108" s="19" t="n"/>
      <c r="L108" s="19" t="n"/>
      <c r="M108" s="19" t="n"/>
    </row>
    <row r="109">
      <c r="A109" s="19" t="n"/>
      <c r="B109" s="19" t="n"/>
      <c r="C109" s="19" t="n"/>
      <c r="D109" s="19" t="n"/>
      <c r="E109" s="19" t="n"/>
      <c r="F109" s="19" t="n"/>
      <c r="G109" s="19" t="n"/>
      <c r="H109" s="19" t="n"/>
      <c r="I109" s="19" t="n"/>
      <c r="J109" s="19" t="n"/>
      <c r="K109" s="19" t="n"/>
      <c r="L109" s="19" t="n"/>
      <c r="M109" s="19" t="n"/>
    </row>
    <row r="110">
      <c r="A110" s="19" t="n"/>
      <c r="B110" s="19" t="n"/>
      <c r="C110" s="19" t="n"/>
      <c r="D110" s="19" t="n"/>
      <c r="E110" s="19" t="n"/>
      <c r="F110" s="19" t="n"/>
      <c r="G110" s="19" t="n"/>
      <c r="H110" s="19" t="n"/>
      <c r="I110" s="19" t="n"/>
      <c r="J110" s="19" t="n"/>
      <c r="K110" s="19" t="n"/>
      <c r="L110" s="19" t="n"/>
      <c r="M110" s="19" t="n"/>
    </row>
    <row r="111">
      <c r="A111" s="19" t="n"/>
      <c r="B111" s="19" t="n"/>
      <c r="C111" s="19" t="n"/>
      <c r="D111" s="19" t="n"/>
      <c r="E111" s="19" t="n"/>
      <c r="F111" s="19" t="n"/>
      <c r="G111" s="19" t="n"/>
      <c r="H111" s="19" t="n"/>
      <c r="I111" s="19" t="n"/>
      <c r="J111" s="19" t="n"/>
      <c r="K111" s="19" t="n"/>
      <c r="L111" s="19" t="n"/>
      <c r="M111" s="19" t="n"/>
    </row>
    <row r="112">
      <c r="A112" s="19" t="n"/>
      <c r="B112" s="19" t="n"/>
      <c r="C112" s="19" t="n"/>
      <c r="D112" s="19" t="n"/>
      <c r="E112" s="19" t="n"/>
      <c r="F112" s="19" t="n"/>
      <c r="G112" s="19" t="n"/>
      <c r="H112" s="19" t="n"/>
      <c r="I112" s="19" t="n"/>
      <c r="J112" s="19" t="n"/>
      <c r="K112" s="19" t="n"/>
      <c r="L112" s="19" t="n"/>
      <c r="M112" s="19" t="n"/>
    </row>
    <row r="113">
      <c r="A113" s="19" t="n"/>
      <c r="B113" s="19" t="n"/>
      <c r="C113" s="19" t="n"/>
      <c r="D113" s="19" t="n"/>
      <c r="E113" s="19" t="n"/>
      <c r="F113" s="19" t="n"/>
      <c r="G113" s="19" t="n"/>
      <c r="H113" s="19" t="n"/>
      <c r="I113" s="19" t="n"/>
      <c r="J113" s="19" t="n"/>
      <c r="K113" s="19" t="n"/>
      <c r="L113" s="19" t="n"/>
      <c r="M113" s="19" t="n"/>
    </row>
    <row r="114">
      <c r="A114" s="19" t="n"/>
      <c r="B114" s="19" t="n"/>
      <c r="C114" s="19" t="n"/>
      <c r="D114" s="19" t="n"/>
      <c r="E114" s="19" t="n"/>
      <c r="F114" s="19" t="n"/>
      <c r="G114" s="19" t="n"/>
      <c r="H114" s="19" t="n"/>
      <c r="I114" s="19" t="n"/>
      <c r="J114" s="19" t="n"/>
      <c r="K114" s="19" t="n"/>
      <c r="L114" s="19" t="n"/>
      <c r="M114" s="19" t="n"/>
    </row>
    <row r="115">
      <c r="A115" s="19" t="n"/>
      <c r="B115" s="19" t="n"/>
      <c r="C115" s="19" t="n"/>
      <c r="D115" s="19" t="n"/>
      <c r="E115" s="19" t="n"/>
      <c r="F115" s="19" t="n"/>
      <c r="G115" s="19" t="n"/>
      <c r="H115" s="19" t="n"/>
      <c r="I115" s="19" t="n"/>
      <c r="J115" s="19" t="n"/>
      <c r="K115" s="19" t="n"/>
      <c r="L115" s="19" t="n"/>
      <c r="M115" s="19" t="n"/>
    </row>
    <row r="116">
      <c r="A116" s="19" t="n"/>
      <c r="B116" s="19" t="n"/>
      <c r="C116" s="19" t="n"/>
      <c r="D116" s="19" t="n"/>
      <c r="E116" s="19" t="n"/>
      <c r="F116" s="19" t="n"/>
      <c r="G116" s="19" t="n"/>
      <c r="H116" s="19" t="n"/>
      <c r="I116" s="19" t="n"/>
      <c r="J116" s="19" t="n"/>
      <c r="K116" s="19" t="n"/>
      <c r="L116" s="19" t="n"/>
      <c r="M116" s="19" t="n"/>
    </row>
    <row r="117">
      <c r="A117" s="19" t="n"/>
      <c r="B117" s="19" t="n"/>
      <c r="C117" s="19" t="n"/>
      <c r="D117" s="19" t="n"/>
      <c r="E117" s="19" t="n"/>
      <c r="F117" s="19" t="n"/>
      <c r="G117" s="19" t="n"/>
      <c r="H117" s="19" t="n"/>
      <c r="I117" s="19" t="n"/>
      <c r="J117" s="19" t="n"/>
      <c r="K117" s="19" t="n"/>
      <c r="L117" s="19" t="n"/>
      <c r="M117" s="19" t="n"/>
    </row>
    <row r="118">
      <c r="A118" s="19" t="n"/>
      <c r="B118" s="19" t="n"/>
      <c r="C118" s="19" t="n"/>
      <c r="D118" s="19" t="n"/>
      <c r="E118" s="19" t="n"/>
      <c r="F118" s="19" t="n"/>
      <c r="G118" s="19" t="n"/>
      <c r="H118" s="19" t="n"/>
      <c r="I118" s="19" t="n"/>
      <c r="J118" s="19" t="n"/>
      <c r="K118" s="19" t="n"/>
      <c r="L118" s="19" t="n"/>
      <c r="M118" s="19" t="n"/>
    </row>
    <row r="119">
      <c r="A119" s="19" t="n"/>
      <c r="B119" s="19" t="n"/>
      <c r="C119" s="19" t="n"/>
      <c r="D119" s="19" t="n"/>
      <c r="E119" s="19" t="n"/>
      <c r="F119" s="19" t="n"/>
      <c r="G119" s="19" t="n"/>
      <c r="H119" s="19" t="n"/>
      <c r="I119" s="19" t="n"/>
      <c r="J119" s="19" t="n"/>
      <c r="K119" s="19" t="n"/>
      <c r="L119" s="19" t="n"/>
      <c r="M119" s="19" t="n"/>
    </row>
    <row r="120">
      <c r="A120" s="19" t="n"/>
      <c r="B120" s="19" t="n"/>
      <c r="C120" s="19" t="n"/>
      <c r="D120" s="19" t="n"/>
      <c r="E120" s="19" t="n"/>
      <c r="F120" s="19" t="n"/>
      <c r="G120" s="19" t="n"/>
      <c r="H120" s="19" t="n"/>
      <c r="I120" s="19" t="n"/>
      <c r="J120" s="19" t="n"/>
      <c r="K120" s="19" t="n"/>
      <c r="L120" s="19" t="n"/>
      <c r="M120" s="19" t="n"/>
    </row>
    <row r="121">
      <c r="A121" s="19" t="n"/>
      <c r="B121" s="19" t="n"/>
      <c r="C121" s="19" t="n"/>
      <c r="D121" s="19" t="n"/>
      <c r="E121" s="19" t="n"/>
      <c r="F121" s="19" t="n"/>
      <c r="G121" s="19" t="n"/>
      <c r="H121" s="19" t="n"/>
      <c r="I121" s="19" t="n"/>
      <c r="J121" s="19" t="n"/>
      <c r="K121" s="19" t="n"/>
      <c r="L121" s="19" t="n"/>
      <c r="M121" s="19" t="n"/>
    </row>
    <row r="122">
      <c r="A122" s="19" t="n"/>
      <c r="B122" s="19" t="n"/>
      <c r="C122" s="19" t="n"/>
      <c r="D122" s="19" t="n"/>
      <c r="E122" s="19" t="n"/>
      <c r="F122" s="19" t="n"/>
      <c r="G122" s="19" t="n"/>
      <c r="H122" s="19" t="n"/>
      <c r="I122" s="19" t="n"/>
      <c r="J122" s="19" t="n"/>
      <c r="K122" s="19" t="n"/>
      <c r="L122" s="19" t="n"/>
      <c r="M122" s="19" t="n"/>
    </row>
    <row r="123">
      <c r="A123" s="19" t="n"/>
      <c r="B123" s="19" t="n"/>
      <c r="C123" s="19" t="n"/>
      <c r="D123" s="19" t="n"/>
      <c r="E123" s="19" t="n"/>
      <c r="F123" s="19" t="n"/>
      <c r="G123" s="19" t="n"/>
      <c r="H123" s="19" t="n"/>
      <c r="I123" s="19" t="n"/>
      <c r="J123" s="19" t="n"/>
      <c r="K123" s="19" t="n"/>
      <c r="L123" s="19" t="n"/>
      <c r="M123" s="19" t="n"/>
    </row>
    <row r="124">
      <c r="A124" s="19" t="n"/>
      <c r="B124" s="19" t="n"/>
      <c r="C124" s="19" t="n"/>
      <c r="D124" s="19" t="n"/>
      <c r="E124" s="19" t="n"/>
      <c r="F124" s="19" t="n"/>
      <c r="G124" s="19" t="n"/>
      <c r="H124" s="19" t="n"/>
      <c r="I124" s="19" t="n"/>
      <c r="J124" s="19" t="n"/>
      <c r="K124" s="19" t="n"/>
      <c r="L124" s="19" t="n"/>
      <c r="M124" s="19" t="n"/>
    </row>
    <row r="125">
      <c r="A125" s="19" t="n"/>
      <c r="B125" s="19" t="n"/>
      <c r="C125" s="19" t="n"/>
      <c r="D125" s="19" t="n"/>
      <c r="E125" s="19" t="n"/>
      <c r="F125" s="19" t="n"/>
      <c r="G125" s="19" t="n"/>
      <c r="H125" s="19" t="n"/>
      <c r="I125" s="19" t="n"/>
      <c r="J125" s="19" t="n"/>
      <c r="K125" s="19" t="n"/>
      <c r="L125" s="19" t="n"/>
      <c r="M125" s="19" t="n"/>
    </row>
    <row r="126">
      <c r="A126" s="19" t="n"/>
      <c r="B126" s="19" t="n"/>
      <c r="C126" s="19" t="n"/>
      <c r="D126" s="19" t="n"/>
      <c r="E126" s="19" t="n"/>
      <c r="F126" s="19" t="n"/>
      <c r="G126" s="19" t="n"/>
      <c r="H126" s="19" t="n"/>
      <c r="I126" s="19" t="n"/>
      <c r="J126" s="19" t="n"/>
      <c r="K126" s="19" t="n"/>
      <c r="L126" s="19" t="n"/>
      <c r="M126" s="19" t="n"/>
    </row>
    <row r="127">
      <c r="A127" s="19" t="n"/>
      <c r="B127" s="19" t="n"/>
      <c r="C127" s="19" t="n"/>
      <c r="D127" s="19" t="n"/>
      <c r="E127" s="19" t="n"/>
      <c r="F127" s="19" t="n"/>
      <c r="G127" s="19" t="n"/>
      <c r="H127" s="19" t="n"/>
      <c r="I127" s="19" t="n"/>
      <c r="J127" s="19" t="n"/>
      <c r="K127" s="19" t="n"/>
      <c r="L127" s="19" t="n"/>
      <c r="M127" s="19" t="n"/>
    </row>
    <row r="128">
      <c r="A128" s="19" t="n"/>
      <c r="B128" s="19" t="n"/>
      <c r="C128" s="19" t="n"/>
      <c r="D128" s="19" t="n"/>
      <c r="E128" s="19" t="n"/>
      <c r="F128" s="19" t="n"/>
      <c r="G128" s="19" t="n"/>
      <c r="H128" s="19" t="n"/>
      <c r="I128" s="19" t="n"/>
      <c r="J128" s="19" t="n"/>
      <c r="K128" s="19" t="n"/>
      <c r="L128" s="19" t="n"/>
      <c r="M128" s="19" t="n"/>
    </row>
    <row r="129">
      <c r="A129" s="19" t="n"/>
      <c r="B129" s="19" t="n"/>
      <c r="C129" s="19" t="n"/>
      <c r="D129" s="19" t="n"/>
      <c r="E129" s="19" t="n"/>
      <c r="F129" s="19" t="n"/>
      <c r="G129" s="19" t="n"/>
      <c r="H129" s="19" t="n"/>
      <c r="I129" s="19" t="n"/>
      <c r="J129" s="19" t="n"/>
      <c r="K129" s="19" t="n"/>
      <c r="L129" s="19" t="n"/>
      <c r="M129" s="19" t="n"/>
    </row>
    <row r="130">
      <c r="A130" s="19" t="n"/>
      <c r="B130" s="19" t="n"/>
      <c r="C130" s="19" t="n"/>
      <c r="D130" s="19" t="n"/>
      <c r="E130" s="19" t="n"/>
      <c r="F130" s="19" t="n"/>
      <c r="G130" s="19" t="n"/>
      <c r="H130" s="19" t="n"/>
      <c r="I130" s="19" t="n"/>
      <c r="J130" s="19" t="n"/>
      <c r="K130" s="19" t="n"/>
      <c r="L130" s="19" t="n"/>
      <c r="M130" s="19" t="n"/>
    </row>
    <row r="131">
      <c r="A131" s="19" t="n"/>
      <c r="B131" s="19" t="n"/>
      <c r="C131" s="19" t="n"/>
      <c r="D131" s="19" t="n"/>
      <c r="E131" s="19" t="n"/>
      <c r="F131" s="19" t="n"/>
      <c r="G131" s="19" t="n"/>
      <c r="H131" s="19" t="n"/>
      <c r="I131" s="19" t="n"/>
      <c r="J131" s="19" t="n"/>
      <c r="K131" s="19" t="n"/>
      <c r="L131" s="19" t="n"/>
      <c r="M131" s="19" t="n"/>
    </row>
    <row r="132">
      <c r="A132" s="19" t="n"/>
      <c r="B132" s="19" t="n"/>
      <c r="C132" s="19" t="n"/>
      <c r="D132" s="19" t="n"/>
      <c r="E132" s="19" t="n"/>
      <c r="F132" s="19" t="n"/>
      <c r="G132" s="19" t="n"/>
      <c r="H132" s="19" t="n"/>
      <c r="I132" s="19" t="n"/>
      <c r="J132" s="19" t="n"/>
      <c r="K132" s="19" t="n"/>
      <c r="L132" s="19" t="n"/>
      <c r="M132" s="19" t="n"/>
    </row>
    <row r="133">
      <c r="A133" s="19" t="n"/>
      <c r="B133" s="19" t="n"/>
      <c r="C133" s="19" t="n"/>
      <c r="D133" s="19" t="n"/>
      <c r="E133" s="19" t="n"/>
      <c r="F133" s="19" t="n"/>
      <c r="G133" s="19" t="n"/>
      <c r="H133" s="19" t="n"/>
      <c r="I133" s="19" t="n"/>
      <c r="J133" s="19" t="n"/>
      <c r="K133" s="19" t="n"/>
      <c r="L133" s="19" t="n"/>
      <c r="M133" s="19" t="n"/>
    </row>
    <row r="134">
      <c r="A134" s="19" t="n"/>
      <c r="B134" s="19" t="n"/>
      <c r="C134" s="19" t="n"/>
      <c r="D134" s="19" t="n"/>
      <c r="E134" s="19" t="n"/>
      <c r="F134" s="19" t="n"/>
      <c r="G134" s="19" t="n"/>
      <c r="H134" s="19" t="n"/>
      <c r="I134" s="19" t="n"/>
      <c r="J134" s="19" t="n"/>
      <c r="K134" s="19" t="n"/>
      <c r="L134" s="19" t="n"/>
      <c r="M134" s="19" t="n"/>
    </row>
    <row r="135">
      <c r="A135" s="19" t="n"/>
      <c r="B135" s="19" t="n"/>
      <c r="C135" s="19" t="n"/>
      <c r="D135" s="19" t="n"/>
      <c r="E135" s="19" t="n"/>
      <c r="F135" s="19" t="n"/>
      <c r="G135" s="19" t="n"/>
      <c r="H135" s="19" t="n"/>
      <c r="I135" s="19" t="n"/>
      <c r="J135" s="19" t="n"/>
      <c r="K135" s="19" t="n"/>
      <c r="L135" s="19" t="n"/>
      <c r="M135" s="19" t="n"/>
    </row>
    <row r="136">
      <c r="A136" s="19" t="n"/>
      <c r="B136" s="19" t="n"/>
      <c r="C136" s="19" t="n"/>
      <c r="D136" s="19" t="n"/>
      <c r="E136" s="19" t="n"/>
      <c r="F136" s="19" t="n"/>
      <c r="G136" s="19" t="n"/>
      <c r="H136" s="19" t="n"/>
      <c r="I136" s="19" t="n"/>
      <c r="J136" s="19" t="n"/>
      <c r="K136" s="19" t="n"/>
      <c r="L136" s="19" t="n"/>
      <c r="M136" s="19" t="n"/>
    </row>
    <row r="137">
      <c r="A137" s="19" t="n"/>
      <c r="B137" s="19" t="n"/>
      <c r="C137" s="19" t="n"/>
      <c r="D137" s="19" t="n"/>
      <c r="E137" s="19" t="n"/>
      <c r="F137" s="19" t="n"/>
      <c r="G137" s="19" t="n"/>
      <c r="H137" s="19" t="n"/>
      <c r="I137" s="19" t="n"/>
      <c r="J137" s="19" t="n"/>
      <c r="K137" s="19" t="n"/>
      <c r="L137" s="19" t="n"/>
      <c r="M137" s="19" t="n"/>
    </row>
    <row r="138">
      <c r="A138" s="19" t="n"/>
      <c r="B138" s="19" t="n"/>
      <c r="C138" s="19" t="n"/>
      <c r="D138" s="19" t="n"/>
      <c r="E138" s="19" t="n"/>
      <c r="F138" s="19" t="n"/>
      <c r="G138" s="19" t="n"/>
      <c r="H138" s="19" t="n"/>
      <c r="I138" s="19" t="n"/>
      <c r="J138" s="19" t="n"/>
      <c r="K138" s="19" t="n"/>
      <c r="L138" s="19" t="n"/>
      <c r="M138" s="19" t="n"/>
    </row>
    <row r="139">
      <c r="A139" s="19" t="n"/>
      <c r="B139" s="19" t="n"/>
      <c r="C139" s="19" t="n"/>
      <c r="D139" s="19" t="n"/>
      <c r="E139" s="19" t="n"/>
      <c r="F139" s="19" t="n"/>
      <c r="G139" s="19" t="n"/>
      <c r="H139" s="19" t="n"/>
      <c r="I139" s="19" t="n"/>
      <c r="J139" s="19" t="n"/>
      <c r="K139" s="19" t="n"/>
      <c r="L139" s="19" t="n"/>
      <c r="M139" s="19" t="n"/>
    </row>
    <row r="140">
      <c r="A140" s="19" t="n"/>
      <c r="B140" s="19" t="n"/>
      <c r="C140" s="19" t="n"/>
      <c r="D140" s="19" t="n"/>
      <c r="E140" s="19" t="n"/>
      <c r="F140" s="19" t="n"/>
      <c r="G140" s="19" t="n"/>
      <c r="H140" s="19" t="n"/>
      <c r="I140" s="19" t="n"/>
      <c r="J140" s="19" t="n"/>
      <c r="K140" s="19" t="n"/>
      <c r="L140" s="19" t="n"/>
      <c r="M140" s="19" t="n"/>
    </row>
    <row r="141">
      <c r="A141" s="19" t="n"/>
      <c r="B141" s="19" t="n"/>
      <c r="C141" s="19" t="n"/>
      <c r="D141" s="19" t="n"/>
      <c r="E141" s="19" t="n"/>
      <c r="F141" s="19" t="n"/>
      <c r="G141" s="19" t="n"/>
      <c r="H141" s="19" t="n"/>
      <c r="I141" s="19" t="n"/>
      <c r="J141" s="19" t="n"/>
      <c r="K141" s="19" t="n"/>
      <c r="L141" s="19" t="n"/>
      <c r="M141" s="19" t="n"/>
    </row>
    <row r="142">
      <c r="A142" s="19" t="n"/>
      <c r="B142" s="19" t="n"/>
      <c r="C142" s="19" t="n"/>
      <c r="D142" s="19" t="n"/>
      <c r="E142" s="19" t="n"/>
      <c r="F142" s="19" t="n"/>
      <c r="G142" s="19" t="n"/>
      <c r="H142" s="19" t="n"/>
      <c r="I142" s="19" t="n"/>
      <c r="J142" s="19" t="n"/>
      <c r="K142" s="19" t="n"/>
      <c r="L142" s="19" t="n"/>
      <c r="M142" s="19" t="n"/>
    </row>
    <row r="143">
      <c r="A143" s="19" t="n"/>
      <c r="B143" s="19" t="n"/>
      <c r="C143" s="19" t="n"/>
      <c r="D143" s="19" t="n"/>
      <c r="E143" s="19" t="n"/>
      <c r="F143" s="19" t="n"/>
      <c r="G143" s="19" t="n"/>
      <c r="H143" s="19" t="n"/>
      <c r="I143" s="19" t="n"/>
      <c r="J143" s="19" t="n"/>
      <c r="K143" s="19" t="n"/>
      <c r="L143" s="19" t="n"/>
      <c r="M143" s="19" t="n"/>
    </row>
    <row r="144">
      <c r="A144" s="19" t="n"/>
      <c r="B144" s="19" t="n"/>
      <c r="C144" s="19" t="n"/>
      <c r="D144" s="19" t="n"/>
      <c r="E144" s="19" t="n"/>
      <c r="F144" s="19" t="n"/>
      <c r="G144" s="19" t="n"/>
      <c r="H144" s="19" t="n"/>
      <c r="I144" s="19" t="n"/>
      <c r="J144" s="19" t="n"/>
      <c r="K144" s="19" t="n"/>
      <c r="L144" s="19" t="n"/>
      <c r="M144" s="19" t="n"/>
    </row>
    <row r="145">
      <c r="A145" s="19" t="n"/>
      <c r="B145" s="19" t="n"/>
      <c r="C145" s="19" t="n"/>
      <c r="D145" s="19" t="n"/>
      <c r="E145" s="19" t="n"/>
      <c r="F145" s="19" t="n"/>
      <c r="G145" s="19" t="n"/>
      <c r="H145" s="19" t="n"/>
      <c r="I145" s="19" t="n"/>
      <c r="J145" s="19" t="n"/>
      <c r="K145" s="19" t="n"/>
      <c r="L145" s="19" t="n"/>
      <c r="M145" s="19" t="n"/>
    </row>
    <row r="146">
      <c r="A146" s="19" t="n"/>
      <c r="B146" s="19" t="n"/>
      <c r="C146" s="19" t="n"/>
      <c r="D146" s="19" t="n"/>
      <c r="E146" s="19" t="n"/>
      <c r="F146" s="19" t="n"/>
      <c r="G146" s="19" t="n"/>
      <c r="H146" s="19" t="n"/>
      <c r="I146" s="19" t="n"/>
      <c r="J146" s="19" t="n"/>
      <c r="K146" s="19" t="n"/>
      <c r="L146" s="19" t="n"/>
      <c r="M146" s="19" t="n"/>
    </row>
    <row r="147">
      <c r="A147" s="19" t="n"/>
      <c r="B147" s="19" t="n"/>
      <c r="C147" s="19" t="n"/>
      <c r="D147" s="19" t="n"/>
      <c r="E147" s="19" t="n"/>
      <c r="F147" s="19" t="n"/>
      <c r="G147" s="19" t="n"/>
      <c r="H147" s="19" t="n"/>
      <c r="I147" s="19" t="n"/>
      <c r="J147" s="19" t="n"/>
      <c r="K147" s="19" t="n"/>
      <c r="L147" s="19" t="n"/>
      <c r="M147" s="19" t="n"/>
    </row>
    <row r="148">
      <c r="A148" s="19" t="n"/>
      <c r="B148" s="19" t="n"/>
      <c r="C148" s="19" t="n"/>
      <c r="D148" s="19" t="n"/>
      <c r="E148" s="19" t="n"/>
      <c r="F148" s="19" t="n"/>
      <c r="G148" s="19" t="n"/>
      <c r="H148" s="19" t="n"/>
      <c r="I148" s="19" t="n"/>
      <c r="J148" s="19" t="n"/>
      <c r="K148" s="19" t="n"/>
      <c r="L148" s="19" t="n"/>
      <c r="M148" s="19" t="n"/>
    </row>
    <row r="149">
      <c r="A149" s="19" t="n"/>
      <c r="B149" s="19" t="n"/>
      <c r="C149" s="19" t="n"/>
      <c r="D149" s="19" t="n"/>
      <c r="E149" s="19" t="n"/>
      <c r="F149" s="19" t="n"/>
      <c r="G149" s="19" t="n"/>
      <c r="H149" s="19" t="n"/>
      <c r="I149" s="19" t="n"/>
      <c r="J149" s="19" t="n"/>
      <c r="K149" s="19" t="n"/>
      <c r="L149" s="19" t="n"/>
      <c r="M149" s="19" t="n"/>
    </row>
    <row r="150">
      <c r="A150" s="19" t="n"/>
      <c r="B150" s="19" t="n"/>
      <c r="C150" s="19" t="n"/>
      <c r="D150" s="19" t="n"/>
      <c r="E150" s="19" t="n"/>
      <c r="F150" s="19" t="n"/>
      <c r="G150" s="19" t="n"/>
      <c r="H150" s="19" t="n"/>
      <c r="I150" s="19" t="n"/>
      <c r="J150" s="19" t="n"/>
      <c r="K150" s="19" t="n"/>
      <c r="L150" s="19" t="n"/>
      <c r="M150" s="19" t="n"/>
    </row>
    <row r="151">
      <c r="A151" s="19" t="n"/>
      <c r="B151" s="19" t="n"/>
      <c r="C151" s="19" t="n"/>
      <c r="D151" s="19" t="n"/>
      <c r="E151" s="19" t="n"/>
      <c r="F151" s="19" t="n"/>
      <c r="G151" s="19" t="n"/>
      <c r="H151" s="19" t="n"/>
      <c r="I151" s="19" t="n"/>
      <c r="J151" s="19" t="n"/>
      <c r="K151" s="19" t="n"/>
      <c r="L151" s="19" t="n"/>
      <c r="M151" s="19" t="n"/>
    </row>
    <row r="152">
      <c r="A152" s="19" t="n"/>
      <c r="B152" s="19" t="n"/>
      <c r="C152" s="19" t="n"/>
      <c r="D152" s="19" t="n"/>
      <c r="E152" s="19" t="n"/>
      <c r="F152" s="19" t="n"/>
      <c r="G152" s="19" t="n"/>
      <c r="H152" s="19" t="n"/>
      <c r="I152" s="19" t="n"/>
      <c r="J152" s="19" t="n"/>
      <c r="K152" s="19" t="n"/>
      <c r="L152" s="19" t="n"/>
      <c r="M152" s="19" t="n"/>
    </row>
    <row r="153">
      <c r="A153" s="19" t="n"/>
      <c r="B153" s="19" t="n"/>
      <c r="C153" s="19" t="n"/>
      <c r="D153" s="19" t="n"/>
      <c r="E153" s="19" t="n"/>
      <c r="F153" s="19" t="n"/>
      <c r="G153" s="19" t="n"/>
      <c r="H153" s="19" t="n"/>
      <c r="I153" s="19" t="n"/>
      <c r="J153" s="19" t="n"/>
      <c r="K153" s="19" t="n"/>
      <c r="L153" s="19" t="n"/>
      <c r="M153" s="19" t="n"/>
    </row>
    <row r="154">
      <c r="A154" s="19" t="n"/>
      <c r="B154" s="19" t="n"/>
      <c r="C154" s="19" t="n"/>
      <c r="D154" s="19" t="n"/>
      <c r="E154" s="19" t="n"/>
      <c r="F154" s="19" t="n"/>
      <c r="G154" s="19" t="n"/>
      <c r="H154" s="19" t="n"/>
      <c r="I154" s="19" t="n"/>
      <c r="J154" s="19" t="n"/>
      <c r="K154" s="19" t="n"/>
      <c r="L154" s="19" t="n"/>
      <c r="M154" s="19" t="n"/>
    </row>
    <row r="155">
      <c r="A155" s="19" t="n"/>
      <c r="B155" s="19" t="n"/>
      <c r="C155" s="19" t="n"/>
      <c r="D155" s="19" t="n"/>
      <c r="E155" s="19" t="n"/>
      <c r="F155" s="19" t="n"/>
      <c r="G155" s="19" t="n"/>
      <c r="H155" s="19" t="n"/>
      <c r="I155" s="19" t="n"/>
      <c r="J155" s="19" t="n"/>
      <c r="K155" s="19" t="n"/>
      <c r="L155" s="19" t="n"/>
      <c r="M155" s="19" t="n"/>
    </row>
    <row r="156">
      <c r="A156" s="19" t="n"/>
      <c r="B156" s="19" t="n"/>
      <c r="C156" s="19" t="n"/>
      <c r="D156" s="19" t="n"/>
      <c r="E156" s="19" t="n"/>
      <c r="F156" s="19" t="n"/>
      <c r="G156" s="19" t="n"/>
      <c r="H156" s="19" t="n"/>
      <c r="I156" s="19" t="n"/>
      <c r="J156" s="19" t="n"/>
      <c r="K156" s="19" t="n"/>
      <c r="L156" s="19" t="n"/>
      <c r="M156" s="19" t="n"/>
    </row>
    <row r="157">
      <c r="A157" s="19" t="n"/>
      <c r="B157" s="19" t="n"/>
      <c r="C157" s="19" t="n"/>
      <c r="D157" s="19" t="n"/>
      <c r="E157" s="19" t="n"/>
      <c r="F157" s="19" t="n"/>
      <c r="G157" s="19" t="n"/>
      <c r="H157" s="19" t="n"/>
      <c r="I157" s="19" t="n"/>
      <c r="J157" s="19" t="n"/>
      <c r="K157" s="19" t="n"/>
      <c r="L157" s="19" t="n"/>
      <c r="M157" s="19" t="n"/>
    </row>
    <row r="158">
      <c r="A158" s="19" t="n"/>
      <c r="B158" s="19" t="n"/>
      <c r="C158" s="19" t="n"/>
      <c r="D158" s="19" t="n"/>
      <c r="E158" s="19" t="n"/>
      <c r="F158" s="19" t="n"/>
      <c r="G158" s="19" t="n"/>
      <c r="H158" s="19" t="n"/>
      <c r="I158" s="19" t="n"/>
      <c r="J158" s="19" t="n"/>
      <c r="K158" s="19" t="n"/>
      <c r="L158" s="19" t="n"/>
      <c r="M158" s="19" t="n"/>
    </row>
    <row r="159">
      <c r="A159" s="19" t="n"/>
      <c r="B159" s="19" t="n"/>
      <c r="C159" s="19" t="n"/>
      <c r="D159" s="19" t="n"/>
      <c r="E159" s="19" t="n"/>
      <c r="F159" s="19" t="n"/>
      <c r="G159" s="19" t="n"/>
      <c r="H159" s="19" t="n"/>
      <c r="I159" s="19" t="n"/>
      <c r="J159" s="19" t="n"/>
      <c r="K159" s="19" t="n"/>
      <c r="L159" s="19" t="n"/>
      <c r="M159" s="19" t="n"/>
    </row>
    <row r="160">
      <c r="A160" s="19" t="n"/>
      <c r="B160" s="19" t="n"/>
      <c r="C160" s="19" t="n"/>
      <c r="D160" s="19" t="n"/>
      <c r="E160" s="19" t="n"/>
      <c r="F160" s="19" t="n"/>
      <c r="G160" s="19" t="n"/>
      <c r="H160" s="19" t="n"/>
      <c r="I160" s="19" t="n"/>
      <c r="J160" s="19" t="n"/>
      <c r="K160" s="19" t="n"/>
      <c r="L160" s="19" t="n"/>
      <c r="M160" s="19" t="n"/>
    </row>
    <row r="161">
      <c r="A161" s="19" t="n"/>
      <c r="B161" s="19" t="n"/>
      <c r="C161" s="19" t="n"/>
      <c r="D161" s="19" t="n"/>
      <c r="E161" s="19" t="n"/>
      <c r="F161" s="19" t="n"/>
      <c r="G161" s="19" t="n"/>
      <c r="H161" s="19" t="n"/>
      <c r="I161" s="19" t="n"/>
      <c r="J161" s="19" t="n"/>
      <c r="K161" s="19" t="n"/>
      <c r="L161" s="19" t="n"/>
      <c r="M161" s="19" t="n"/>
    </row>
    <row r="162">
      <c r="A162" s="19" t="n"/>
      <c r="B162" s="19" t="n"/>
      <c r="C162" s="19" t="n"/>
      <c r="D162" s="19" t="n"/>
      <c r="E162" s="19" t="n"/>
      <c r="F162" s="19" t="n"/>
      <c r="G162" s="19" t="n"/>
      <c r="H162" s="19" t="n"/>
      <c r="I162" s="19" t="n"/>
      <c r="J162" s="19" t="n"/>
      <c r="K162" s="19" t="n"/>
      <c r="L162" s="19" t="n"/>
      <c r="M162" s="19" t="n"/>
    </row>
    <row r="163">
      <c r="A163" s="19" t="n"/>
      <c r="B163" s="19" t="n"/>
      <c r="C163" s="19" t="n"/>
      <c r="D163" s="19" t="n"/>
      <c r="E163" s="19" t="n"/>
      <c r="F163" s="19" t="n"/>
      <c r="G163" s="19" t="n"/>
      <c r="H163" s="19" t="n"/>
      <c r="I163" s="19" t="n"/>
      <c r="J163" s="19" t="n"/>
      <c r="K163" s="19" t="n"/>
      <c r="L163" s="19" t="n"/>
      <c r="M163" s="19" t="n"/>
    </row>
    <row r="164">
      <c r="A164" s="19" t="n"/>
      <c r="B164" s="19" t="n"/>
      <c r="C164" s="19" t="n"/>
      <c r="D164" s="19" t="n"/>
      <c r="E164" s="19" t="n"/>
      <c r="F164" s="19" t="n"/>
      <c r="G164" s="19" t="n"/>
      <c r="H164" s="19" t="n"/>
      <c r="I164" s="19" t="n"/>
      <c r="J164" s="19" t="n"/>
      <c r="K164" s="19" t="n"/>
      <c r="L164" s="19" t="n"/>
      <c r="M164" s="19" t="n"/>
    </row>
    <row r="165">
      <c r="A165" s="19" t="n"/>
      <c r="B165" s="19" t="n"/>
      <c r="C165" s="19" t="n"/>
      <c r="D165" s="19" t="n"/>
      <c r="E165" s="19" t="n"/>
      <c r="F165" s="19" t="n"/>
      <c r="G165" s="19" t="n"/>
      <c r="H165" s="19" t="n"/>
      <c r="I165" s="19" t="n"/>
      <c r="J165" s="19" t="n"/>
      <c r="K165" s="19" t="n"/>
      <c r="L165" s="19" t="n"/>
      <c r="M165" s="19" t="n"/>
    </row>
    <row r="166">
      <c r="A166" s="19" t="n"/>
      <c r="B166" s="19" t="n"/>
      <c r="C166" s="19" t="n"/>
      <c r="D166" s="19" t="n"/>
      <c r="E166" s="19" t="n"/>
      <c r="F166" s="19" t="n"/>
      <c r="G166" s="19" t="n"/>
      <c r="H166" s="19" t="n"/>
      <c r="I166" s="19" t="n"/>
      <c r="J166" s="19" t="n"/>
      <c r="K166" s="19" t="n"/>
      <c r="L166" s="19" t="n"/>
      <c r="M166" s="19" t="n"/>
    </row>
    <row r="167">
      <c r="A167" s="19" t="n"/>
      <c r="B167" s="19" t="n"/>
      <c r="C167" s="19" t="n"/>
      <c r="D167" s="19" t="n"/>
      <c r="E167" s="19" t="n"/>
      <c r="F167" s="19" t="n"/>
      <c r="G167" s="19" t="n"/>
      <c r="H167" s="19" t="n"/>
      <c r="I167" s="19" t="n"/>
      <c r="J167" s="19" t="n"/>
      <c r="K167" s="19" t="n"/>
      <c r="L167" s="19" t="n"/>
      <c r="M167" s="19" t="n"/>
    </row>
    <row r="168">
      <c r="A168" s="19" t="n"/>
      <c r="B168" s="19" t="n"/>
      <c r="C168" s="19" t="n"/>
      <c r="D168" s="19" t="n"/>
      <c r="E168" s="19" t="n"/>
      <c r="F168" s="19" t="n"/>
      <c r="G168" s="19" t="n"/>
      <c r="H168" s="19" t="n"/>
      <c r="I168" s="19" t="n"/>
      <c r="J168" s="19" t="n"/>
      <c r="K168" s="19" t="n"/>
      <c r="L168" s="19" t="n"/>
      <c r="M168" s="19" t="n"/>
    </row>
    <row r="169">
      <c r="A169" s="19" t="n"/>
      <c r="B169" s="19" t="n"/>
      <c r="C169" s="19" t="n"/>
      <c r="D169" s="19" t="n"/>
      <c r="E169" s="19" t="n"/>
      <c r="F169" s="19" t="n"/>
      <c r="G169" s="19" t="n"/>
      <c r="H169" s="19" t="n"/>
      <c r="I169" s="19" t="n"/>
      <c r="J169" s="19" t="n"/>
      <c r="K169" s="19" t="n"/>
      <c r="L169" s="19" t="n"/>
      <c r="M169" s="19" t="n"/>
    </row>
    <row r="170">
      <c r="A170" s="19" t="n"/>
      <c r="B170" s="19" t="n"/>
      <c r="C170" s="19" t="n"/>
      <c r="D170" s="19" t="n"/>
      <c r="E170" s="19" t="n"/>
      <c r="F170" s="19" t="n"/>
      <c r="G170" s="19" t="n"/>
      <c r="H170" s="19" t="n"/>
      <c r="I170" s="19" t="n"/>
      <c r="J170" s="19" t="n"/>
      <c r="K170" s="19" t="n"/>
      <c r="L170" s="19" t="n"/>
      <c r="M170" s="19" t="n"/>
    </row>
    <row r="171">
      <c r="A171" s="19" t="n"/>
      <c r="B171" s="19" t="n"/>
      <c r="C171" s="19" t="n"/>
      <c r="D171" s="19" t="n"/>
      <c r="E171" s="19" t="n"/>
      <c r="F171" s="19" t="n"/>
      <c r="G171" s="19" t="n"/>
      <c r="H171" s="19" t="n"/>
      <c r="I171" s="19" t="n"/>
      <c r="J171" s="19" t="n"/>
      <c r="K171" s="19" t="n"/>
      <c r="L171" s="19" t="n"/>
      <c r="M171" s="19" t="n"/>
    </row>
    <row r="172">
      <c r="A172" s="19" t="n"/>
      <c r="B172" s="19" t="n"/>
      <c r="C172" s="19" t="n"/>
      <c r="D172" s="19" t="n"/>
      <c r="E172" s="19" t="n"/>
      <c r="F172" s="19" t="n"/>
      <c r="G172" s="19" t="n"/>
      <c r="H172" s="19" t="n"/>
      <c r="I172" s="19" t="n"/>
      <c r="J172" s="19" t="n"/>
      <c r="K172" s="19" t="n"/>
      <c r="L172" s="19" t="n"/>
      <c r="M172" s="19" t="n"/>
    </row>
    <row r="173">
      <c r="A173" s="19" t="n"/>
      <c r="B173" s="19" t="n"/>
      <c r="C173" s="19" t="n"/>
      <c r="D173" s="19" t="n"/>
      <c r="E173" s="19" t="n"/>
      <c r="F173" s="19" t="n"/>
      <c r="G173" s="19" t="n"/>
      <c r="H173" s="19" t="n"/>
      <c r="I173" s="19" t="n"/>
      <c r="J173" s="19" t="n"/>
      <c r="K173" s="19" t="n"/>
      <c r="L173" s="19" t="n"/>
      <c r="M173" s="19" t="n"/>
    </row>
    <row r="174">
      <c r="A174" s="19" t="n"/>
      <c r="B174" s="19" t="n"/>
      <c r="C174" s="19" t="n"/>
      <c r="D174" s="19" t="n"/>
      <c r="E174" s="19" t="n"/>
      <c r="F174" s="19" t="n"/>
      <c r="G174" s="19" t="n"/>
      <c r="H174" s="19" t="n"/>
      <c r="I174" s="19" t="n"/>
      <c r="J174" s="19" t="n"/>
      <c r="K174" s="19" t="n"/>
      <c r="L174" s="19" t="n"/>
      <c r="M174" s="19" t="n"/>
    </row>
    <row r="175">
      <c r="A175" s="19" t="n"/>
      <c r="B175" s="19" t="n"/>
      <c r="C175" s="19" t="n"/>
      <c r="D175" s="19" t="n"/>
      <c r="E175" s="19" t="n"/>
      <c r="F175" s="19" t="n"/>
      <c r="G175" s="19" t="n"/>
      <c r="H175" s="19" t="n"/>
      <c r="I175" s="19" t="n"/>
      <c r="J175" s="19" t="n"/>
      <c r="K175" s="19" t="n"/>
      <c r="L175" s="19" t="n"/>
      <c r="M175" s="19" t="n"/>
    </row>
    <row r="176">
      <c r="A176" s="19" t="n"/>
      <c r="B176" s="19" t="n"/>
      <c r="C176" s="19" t="n"/>
      <c r="D176" s="19" t="n"/>
      <c r="E176" s="19" t="n"/>
      <c r="F176" s="19" t="n"/>
      <c r="G176" s="19" t="n"/>
      <c r="H176" s="19" t="n"/>
      <c r="I176" s="19" t="n"/>
      <c r="J176" s="19" t="n"/>
      <c r="K176" s="19" t="n"/>
      <c r="L176" s="19" t="n"/>
      <c r="M176" s="19" t="n"/>
    </row>
    <row r="177">
      <c r="A177" s="19" t="n"/>
      <c r="B177" s="19" t="n"/>
      <c r="C177" s="19" t="n"/>
      <c r="D177" s="19" t="n"/>
      <c r="E177" s="19" t="n"/>
      <c r="F177" s="19" t="n"/>
      <c r="G177" s="19" t="n"/>
      <c r="H177" s="19" t="n"/>
      <c r="I177" s="19" t="n"/>
      <c r="J177" s="19" t="n"/>
      <c r="K177" s="19" t="n"/>
      <c r="L177" s="19" t="n"/>
      <c r="M177" s="19" t="n"/>
    </row>
    <row r="178">
      <c r="A178" s="19" t="n"/>
      <c r="B178" s="19" t="n"/>
      <c r="C178" s="19" t="n"/>
      <c r="D178" s="19" t="n"/>
      <c r="E178" s="19" t="n"/>
      <c r="F178" s="19" t="n"/>
      <c r="G178" s="19" t="n"/>
      <c r="H178" s="19" t="n"/>
      <c r="I178" s="19" t="n"/>
      <c r="J178" s="19" t="n"/>
      <c r="K178" s="19" t="n"/>
      <c r="L178" s="19" t="n"/>
      <c r="M178" s="19" t="n"/>
    </row>
    <row r="179">
      <c r="A179" s="19" t="n"/>
      <c r="B179" s="19" t="n"/>
      <c r="C179" s="19" t="n"/>
      <c r="D179" s="19" t="n"/>
      <c r="E179" s="19" t="n"/>
      <c r="F179" s="19" t="n"/>
      <c r="G179" s="19" t="n"/>
      <c r="H179" s="19" t="n"/>
      <c r="I179" s="19" t="n"/>
      <c r="J179" s="19" t="n"/>
      <c r="K179" s="19" t="n"/>
      <c r="L179" s="19" t="n"/>
      <c r="M179" s="19" t="n"/>
    </row>
    <row r="180">
      <c r="A180" s="19" t="n"/>
      <c r="B180" s="19" t="n"/>
      <c r="C180" s="19" t="n"/>
      <c r="D180" s="19" t="n"/>
      <c r="E180" s="19" t="n"/>
      <c r="F180" s="19" t="n"/>
      <c r="G180" s="19" t="n"/>
      <c r="H180" s="19" t="n"/>
      <c r="I180" s="19" t="n"/>
      <c r="J180" s="19" t="n"/>
      <c r="K180" s="19" t="n"/>
      <c r="L180" s="19" t="n"/>
      <c r="M180" s="19" t="n"/>
    </row>
    <row r="181">
      <c r="A181" s="19" t="n"/>
      <c r="B181" s="19" t="n"/>
      <c r="C181" s="19" t="n"/>
      <c r="D181" s="19" t="n"/>
      <c r="E181" s="19" t="n"/>
      <c r="F181" s="19" t="n"/>
      <c r="G181" s="19" t="n"/>
      <c r="H181" s="19" t="n"/>
      <c r="I181" s="19" t="n"/>
      <c r="J181" s="19" t="n"/>
      <c r="K181" s="19" t="n"/>
      <c r="L181" s="19" t="n"/>
      <c r="M181" s="19" t="n"/>
    </row>
    <row r="182">
      <c r="A182" s="19" t="n"/>
      <c r="B182" s="19" t="n"/>
      <c r="C182" s="19" t="n"/>
      <c r="D182" s="19" t="n"/>
      <c r="E182" s="19" t="n"/>
      <c r="F182" s="19" t="n"/>
      <c r="G182" s="19" t="n"/>
      <c r="H182" s="19" t="n"/>
      <c r="I182" s="19" t="n"/>
      <c r="J182" s="19" t="n"/>
      <c r="K182" s="19" t="n"/>
      <c r="L182" s="19" t="n"/>
      <c r="M182" s="19" t="n"/>
    </row>
    <row r="183">
      <c r="A183" s="19" t="n"/>
      <c r="B183" s="19" t="n"/>
      <c r="C183" s="19" t="n"/>
      <c r="D183" s="19" t="n"/>
      <c r="E183" s="19" t="n"/>
      <c r="F183" s="19" t="n"/>
      <c r="G183" s="19" t="n"/>
      <c r="H183" s="19" t="n"/>
      <c r="I183" s="19" t="n"/>
      <c r="J183" s="19" t="n"/>
      <c r="K183" s="19" t="n"/>
      <c r="L183" s="19" t="n"/>
      <c r="M183" s="19" t="n"/>
    </row>
    <row r="184">
      <c r="A184" s="19" t="n"/>
      <c r="B184" s="19" t="n"/>
      <c r="C184" s="19" t="n"/>
      <c r="D184" s="19" t="n"/>
      <c r="E184" s="19" t="n"/>
      <c r="F184" s="19" t="n"/>
      <c r="G184" s="19" t="n"/>
      <c r="H184" s="19" t="n"/>
      <c r="I184" s="19" t="n"/>
      <c r="J184" s="19" t="n"/>
      <c r="K184" s="19" t="n"/>
      <c r="L184" s="19" t="n"/>
      <c r="M184" s="19" t="n"/>
    </row>
    <row r="185">
      <c r="A185" s="19" t="n"/>
      <c r="B185" s="19" t="n"/>
      <c r="C185" s="19" t="n"/>
      <c r="D185" s="19" t="n"/>
      <c r="E185" s="19" t="n"/>
      <c r="F185" s="19" t="n"/>
      <c r="G185" s="19" t="n"/>
      <c r="H185" s="19" t="n"/>
      <c r="I185" s="19" t="n"/>
      <c r="J185" s="19" t="n"/>
      <c r="K185" s="19" t="n"/>
      <c r="L185" s="19" t="n"/>
      <c r="M185" s="19" t="n"/>
    </row>
    <row r="186">
      <c r="A186" s="19" t="n"/>
      <c r="B186" s="19" t="n"/>
      <c r="C186" s="19" t="n"/>
      <c r="D186" s="19" t="n"/>
      <c r="E186" s="19" t="n"/>
      <c r="F186" s="19" t="n"/>
      <c r="G186" s="19" t="n"/>
      <c r="H186" s="19" t="n"/>
      <c r="I186" s="19" t="n"/>
      <c r="J186" s="19" t="n"/>
      <c r="K186" s="19" t="n"/>
      <c r="L186" s="19" t="n"/>
      <c r="M186" s="19" t="n"/>
    </row>
    <row r="187">
      <c r="A187" s="19" t="n"/>
      <c r="B187" s="19" t="n"/>
      <c r="C187" s="19" t="n"/>
      <c r="D187" s="19" t="n"/>
      <c r="E187" s="19" t="n"/>
      <c r="F187" s="19" t="n"/>
      <c r="G187" s="19" t="n"/>
      <c r="H187" s="19" t="n"/>
      <c r="I187" s="19" t="n"/>
      <c r="J187" s="19" t="n"/>
      <c r="K187" s="19" t="n"/>
      <c r="L187" s="19" t="n"/>
      <c r="M187" s="19" t="n"/>
    </row>
    <row r="188">
      <c r="A188" s="19" t="n"/>
      <c r="B188" s="19" t="n"/>
      <c r="C188" s="19" t="n"/>
      <c r="D188" s="19" t="n"/>
      <c r="E188" s="19" t="n"/>
      <c r="F188" s="19" t="n"/>
      <c r="G188" s="19" t="n"/>
      <c r="H188" s="19" t="n"/>
      <c r="I188" s="19" t="n"/>
      <c r="J188" s="19" t="n"/>
      <c r="K188" s="19" t="n"/>
      <c r="L188" s="19" t="n"/>
      <c r="M188" s="19" t="n"/>
    </row>
    <row r="189">
      <c r="A189" s="19" t="n"/>
      <c r="B189" s="19" t="n"/>
      <c r="C189" s="19" t="n"/>
      <c r="D189" s="19" t="n"/>
      <c r="E189" s="19" t="n"/>
      <c r="F189" s="19" t="n"/>
      <c r="G189" s="19" t="n"/>
      <c r="H189" s="19" t="n"/>
      <c r="I189" s="19" t="n"/>
      <c r="J189" s="19" t="n"/>
      <c r="K189" s="19" t="n"/>
      <c r="L189" s="19" t="n"/>
      <c r="M189" s="19" t="n"/>
    </row>
    <row r="190">
      <c r="A190" s="19" t="n"/>
      <c r="B190" s="19" t="n"/>
      <c r="C190" s="19" t="n"/>
      <c r="D190" s="19" t="n"/>
      <c r="E190" s="19" t="n"/>
      <c r="F190" s="19" t="n"/>
      <c r="G190" s="19" t="n"/>
      <c r="H190" s="19" t="n"/>
      <c r="I190" s="19" t="n"/>
      <c r="J190" s="19" t="n"/>
      <c r="K190" s="19" t="n"/>
      <c r="L190" s="19" t="n"/>
      <c r="M190" s="19" t="n"/>
    </row>
    <row r="191">
      <c r="A191" s="19" t="n"/>
      <c r="B191" s="19" t="n"/>
      <c r="C191" s="19" t="n"/>
      <c r="D191" s="19" t="n"/>
      <c r="E191" s="19" t="n"/>
      <c r="F191" s="19" t="n"/>
      <c r="G191" s="19" t="n"/>
      <c r="H191" s="19" t="n"/>
      <c r="I191" s="19" t="n"/>
      <c r="J191" s="19" t="n"/>
      <c r="K191" s="19" t="n"/>
      <c r="L191" s="19" t="n"/>
      <c r="M191" s="19" t="n"/>
    </row>
    <row r="192">
      <c r="A192" s="19" t="n"/>
      <c r="B192" s="19" t="n"/>
      <c r="C192" s="19" t="n"/>
      <c r="D192" s="19" t="n"/>
      <c r="E192" s="19" t="n"/>
      <c r="F192" s="19" t="n"/>
      <c r="G192" s="19" t="n"/>
      <c r="H192" s="19" t="n"/>
      <c r="I192" s="19" t="n"/>
      <c r="J192" s="19" t="n"/>
      <c r="K192" s="19" t="n"/>
      <c r="L192" s="19" t="n"/>
      <c r="M192" s="19" t="n"/>
    </row>
    <row r="193">
      <c r="A193" s="19" t="n"/>
      <c r="B193" s="19" t="n"/>
      <c r="C193" s="19" t="n"/>
      <c r="D193" s="19" t="n"/>
      <c r="E193" s="19" t="n"/>
      <c r="F193" s="19" t="n"/>
      <c r="G193" s="19" t="n"/>
      <c r="H193" s="19" t="n"/>
      <c r="I193" s="19" t="n"/>
      <c r="J193" s="19" t="n"/>
      <c r="K193" s="19" t="n"/>
      <c r="L193" s="19" t="n"/>
      <c r="M193" s="19" t="n"/>
    </row>
    <row r="194">
      <c r="A194" s="19" t="n"/>
      <c r="B194" s="19" t="n"/>
      <c r="C194" s="19" t="n"/>
      <c r="D194" s="19" t="n"/>
      <c r="E194" s="19" t="n"/>
      <c r="F194" s="19" t="n"/>
      <c r="G194" s="19" t="n"/>
      <c r="H194" s="19" t="n"/>
      <c r="I194" s="19" t="n"/>
      <c r="J194" s="19" t="n"/>
      <c r="K194" s="19" t="n"/>
      <c r="L194" s="19" t="n"/>
      <c r="M194" s="19" t="n"/>
    </row>
    <row r="195">
      <c r="A195" s="19" t="n"/>
      <c r="B195" s="19" t="n"/>
      <c r="C195" s="19" t="n"/>
      <c r="D195" s="19" t="n"/>
      <c r="E195" s="19" t="n"/>
      <c r="F195" s="19" t="n"/>
      <c r="G195" s="19" t="n"/>
      <c r="H195" s="19" t="n"/>
      <c r="I195" s="19" t="n"/>
      <c r="J195" s="19" t="n"/>
      <c r="K195" s="19" t="n"/>
      <c r="L195" s="19" t="n"/>
      <c r="M195" s="19" t="n"/>
    </row>
    <row r="196">
      <c r="A196" s="19" t="n"/>
      <c r="B196" s="19" t="n"/>
      <c r="C196" s="19" t="n"/>
      <c r="D196" s="19" t="n"/>
      <c r="E196" s="19" t="n"/>
      <c r="F196" s="19" t="n"/>
      <c r="G196" s="19" t="n"/>
      <c r="H196" s="19" t="n"/>
      <c r="I196" s="19" t="n"/>
      <c r="J196" s="19" t="n"/>
      <c r="K196" s="19" t="n"/>
      <c r="L196" s="19" t="n"/>
      <c r="M196" s="19" t="n"/>
    </row>
    <row r="197">
      <c r="A197" s="19" t="n"/>
      <c r="B197" s="19" t="n"/>
      <c r="C197" s="19" t="n"/>
      <c r="D197" s="19" t="n"/>
      <c r="E197" s="19" t="n"/>
      <c r="F197" s="19" t="n"/>
      <c r="G197" s="19" t="n"/>
      <c r="H197" s="19" t="n"/>
      <c r="I197" s="19" t="n"/>
      <c r="J197" s="19" t="n"/>
      <c r="K197" s="19" t="n"/>
      <c r="L197" s="19" t="n"/>
      <c r="M197" s="19" t="n"/>
    </row>
    <row r="198">
      <c r="A198" s="19" t="n"/>
      <c r="B198" s="19" t="n"/>
      <c r="C198" s="19" t="n"/>
      <c r="D198" s="19" t="n"/>
      <c r="E198" s="19" t="n"/>
      <c r="F198" s="19" t="n"/>
      <c r="G198" s="19" t="n"/>
      <c r="H198" s="19" t="n"/>
      <c r="I198" s="19" t="n"/>
      <c r="J198" s="19" t="n"/>
      <c r="K198" s="19" t="n"/>
      <c r="L198" s="19" t="n"/>
      <c r="M198" s="19" t="n"/>
    </row>
    <row r="199">
      <c r="A199" s="19" t="n"/>
      <c r="B199" s="19" t="n"/>
      <c r="C199" s="19" t="n"/>
      <c r="D199" s="19" t="n"/>
      <c r="E199" s="19" t="n"/>
      <c r="F199" s="19" t="n"/>
      <c r="G199" s="19" t="n"/>
      <c r="H199" s="19" t="n"/>
      <c r="I199" s="19" t="n"/>
      <c r="J199" s="19" t="n"/>
      <c r="K199" s="19" t="n"/>
      <c r="L199" s="19" t="n"/>
      <c r="M199" s="19" t="n"/>
    </row>
    <row r="200">
      <c r="A200" s="19" t="n"/>
      <c r="B200" s="19" t="n"/>
      <c r="C200" s="19" t="n"/>
      <c r="D200" s="19" t="n"/>
      <c r="E200" s="19" t="n"/>
      <c r="F200" s="19" t="n"/>
      <c r="G200" s="19" t="n"/>
      <c r="H200" s="19" t="n"/>
      <c r="I200" s="19" t="n"/>
      <c r="J200" s="19" t="n"/>
      <c r="K200" s="19" t="n"/>
      <c r="L200" s="19" t="n"/>
      <c r="M200" s="19" t="n"/>
    </row>
  </sheetData>
  <sheetProtection selectLockedCells="0" selectUnlockedCells="0" sheet="1" objects="0" insertRows="1" insertHyperlinks="1" autoFilter="1" scenarios="0" formatColumns="1" deleteColumns="1" insertColumns="1" pivotTables="1" deleteRows="1" formatCells="1" formatRows="1" sort="1"/>
  <hyperlinks>
    <hyperlink xmlns:r="http://schemas.openxmlformats.org/officeDocument/2006/relationships" ref="A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2026-08-06T05:34:33Z</dcterms:created>
  <dcterms:modified xsi:type="dcterms:W3CDTF">2026-08-06T06:03:20Z</dcterms:modified>
</cp:coreProperties>
</file>