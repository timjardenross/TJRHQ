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ts" sheetId="1" state="visible" r:id="rId1"/>
    <sheet name="Home" sheetId="2" state="visible" r:id="rId2"/>
    <sheet name="New Mission" sheetId="3" state="visible" r:id="rId3"/>
    <sheet name="Work Register" sheetId="4" state="visible" r:id="rId4"/>
    <sheet name="Missions" sheetId="5" state="visible" r:id="rId5"/>
    <sheet name="Task Finder" sheetId="6" state="visible" r:id="rId6"/>
    <sheet name="Today" sheetId="7" state="visible" r:id="rId7"/>
    <sheet name="Current Focus" sheetId="8" state="visible" r:id="rId8"/>
    <sheet name="Weekly Review" sheetId="9" state="visible" r:id="rId9"/>
    <sheet name="Archive" sheetId="10" state="visible" r:id="rId10"/>
  </sheets>
  <definedNames>
    <definedName name="StatusList">Lists!$A$2:$A$8</definedName>
    <definedName name="PriorityList">Lists!$C$2:$C$4</definedName>
    <definedName name="EnergyList">Lists!$E$2:$E$6</definedName>
    <definedName name="TimeList">Lists!$G$2:$G$6</definedName>
    <definedName name="PriorityWeights">Lists!$L$2:$M$4</definedName>
    <definedName name="TimeMinutes">Lists!$N$2:$O$6</definedName>
    <definedName name="FocusThemes">Lists!$P$2:$Q$6</definedName>
    <definedName name="FilterOptions">'Task Finder'!$T$1:$T$10</definedName>
  </definedNames>
  <calcPr calcId="124519" fullCalcOnLoad="1"/>
</workbook>
</file>

<file path=xl/styles.xml><?xml version="1.0" encoding="utf-8"?>
<styleSheet xmlns="http://schemas.openxmlformats.org/spreadsheetml/2006/main">
  <numFmts count="2">
    <numFmt numFmtId="164" formatCode="yyyy-mm-dd h:mm:ss"/>
    <numFmt numFmtId="165" formatCode="yyyy-mm-dd"/>
  </numFmts>
  <fonts count="46">
    <font>
      <name val="Calibri"/>
      <family val="2"/>
      <color theme="1"/>
      <sz val="11"/>
      <scheme val="minor"/>
    </font>
    <font>
      <name val="Calibri"/>
      <b val="1"/>
      <sz val="11"/>
    </font>
    <font>
      <name val="Calibri"/>
      <b val="1"/>
      <color rgb="FF4472C4"/>
      <sz val="18"/>
    </font>
    <font>
      <name val="Calibri"/>
      <b val="1"/>
      <color rgb="FFFFFFFF"/>
      <sz val="11"/>
    </font>
    <font>
      <b val="1"/>
      <sz val="14"/>
    </font>
    <font>
      <name val="Calibri"/>
      <b val="1"/>
      <color rgb="FF4472C4"/>
      <sz val="14"/>
    </font>
    <font>
      <name val="Calibri"/>
      <b val="1"/>
      <color rgb="FFFFFFFF"/>
      <sz val="10"/>
    </font>
    <font>
      <name val="Calibri"/>
      <sz val="10"/>
    </font>
    <font>
      <name val="Calibri"/>
      <i val="1"/>
      <color rgb="FF808080"/>
      <sz val="11"/>
    </font>
    <font>
      <b val="1"/>
      <sz val="10"/>
    </font>
    <font>
      <i val="1"/>
      <color rgb="FF808080"/>
      <sz val="9"/>
    </font>
    <font>
      <b val="1"/>
      <sz val="11"/>
    </font>
    <font>
      <b val="1"/>
      <sz val="9"/>
    </font>
    <font>
      <i val="1"/>
      <sz val="9"/>
    </font>
    <font>
      <name val="Calibri"/>
      <i val="1"/>
      <color rgb="FF808080"/>
      <sz val="9"/>
    </font>
    <font>
      <name val="Calibri"/>
      <sz val="11"/>
    </font>
    <font>
      <name val="Calibri"/>
      <i val="1"/>
      <color rgb="FFBFBFBF"/>
      <sz val="8"/>
    </font>
    <font>
      <name val="Calibri"/>
      <b val="1"/>
      <sz val="12"/>
    </font>
    <font>
      <name val="Calibri"/>
      <b val="1"/>
      <color rgb="FF4472C4"/>
      <sz val="12"/>
    </font>
    <font>
      <name val="Calibri"/>
      <b val="1"/>
      <sz val="14"/>
    </font>
    <font>
      <name val="Calibri"/>
      <b val="1"/>
    </font>
    <font>
      <name val="Calibri"/>
      <i val="1"/>
      <color rgb="FF595959"/>
      <sz val="9"/>
    </font>
    <font>
      <name val="Calibri"/>
      <b val="1"/>
      <color rgb="FFFFFFFF"/>
      <sz val="9"/>
    </font>
    <font>
      <name val="Calibri"/>
      <b val="1"/>
      <sz val="13"/>
    </font>
    <font>
      <name val="Calibri"/>
      <i val="1"/>
      <color rgb="FF595959"/>
      <sz val="10"/>
    </font>
    <font>
      <name val="Calibri"/>
      <b val="1"/>
      <color rgb="FF4472C4"/>
      <sz val="10"/>
    </font>
    <font>
      <name val="Calibri"/>
      <i val="1"/>
      <color rgb="FF808080"/>
      <sz val="8"/>
    </font>
    <font>
      <name val="Calibri"/>
      <b val="1"/>
      <color rgb="FF4472C4"/>
      <sz val="11"/>
    </font>
    <font>
      <name val="Calibri"/>
      <i val="1"/>
      <color rgb="FF808080"/>
      <sz val="8"/>
    </font>
    <font>
      <name val="Calibri"/>
      <b val="1"/>
      <color rgb="FFFFFFFF"/>
      <sz val="11"/>
    </font>
    <font>
      <name val="Calibri"/>
      <i val="1"/>
      <color rgb="FF808080"/>
      <sz val="9"/>
    </font>
    <font>
      <name val="Calibri"/>
      <b val="1"/>
      <color rgb="FF9C5700"/>
      <sz val="10"/>
    </font>
    <font>
      <name val="Calibri"/>
      <b val="1"/>
      <color rgb="FF4472C4"/>
      <sz val="14"/>
    </font>
    <font>
      <name val="Calibri"/>
      <b val="1"/>
      <color rgb="FFFFFFFF"/>
      <sz val="10"/>
    </font>
    <font>
      <name val="Calibri"/>
      <b val="1"/>
      <color rgb="FF4472C4"/>
      <sz val="11"/>
    </font>
    <font>
      <name val="Calibri"/>
      <i val="1"/>
      <color rgb="FF595959"/>
      <sz val="10"/>
    </font>
    <font>
      <name val="Calibri"/>
      <i val="1"/>
      <color rgb="FFBFBFBF"/>
      <sz val="8"/>
    </font>
    <font>
      <name val="Calibri"/>
      <b val="1"/>
      <color rgb="FF4472C4"/>
      <sz val="12"/>
    </font>
    <font>
      <name val="Calibri"/>
      <i val="1"/>
      <color rgb="FF595959"/>
      <sz val="9"/>
    </font>
    <font>
      <name val="Calibri"/>
      <b val="1"/>
      <color rgb="FFFFFFFF"/>
      <sz val="9"/>
    </font>
    <font>
      <name val="Calibri"/>
      <color rgb="FF595959"/>
      <sz val="9"/>
    </font>
    <font>
      <name val="Calibri"/>
      <b val="1"/>
      <color rgb="FFFFFFFF"/>
      <sz val="11"/>
    </font>
    <font>
      <name val="Calibri"/>
      <b val="1"/>
      <color rgb="FF4472C4"/>
      <sz val="14"/>
    </font>
    <font>
      <name val="Calibri"/>
      <i val="1"/>
      <color rgb="FF808080"/>
      <sz val="9"/>
    </font>
    <font>
      <name val="Calibri"/>
      <b val="1"/>
      <i val="1"/>
      <color rgb="FF9C5700"/>
      <sz val="9"/>
    </font>
    <font>
      <name val="Calibri"/>
      <i val="1"/>
      <color rgb="FF9C5700"/>
      <sz val="9"/>
    </font>
  </fonts>
  <fills count="7">
    <fill>
      <patternFill/>
    </fill>
    <fill>
      <patternFill patternType="gray125"/>
    </fill>
    <fill>
      <patternFill patternType="solid">
        <fgColor rgb="FF4472C4"/>
        <bgColor rgb="FF4472C4"/>
      </patternFill>
    </fill>
    <fill>
      <patternFill patternType="solid">
        <fgColor rgb="FFF2F2F2"/>
        <bgColor rgb="FFF2F2F2"/>
      </patternFill>
    </fill>
    <fill>
      <patternFill patternType="solid">
        <fgColor rgb="FF4472C4"/>
        <bgColor rgb="FF4472C4"/>
      </patternFill>
    </fill>
    <fill>
      <patternFill patternType="solid">
        <fgColor rgb="FFF2F2F2"/>
        <bgColor rgb="FFF2F2F2"/>
      </patternFill>
    </fill>
    <fill>
      <patternFill patternType="solid">
        <fgColor rgb="FF4472C4"/>
        <bgColor rgb="FF4472C4"/>
      </patternFill>
    </fill>
  </fills>
  <borders count="14">
    <border>
      <left/>
      <right/>
      <top/>
      <bottom/>
      <diagonal/>
    </border>
    <border>
      <left style="thin">
        <color rgb="FFD3D3D3"/>
      </left>
      <right style="thin">
        <color rgb="FFD3D3D3"/>
      </right>
      <top style="thin">
        <color rgb="FFD3D3D3"/>
      </top>
      <bottom style="thin">
        <color rgb="FFD3D3D3"/>
      </bottom>
    </border>
    <border>
      <left/>
      <right/>
      <top style="thin">
        <color rgb="FFD3D3D3"/>
      </top>
      <bottom/>
      <diagonal/>
    </border>
    <border>
      <left/>
      <right style="thin">
        <color rgb="FFD3D3D3"/>
      </right>
      <top style="thin">
        <color rgb="FFD3D3D3"/>
      </top>
      <bottom/>
      <diagonal/>
    </border>
    <border>
      <left/>
      <right/>
      <top style="thin">
        <color rgb="FFD3D3D3"/>
      </top>
      <bottom style="thin">
        <color rgb="FFD3D3D3"/>
      </bottom>
      <diagonal/>
    </border>
    <border>
      <left/>
      <right style="thin">
        <color rgb="FFD3D3D3"/>
      </right>
      <top style="thin">
        <color rgb="FFD3D3D3"/>
      </top>
      <bottom style="thin">
        <color rgb="FFD3D3D3"/>
      </bottom>
      <diagonal/>
    </border>
    <border/>
    <border>
      <right/>
      <bottom/>
    </border>
    <border>
      <left style="thin">
        <color rgb="FFD3D3D3"/>
      </left>
      <right style="thin">
        <color rgb="FFD3D3D3"/>
      </right>
      <top style="thin">
        <color rgb="FFD3D3D3"/>
      </top>
      <bottom style="thin">
        <color rgb="FFD3D3D3"/>
      </bottom>
    </border>
    <border>
      <left/>
      <right/>
      <top style="thin">
        <color rgb="FFD3D3D3"/>
      </top>
      <bottom/>
      <diagonal/>
    </border>
    <border>
      <left/>
      <right style="thin">
        <color rgb="FFD3D3D3"/>
      </right>
      <top style="thin">
        <color rgb="FFD3D3D3"/>
      </top>
      <bottom/>
      <diagonal/>
    </border>
    <border>
      <left/>
      <right/>
      <top style="thin">
        <color rgb="FFD3D3D3"/>
      </top>
      <bottom style="thin">
        <color rgb="FFD3D3D3"/>
      </bottom>
      <diagonal/>
    </border>
    <border>
      <left/>
      <right style="thin">
        <color rgb="FFD3D3D3"/>
      </right>
      <top style="thin">
        <color rgb="FFD3D3D3"/>
      </top>
      <bottom style="thin">
        <color rgb="FFD3D3D3"/>
      </bottom>
      <diagonal/>
    </border>
    <border>
      <left style="thin">
        <color rgb="FFD3D3D3"/>
      </left>
      <right style="thin">
        <color rgb="FFD3D3D3"/>
      </right>
      <top style="thin">
        <color rgb="FFD3D3D3"/>
      </top>
      <bottom style="thin">
        <color rgb="FFD3D3D3"/>
      </bottom>
    </border>
  </borders>
  <cellStyleXfs count="1">
    <xf numFmtId="0" fontId="0" fillId="0" borderId="0"/>
  </cellStyleXfs>
  <cellXfs count="14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1" fillId="3" borderId="0" pivotButton="0" quotePrefix="0" xfId="0"/>
    <xf numFmtId="0" fontId="0" fillId="0" borderId="1" pivotButton="0" quotePrefix="0" xfId="0"/>
    <xf numFmtId="0" fontId="0" fillId="0" borderId="4" pivotButton="0" quotePrefix="0" xfId="0"/>
    <xf numFmtId="0" fontId="0" fillId="0" borderId="5" pivotButton="0" quotePrefix="0" xfId="0"/>
    <xf numFmtId="0" fontId="1" fillId="3" borderId="1" pivotButton="0" quotePrefix="0" xfId="0"/>
    <xf numFmtId="0" fontId="4" fillId="0" borderId="1" applyAlignment="1" pivotButton="0" quotePrefix="0" xfId="0">
      <alignment horizontal="center"/>
    </xf>
    <xf numFmtId="0" fontId="5" fillId="0" borderId="0" pivotButton="0" quotePrefix="0" xfId="0"/>
    <xf numFmtId="0" fontId="6" fillId="2" borderId="0" applyAlignment="1" pivotButton="0" quotePrefix="0" xfId="0">
      <alignment horizontal="center" vertical="center"/>
    </xf>
    <xf numFmtId="0" fontId="0" fillId="0"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xf>
    <xf numFmtId="0" fontId="7" fillId="0" borderId="0" applyAlignment="1" pivotButton="0" quotePrefix="0" xfId="0">
      <alignment horizontal="center"/>
    </xf>
    <xf numFmtId="0" fontId="0" fillId="0" borderId="1" applyAlignment="1" applyProtection="1" pivotButton="0" quotePrefix="0" xfId="0">
      <alignment horizontal="left" vertical="top" wrapText="1"/>
      <protection locked="0" hidden="0"/>
    </xf>
    <xf numFmtId="0" fontId="3" fillId="2" borderId="0" applyAlignment="1" pivotButton="0" quotePrefix="0" xfId="0">
      <alignment horizontal="center" vertical="center" wrapText="1"/>
    </xf>
    <xf numFmtId="0" fontId="0" fillId="0" borderId="1" applyAlignment="1" applyProtection="1" pivotButton="0" quotePrefix="0" xfId="0">
      <alignment horizontal="center"/>
      <protection locked="0" hidden="0"/>
    </xf>
    <xf numFmtId="164" fontId="0" fillId="0" borderId="1"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8"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7" fillId="0" borderId="0" pivotButton="0" quotePrefix="0" xfId="0"/>
    <xf numFmtId="0" fontId="0" fillId="0" borderId="4" applyProtection="1" pivotButton="0" quotePrefix="0" xfId="0">
      <protection locked="0" hidden="0"/>
    </xf>
    <xf numFmtId="0" fontId="0" fillId="0" borderId="5" applyProtection="1" pivotButton="0" quotePrefix="0" xfId="0">
      <protection locked="0" hidden="0"/>
    </xf>
    <xf numFmtId="0" fontId="10" fillId="0" borderId="0" pivotButton="0" quotePrefix="0" xfId="0"/>
    <xf numFmtId="0" fontId="9" fillId="0" borderId="0" pivotButton="0" quotePrefix="0" xfId="0"/>
    <xf numFmtId="0" fontId="1" fillId="3" borderId="1" applyAlignment="1" pivotButton="0" quotePrefix="0" xfId="0">
      <alignment horizontal="center"/>
    </xf>
    <xf numFmtId="0" fontId="0" fillId="0" borderId="1" applyAlignment="1" pivotButton="0" quotePrefix="0" xfId="0">
      <alignment horizontal="left" vertical="center" wrapText="1"/>
    </xf>
    <xf numFmtId="0" fontId="3" fillId="2" borderId="1" applyAlignment="1" pivotButton="0" quotePrefix="0" xfId="0">
      <alignment horizontal="center" vertical="center" wrapText="1"/>
    </xf>
    <xf numFmtId="0" fontId="10" fillId="0" borderId="0" applyProtection="1" pivotButton="0" quotePrefix="0" xfId="0">
      <protection locked="0" hidden="0"/>
    </xf>
    <xf numFmtId="0" fontId="14" fillId="0" borderId="0" pivotButton="0" quotePrefix="0" xfId="0"/>
    <xf numFmtId="165" fontId="0" fillId="0" borderId="1" applyProtection="1" pivotButton="0" quotePrefix="0" xfId="0">
      <protection locked="0" hidden="0"/>
    </xf>
    <xf numFmtId="0" fontId="0" fillId="0" borderId="1" applyProtection="1" pivotButton="0" quotePrefix="0" xfId="0">
      <protection locked="0" hidden="0"/>
    </xf>
    <xf numFmtId="0" fontId="0" fillId="0" borderId="1" applyAlignment="1" pivotButton="0" quotePrefix="0" xfId="0">
      <alignment horizontal="center"/>
    </xf>
    <xf numFmtId="165" fontId="0" fillId="0" borderId="1" applyAlignment="1" pivotButton="0" quotePrefix="0" xfId="0">
      <alignment horizontal="center"/>
    </xf>
    <xf numFmtId="0" fontId="16" fillId="0" borderId="0" pivotButton="0" quotePrefix="0" xfId="0"/>
    <xf numFmtId="0" fontId="15" fillId="0" borderId="6" pivotButton="0" quotePrefix="0" xfId="0"/>
    <xf numFmtId="0" fontId="5" fillId="0" borderId="6" pivotButton="0" quotePrefix="0" xfId="0"/>
    <xf numFmtId="0" fontId="15" fillId="0" borderId="1" applyAlignment="1" pivotButton="0" quotePrefix="0" xfId="0">
      <alignment horizontal="center"/>
    </xf>
    <xf numFmtId="0" fontId="15" fillId="0" borderId="1" applyAlignment="1" pivotButton="0" quotePrefix="0" xfId="0">
      <alignment horizontal="left" vertical="center" wrapText="1"/>
    </xf>
    <xf numFmtId="0" fontId="17" fillId="3" borderId="1" pivotButton="0" quotePrefix="0" xfId="0"/>
    <xf numFmtId="0" fontId="18" fillId="0" borderId="1" applyAlignment="1" pivotButton="0" quotePrefix="0" xfId="0">
      <alignment horizontal="left" vertical="center" wrapText="1"/>
    </xf>
    <xf numFmtId="0" fontId="1" fillId="3" borderId="1" applyAlignment="1" pivotButton="0" quotePrefix="0" xfId="0">
      <alignment horizontal="center" wrapText="1"/>
    </xf>
    <xf numFmtId="0" fontId="19" fillId="0" borderId="1" applyAlignment="1" pivotButton="0" quotePrefix="0" xfId="0">
      <alignment horizontal="center"/>
    </xf>
    <xf numFmtId="0" fontId="15" fillId="0" borderId="1" pivotButton="0" quotePrefix="0" xfId="0"/>
    <xf numFmtId="9" fontId="15" fillId="0" borderId="1" applyAlignment="1" pivotButton="0" quotePrefix="0" xfId="0">
      <alignment horizontal="center"/>
    </xf>
    <xf numFmtId="0" fontId="20" fillId="0" borderId="1" pivotButton="0" quotePrefix="0" xfId="0"/>
    <xf numFmtId="0" fontId="20" fillId="0" borderId="1" applyAlignment="1" pivotButton="0" quotePrefix="0" xfId="0">
      <alignment horizontal="center"/>
    </xf>
    <xf numFmtId="9" fontId="20" fillId="0" borderId="1" applyAlignment="1" pivotButton="0" quotePrefix="0" xfId="0">
      <alignment horizontal="center"/>
    </xf>
    <xf numFmtId="0" fontId="18" fillId="3" borderId="1" applyAlignment="1" pivotButton="0" quotePrefix="0" xfId="0">
      <alignment horizontal="left" vertical="center" wrapText="1"/>
    </xf>
    <xf numFmtId="0" fontId="1" fillId="3" borderId="1" applyAlignment="1" pivotButton="0" quotePrefix="0" xfId="0">
      <alignment horizontal="left" vertical="center"/>
    </xf>
    <xf numFmtId="0" fontId="21" fillId="0" borderId="6" applyAlignment="1" pivotButton="0" quotePrefix="0" xfId="0">
      <alignment horizontal="left" vertical="top" wrapText="1"/>
    </xf>
    <xf numFmtId="0" fontId="22" fillId="2" borderId="6" applyAlignment="1" pivotButton="0" quotePrefix="0" xfId="0">
      <alignment horizontal="center" vertical="center"/>
    </xf>
    <xf numFmtId="0" fontId="23" fillId="3" borderId="1" applyAlignment="1" pivotButton="0" quotePrefix="0" xfId="0">
      <alignment horizontal="left" vertical="center" wrapText="1"/>
    </xf>
    <xf numFmtId="0" fontId="24" fillId="0" borderId="6" applyAlignment="1" applyProtection="1" pivotButton="0" quotePrefix="0" xfId="0">
      <alignment horizontal="left" vertical="center" wrapText="1"/>
      <protection locked="0" hidden="0"/>
    </xf>
    <xf numFmtId="0" fontId="25" fillId="0" borderId="6" applyAlignment="1" applyProtection="1" pivotButton="0" quotePrefix="0" xfId="0">
      <alignment horizontal="right" vertical="center"/>
      <protection locked="0" hidden="0"/>
    </xf>
    <xf numFmtId="0" fontId="15" fillId="0" borderId="6" applyProtection="1" pivotButton="0" quotePrefix="0" xfId="0">
      <protection locked="0" hidden="0"/>
    </xf>
    <xf numFmtId="0" fontId="5" fillId="0" borderId="6" applyProtection="1" pivotButton="0" quotePrefix="0" xfId="0">
      <protection locked="0" hidden="0"/>
    </xf>
    <xf numFmtId="0" fontId="26" fillId="0" borderId="6" pivotButton="0" quotePrefix="0" xfId="0"/>
    <xf numFmtId="0" fontId="15" fillId="0" borderId="1" applyAlignment="1" pivotButton="0" quotePrefix="0" xfId="0">
      <alignment horizontal="left" vertical="top" wrapText="1"/>
    </xf>
    <xf numFmtId="0" fontId="15" fillId="0" borderId="1" applyAlignment="1" applyProtection="1" pivotButton="0" quotePrefix="0" xfId="0">
      <alignment horizontal="left" vertical="top" wrapText="1"/>
      <protection locked="0" hidden="0"/>
    </xf>
    <xf numFmtId="0" fontId="15" fillId="0" borderId="1" applyAlignment="1" pivotButton="0" quotePrefix="0" xfId="0">
      <alignment horizontal="center" vertical="center" wrapText="1"/>
    </xf>
    <xf numFmtId="0" fontId="27" fillId="0" borderId="1" applyAlignment="1" pivotButton="0" quotePrefix="0" xfId="0">
      <alignment horizontal="center"/>
    </xf>
    <xf numFmtId="0" fontId="24" fillId="0" borderId="0" pivotButton="0" quotePrefix="0" xfId="0"/>
    <xf numFmtId="0" fontId="0" fillId="0" borderId="1" applyAlignment="1" pivotButton="0" quotePrefix="0" xfId="0">
      <alignment horizontal="center" vertical="center" wrapText="1"/>
    </xf>
    <xf numFmtId="0" fontId="24" fillId="0" borderId="7" applyAlignment="1" applyProtection="1" pivotButton="0" quotePrefix="0" xfId="0">
      <alignment horizontal="left" vertical="center" wrapText="1"/>
      <protection locked="0" hidden="0"/>
    </xf>
    <xf numFmtId="0" fontId="15" fillId="0" borderId="1" applyAlignment="1" applyProtection="1" pivotButton="0" quotePrefix="0" xfId="0">
      <alignment horizontal="center"/>
      <protection locked="0" hidden="0"/>
    </xf>
    <xf numFmtId="0" fontId="27" fillId="0" borderId="1" applyAlignment="1" applyProtection="1" pivotButton="0" quotePrefix="0" xfId="0">
      <alignment horizontal="center"/>
      <protection locked="0" hidden="0"/>
    </xf>
    <xf numFmtId="0" fontId="24" fillId="0" borderId="7" applyAlignment="1" pivotButton="0" quotePrefix="0" xfId="0">
      <alignment horizontal="left" vertical="center" wrapText="1"/>
    </xf>
    <xf numFmtId="0" fontId="25" fillId="0" borderId="6" applyAlignment="1" pivotButton="0" quotePrefix="0" xfId="0">
      <alignment horizontal="right" vertical="center"/>
    </xf>
    <xf numFmtId="0" fontId="28" fillId="0" borderId="0" pivotButton="0" quotePrefix="0" xfId="0"/>
    <xf numFmtId="0" fontId="29" fillId="4" borderId="8" applyAlignment="1" pivotButton="0" quotePrefix="0" xfId="0">
      <alignment horizontal="center" vertical="center" wrapText="1"/>
    </xf>
    <xf numFmtId="0" fontId="3" fillId="0" borderId="1" applyAlignment="1" pivotButton="0" quotePrefix="0" xfId="0">
      <alignment horizontal="center" vertical="center" wrapText="1"/>
    </xf>
    <xf numFmtId="0" fontId="30" fillId="0" borderId="0" applyProtection="1" pivotButton="0" quotePrefix="0" xfId="0">
      <protection locked="0" hidden="0"/>
    </xf>
    <xf numFmtId="0" fontId="1" fillId="5" borderId="8" pivotButton="0" quotePrefix="0" xfId="0"/>
    <xf numFmtId="0" fontId="15" fillId="0" borderId="8" applyAlignment="1" applyProtection="1" pivotButton="0" quotePrefix="0" xfId="0">
      <alignment horizontal="left" vertical="center" wrapText="1"/>
      <protection locked="0" hidden="0"/>
    </xf>
    <xf numFmtId="0" fontId="31" fillId="0" borderId="6" applyAlignment="1" pivotButton="0" quotePrefix="0" xfId="0">
      <alignment horizontal="left" vertical="center" wrapText="1"/>
    </xf>
    <xf numFmtId="0" fontId="15" fillId="0" borderId="8" applyAlignment="1" applyProtection="1" pivotButton="0" quotePrefix="0" xfId="0">
      <alignment horizontal="left" vertical="top" wrapText="1"/>
      <protection locked="0" hidden="0"/>
    </xf>
    <xf numFmtId="0" fontId="15" fillId="0" borderId="8" applyAlignment="1" pivotButton="0" quotePrefix="0" xfId="0">
      <alignment horizontal="left" vertical="top" wrapText="1"/>
    </xf>
    <xf numFmtId="0" fontId="9" fillId="0" borderId="6" pivotButton="0" quotePrefix="0" xfId="0"/>
    <xf numFmtId="0" fontId="30" fillId="0" borderId="6" pivotButton="0" quotePrefix="0" xfId="0"/>
    <xf numFmtId="0" fontId="30" fillId="0" borderId="0" pivotButton="0" quotePrefix="0" xfId="0"/>
    <xf numFmtId="0" fontId="28" fillId="0" borderId="6" pivotButton="0" quotePrefix="0" xfId="0"/>
    <xf numFmtId="0" fontId="29" fillId="4" borderId="0" applyAlignment="1" pivotButton="0" quotePrefix="0" xfId="0">
      <alignment horizontal="center" vertical="center" wrapText="1"/>
    </xf>
    <xf numFmtId="0" fontId="0" fillId="0" borderId="8" applyAlignment="1" pivotButton="0" quotePrefix="0" xfId="0">
      <alignment horizontal="center"/>
    </xf>
    <xf numFmtId="0" fontId="0" fillId="0" borderId="8" pivotButton="0" quotePrefix="0" xfId="0"/>
    <xf numFmtId="0" fontId="32" fillId="0" borderId="6" pivotButton="0" quotePrefix="0" xfId="0"/>
    <xf numFmtId="0" fontId="33" fillId="4" borderId="6" applyAlignment="1" pivotButton="0" quotePrefix="0" xfId="0">
      <alignment horizontal="center" vertical="center"/>
    </xf>
    <xf numFmtId="0" fontId="34" fillId="0" borderId="8" applyAlignment="1" applyProtection="1" pivotButton="0" quotePrefix="0" xfId="0">
      <alignment horizontal="center"/>
      <protection locked="0" hidden="0"/>
    </xf>
    <xf numFmtId="0" fontId="35" fillId="0" borderId="6" pivotButton="0" quotePrefix="0" xfId="0"/>
    <xf numFmtId="0" fontId="15" fillId="0" borderId="8" applyAlignment="1" pivotButton="0" quotePrefix="0" xfId="0">
      <alignment horizontal="center"/>
    </xf>
    <xf numFmtId="0" fontId="29" fillId="4" borderId="8" applyAlignment="1" pivotButton="0" quotePrefix="0" xfId="0">
      <alignment horizontal="center" vertical="center"/>
    </xf>
    <xf numFmtId="0" fontId="15" fillId="0" borderId="8" applyAlignment="1" pivotButton="0" quotePrefix="0" xfId="0">
      <alignment horizontal="left" vertical="center" wrapText="1"/>
    </xf>
    <xf numFmtId="0" fontId="15" fillId="0" borderId="8" applyAlignment="1" pivotButton="0" quotePrefix="0" xfId="0">
      <alignment horizontal="center" vertical="center" wrapText="1"/>
    </xf>
    <xf numFmtId="0" fontId="36" fillId="0" borderId="0" pivotButton="0" quotePrefix="0" xfId="0"/>
    <xf numFmtId="0" fontId="15" fillId="0" borderId="8" applyAlignment="1" applyProtection="1" pivotButton="0" quotePrefix="0" xfId="0">
      <alignment horizontal="center"/>
      <protection locked="0" hidden="0"/>
    </xf>
    <xf numFmtId="0" fontId="17" fillId="5" borderId="8" pivotButton="0" quotePrefix="0" xfId="0"/>
    <xf numFmtId="0" fontId="37" fillId="0" borderId="8" applyAlignment="1" pivotButton="0" quotePrefix="0" xfId="0">
      <alignment horizontal="left" vertical="center" wrapText="1"/>
    </xf>
    <xf numFmtId="0" fontId="1" fillId="5" borderId="8" applyAlignment="1" pivotButton="0" quotePrefix="0" xfId="0">
      <alignment horizontal="center" wrapText="1"/>
    </xf>
    <xf numFmtId="0" fontId="19" fillId="0" borderId="8" applyAlignment="1" pivotButton="0" quotePrefix="0" xfId="0">
      <alignment horizontal="center"/>
    </xf>
    <xf numFmtId="9" fontId="19" fillId="0" borderId="8" applyAlignment="1" pivotButton="0" quotePrefix="0" xfId="0">
      <alignment horizontal="center"/>
    </xf>
    <xf numFmtId="9" fontId="15" fillId="0" borderId="6" pivotButton="0" quotePrefix="0" xfId="0"/>
    <xf numFmtId="9" fontId="29" fillId="4" borderId="8" applyAlignment="1" pivotButton="0" quotePrefix="0" xfId="0">
      <alignment horizontal="center" vertical="center"/>
    </xf>
    <xf numFmtId="0" fontId="15" fillId="0" borderId="8" pivotButton="0" quotePrefix="0" xfId="0"/>
    <xf numFmtId="9" fontId="15" fillId="0" borderId="8" applyAlignment="1" pivotButton="0" quotePrefix="0" xfId="0">
      <alignment horizontal="center"/>
    </xf>
    <xf numFmtId="0" fontId="20" fillId="0" borderId="8" pivotButton="0" quotePrefix="0" xfId="0"/>
    <xf numFmtId="0" fontId="20" fillId="0" borderId="8" applyAlignment="1" pivotButton="0" quotePrefix="0" xfId="0">
      <alignment horizontal="center"/>
    </xf>
    <xf numFmtId="9" fontId="20" fillId="0" borderId="8" applyAlignment="1" pivotButton="0" quotePrefix="0" xfId="0">
      <alignment horizontal="center"/>
    </xf>
    <xf numFmtId="0" fontId="37" fillId="5" borderId="8" applyAlignment="1" pivotButton="0" quotePrefix="0" xfId="0">
      <alignment horizontal="left" vertical="center" wrapText="1"/>
    </xf>
    <xf numFmtId="0" fontId="1" fillId="5" borderId="8" applyAlignment="1" pivotButton="0" quotePrefix="0" xfId="0">
      <alignment horizontal="left" vertical="center"/>
    </xf>
    <xf numFmtId="0" fontId="0" fillId="0" borderId="11" pivotButton="0" quotePrefix="0" xfId="0"/>
    <xf numFmtId="0" fontId="0" fillId="0" borderId="12" pivotButton="0" quotePrefix="0" xfId="0"/>
    <xf numFmtId="0" fontId="38" fillId="0" borderId="6" applyAlignment="1" pivotButton="0" quotePrefix="0" xfId="0">
      <alignment horizontal="left" vertical="top" wrapText="1"/>
    </xf>
    <xf numFmtId="0" fontId="39" fillId="4" borderId="6" applyAlignment="1" pivotButton="0" quotePrefix="0" xfId="0">
      <alignment horizontal="center" vertical="center"/>
    </xf>
    <xf numFmtId="0" fontId="40" fillId="0" borderId="6" applyAlignment="1" pivotButton="0" quotePrefix="0" xfId="0">
      <alignment horizontal="left" vertical="center"/>
    </xf>
    <xf numFmtId="0" fontId="33" fillId="4" borderId="0" applyAlignment="1" pivotButton="0" quotePrefix="0" xfId="0">
      <alignment horizontal="center" vertical="center"/>
    </xf>
    <xf numFmtId="0" fontId="29" fillId="4" borderId="0" applyAlignment="1" pivotButton="0" quotePrefix="0" xfId="0">
      <alignment horizontal="center" vertical="center"/>
    </xf>
    <xf numFmtId="0" fontId="20" fillId="0" borderId="0" applyAlignment="1" pivotButton="0" quotePrefix="0" xfId="0">
      <alignment horizontal="center"/>
    </xf>
    <xf numFmtId="0" fontId="1" fillId="5" borderId="8" applyAlignment="1" pivotButton="0" quotePrefix="0" xfId="0">
      <alignment horizontal="left" vertical="center" wrapText="1"/>
    </xf>
    <xf numFmtId="0" fontId="29" fillId="4" borderId="8" applyAlignment="1" applyProtection="1" pivotButton="0" quotePrefix="0" xfId="0">
      <alignment horizontal="center" vertical="center" wrapText="1"/>
      <protection locked="0" hidden="0"/>
    </xf>
    <xf numFmtId="0" fontId="7" fillId="0" borderId="6" applyAlignment="1" pivotButton="0" quotePrefix="0" xfId="0">
      <alignment horizontal="center"/>
    </xf>
    <xf numFmtId="0" fontId="15" fillId="0" borderId="8" applyAlignment="1" applyProtection="1" pivotButton="0" quotePrefix="0" xfId="0">
      <alignment horizontal="center" vertical="center" wrapText="1"/>
      <protection locked="0" hidden="0"/>
    </xf>
    <xf numFmtId="0" fontId="0" fillId="0" borderId="8" applyProtection="1" pivotButton="0" quotePrefix="0" xfId="0">
      <protection locked="0" hidden="0"/>
    </xf>
    <xf numFmtId="0" fontId="20" fillId="0" borderId="0" applyAlignment="1" applyProtection="1" pivotButton="0" quotePrefix="0" xfId="0">
      <alignment horizontal="center"/>
      <protection locked="0" hidden="0"/>
    </xf>
    <xf numFmtId="0" fontId="23" fillId="3" borderId="8" applyAlignment="1" pivotButton="0" quotePrefix="0" xfId="0">
      <alignment horizontal="left" vertical="center" wrapText="1"/>
    </xf>
    <xf numFmtId="0" fontId="0" fillId="0" borderId="8" applyAlignment="1" pivotButton="0" quotePrefix="0" xfId="0">
      <alignment horizontal="left" vertical="center" wrapText="1"/>
    </xf>
    <xf numFmtId="0" fontId="41" fillId="6" borderId="13" applyAlignment="1" pivotButton="0" quotePrefix="0" xfId="0">
      <alignment horizontal="center" vertical="center" wrapText="1"/>
    </xf>
    <xf numFmtId="0" fontId="0" fillId="0" borderId="13" pivotButton="0" quotePrefix="0" xfId="0"/>
    <xf numFmtId="0" fontId="42" fillId="0" borderId="6" pivotButton="0" quotePrefix="0" xfId="0"/>
    <xf numFmtId="0" fontId="43" fillId="0" borderId="6" pivotButton="0" quotePrefix="0" xfId="0"/>
    <xf numFmtId="0" fontId="41" fillId="6" borderId="13" applyAlignment="1" pivotButton="0" quotePrefix="0" xfId="0">
      <alignment horizontal="center" vertical="center"/>
    </xf>
    <xf numFmtId="0" fontId="0" fillId="0" borderId="13" applyAlignment="1" pivotButton="0" quotePrefix="0" xfId="0">
      <alignment horizontal="left" vertical="center" wrapText="1"/>
    </xf>
    <xf numFmtId="0" fontId="0" fillId="0" borderId="13" applyAlignment="1" pivotButton="0" quotePrefix="0" xfId="0">
      <alignment horizontal="center" vertical="center" wrapText="1"/>
    </xf>
    <xf numFmtId="0" fontId="43" fillId="0" borderId="0" pivotButton="0" quotePrefix="0" xfId="0"/>
    <xf numFmtId="0" fontId="41" fillId="6" borderId="0" applyAlignment="1" pivotButton="0" quotePrefix="0" xfId="0">
      <alignment horizontal="center" vertical="center" wrapText="1"/>
    </xf>
    <xf numFmtId="0" fontId="0" fillId="0" borderId="13" applyAlignment="1" pivotButton="0" quotePrefix="0" xfId="0">
      <alignment horizontal="center"/>
    </xf>
    <xf numFmtId="0" fontId="43" fillId="0" borderId="0" applyProtection="1" pivotButton="0" quotePrefix="0" xfId="0">
      <protection locked="0" hidden="0"/>
    </xf>
    <xf numFmtId="0" fontId="44" fillId="0" borderId="6" pivotButton="0" quotePrefix="0" xfId="0"/>
    <xf numFmtId="0" fontId="45" fillId="0" borderId="6" applyAlignment="1" pivotButton="0" quotePrefix="0" xfId="0">
      <alignment horizontal="left" vertical="center" wrapText="1"/>
    </xf>
    <xf numFmtId="0" fontId="15" fillId="0" borderId="13" applyAlignment="1" pivotButton="0" quotePrefix="0" xfId="0">
      <alignment horizontal="left" vertical="center" wrapText="1"/>
    </xf>
    <xf numFmtId="0" fontId="37" fillId="0" borderId="13" applyAlignment="1" pivotButton="0" quotePrefix="0" xfId="0">
      <alignment horizontal="left" vertical="center" wrapText="1"/>
    </xf>
    <xf numFmtId="0" fontId="37" fillId="5" borderId="13" applyAlignment="1" pivotButton="0" quotePrefix="0" xfId="0">
      <alignment horizontal="left" vertical="center" wrapText="1"/>
    </xf>
    <xf numFmtId="0" fontId="1" fillId="5" borderId="13" applyAlignment="1" pivotButton="0" quotePrefix="0" xfId="0">
      <alignment horizontal="left" vertical="center"/>
    </xf>
    <xf numFmtId="0" fontId="1" fillId="5" borderId="13" applyAlignment="1" pivotButton="0" quotePrefix="0" xfId="0">
      <alignment horizontal="left" vertical="center" wrapText="1"/>
    </xf>
    <xf numFmtId="0" fontId="23" fillId="3" borderId="13" applyAlignment="1" pivotButton="0" quotePrefix="0" xfId="0">
      <alignment horizontal="left" vertical="center" wrapText="1"/>
    </xf>
    <xf numFmtId="0" fontId="15" fillId="0" borderId="13" applyAlignment="1" pivotButton="0" quotePrefix="0" xfId="0">
      <alignment horizontal="left" vertical="top" wrapText="1"/>
    </xf>
  </cellXfs>
  <cellStyles count="1">
    <cellStyle name="Normal" xfId="0" builtinId="0" hidden="0"/>
  </cellStyles>
  <dxfs count="14">
    <dxf>
      <font>
        <b val="1"/>
        <color rgb="FFFFFFFF"/>
      </font>
      <fill>
        <patternFill patternType="solid">
          <fgColor rgb="FF70AD47"/>
          <bgColor rgb="FF70AD47"/>
        </patternFill>
      </fill>
    </dxf>
    <dxf>
      <font>
        <b val="1"/>
        <color rgb="FFFFFFFF"/>
      </font>
      <fill>
        <patternFill patternType="solid">
          <fgColor rgb="FF4472C4"/>
          <bgColor rgb="FF4472C4"/>
        </patternFill>
      </fill>
    </dxf>
    <dxf>
      <font>
        <b val="1"/>
        <color rgb="FFFFFFFF"/>
      </font>
      <fill>
        <patternFill patternType="solid">
          <fgColor rgb="FFFFC000"/>
          <bgColor rgb="FFFFC000"/>
        </patternFill>
      </fill>
    </dxf>
    <dxf>
      <font>
        <b val="1"/>
        <color rgb="FFFFFFFF"/>
      </font>
      <fill>
        <patternFill patternType="solid">
          <fgColor rgb="FFFF0000"/>
          <bgColor rgb="FFFF0000"/>
        </patternFill>
      </fill>
    </dxf>
    <dxf>
      <font>
        <b val="1"/>
        <color rgb="FFFFFFFF"/>
      </font>
      <fill>
        <patternFill patternType="solid">
          <fgColor rgb="FF808080"/>
          <bgColor rgb="FF808080"/>
        </patternFill>
      </fill>
    </dxf>
    <dxf>
      <fill>
        <patternFill patternType="solid">
          <fgColor rgb="FFFFF2CC"/>
          <bgColor rgb="FFFFF2CC"/>
        </patternFill>
      </fill>
    </dxf>
    <dxf>
      <fill>
        <patternFill patternType="solid">
          <fgColor rgb="FFFFC7CE"/>
          <bgColor rgb="FFFFC7CE"/>
        </patternFill>
      </fill>
    </dxf>
    <dxf>
      <fill>
        <patternFill patternType="solid">
          <fgColor rgb="FFFFF2CC"/>
          <bgColor rgb="FFFFF2CC"/>
        </patternFill>
      </fill>
    </dxf>
    <dxf>
      <font>
        <b val="1"/>
        <color rgb="FFFFFFFF"/>
      </font>
      <fill>
        <patternFill patternType="solid">
          <fgColor rgb="FF70AD47"/>
          <bgColor rgb="FF70AD47"/>
        </patternFill>
      </fill>
    </dxf>
    <dxf>
      <font>
        <b val="1"/>
        <color rgb="FFFFFFFF"/>
      </font>
      <fill>
        <patternFill patternType="solid">
          <fgColor rgb="FF4472C4"/>
          <bgColor rgb="FF4472C4"/>
        </patternFill>
      </fill>
    </dxf>
    <dxf>
      <font>
        <b val="1"/>
        <color rgb="FFFFFFFF"/>
      </font>
      <fill>
        <patternFill patternType="solid">
          <fgColor rgb="FFFFC000"/>
          <bgColor rgb="FFFFC000"/>
        </patternFill>
      </fill>
    </dxf>
    <dxf>
      <font>
        <b val="1"/>
        <color rgb="FFFFFFFF"/>
      </font>
      <fill>
        <patternFill patternType="solid">
          <fgColor rgb="FFFF0000"/>
          <bgColor rgb="FFFF0000"/>
        </patternFill>
      </fill>
    </dxf>
    <dxf>
      <font>
        <b val="1"/>
        <color rgb="FFFFFFFF"/>
      </font>
      <fill>
        <patternFill patternType="solid">
          <fgColor rgb="FF808080"/>
          <bgColor rgb="FF808080"/>
        </patternFill>
      </fill>
    </dxf>
    <dxf>
      <fill>
        <patternFill patternType="solid">
          <fgColor rgb="FFFFF2CC"/>
          <bgColor rgb="FFFFF2CC"/>
        </patternFill>
      </fill>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A1" TargetMode="External" Id="rId1" /></Relationships>
</file>

<file path=xl/worksheets/_rels/sheet2.xml.rels><Relationships xmlns="http://schemas.openxmlformats.org/package/2006/relationships"><Relationship Type="http://schemas.openxmlformats.org/officeDocument/2006/relationships/hyperlink" Target="#New Mission!A1" TargetMode="External" Id="rId1" /><Relationship Type="http://schemas.openxmlformats.org/officeDocument/2006/relationships/hyperlink" Target="#Today!A1" TargetMode="External" Id="rId2" /><Relationship Type="http://schemas.openxmlformats.org/officeDocument/2006/relationships/hyperlink" Target="#Work Register!A1" TargetMode="External" Id="rId3" /><Relationship Type="http://schemas.openxmlformats.org/officeDocument/2006/relationships/hyperlink" Target="#'Weekly Review'!A1" TargetMode="External" Id="rId4" /><Relationship Type="http://schemas.openxmlformats.org/officeDocument/2006/relationships/hyperlink" Target="#'Current Focus'!A1" TargetMode="External" Id="rId5" /><Relationship Type="http://schemas.openxmlformats.org/officeDocument/2006/relationships/hyperlink" Target="#'Weekly Review'!A1" TargetMode="External" Id="rId6" /><Relationship Type="http://schemas.openxmlformats.org/officeDocument/2006/relationships/hyperlink" Target="#Archive!A1" TargetMode="External" Id="rId7" /><Relationship Type="http://schemas.openxmlformats.org/officeDocument/2006/relationships/hyperlink" Target="#'Current Focus'!A1" TargetMode="External" Id="rId8" /><Relationship Type="http://schemas.openxmlformats.org/officeDocument/2006/relationships/hyperlink" Target="#Archive!A1" TargetMode="External" Id="rId9" /><Relationship Type="http://schemas.openxmlformats.org/officeDocument/2006/relationships/hyperlink" Target="#'Current Focus'!A1" TargetMode="External" Id="rId10" /><Relationship Type="http://schemas.openxmlformats.org/officeDocument/2006/relationships/hyperlink" Target="#'Weekly Review'!A1" TargetMode="External" Id="rId11" /><Relationship Type="http://schemas.openxmlformats.org/officeDocument/2006/relationships/hyperlink" Target="#'Task Finder'!A1" TargetMode="External" Id="rId12" /><Relationship Type="http://schemas.openxmlformats.org/officeDocument/2006/relationships/hyperlink" Target="#Missions!A1" TargetMode="External" Id="rId13" /><Relationship Type="http://schemas.openxmlformats.org/officeDocument/2006/relationships/hyperlink" Target="#Archive!A1" TargetMode="External" Id="rId14" /></Relationships>
</file>

<file path=xl/worksheets/_rels/sheet3.xml.rels><Relationships xmlns="http://schemas.openxmlformats.org/package/2006/relationships"><Relationship Type="http://schemas.openxmlformats.org/officeDocument/2006/relationships/hyperlink" Target="#Home!A1" TargetMode="External" Id="rId1" /></Relationships>
</file>

<file path=xl/worksheets/_rels/sheet4.xml.rels><Relationships xmlns="http://schemas.openxmlformats.org/package/2006/relationships"><Relationship Type="http://schemas.openxmlformats.org/officeDocument/2006/relationships/hyperlink" Target="#Home!A1" TargetMode="External" Id="rId1" /></Relationships>
</file>

<file path=xl/worksheets/_rels/sheet5.xml.rels><Relationships xmlns="http://schemas.openxmlformats.org/package/2006/relationships"><Relationship Type="http://schemas.openxmlformats.org/officeDocument/2006/relationships/hyperlink" Target="#Home!A1" TargetMode="External" Id="rId1" /></Relationships>
</file>

<file path=xl/worksheets/_rels/sheet6.xml.rels><Relationships xmlns="http://schemas.openxmlformats.org/package/2006/relationships"><Relationship Type="http://schemas.openxmlformats.org/officeDocument/2006/relationships/hyperlink" Target="#Home!A1" TargetMode="External" Id="rId1" /></Relationships>
</file>

<file path=xl/worksheets/_rels/sheet7.xml.rels><Relationships xmlns="http://schemas.openxmlformats.org/package/2006/relationships"><Relationship Type="http://schemas.openxmlformats.org/officeDocument/2006/relationships/hyperlink" Target="#Home!A1" TargetMode="External" Id="rId1" /></Relationships>
</file>

<file path=xl/worksheets/_rels/sheet8.xml.rels><Relationships xmlns="http://schemas.openxmlformats.org/package/2006/relationships"><Relationship Type="http://schemas.openxmlformats.org/officeDocument/2006/relationships/hyperlink" Target="#Home!A1" TargetMode="External" Id="rId1" /></Relationships>
</file>

<file path=xl/worksheets/_rels/sheet9.xml.rels><Relationships xmlns="http://schemas.openxmlformats.org/package/2006/relationships"><Relationship Type="http://schemas.openxmlformats.org/officeDocument/2006/relationships/hyperlink" Target="#Home!A1" TargetMode="External" Id="rId1" /></Relationships>
</file>

<file path=xl/worksheets/_rels/sheet10.xml.rels><Relationships xmlns="http://schemas.openxmlformats.org/package/2006/relationships"><Relationship Type="http://schemas.openxmlformats.org/officeDocument/2006/relationships/hyperlink" Target="#Home!A1" TargetMode="External" Id="rId1" /></Relationships>
</file>

<file path=xl/worksheets/sheet1.xml><?xml version="1.0" encoding="utf-8"?>
<worksheet xmlns="http://schemas.openxmlformats.org/spreadsheetml/2006/main">
  <sheetPr>
    <outlinePr summaryBelow="1" summaryRight="1"/>
    <pageSetUpPr/>
  </sheetPr>
  <dimension ref="A1:Q20"/>
  <sheetViews>
    <sheetView showGridLines="0" workbookViewId="0">
      <selection activeCell="A1" sqref="A1"/>
    </sheetView>
  </sheetViews>
  <sheetFormatPr baseColWidth="8" defaultRowHeight="15"/>
  <cols>
    <col width="20" customWidth="1" min="1" max="1"/>
    <col width="20" customWidth="1" min="3" max="3"/>
    <col width="20" customWidth="1" min="5" max="5"/>
    <col width="20" customWidth="1" min="7" max="7"/>
    <col width="18" customWidth="1" min="9" max="9"/>
    <col width="35" customWidth="1" min="10" max="10"/>
    <col width="14" customWidth="1" min="12" max="12"/>
    <col width="10" customWidth="1" min="13" max="13"/>
    <col width="14" customWidth="1" min="14" max="14"/>
    <col width="10" customWidth="1" min="15" max="15"/>
    <col width="16" customWidth="1" min="16" max="16"/>
    <col width="32" customWidth="1" min="17" max="17"/>
  </cols>
  <sheetData>
    <row r="1">
      <c r="A1" s="1" t="inlineStr">
        <is>
          <t>Status</t>
        </is>
      </c>
      <c r="C1" s="1" t="inlineStr">
        <is>
          <t>Priority</t>
        </is>
      </c>
      <c r="E1" s="1" t="inlineStr">
        <is>
          <t>Energy</t>
        </is>
      </c>
      <c r="G1" s="1" t="inlineStr">
        <is>
          <t>Estimated Time</t>
        </is>
      </c>
      <c r="I1" s="21" t="inlineStr">
        <is>
          <t>Energy Guidelines</t>
        </is>
      </c>
      <c r="L1" s="1" t="inlineStr">
        <is>
          <t>Priority</t>
        </is>
      </c>
      <c r="M1" s="1" t="inlineStr">
        <is>
          <t>Weight</t>
        </is>
      </c>
      <c r="N1" s="1" t="inlineStr">
        <is>
          <t>Time Label</t>
        </is>
      </c>
      <c r="O1" s="1" t="inlineStr">
        <is>
          <t>Minutes</t>
        </is>
      </c>
      <c r="P1" s="1" t="inlineStr">
        <is>
          <t>Energy</t>
        </is>
      </c>
      <c r="Q1" s="1" t="inlineStr">
        <is>
          <t>Suggested Focus</t>
        </is>
      </c>
    </row>
    <row r="2">
      <c r="A2" t="inlineStr">
        <is>
          <t>Captured</t>
        </is>
      </c>
      <c r="C2" t="inlineStr">
        <is>
          <t>High</t>
        </is>
      </c>
      <c r="E2" t="inlineStr">
        <is>
          <t>Deep Thinking</t>
        </is>
      </c>
      <c r="G2" t="inlineStr">
        <is>
          <t>5 mins</t>
        </is>
      </c>
      <c r="I2" s="22" t="inlineStr">
        <is>
          <t>Deep Thinking</t>
        </is>
      </c>
      <c r="J2" s="23" t="inlineStr">
        <is>
          <t>Complex problems, strategic work, decision-making</t>
        </is>
      </c>
      <c r="L2" t="inlineStr">
        <is>
          <t>High</t>
        </is>
      </c>
      <c r="M2" t="n">
        <v>30</v>
      </c>
      <c r="N2" t="inlineStr">
        <is>
          <t>5 mins</t>
        </is>
      </c>
      <c r="O2" t="n">
        <v>5</v>
      </c>
      <c r="P2" t="inlineStr">
        <is>
          <t>Deep Thinking</t>
        </is>
      </c>
      <c r="Q2" t="inlineStr">
        <is>
          <t>Framework Design &amp; Strategic Work</t>
        </is>
      </c>
    </row>
    <row r="3">
      <c r="A3" t="inlineStr">
        <is>
          <t>Next</t>
        </is>
      </c>
      <c r="C3" t="inlineStr">
        <is>
          <t>Medium</t>
        </is>
      </c>
      <c r="E3" t="inlineStr">
        <is>
          <t>Processing</t>
        </is>
      </c>
      <c r="G3" t="inlineStr">
        <is>
          <t>15 mins</t>
        </is>
      </c>
      <c r="I3" s="22" t="inlineStr">
        <is>
          <t>Processing</t>
        </is>
      </c>
      <c r="J3" s="23" t="inlineStr">
        <is>
          <t>Routine analysis, execution, review</t>
        </is>
      </c>
      <c r="L3" t="inlineStr">
        <is>
          <t>Medium</t>
        </is>
      </c>
      <c r="M3" t="n">
        <v>20</v>
      </c>
      <c r="N3" t="inlineStr">
        <is>
          <t>15 mins</t>
        </is>
      </c>
      <c r="O3" t="n">
        <v>15</v>
      </c>
      <c r="P3" t="inlineStr">
        <is>
          <t>Processing</t>
        </is>
      </c>
      <c r="Q3" t="inlineStr">
        <is>
          <t>Documentation &amp; Review</t>
        </is>
      </c>
    </row>
    <row r="4">
      <c r="A4" t="inlineStr">
        <is>
          <t>In Progress</t>
        </is>
      </c>
      <c r="C4" t="inlineStr">
        <is>
          <t>Low</t>
        </is>
      </c>
      <c r="E4" t="inlineStr">
        <is>
          <t>Admin</t>
        </is>
      </c>
      <c r="G4" t="inlineStr">
        <is>
          <t>30 mins</t>
        </is>
      </c>
      <c r="I4" s="22" t="inlineStr">
        <is>
          <t>Admin</t>
        </is>
      </c>
      <c r="J4" s="23" t="inlineStr">
        <is>
          <t>Emails, scheduling, admin tasks</t>
        </is>
      </c>
      <c r="L4" t="inlineStr">
        <is>
          <t>Low</t>
        </is>
      </c>
      <c r="M4" t="n">
        <v>10</v>
      </c>
      <c r="N4" t="inlineStr">
        <is>
          <t>30 mins</t>
        </is>
      </c>
      <c r="O4" t="n">
        <v>30</v>
      </c>
      <c r="P4" t="inlineStr">
        <is>
          <t>Admin</t>
        </is>
      </c>
      <c r="Q4" t="inlineStr">
        <is>
          <t>Administration &amp; Housekeeping</t>
        </is>
      </c>
    </row>
    <row r="5">
      <c r="A5" t="inlineStr">
        <is>
          <t>Waiting</t>
        </is>
      </c>
      <c r="E5" t="inlineStr">
        <is>
          <t>Meeting</t>
        </is>
      </c>
      <c r="G5" t="inlineStr">
        <is>
          <t>60 mins</t>
        </is>
      </c>
      <c r="I5" s="22" t="inlineStr">
        <is>
          <t>Meeting</t>
        </is>
      </c>
      <c r="J5" s="23" t="inlineStr">
        <is>
          <t>Meetings, calls, collaboration</t>
        </is>
      </c>
      <c r="N5" t="inlineStr">
        <is>
          <t>60 mins</t>
        </is>
      </c>
      <c r="O5" t="n">
        <v>60</v>
      </c>
      <c r="P5" t="inlineStr">
        <is>
          <t>Meeting</t>
        </is>
      </c>
      <c r="Q5" t="inlineStr">
        <is>
          <t>Stakeholder Review &amp; Collaboration</t>
        </is>
      </c>
    </row>
    <row r="6">
      <c r="A6" t="inlineStr">
        <is>
          <t>Blocked</t>
        </is>
      </c>
      <c r="E6" t="inlineStr">
        <is>
          <t>Low Energy</t>
        </is>
      </c>
      <c r="G6" t="inlineStr">
        <is>
          <t>90+ mins</t>
        </is>
      </c>
      <c r="N6" t="inlineStr">
        <is>
          <t>90+ mins</t>
        </is>
      </c>
      <c r="O6" t="n">
        <v>90</v>
      </c>
      <c r="P6" t="inlineStr">
        <is>
          <t>Low Energy</t>
        </is>
      </c>
      <c r="Q6" t="inlineStr">
        <is>
          <t>Knowledge Capture &amp; Light Tasks</t>
        </is>
      </c>
    </row>
    <row r="7">
      <c r="A7" t="inlineStr">
        <is>
          <t>Done</t>
        </is>
      </c>
    </row>
    <row r="8">
      <c r="A8" t="inlineStr">
        <is>
          <t>Archive</t>
        </is>
      </c>
    </row>
    <row r="9"/>
    <row r="10"/>
    <row r="11"/>
    <row r="12"/>
    <row r="13"/>
    <row r="14"/>
    <row r="15"/>
    <row r="16"/>
    <row r="17"/>
    <row r="18"/>
    <row r="19"/>
    <row r="20">
      <c r="A20" s="118" t="inlineStr">
        <is>
          <t>← Home</t>
        </is>
      </c>
    </row>
  </sheetData>
  <sheetProtection selectLockedCells="0" selectUnlockedCells="0" sheet="1" objects="0" insertRows="1" insertHyperlinks="1" autoFilter="1" scenarios="0" formatColumns="1" deleteColumns="1" insertColumns="1" pivotTables="1" deleteRows="1" formatCells="1" formatRows="1" sort="1"/>
  <hyperlinks>
    <hyperlink xmlns:r="http://schemas.openxmlformats.org/officeDocument/2006/relationships" ref="A20"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45"/>
  <sheetViews>
    <sheetView showGridLines="0" workbookViewId="0">
      <selection activeCell="A1" sqref="A1"/>
    </sheetView>
  </sheetViews>
  <sheetFormatPr baseColWidth="8" defaultRowHeight="15"/>
  <cols>
    <col width="3" customWidth="1" min="1" max="1"/>
    <col width="20" customWidth="1" min="2" max="2"/>
    <col width="20" customWidth="1" min="3" max="3"/>
    <col width="20" customWidth="1" min="4" max="4"/>
    <col width="20" customWidth="1" min="5" max="5"/>
    <col width="18" customWidth="1" min="6" max="6"/>
  </cols>
  <sheetData>
    <row r="1">
      <c r="Y1" s="97" t="inlineStr">
        <is>
          <t>system — do not edit</t>
        </is>
      </c>
      <c r="Z1" s="97">
        <f>IF(MAX('Work Register'!$N$5:$N$500)&lt;=-9000,0,MATCH(MAX('Work Register'!$N$5:$N$500),'Work Register'!$N$5:$N$500,0)+4)</f>
        <v/>
      </c>
    </row>
    <row r="2" ht="25" customHeight="1">
      <c r="B2" s="2" t="inlineStr">
        <is>
          <t>Work Operating System</t>
        </is>
      </c>
    </row>
    <row r="3"/>
    <row r="4" ht="25" customHeight="1">
      <c r="B4" s="3" t="inlineStr">
        <is>
          <t>New Mission</t>
        </is>
      </c>
      <c r="C4" s="3" t="inlineStr">
        <is>
          <t>Today</t>
        </is>
      </c>
      <c r="D4" s="3" t="inlineStr">
        <is>
          <t>Work Register</t>
        </is>
      </c>
      <c r="E4" s="3" t="inlineStr">
        <is>
          <t>Weekly Review</t>
        </is>
      </c>
    </row>
    <row r="5"/>
    <row r="6">
      <c r="A6" s="39" t="n"/>
      <c r="B6" s="89" t="inlineStr">
        <is>
          <t>Work Selection</t>
        </is>
      </c>
      <c r="C6" s="39" t="n"/>
      <c r="D6" s="39" t="n"/>
      <c r="E6" s="39" t="n"/>
      <c r="F6" s="39" t="n"/>
      <c r="G6" s="39" t="n"/>
      <c r="H6" s="39" t="n"/>
      <c r="I6" s="39" t="n"/>
      <c r="J6" s="39" t="n"/>
      <c r="K6" s="39" t="n"/>
      <c r="L6" s="39" t="n"/>
      <c r="M6" s="39" t="n"/>
      <c r="N6" s="39" t="n"/>
      <c r="O6" s="39" t="n"/>
      <c r="P6" s="39" t="n"/>
      <c r="Q6" s="39" t="n"/>
      <c r="R6" s="39" t="n"/>
      <c r="S6" s="39" t="n"/>
      <c r="T6" s="39" t="n"/>
      <c r="U6" s="39" t="n"/>
      <c r="V6" s="39" t="n"/>
      <c r="W6" s="39" t="n"/>
      <c r="X6" s="39" t="n"/>
      <c r="Y6" s="39" t="n"/>
      <c r="Z6" s="39" t="n"/>
    </row>
    <row r="7" ht="20" customHeight="1">
      <c r="A7" s="39" t="n"/>
      <c r="B7" s="77" t="inlineStr">
        <is>
          <t>Available Time</t>
        </is>
      </c>
      <c r="C7" s="98" t="inlineStr">
        <is>
          <t>30 mins</t>
        </is>
      </c>
      <c r="D7" s="77" t="inlineStr">
        <is>
          <t>Current Energy</t>
        </is>
      </c>
      <c r="E7" s="98" t="inlineStr">
        <is>
          <t>Processing</t>
        </is>
      </c>
      <c r="F7" s="39" t="n"/>
      <c r="G7" s="39" t="n"/>
      <c r="H7" s="39" t="n"/>
      <c r="I7" s="39" t="n"/>
      <c r="J7" s="39" t="n"/>
      <c r="K7" s="39" t="n"/>
      <c r="L7" s="39" t="n"/>
      <c r="M7" s="39" t="n"/>
      <c r="N7" s="39" t="n"/>
      <c r="O7" s="39" t="n"/>
      <c r="P7" s="39" t="n"/>
      <c r="Q7" s="39" t="n"/>
      <c r="R7" s="39" t="n"/>
      <c r="S7" s="39" t="n"/>
      <c r="T7" s="39" t="n"/>
      <c r="U7" s="39" t="n"/>
      <c r="V7" s="39" t="n"/>
      <c r="W7" s="39" t="n"/>
      <c r="X7" s="39" t="n"/>
      <c r="Y7" s="39" t="n"/>
      <c r="Z7" s="39" t="n"/>
    </row>
    <row r="8">
      <c r="A8" s="39" t="n"/>
      <c r="B8" s="39" t="n"/>
      <c r="C8" s="39" t="n"/>
      <c r="D8" s="39" t="n"/>
      <c r="E8" s="39" t="n"/>
      <c r="F8" s="39" t="n"/>
      <c r="G8" s="39" t="n"/>
      <c r="H8" s="39" t="n"/>
      <c r="I8" s="39" t="n"/>
      <c r="J8" s="39" t="n"/>
      <c r="K8" s="39" t="n"/>
      <c r="L8" s="39" t="n"/>
      <c r="M8" s="39" t="n"/>
      <c r="N8" s="39" t="n"/>
      <c r="O8" s="39" t="n"/>
      <c r="P8" s="39" t="n"/>
      <c r="Q8" s="39" t="n"/>
      <c r="R8" s="39" t="n"/>
      <c r="S8" s="39" t="n"/>
      <c r="T8" s="39" t="n"/>
      <c r="U8" s="39" t="n"/>
      <c r="V8" s="39" t="n"/>
      <c r="W8" s="39" t="n"/>
      <c r="X8" s="39" t="n"/>
      <c r="Y8" s="39" t="n"/>
      <c r="Z8" s="39" t="n"/>
    </row>
    <row r="9">
      <c r="A9" s="39" t="n"/>
      <c r="B9" s="89" t="inlineStr">
        <is>
          <t>Recommended Next Task</t>
        </is>
      </c>
      <c r="F9" s="39" t="n"/>
      <c r="G9" s="39" t="n"/>
      <c r="H9" s="39" t="n"/>
      <c r="I9" s="39" t="n"/>
      <c r="J9" s="39" t="n"/>
      <c r="K9" s="39" t="n"/>
      <c r="L9" s="39" t="n"/>
      <c r="M9" s="39" t="n"/>
      <c r="N9" s="39" t="n"/>
      <c r="O9" s="39" t="n"/>
      <c r="P9" s="39" t="n"/>
      <c r="Q9" s="39" t="n"/>
      <c r="R9" s="39" t="n"/>
      <c r="S9" s="39" t="n"/>
      <c r="T9" s="39" t="n"/>
      <c r="U9" s="39" t="n"/>
      <c r="V9" s="39" t="n"/>
      <c r="W9" s="39" t="n"/>
      <c r="X9" s="39" t="n"/>
      <c r="Y9" s="39" t="n"/>
      <c r="Z9" s="39" t="n"/>
    </row>
    <row r="10" ht="20" customHeight="1">
      <c r="A10" s="39" t="n"/>
      <c r="B10" s="77" t="inlineStr">
        <is>
          <t>Mission</t>
        </is>
      </c>
      <c r="C10" s="142">
        <f>IF($Z$1=0,"No actionable tasks",INDEX('Work Register'!A:A,$Z$1))</f>
        <v/>
      </c>
      <c r="D10" s="113" t="n"/>
      <c r="E10" s="114" t="n"/>
      <c r="F10" s="39" t="n"/>
      <c r="G10" s="39" t="n"/>
      <c r="H10" s="39" t="n"/>
      <c r="I10" s="39" t="n"/>
      <c r="J10" s="39" t="n"/>
      <c r="K10" s="39" t="n"/>
      <c r="L10" s="39" t="n"/>
      <c r="M10" s="39" t="n"/>
      <c r="N10" s="39" t="n"/>
      <c r="O10" s="39" t="n"/>
      <c r="P10" s="39" t="n"/>
      <c r="Q10" s="39" t="n"/>
      <c r="R10" s="39" t="n"/>
      <c r="S10" s="39" t="n"/>
      <c r="T10" s="39" t="n"/>
      <c r="U10" s="39" t="n"/>
      <c r="V10" s="39" t="n"/>
      <c r="W10" s="39" t="n"/>
      <c r="X10" s="39" t="n"/>
      <c r="Y10" s="39" t="n"/>
      <c r="Z10" s="39" t="n"/>
    </row>
    <row r="11" ht="20" customHeight="1">
      <c r="A11" s="39" t="n"/>
      <c r="B11" s="77" t="inlineStr">
        <is>
          <t>Component</t>
        </is>
      </c>
      <c r="C11" s="142">
        <f>IF($Z$1=0,"—",INDEX('Work Register'!C:C,$Z$1))</f>
        <v/>
      </c>
      <c r="D11" s="113" t="n"/>
      <c r="E11" s="114" t="n"/>
      <c r="F11" s="39" t="n"/>
      <c r="G11" s="39" t="n"/>
      <c r="H11" s="39" t="n"/>
      <c r="I11" s="39" t="n"/>
      <c r="J11" s="39" t="n"/>
      <c r="K11" s="39" t="n"/>
      <c r="L11" s="39" t="n"/>
      <c r="M11" s="39" t="n"/>
      <c r="N11" s="39" t="n"/>
      <c r="O11" s="39" t="n"/>
      <c r="P11" s="39" t="n"/>
      <c r="Q11" s="39" t="n"/>
      <c r="R11" s="39" t="n"/>
      <c r="S11" s="39" t="n"/>
      <c r="T11" s="39" t="n"/>
      <c r="U11" s="39" t="n"/>
      <c r="V11" s="39" t="n"/>
      <c r="W11" s="39" t="n"/>
      <c r="X11" s="39" t="n"/>
      <c r="Y11" s="39" t="n"/>
      <c r="Z11" s="39" t="n"/>
    </row>
    <row r="12" ht="20" customHeight="1">
      <c r="A12" s="39" t="n"/>
      <c r="B12" s="99" t="inlineStr">
        <is>
          <t>Task</t>
        </is>
      </c>
      <c r="C12" s="143">
        <f>IF($Z$1=0,"—",INDEX('Work Register'!D:D,$Z$1))</f>
        <v/>
      </c>
      <c r="D12" s="113" t="n"/>
      <c r="E12" s="114" t="n"/>
      <c r="F12" s="39" t="n"/>
      <c r="G12" s="39" t="n"/>
      <c r="H12" s="39" t="n"/>
      <c r="I12" s="39" t="n"/>
      <c r="J12" s="39" t="n"/>
      <c r="K12" s="39" t="n"/>
      <c r="L12" s="39" t="n"/>
      <c r="M12" s="39" t="n"/>
      <c r="N12" s="39" t="n"/>
      <c r="O12" s="39" t="n"/>
      <c r="P12" s="39" t="n"/>
      <c r="Q12" s="39" t="n"/>
      <c r="R12" s="39" t="n"/>
      <c r="S12" s="39" t="n"/>
      <c r="T12" s="39" t="n"/>
      <c r="U12" s="39" t="n"/>
      <c r="V12" s="39" t="n"/>
      <c r="W12" s="39" t="n"/>
      <c r="X12" s="39" t="n"/>
      <c r="Y12" s="39" t="n"/>
      <c r="Z12" s="39" t="n"/>
    </row>
    <row r="13" ht="32" customHeight="1">
      <c r="A13" s="39" t="n"/>
      <c r="B13" s="77" t="inlineStr">
        <is>
          <t>Reason</t>
        </is>
      </c>
      <c r="C13" s="142">
        <f>IF($Z$1=0,"Nothing actionable — review Blocked and Waiting items.",INDEX('Work Register'!O:O,$Z$1))</f>
        <v/>
      </c>
      <c r="D13" s="113" t="n"/>
      <c r="E13" s="114" t="n"/>
      <c r="F13" s="39" t="n"/>
      <c r="G13" s="39" t="n"/>
      <c r="H13" s="39" t="n"/>
      <c r="I13" s="39" t="n"/>
      <c r="J13" s="39" t="n"/>
      <c r="K13" s="39" t="n"/>
      <c r="L13" s="39" t="n"/>
      <c r="M13" s="39" t="n"/>
      <c r="N13" s="39" t="n"/>
      <c r="O13" s="39" t="n"/>
      <c r="P13" s="39" t="n"/>
      <c r="Q13" s="39" t="n"/>
      <c r="R13" s="39" t="n"/>
      <c r="S13" s="39" t="n"/>
      <c r="T13" s="39" t="n"/>
      <c r="U13" s="39" t="n"/>
      <c r="V13" s="39" t="n"/>
      <c r="W13" s="39" t="n"/>
      <c r="X13" s="39" t="n"/>
      <c r="Y13" s="39" t="n"/>
      <c r="Z13" s="39" t="n"/>
    </row>
    <row r="14" ht="20" customHeight="1">
      <c r="A14" s="39" t="n"/>
      <c r="B14" s="77" t="inlineStr">
        <is>
          <t>Estimated Duration</t>
        </is>
      </c>
      <c r="C14" s="142">
        <f>IF($Z$1=0,"—",INDEX('Work Register'!H:H,$Z$1))</f>
        <v/>
      </c>
      <c r="D14" s="113" t="n"/>
      <c r="E14" s="114" t="n"/>
      <c r="F14" s="39" t="n"/>
      <c r="G14" s="39" t="n"/>
      <c r="H14" s="39" t="n"/>
      <c r="I14" s="39" t="n"/>
      <c r="J14" s="39" t="n"/>
      <c r="K14" s="39" t="n"/>
      <c r="L14" s="39" t="n"/>
      <c r="M14" s="39" t="n"/>
      <c r="N14" s="39" t="n"/>
      <c r="O14" s="39" t="n"/>
      <c r="P14" s="39" t="n"/>
      <c r="Q14" s="39" t="n"/>
      <c r="R14" s="39" t="n"/>
      <c r="S14" s="39" t="n"/>
      <c r="T14" s="39" t="n"/>
      <c r="U14" s="39" t="n"/>
      <c r="V14" s="39" t="n"/>
      <c r="W14" s="39" t="n"/>
      <c r="X14" s="39" t="n"/>
      <c r="Y14" s="39" t="n"/>
      <c r="Z14" s="39" t="n"/>
    </row>
    <row r="15" ht="20" customHeight="1">
      <c r="A15" s="39" t="n"/>
      <c r="B15" s="77" t="inlineStr">
        <is>
          <t>Deliverable</t>
        </is>
      </c>
      <c r="C15" s="142">
        <f>IF($Z$1=0,"—",INDEX('Work Register'!B:B,$Z$1))</f>
        <v/>
      </c>
      <c r="D15" s="113" t="n"/>
      <c r="E15" s="114" t="n"/>
      <c r="F15" s="39" t="n"/>
      <c r="G15" s="39" t="n"/>
      <c r="H15" s="39" t="n"/>
      <c r="I15" s="39" t="n"/>
      <c r="J15" s="39" t="n"/>
      <c r="K15" s="39" t="n"/>
      <c r="L15" s="39" t="n"/>
      <c r="M15" s="39" t="n"/>
      <c r="N15" s="39" t="n"/>
      <c r="O15" s="39" t="n"/>
      <c r="P15" s="39" t="n"/>
      <c r="Q15" s="39" t="n"/>
      <c r="R15" s="39" t="n"/>
      <c r="S15" s="39" t="n"/>
      <c r="T15" s="39" t="n"/>
      <c r="U15" s="39" t="n"/>
      <c r="V15" s="39" t="n"/>
      <c r="W15" s="39" t="n"/>
      <c r="X15" s="39" t="n"/>
      <c r="Y15" s="39" t="n"/>
      <c r="Z15" s="39" t="n"/>
    </row>
    <row r="16" ht="20" customHeight="1">
      <c r="A16" s="39" t="n"/>
      <c r="B16" s="77" t="inlineStr">
        <is>
          <t>Energy Required</t>
        </is>
      </c>
      <c r="C16" s="142">
        <f>IF($Z$1=0,"—",INDEX('Work Register'!G:G,$Z$1))</f>
        <v/>
      </c>
      <c r="D16" s="113" t="n"/>
      <c r="E16" s="114" t="n"/>
      <c r="F16" s="39" t="n"/>
      <c r="G16" s="39" t="n"/>
      <c r="H16" s="39" t="n"/>
      <c r="I16" s="39" t="n"/>
      <c r="J16" s="39" t="n"/>
      <c r="K16" s="39" t="n"/>
      <c r="L16" s="39" t="n"/>
      <c r="M16" s="39" t="n"/>
      <c r="N16" s="39" t="n"/>
      <c r="O16" s="39" t="n"/>
      <c r="P16" s="39" t="n"/>
      <c r="Q16" s="39" t="n"/>
      <c r="R16" s="39" t="n"/>
      <c r="S16" s="39" t="n"/>
      <c r="T16" s="39" t="n"/>
      <c r="U16" s="39" t="n"/>
      <c r="V16" s="39" t="n"/>
      <c r="W16" s="39" t="n"/>
      <c r="X16" s="39" t="n"/>
      <c r="Y16" s="39" t="n"/>
      <c r="Z16" s="39" t="n"/>
    </row>
    <row r="17" ht="20" customHeight="1">
      <c r="A17" s="39" t="n"/>
      <c r="B17" s="77" t="inlineStr">
        <is>
          <t>Due Date</t>
        </is>
      </c>
      <c r="C17" s="142">
        <f>IF($Z$1=0,"—",IFERROR(TEXT(INDEX('Work Register'!I:I,$Z$1),"ddd d mmm"),"No due date"))</f>
        <v/>
      </c>
      <c r="D17" s="113" t="n"/>
      <c r="E17" s="114" t="n"/>
      <c r="F17" s="39" t="n"/>
      <c r="G17" s="39" t="n"/>
      <c r="H17" s="39" t="n"/>
      <c r="I17" s="39" t="n"/>
      <c r="J17" s="39" t="n"/>
      <c r="K17" s="39" t="n"/>
      <c r="L17" s="39" t="n"/>
      <c r="M17" s="39" t="n"/>
      <c r="N17" s="39" t="n"/>
      <c r="O17" s="39" t="n"/>
      <c r="P17" s="39" t="n"/>
      <c r="Q17" s="39" t="n"/>
      <c r="R17" s="39" t="n"/>
      <c r="S17" s="39" t="n"/>
      <c r="T17" s="39" t="n"/>
      <c r="U17" s="39" t="n"/>
      <c r="V17" s="39" t="n"/>
      <c r="W17" s="39" t="n"/>
      <c r="X17" s="39" t="n"/>
      <c r="Y17" s="39" t="n"/>
      <c r="Z17" s="39" t="n"/>
    </row>
    <row r="18" ht="20" customHeight="1">
      <c r="A18" s="39" t="n"/>
      <c r="B18" s="77" t="inlineStr">
        <is>
          <t>Status</t>
        </is>
      </c>
      <c r="C18" s="142">
        <f>IF($Z$1=0,"—",INDEX('Work Register'!E:E,$Z$1))</f>
        <v/>
      </c>
      <c r="D18" s="113" t="n"/>
      <c r="E18" s="114" t="n"/>
      <c r="F18" s="39" t="n"/>
      <c r="G18" s="39" t="n"/>
      <c r="H18" s="39" t="n"/>
      <c r="I18" s="39" t="n"/>
      <c r="J18" s="39" t="n"/>
      <c r="K18" s="39" t="n"/>
      <c r="L18" s="39" t="n"/>
      <c r="M18" s="39" t="n"/>
      <c r="N18" s="39" t="n"/>
      <c r="O18" s="39" t="n"/>
      <c r="P18" s="39" t="n"/>
      <c r="Q18" s="39" t="n"/>
      <c r="R18" s="39" t="n"/>
      <c r="S18" s="39" t="n"/>
      <c r="T18" s="39" t="n"/>
      <c r="U18" s="39" t="n"/>
      <c r="V18" s="39" t="n"/>
      <c r="W18" s="39" t="n"/>
      <c r="X18" s="39" t="n"/>
      <c r="Y18" s="39" t="n"/>
      <c r="Z18" s="39" t="n"/>
    </row>
    <row r="19">
      <c r="A19" s="39" t="n"/>
      <c r="B19" s="39" t="n"/>
      <c r="C19" s="39" t="n"/>
      <c r="D19" s="39" t="n"/>
      <c r="E19" s="39" t="n"/>
      <c r="F19" s="39" t="n"/>
      <c r="G19" s="39" t="n"/>
      <c r="H19" s="39" t="n"/>
      <c r="I19" s="39" t="n"/>
      <c r="J19" s="39" t="n"/>
      <c r="K19" s="39" t="n"/>
      <c r="L19" s="39" t="n"/>
      <c r="M19" s="39" t="n"/>
      <c r="N19" s="39" t="n"/>
      <c r="O19" s="39" t="n"/>
      <c r="P19" s="39" t="n"/>
      <c r="Q19" s="39" t="n"/>
      <c r="R19" s="39" t="n"/>
      <c r="S19" s="39" t="n"/>
      <c r="T19" s="39" t="n"/>
      <c r="U19" s="39" t="n"/>
      <c r="V19" s="39" t="n"/>
      <c r="W19" s="39" t="n"/>
      <c r="X19" s="39" t="n"/>
      <c r="Y19" s="39" t="n"/>
      <c r="Z19" s="39" t="n"/>
    </row>
    <row r="20">
      <c r="A20" s="39" t="n"/>
      <c r="B20" s="101" t="inlineStr">
        <is>
          <t>Active Missions</t>
        </is>
      </c>
      <c r="C20" s="101" t="inlineStr">
        <is>
          <t>Due Today</t>
        </is>
      </c>
      <c r="D20" s="101" t="inlineStr">
        <is>
          <t>Blocked</t>
        </is>
      </c>
      <c r="E20" s="101" t="inlineStr">
        <is>
          <t>Waiting</t>
        </is>
      </c>
      <c r="F20" s="101" t="inlineStr">
        <is>
          <t>Completed This Week</t>
        </is>
      </c>
      <c r="G20" s="39" t="n"/>
      <c r="H20" s="39" t="n"/>
      <c r="I20" s="39" t="n"/>
      <c r="J20" s="39" t="n"/>
      <c r="K20" s="39" t="n"/>
      <c r="L20" s="39" t="n"/>
      <c r="M20" s="39" t="n"/>
      <c r="N20" s="39" t="n"/>
      <c r="O20" s="39" t="n"/>
      <c r="P20" s="39" t="n"/>
      <c r="Q20" s="39" t="n"/>
      <c r="R20" s="39" t="n"/>
      <c r="S20" s="39" t="n"/>
      <c r="T20" s="39" t="n"/>
      <c r="U20" s="39" t="n"/>
      <c r="V20" s="39" t="n"/>
      <c r="W20" s="39" t="n"/>
      <c r="X20" s="39" t="n"/>
      <c r="Y20" s="39" t="n"/>
      <c r="Z20" s="39" t="n"/>
    </row>
    <row r="21" ht="20" customHeight="1">
      <c r="A21" s="39" t="n"/>
      <c r="B21" s="102">
        <f>COUNTIFS('Work Register'!$E:$E,"&lt;&gt;Done",'Work Register'!$E:$E,"&lt;&gt;Archive",'Work Register'!$E:$E,"&lt;&gt;Blocked")</f>
        <v/>
      </c>
      <c r="C21" s="102">
        <f>COUNTIFS('Work Register'!$I:$I,"&gt;="&amp;TODAY(),'Work Register'!$I:$I,"&lt;"&amp;TODAY()+1,'Work Register'!$E:$E,"&lt;&gt;Done")</f>
        <v/>
      </c>
      <c r="D21" s="102">
        <f>COUNTIF('Work Register'!$E:$E,"Blocked")</f>
        <v/>
      </c>
      <c r="E21" s="103">
        <f>COUNTIF('Work Register'!$E:$E,"Waiting")</f>
        <v/>
      </c>
      <c r="F21" s="102">
        <f>COUNTIFS('Work Register'!$E:$E,"Done",'Work Register'!$L:$L,"&gt;="&amp;(TODAY()-WEEKDAY(TODAY(),3)))</f>
        <v/>
      </c>
      <c r="G21" s="39" t="n"/>
      <c r="H21" s="39" t="n"/>
      <c r="I21" s="39" t="n"/>
      <c r="J21" s="39" t="n"/>
      <c r="K21" s="39" t="n"/>
      <c r="L21" s="39" t="n"/>
      <c r="M21" s="39" t="n"/>
      <c r="N21" s="39" t="n"/>
      <c r="O21" s="39" t="n"/>
      <c r="P21" s="39" t="n"/>
      <c r="Q21" s="39" t="n"/>
      <c r="R21" s="39" t="n"/>
      <c r="S21" s="39" t="n"/>
      <c r="T21" s="39" t="n"/>
      <c r="U21" s="39" t="n"/>
      <c r="V21" s="39" t="n"/>
      <c r="W21" s="39" t="n"/>
      <c r="X21" s="39" t="n"/>
      <c r="Y21" s="39" t="n"/>
      <c r="Z21" s="39" t="n"/>
    </row>
    <row r="22" ht="20" customHeight="1">
      <c r="A22" s="39" t="n"/>
      <c r="B22" s="39" t="inlineStr">
        <is>
          <t>#'Weekly Review'!A1</t>
        </is>
      </c>
      <c r="C22" s="39" t="n"/>
      <c r="D22" s="39" t="n"/>
      <c r="E22" s="104" t="n"/>
      <c r="F22" s="39" t="n"/>
      <c r="G22" s="39" t="n"/>
      <c r="H22" s="39" t="n"/>
      <c r="I22" s="39" t="n"/>
      <c r="J22" s="39" t="n"/>
      <c r="K22" s="39" t="n"/>
      <c r="L22" s="39" t="n"/>
      <c r="M22" s="39" t="n"/>
      <c r="N22" s="39" t="n"/>
      <c r="O22" s="39" t="n"/>
      <c r="P22" s="39" t="n"/>
      <c r="Q22" s="39" t="n"/>
      <c r="R22" s="39" t="n"/>
      <c r="S22" s="39" t="n"/>
      <c r="T22" s="39" t="n"/>
      <c r="U22" s="39" t="n"/>
      <c r="V22" s="39" t="n"/>
      <c r="W22" s="39" t="n"/>
      <c r="X22" s="39" t="n"/>
      <c r="Y22" s="39" t="n"/>
      <c r="Z22" s="39" t="n"/>
    </row>
    <row r="23" ht="20" customHeight="1">
      <c r="A23" s="39" t="n"/>
      <c r="B23" s="89" t="inlineStr">
        <is>
          <t>Workload Balance</t>
        </is>
      </c>
      <c r="C23" s="39" t="n"/>
      <c r="D23" s="39" t="n"/>
      <c r="E23" s="104" t="n"/>
      <c r="F23" s="39" t="n"/>
      <c r="G23" s="39" t="n"/>
      <c r="H23" s="39" t="n"/>
      <c r="I23" s="39" t="n"/>
      <c r="J23" s="39" t="n"/>
      <c r="K23" s="39" t="n"/>
      <c r="L23" s="39" t="n"/>
      <c r="M23" s="39" t="n"/>
      <c r="N23" s="39" t="n"/>
      <c r="O23" s="39" t="n"/>
      <c r="P23" s="39" t="n"/>
      <c r="Q23" s="39" t="n"/>
      <c r="R23" s="39" t="n"/>
      <c r="S23" s="39" t="n"/>
      <c r="T23" s="39" t="n"/>
      <c r="U23" s="39" t="n"/>
      <c r="V23" s="39" t="n"/>
      <c r="W23" s="39" t="n"/>
      <c r="X23" s="39" t="n"/>
      <c r="Y23" s="39" t="n"/>
      <c r="Z23" s="39" t="n"/>
    </row>
    <row r="24">
      <c r="A24" s="39" t="n"/>
      <c r="B24" s="94" t="inlineStr">
        <is>
          <t>Energy</t>
        </is>
      </c>
      <c r="C24" s="94" t="inlineStr">
        <is>
          <t>Tasks</t>
        </is>
      </c>
      <c r="D24" s="94" t="inlineStr">
        <is>
          <t>Hours</t>
        </is>
      </c>
      <c r="E24" s="105" t="inlineStr">
        <is>
          <t>% of Active</t>
        </is>
      </c>
      <c r="F24" s="39" t="n"/>
      <c r="G24" s="39" t="n"/>
      <c r="H24" s="39" t="n"/>
      <c r="I24" s="39" t="n"/>
      <c r="J24" s="39" t="n"/>
      <c r="K24" s="39" t="n"/>
      <c r="L24" s="39" t="n"/>
      <c r="M24" s="39" t="n"/>
      <c r="N24" s="39" t="n"/>
      <c r="O24" s="39" t="n"/>
      <c r="P24" s="39" t="n"/>
      <c r="Q24" s="39" t="n"/>
      <c r="R24" s="39" t="n"/>
      <c r="S24" s="39" t="n"/>
      <c r="T24" s="39" t="n"/>
      <c r="U24" s="39" t="n"/>
      <c r="V24" s="39" t="n"/>
      <c r="W24" s="39" t="n"/>
      <c r="X24" s="39" t="n"/>
      <c r="Y24" s="39" t="n"/>
      <c r="Z24" s="39" t="n"/>
    </row>
    <row r="25">
      <c r="A25" s="39" t="n"/>
      <c r="B25" s="106" t="inlineStr">
        <is>
          <t>Deep Thinking</t>
        </is>
      </c>
      <c r="C25" s="93">
        <f>SUMPRODUCT(('Work Register'!$G$5:$G$500="Deep Thinking")*(('Work Register'!$E$5:$E$500="Captured")+('Work Register'!$E$5:$E$500="Next")+('Work Register'!$E$5:$E$500="In Progress")+('Work Register'!$E$5:$E$500="Waiting")))</f>
        <v/>
      </c>
      <c r="D25" s="93">
        <f>ROUND(SUMPRODUCT(('Work Register'!$G$5:$G$500="Deep Thinking")*(('Work Register'!$E$5:$E$500="Captured")+('Work Register'!$E$5:$E$500="Next")+('Work Register'!$E$5:$E$500="In Progress")+('Work Register'!$E$5:$E$500="Waiting"))*'Work Register'!$M$5:$M$500)/60,1)</f>
        <v/>
      </c>
      <c r="E25" s="107">
        <f>IFERROR($D25/$D$30,0)</f>
        <v/>
      </c>
      <c r="F25" s="39" t="n"/>
      <c r="G25" s="39" t="n"/>
      <c r="H25" s="39" t="n"/>
      <c r="I25" s="39" t="n"/>
      <c r="J25" s="39" t="n"/>
      <c r="K25" s="39" t="n"/>
      <c r="L25" s="39" t="n"/>
      <c r="M25" s="39" t="n"/>
      <c r="N25" s="39" t="n"/>
      <c r="O25" s="39" t="n"/>
      <c r="P25" s="39" t="n"/>
      <c r="Q25" s="39" t="n"/>
      <c r="R25" s="39" t="n"/>
      <c r="S25" s="39" t="n"/>
      <c r="T25" s="39" t="n"/>
      <c r="U25" s="39" t="n"/>
      <c r="V25" s="39" t="n"/>
      <c r="W25" s="39" t="n"/>
      <c r="X25" s="39" t="n"/>
      <c r="Y25" s="39" t="n"/>
      <c r="Z25" s="39" t="n"/>
    </row>
    <row r="26">
      <c r="A26" s="39" t="n"/>
      <c r="B26" s="106" t="inlineStr">
        <is>
          <t>Processing</t>
        </is>
      </c>
      <c r="C26" s="93">
        <f>SUMPRODUCT(('Work Register'!$G$5:$G$500="Processing")*(('Work Register'!$E$5:$E$500="Captured")+('Work Register'!$E$5:$E$500="Next")+('Work Register'!$E$5:$E$500="In Progress")+('Work Register'!$E$5:$E$500="Waiting")))</f>
        <v/>
      </c>
      <c r="D26" s="93">
        <f>ROUND(SUMPRODUCT(('Work Register'!$G$5:$G$500="Processing")*(('Work Register'!$E$5:$E$500="Captured")+('Work Register'!$E$5:$E$500="Next")+('Work Register'!$E$5:$E$500="In Progress")+('Work Register'!$E$5:$E$500="Waiting"))*'Work Register'!$M$5:$M$500)/60,1)</f>
        <v/>
      </c>
      <c r="E26" s="107">
        <f>IFERROR($D26/$D$30,0)</f>
        <v/>
      </c>
      <c r="F26" s="39" t="n"/>
      <c r="G26" s="39" t="n"/>
      <c r="H26" s="39" t="n"/>
      <c r="I26" s="39" t="n"/>
      <c r="J26" s="39" t="n"/>
      <c r="K26" s="39" t="n"/>
      <c r="L26" s="39" t="n"/>
      <c r="M26" s="39" t="n"/>
      <c r="N26" s="39" t="n"/>
      <c r="O26" s="39" t="n"/>
      <c r="P26" s="39" t="n"/>
      <c r="Q26" s="39" t="n"/>
      <c r="R26" s="39" t="n"/>
      <c r="S26" s="39" t="n"/>
      <c r="T26" s="39" t="n"/>
      <c r="U26" s="39" t="n"/>
      <c r="V26" s="39" t="n"/>
      <c r="W26" s="39" t="n"/>
      <c r="X26" s="39" t="n"/>
      <c r="Y26" s="39" t="n"/>
      <c r="Z26" s="39" t="n"/>
    </row>
    <row r="27">
      <c r="A27" s="39" t="n"/>
      <c r="B27" s="106" t="inlineStr">
        <is>
          <t>Admin</t>
        </is>
      </c>
      <c r="C27" s="93">
        <f>SUMPRODUCT(('Work Register'!$G$5:$G$500="Admin")*(('Work Register'!$E$5:$E$500="Captured")+('Work Register'!$E$5:$E$500="Next")+('Work Register'!$E$5:$E$500="In Progress")+('Work Register'!$E$5:$E$500="Waiting")))</f>
        <v/>
      </c>
      <c r="D27" s="93">
        <f>ROUND(SUMPRODUCT(('Work Register'!$G$5:$G$500="Admin")*(('Work Register'!$E$5:$E$500="Captured")+('Work Register'!$E$5:$E$500="Next")+('Work Register'!$E$5:$E$500="In Progress")+('Work Register'!$E$5:$E$500="Waiting"))*'Work Register'!$M$5:$M$500)/60,1)</f>
        <v/>
      </c>
      <c r="E27" s="107">
        <f>IFERROR($D27/$D$30,0)</f>
        <v/>
      </c>
      <c r="F27" s="39" t="n"/>
      <c r="G27" s="39" t="n"/>
      <c r="H27" s="39" t="n"/>
      <c r="I27" s="39" t="n"/>
      <c r="J27" s="39" t="n"/>
      <c r="K27" s="39" t="n"/>
      <c r="L27" s="39" t="n"/>
      <c r="M27" s="39" t="n"/>
      <c r="N27" s="39" t="n"/>
      <c r="O27" s="39" t="n"/>
      <c r="P27" s="39" t="n"/>
      <c r="Q27" s="39" t="n"/>
      <c r="R27" s="39" t="n"/>
      <c r="S27" s="39" t="n"/>
      <c r="T27" s="39" t="n"/>
      <c r="U27" s="39" t="n"/>
      <c r="V27" s="39" t="n"/>
      <c r="W27" s="39" t="n"/>
      <c r="X27" s="39" t="n"/>
      <c r="Y27" s="39" t="n"/>
      <c r="Z27" s="39" t="n"/>
    </row>
    <row r="28">
      <c r="A28" s="39" t="n"/>
      <c r="B28" s="106" t="inlineStr">
        <is>
          <t>Meeting</t>
        </is>
      </c>
      <c r="C28" s="93">
        <f>SUMPRODUCT(('Work Register'!$G$5:$G$500="Meeting")*(('Work Register'!$E$5:$E$500="Captured")+('Work Register'!$E$5:$E$500="Next")+('Work Register'!$E$5:$E$500="In Progress")+('Work Register'!$E$5:$E$500="Waiting")))</f>
        <v/>
      </c>
      <c r="D28" s="93">
        <f>ROUND(SUMPRODUCT(('Work Register'!$G$5:$G$500="Meeting")*(('Work Register'!$E$5:$E$500="Captured")+('Work Register'!$E$5:$E$500="Next")+('Work Register'!$E$5:$E$500="In Progress")+('Work Register'!$E$5:$E$500="Waiting"))*'Work Register'!$M$5:$M$500)/60,1)</f>
        <v/>
      </c>
      <c r="E28" s="107">
        <f>IFERROR($D28/$D$30,0)</f>
        <v/>
      </c>
      <c r="F28" s="39" t="n"/>
      <c r="G28" s="39" t="n"/>
      <c r="H28" s="39" t="n"/>
      <c r="I28" s="39" t="n"/>
      <c r="J28" s="39" t="n"/>
      <c r="K28" s="39" t="n"/>
      <c r="L28" s="39" t="n"/>
      <c r="M28" s="39" t="n"/>
      <c r="N28" s="39" t="n"/>
      <c r="O28" s="39" t="n"/>
      <c r="P28" s="39" t="n"/>
      <c r="Q28" s="39" t="n"/>
      <c r="R28" s="39" t="n"/>
      <c r="S28" s="39" t="n"/>
      <c r="T28" s="39" t="n"/>
      <c r="U28" s="39" t="n"/>
      <c r="V28" s="39" t="n"/>
      <c r="W28" s="39" t="n"/>
      <c r="X28" s="39" t="n"/>
      <c r="Y28" s="39" t="n"/>
      <c r="Z28" s="39" t="n"/>
    </row>
    <row r="29" ht="24" customHeight="1">
      <c r="A29" s="39" t="n"/>
      <c r="B29" s="106" t="inlineStr">
        <is>
          <t>Low Energy</t>
        </is>
      </c>
      <c r="C29" s="93">
        <f>SUMPRODUCT(('Work Register'!$G$5:$G$500="Low Energy")*(('Work Register'!$E$5:$E$500="Captured")+('Work Register'!$E$5:$E$500="Next")+('Work Register'!$E$5:$E$500="In Progress")+('Work Register'!$E$5:$E$500="Waiting")))</f>
        <v/>
      </c>
      <c r="D29" s="93">
        <f>ROUND(SUMPRODUCT(('Work Register'!$G$5:$G$500="Low Energy")*(('Work Register'!$E$5:$E$500="Captured")+('Work Register'!$E$5:$E$500="Next")+('Work Register'!$E$5:$E$500="In Progress")+('Work Register'!$E$5:$E$500="Waiting"))*'Work Register'!$M$5:$M$500)/60,1)</f>
        <v/>
      </c>
      <c r="E29" s="107">
        <f>IFERROR($D29/$D$30,0)</f>
        <v/>
      </c>
      <c r="F29" s="39" t="n"/>
      <c r="G29" s="39" t="n"/>
      <c r="H29" s="39" t="n"/>
      <c r="I29" s="39" t="n"/>
      <c r="J29" s="39" t="n"/>
      <c r="K29" s="39" t="n"/>
      <c r="L29" s="39" t="n"/>
      <c r="M29" s="39" t="n"/>
      <c r="N29" s="39" t="n"/>
      <c r="O29" s="39" t="n"/>
      <c r="P29" s="39" t="n"/>
      <c r="Q29" s="39" t="n"/>
      <c r="R29" s="39" t="n"/>
      <c r="S29" s="39" t="n"/>
      <c r="T29" s="39" t="n"/>
      <c r="U29" s="39" t="n"/>
      <c r="V29" s="39" t="n"/>
      <c r="W29" s="39" t="n"/>
      <c r="X29" s="39" t="n"/>
      <c r="Y29" s="39" t="n"/>
      <c r="Z29" s="39" t="n"/>
    </row>
    <row r="30">
      <c r="A30" s="39" t="n"/>
      <c r="B30" s="108" t="inlineStr">
        <is>
          <t>Total</t>
        </is>
      </c>
      <c r="C30" s="109">
        <f>SUM(C25:C29)</f>
        <v/>
      </c>
      <c r="D30" s="109">
        <f>SUM(D25:D29)</f>
        <v/>
      </c>
      <c r="E30" s="110">
        <f>IFERROR(SUM(E25:E29),0)</f>
        <v/>
      </c>
      <c r="F30" s="39" t="n"/>
      <c r="G30" s="39" t="n"/>
      <c r="H30" s="39" t="n"/>
      <c r="I30" s="39" t="n"/>
      <c r="J30" s="39" t="n"/>
      <c r="K30" s="39" t="n"/>
      <c r="L30" s="39" t="n"/>
      <c r="M30" s="39" t="n"/>
      <c r="N30" s="39" t="n"/>
      <c r="O30" s="39" t="n"/>
      <c r="P30" s="39" t="n"/>
      <c r="Q30" s="39" t="n"/>
      <c r="R30" s="39" t="n"/>
      <c r="S30" s="39" t="n"/>
      <c r="T30" s="39" t="n"/>
      <c r="U30" s="39" t="n"/>
      <c r="V30" s="39" t="n"/>
      <c r="W30" s="39" t="n"/>
      <c r="X30" s="39" t="n"/>
      <c r="Y30" s="39" t="n"/>
      <c r="Z30" s="39" t="n"/>
    </row>
    <row r="31">
      <c r="A31" s="39" t="n"/>
      <c r="B31" s="39" t="n"/>
      <c r="C31" s="39" t="n"/>
      <c r="D31" s="39" t="n"/>
      <c r="E31" s="39" t="n"/>
      <c r="F31" s="39" t="n"/>
      <c r="G31" s="39" t="n"/>
      <c r="H31" s="39" t="n"/>
      <c r="I31" s="39" t="n"/>
      <c r="J31" s="39" t="n"/>
      <c r="K31" s="39" t="n"/>
      <c r="L31" s="39" t="n"/>
      <c r="M31" s="39" t="n"/>
      <c r="N31" s="39" t="n"/>
      <c r="O31" s="39" t="n"/>
      <c r="P31" s="39" t="n"/>
      <c r="Q31" s="39" t="n"/>
      <c r="R31" s="39" t="n"/>
      <c r="S31" s="39" t="n"/>
      <c r="T31" s="39" t="n"/>
      <c r="U31" s="39" t="n"/>
      <c r="V31" s="39" t="n"/>
      <c r="W31" s="39" t="n"/>
      <c r="X31" s="39" t="n"/>
      <c r="Y31" s="39" t="n"/>
      <c r="Z31" s="39" t="n"/>
    </row>
    <row r="32">
      <c r="A32" s="39" t="n"/>
      <c r="B32" s="89" t="inlineStr">
        <is>
          <t>Today is Best Suited To</t>
        </is>
      </c>
      <c r="C32" s="39" t="n"/>
      <c r="D32" s="39" t="n"/>
      <c r="E32" s="39" t="n"/>
      <c r="F32" s="39" t="n"/>
      <c r="G32" s="39" t="n"/>
      <c r="H32" s="39" t="n"/>
      <c r="I32" s="39" t="n"/>
      <c r="J32" s="39" t="n"/>
      <c r="K32" s="39" t="n"/>
      <c r="L32" s="39" t="n"/>
      <c r="M32" s="39" t="n"/>
      <c r="N32" s="39" t="n"/>
      <c r="O32" s="39" t="n"/>
      <c r="P32" s="39" t="n"/>
      <c r="Q32" s="39" t="n"/>
      <c r="R32" s="39" t="n"/>
      <c r="S32" s="39" t="n"/>
      <c r="T32" s="39" t="n"/>
      <c r="U32" s="39" t="n"/>
      <c r="V32" s="39" t="n"/>
      <c r="W32" s="39" t="n"/>
      <c r="X32" s="39" t="n"/>
      <c r="Y32" s="39" t="n"/>
      <c r="Z32" s="39" t="n"/>
    </row>
    <row r="33" ht="24" customHeight="1">
      <c r="A33" s="39" t="n"/>
      <c r="B33" s="144">
        <f>IFERROR(VLOOKUP(INDEX($B$25:$B$29,MATCH(MAX($D$25:$D$29),$D$25:$D$29,0)),Lists!$P$2:$Q$6,2,FALSE),"Add tasks to Work Register to see a recommendation")</f>
        <v/>
      </c>
      <c r="C33" s="113" t="n"/>
      <c r="D33" s="113" t="n"/>
      <c r="E33" s="114" t="n"/>
      <c r="F33" s="39" t="n"/>
      <c r="G33" s="39" t="n"/>
      <c r="H33" s="39" t="n"/>
      <c r="I33" s="39" t="n"/>
      <c r="J33" s="39" t="n"/>
      <c r="K33" s="39" t="n"/>
      <c r="L33" s="39" t="n"/>
      <c r="M33" s="39" t="n"/>
      <c r="N33" s="39" t="n"/>
      <c r="O33" s="39" t="n"/>
      <c r="P33" s="39" t="n"/>
      <c r="Q33" s="39" t="n"/>
      <c r="R33" s="39" t="n"/>
      <c r="S33" s="39" t="n"/>
      <c r="T33" s="39" t="n"/>
      <c r="U33" s="39" t="n"/>
      <c r="V33" s="39" t="n"/>
      <c r="W33" s="39" t="n"/>
      <c r="X33" s="39" t="n"/>
      <c r="Y33" s="39" t="n"/>
      <c r="Z33" s="39" t="n"/>
    </row>
    <row r="34">
      <c r="A34" s="39" t="n"/>
      <c r="B34" s="39" t="n"/>
      <c r="C34" s="39" t="n"/>
      <c r="D34" s="39" t="n"/>
      <c r="E34" s="39" t="n"/>
      <c r="F34" s="39" t="n"/>
      <c r="G34" s="39" t="n"/>
      <c r="H34" s="39" t="n"/>
      <c r="I34" s="39" t="n"/>
      <c r="J34" s="39" t="n"/>
      <c r="K34" s="39" t="n"/>
      <c r="L34" s="39" t="n"/>
      <c r="M34" s="39" t="n"/>
      <c r="N34" s="39" t="n"/>
      <c r="O34" s="39" t="n"/>
      <c r="P34" s="39" t="n"/>
      <c r="Q34" s="39" t="n"/>
      <c r="R34" s="39" t="n"/>
      <c r="S34" s="39" t="n"/>
      <c r="T34" s="39" t="n"/>
      <c r="U34" s="39" t="n"/>
      <c r="V34" s="39" t="n"/>
      <c r="W34" s="39" t="n"/>
      <c r="X34" s="39" t="n"/>
      <c r="Y34" s="39" t="n"/>
      <c r="Z34" s="39" t="n"/>
    </row>
    <row r="35">
      <c r="A35" s="39" t="n"/>
      <c r="B35" s="89" t="inlineStr">
        <is>
          <t>Needs Attention</t>
        </is>
      </c>
      <c r="C35" s="39" t="n"/>
      <c r="D35" s="39" t="n"/>
      <c r="E35" s="39" t="n"/>
      <c r="F35" s="39" t="n"/>
      <c r="G35" s="39" t="n"/>
      <c r="H35" s="39" t="n"/>
      <c r="I35" s="39" t="n"/>
      <c r="J35" s="39" t="n"/>
      <c r="K35" s="39" t="n"/>
      <c r="L35" s="39" t="n"/>
      <c r="M35" s="39" t="n"/>
      <c r="N35" s="39" t="n"/>
      <c r="O35" s="39" t="n"/>
      <c r="P35" s="39" t="n"/>
      <c r="Q35" s="39" t="n"/>
      <c r="R35" s="39" t="n"/>
      <c r="S35" s="39" t="n"/>
      <c r="T35" s="39" t="n"/>
      <c r="U35" s="39" t="n"/>
      <c r="V35" s="39" t="n"/>
      <c r="W35" s="39" t="n"/>
      <c r="X35" s="39" t="n"/>
      <c r="Y35" s="39" t="n"/>
      <c r="Z35" s="39" t="n"/>
    </row>
    <row r="36" ht="20" customHeight="1">
      <c r="A36" s="39" t="n"/>
      <c r="B36" s="145">
        <f>COUNTIF(Missions!$O$2:$O$9,TRUE)&amp;" active warning(s)"</f>
        <v/>
      </c>
      <c r="C36" s="113" t="n"/>
      <c r="D36" s="113" t="n"/>
      <c r="E36" s="114" t="n"/>
      <c r="F36" s="39" t="inlineStr">
        <is>
          <t>#Archive!A1</t>
        </is>
      </c>
      <c r="G36" s="39" t="n"/>
      <c r="H36" s="39" t="n"/>
      <c r="I36" s="39" t="n"/>
      <c r="J36" s="39" t="n"/>
      <c r="K36" s="39" t="n"/>
      <c r="L36" s="39" t="n"/>
      <c r="M36" s="39" t="n"/>
      <c r="N36" s="39" t="n"/>
      <c r="O36" s="39" t="n"/>
      <c r="P36" s="39" t="n"/>
      <c r="Q36" s="39" t="n"/>
      <c r="R36" s="39" t="n"/>
      <c r="S36" s="39" t="n"/>
      <c r="T36" s="39" t="n"/>
      <c r="U36" s="39" t="n"/>
      <c r="V36" s="39" t="n"/>
      <c r="W36" s="39" t="n"/>
      <c r="X36" s="39" t="n"/>
      <c r="Y36" s="39" t="n"/>
      <c r="Z36" s="39" t="n"/>
    </row>
    <row r="37" ht="26" customHeight="1">
      <c r="A37" s="39" t="n"/>
      <c r="B37" s="115">
        <f>IFERROR(TEXTJOIN("; ",TRUE,IF(Missions!$O$2,Missions!$N$2,""),IF(Missions!$O$3,Missions!$N$3,""),IF(Missions!$O$4,Missions!$N$4,""),IF(Missions!$O$5,Missions!$N$5,""),IF(Missions!$O$6,Missions!$N$6,""),IF(Missions!$O$7,Missions!$N$7,""),IF(Missions!$O$8,Missions!$N$8,""),IF(Missions!$O$9,Missions!$N$9,"")),"")</f>
        <v/>
      </c>
      <c r="F37" s="39" t="n"/>
      <c r="G37" s="39" t="n"/>
      <c r="H37" s="39" t="n"/>
      <c r="I37" s="39" t="n"/>
      <c r="J37" s="39" t="n"/>
      <c r="K37" s="39" t="n"/>
      <c r="L37" s="39" t="n"/>
      <c r="M37" s="39" t="n"/>
      <c r="N37" s="39" t="n"/>
      <c r="O37" s="39" t="n"/>
      <c r="P37" s="39" t="n"/>
      <c r="Q37" s="39" t="n"/>
      <c r="R37" s="39" t="n"/>
      <c r="S37" s="39" t="n"/>
      <c r="T37" s="39" t="n"/>
      <c r="U37" s="39" t="n"/>
      <c r="V37" s="39" t="n"/>
      <c r="W37" s="39" t="n"/>
      <c r="X37" s="39" t="n"/>
      <c r="Y37" s="39" t="n"/>
      <c r="Z37" s="39" t="n"/>
    </row>
    <row r="38">
      <c r="A38" s="39" t="n"/>
      <c r="B38" s="39" t="n"/>
      <c r="C38" s="39" t="n"/>
      <c r="D38" s="39" t="n"/>
      <c r="E38" s="39" t="n"/>
      <c r="F38" s="39" t="n"/>
      <c r="G38" s="39" t="n"/>
      <c r="H38" s="39" t="n"/>
      <c r="I38" s="39" t="n"/>
      <c r="J38" s="39" t="n"/>
      <c r="K38" s="39" t="n"/>
      <c r="L38" s="39" t="n"/>
      <c r="M38" s="39" t="n"/>
      <c r="N38" s="39" t="n"/>
      <c r="O38" s="39" t="n"/>
      <c r="P38" s="39" t="n"/>
      <c r="Q38" s="39" t="n"/>
      <c r="R38" s="39" t="n"/>
      <c r="S38" s="39" t="n"/>
      <c r="T38" s="39" t="n"/>
      <c r="U38" s="39" t="n"/>
      <c r="V38" s="39" t="n"/>
      <c r="W38" s="39" t="n"/>
      <c r="X38" s="39" t="n"/>
      <c r="Y38" s="39" t="n"/>
      <c r="Z38" s="39" t="n"/>
    </row>
    <row r="39">
      <c r="A39" s="39" t="n"/>
      <c r="B39" s="89" t="inlineStr">
        <is>
          <t>Quick Access</t>
        </is>
      </c>
      <c r="C39" s="39" t="n"/>
      <c r="D39" s="39" t="n"/>
      <c r="E39" s="39" t="n"/>
      <c r="F39" s="39" t="n"/>
      <c r="G39" s="39" t="n"/>
      <c r="H39" s="39" t="n"/>
      <c r="I39" s="39" t="n"/>
      <c r="J39" s="39" t="n"/>
      <c r="K39" s="39" t="n"/>
      <c r="L39" s="39" t="n"/>
      <c r="M39" s="39" t="n"/>
      <c r="N39" s="39" t="n"/>
      <c r="O39" s="39" t="n"/>
      <c r="P39" s="39" t="n"/>
      <c r="Q39" s="39" t="n"/>
      <c r="R39" s="39" t="n"/>
      <c r="S39" s="39" t="n"/>
      <c r="T39" s="39" t="n"/>
      <c r="U39" s="39" t="n"/>
      <c r="V39" s="39" t="n"/>
      <c r="W39" s="39" t="n"/>
      <c r="X39" s="39" t="n"/>
      <c r="Y39" s="39" t="n"/>
      <c r="Z39" s="39" t="n"/>
    </row>
    <row r="40" ht="20" customHeight="1">
      <c r="A40" s="39" t="n"/>
      <c r="B40" s="116" t="inlineStr">
        <is>
          <t>Current Focus</t>
        </is>
      </c>
      <c r="C40" s="116" t="inlineStr">
        <is>
          <t>Weekly Review</t>
        </is>
      </c>
      <c r="D40" s="116" t="inlineStr">
        <is>
          <t>Task Finder</t>
        </is>
      </c>
      <c r="E40" s="116" t="inlineStr">
        <is>
          <t>Missions</t>
        </is>
      </c>
      <c r="F40" s="116" t="inlineStr">
        <is>
          <t>Archive</t>
        </is>
      </c>
      <c r="G40" s="39" t="n"/>
      <c r="H40" s="39" t="n"/>
      <c r="I40" s="39" t="n"/>
      <c r="J40" s="39" t="n"/>
      <c r="K40" s="39" t="n"/>
      <c r="L40" s="39" t="n"/>
      <c r="M40" s="39" t="n"/>
      <c r="N40" s="39" t="n"/>
      <c r="O40" s="39" t="n"/>
      <c r="P40" s="39" t="n"/>
      <c r="Q40" s="39" t="n"/>
      <c r="R40" s="39" t="n"/>
      <c r="S40" s="39" t="n"/>
      <c r="T40" s="39" t="n"/>
      <c r="U40" s="39" t="n"/>
      <c r="V40" s="39" t="n"/>
      <c r="W40" s="39" t="n"/>
      <c r="X40" s="39" t="n"/>
      <c r="Y40" s="39" t="n"/>
      <c r="Z40" s="39" t="n"/>
    </row>
    <row r="41">
      <c r="A41" s="39" t="n"/>
      <c r="B41" s="39" t="n"/>
      <c r="C41" s="39" t="n"/>
      <c r="D41" s="39" t="n"/>
      <c r="E41" s="39" t="n"/>
      <c r="F41" s="39" t="n"/>
      <c r="G41" s="39" t="n"/>
      <c r="H41" s="39" t="n"/>
      <c r="I41" s="39" t="n"/>
      <c r="J41" s="39" t="n"/>
      <c r="K41" s="39" t="n"/>
      <c r="L41" s="39" t="n"/>
      <c r="M41" s="39" t="n"/>
      <c r="N41" s="39" t="n"/>
      <c r="O41" s="39" t="n"/>
      <c r="P41" s="39" t="n"/>
      <c r="Q41" s="39" t="n"/>
      <c r="R41" s="39" t="n"/>
      <c r="S41" s="39" t="n"/>
      <c r="T41" s="39" t="n"/>
      <c r="U41" s="39" t="n"/>
      <c r="V41" s="39" t="n"/>
      <c r="W41" s="39" t="n"/>
      <c r="X41" s="39" t="n"/>
      <c r="Y41" s="39" t="n"/>
      <c r="Z41" s="39" t="n"/>
    </row>
    <row r="42">
      <c r="A42" s="39" t="n"/>
      <c r="B42" s="39" t="n"/>
      <c r="C42" s="39" t="n"/>
      <c r="D42" s="39" t="n"/>
      <c r="E42" s="39" t="n"/>
      <c r="F42" s="39" t="n"/>
      <c r="G42" s="39" t="n"/>
      <c r="H42" s="39" t="n"/>
      <c r="I42" s="39" t="n"/>
      <c r="J42" s="39" t="n"/>
      <c r="K42" s="39" t="n"/>
      <c r="L42" s="39" t="n"/>
      <c r="M42" s="39" t="n"/>
      <c r="N42" s="39" t="n"/>
      <c r="O42" s="39" t="n"/>
      <c r="P42" s="39" t="n"/>
      <c r="Q42" s="39" t="n"/>
      <c r="R42" s="39" t="n"/>
      <c r="S42" s="39" t="n"/>
      <c r="T42" s="39" t="n"/>
      <c r="U42" s="39" t="n"/>
      <c r="V42" s="39" t="n"/>
      <c r="W42" s="39" t="n"/>
      <c r="X42" s="39" t="n"/>
      <c r="Y42" s="39" t="n"/>
      <c r="Z42" s="39" t="n"/>
    </row>
    <row r="43">
      <c r="A43" s="39" t="n"/>
      <c r="B43" s="39" t="n"/>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row>
    <row r="44">
      <c r="A44" s="39" t="n"/>
      <c r="B44" s="39" t="n"/>
      <c r="C44" s="39" t="n"/>
      <c r="D44" s="39" t="n"/>
      <c r="E44" s="39" t="n"/>
      <c r="F44" s="39" t="n"/>
      <c r="G44" s="39" t="n"/>
      <c r="H44" s="39" t="n"/>
      <c r="I44" s="39" t="n"/>
      <c r="J44" s="39" t="n"/>
      <c r="K44" s="39" t="n"/>
      <c r="L44" s="39" t="n"/>
      <c r="M44" s="39" t="n"/>
      <c r="N44" s="39" t="n"/>
      <c r="O44" s="39" t="n"/>
      <c r="P44" s="39" t="n"/>
      <c r="Q44" s="39" t="n"/>
      <c r="R44" s="39" t="n"/>
      <c r="S44" s="39" t="n"/>
      <c r="T44" s="39" t="n"/>
      <c r="U44" s="39" t="n"/>
      <c r="V44" s="39" t="n"/>
      <c r="W44" s="39" t="n"/>
      <c r="X44" s="39" t="n"/>
      <c r="Y44" s="39" t="n"/>
      <c r="Z44" s="39" t="n"/>
    </row>
    <row r="45">
      <c r="A45" s="39" t="n"/>
      <c r="B45" s="39" t="n"/>
      <c r="C45" s="39" t="n"/>
      <c r="D45" s="39" t="n"/>
      <c r="E45" s="39" t="n"/>
      <c r="F45" s="39" t="n"/>
      <c r="G45" s="39" t="n"/>
      <c r="H45" s="39" t="n"/>
      <c r="I45" s="39" t="n"/>
      <c r="J45" s="39" t="n"/>
      <c r="K45" s="39" t="n"/>
      <c r="L45" s="39" t="n"/>
      <c r="M45" s="39" t="n"/>
      <c r="N45" s="39" t="n"/>
      <c r="O45" s="39" t="n"/>
      <c r="P45" s="39" t="n"/>
      <c r="Q45" s="39" t="n"/>
      <c r="R45" s="39" t="n"/>
      <c r="S45" s="39" t="n"/>
      <c r="T45" s="39" t="n"/>
      <c r="U45" s="39" t="n"/>
      <c r="V45" s="39" t="n"/>
      <c r="W45" s="39" t="n"/>
      <c r="X45" s="39" t="n"/>
      <c r="Y45" s="39" t="n"/>
      <c r="Z45" s="39" t="n"/>
    </row>
  </sheetData>
  <sheetProtection selectLockedCells="0" selectUnlockedCells="0" sheet="1" objects="0" insertRows="1" insertHyperlinks="1" autoFilter="1" scenarios="0" formatColumns="1" deleteColumns="1" insertColumns="1" pivotTables="1" deleteRows="1" formatCells="1" formatRows="1" sort="1"/>
  <mergeCells count="13">
    <mergeCell ref="C16:E16"/>
    <mergeCell ref="B9:E9"/>
    <mergeCell ref="C11:E11"/>
    <mergeCell ref="C14:E14"/>
    <mergeCell ref="C13:E13"/>
    <mergeCell ref="C18:E18"/>
    <mergeCell ref="B33:E33"/>
    <mergeCell ref="C17:E17"/>
    <mergeCell ref="B37:E37"/>
    <mergeCell ref="C15:E15"/>
    <mergeCell ref="C12:E12"/>
    <mergeCell ref="B36:E36"/>
    <mergeCell ref="C10:E10"/>
  </mergeCells>
  <conditionalFormatting sqref="E25:E29">
    <cfRule type="dataBar" priority="1">
      <dataBar showValue="1">
        <cfvo type="num" val="0"/>
        <cfvo type="num" val="1"/>
        <color rgb="FF4472C4"/>
      </dataBar>
    </cfRule>
  </conditionalFormatting>
  <conditionalFormatting sqref="B36:E36">
    <cfRule type="expression" priority="2" dxfId="5">
      <formula>COUNTIF(Missions!$O$2:$O$9,TRUE)&gt;0</formula>
    </cfRule>
  </conditionalFormatting>
  <dataValidations count="2">
    <dataValidation sqref="C7" showDropDown="0" showInputMessage="0" showErrorMessage="0" allowBlank="1" type="list">
      <formula1>TimeList</formula1>
    </dataValidation>
    <dataValidation sqref="E7" showDropDown="0" showInputMessage="0" showErrorMessage="0" allowBlank="1" type="list">
      <formula1>EnergyList</formula1>
    </dataValidation>
  </dataValidations>
  <hyperlinks>
    <hyperlink xmlns:r="http://schemas.openxmlformats.org/officeDocument/2006/relationships" ref="B4" r:id="rId1"/>
    <hyperlink xmlns:r="http://schemas.openxmlformats.org/officeDocument/2006/relationships" ref="C4" r:id="rId2"/>
    <hyperlink xmlns:r="http://schemas.openxmlformats.org/officeDocument/2006/relationships" ref="D4" r:id="rId3"/>
    <hyperlink xmlns:r="http://schemas.openxmlformats.org/officeDocument/2006/relationships" ref="E4" r:id="rId4"/>
    <hyperlink xmlns:r="http://schemas.openxmlformats.org/officeDocument/2006/relationships" ref="B21" r:id="rId5"/>
    <hyperlink xmlns:r="http://schemas.openxmlformats.org/officeDocument/2006/relationships" ref="B22" r:id="rId6"/>
    <hyperlink xmlns:r="http://schemas.openxmlformats.org/officeDocument/2006/relationships" ref="B23" r:id="rId7"/>
    <hyperlink xmlns:r="http://schemas.openxmlformats.org/officeDocument/2006/relationships" ref="B36" r:id="rId8"/>
    <hyperlink xmlns:r="http://schemas.openxmlformats.org/officeDocument/2006/relationships" ref="F36" r:id="rId9"/>
    <hyperlink xmlns:r="http://schemas.openxmlformats.org/officeDocument/2006/relationships" ref="B40" r:id="rId10"/>
    <hyperlink xmlns:r="http://schemas.openxmlformats.org/officeDocument/2006/relationships" ref="C40" r:id="rId11"/>
    <hyperlink xmlns:r="http://schemas.openxmlformats.org/officeDocument/2006/relationships" ref="D40" r:id="rId12"/>
    <hyperlink xmlns:r="http://schemas.openxmlformats.org/officeDocument/2006/relationships" ref="E40" r:id="rId13"/>
    <hyperlink xmlns:r="http://schemas.openxmlformats.org/officeDocument/2006/relationships" ref="F40" r:id="rId14"/>
  </hyperlinks>
  <pageMargins left="0.5" right="0.5" top="0.5" bottom="0.5" header="0.5" footer="0.5"/>
  <pageSetup paperSize="1"/>
</worksheet>
</file>

<file path=xl/worksheets/sheet3.xml><?xml version="1.0" encoding="utf-8"?>
<worksheet xmlns="http://schemas.openxmlformats.org/spreadsheetml/2006/main">
  <sheetPr>
    <outlinePr summaryBelow="1" summaryRight="1"/>
    <pageSetUpPr/>
  </sheetPr>
  <dimension ref="A1:L37"/>
  <sheetViews>
    <sheetView showGridLines="0" workbookViewId="0">
      <selection activeCell="A1" sqref="A1"/>
    </sheetView>
  </sheetViews>
  <sheetFormatPr baseColWidth="8" defaultRowHeight="15"/>
  <cols>
    <col width="22" customWidth="1" min="1" max="1"/>
    <col width="18" customWidth="1" min="2" max="2"/>
    <col width="16" customWidth="1" min="3" max="3"/>
    <col width="22" customWidth="1" min="4" max="4"/>
    <col width="12" customWidth="1" min="5" max="5"/>
    <col width="10" customWidth="1" min="6" max="6"/>
    <col width="14" customWidth="1" min="7" max="7"/>
    <col width="12" customWidth="1" min="8" max="8"/>
    <col width="12" customWidth="1" min="9" max="9"/>
    <col width="10" customWidth="1" min="10" max="10"/>
    <col width="20" customWidth="1" min="11" max="11"/>
  </cols>
  <sheetData>
    <row r="1"/>
    <row r="2" ht="25" customHeight="1">
      <c r="B2" s="10" t="inlineStr">
        <is>
          <t>New Mission</t>
        </is>
      </c>
    </row>
    <row r="3" ht="20" customHeight="1">
      <c r="B3" s="11" t="inlineStr">
        <is>
          <t>← Home</t>
        </is>
      </c>
    </row>
    <row r="4"/>
    <row r="5">
      <c r="B5" s="4" t="inlineStr">
        <is>
          <t>Mission Name</t>
        </is>
      </c>
      <c r="C5" s="12" t="n"/>
    </row>
    <row r="6">
      <c r="B6" s="4" t="inlineStr">
        <is>
          <t>Outcome</t>
        </is>
      </c>
      <c r="C6" s="12" t="n"/>
    </row>
    <row r="7">
      <c r="B7" s="4" t="inlineStr">
        <is>
          <t>Why does this exist?</t>
        </is>
      </c>
      <c r="C7" s="12" t="n"/>
    </row>
    <row r="8">
      <c r="B8" s="4" t="inlineStr">
        <is>
          <t>Priority</t>
        </is>
      </c>
      <c r="C8" s="12" t="n"/>
    </row>
    <row r="9">
      <c r="B9" s="4" t="inlineStr">
        <is>
          <t>Due Date</t>
        </is>
      </c>
      <c r="C9" s="12" t="n"/>
    </row>
    <row r="10">
      <c r="B10" s="4" t="inlineStr">
        <is>
          <t>Status</t>
        </is>
      </c>
      <c r="C10" s="12" t="n"/>
    </row>
    <row r="11"/>
    <row r="12">
      <c r="A12" s="39" t="n"/>
      <c r="B12" s="89" t="inlineStr">
        <is>
          <t>Readiness Check</t>
        </is>
      </c>
      <c r="C12" s="39" t="n"/>
      <c r="D12" s="39" t="n"/>
      <c r="E12" s="39" t="n"/>
      <c r="F12" s="39" t="n"/>
      <c r="G12" s="39" t="n"/>
      <c r="H12" s="39" t="n"/>
      <c r="I12" s="39" t="n"/>
      <c r="J12" s="39" t="n"/>
      <c r="K12" s="39" t="n"/>
      <c r="L12" s="39" t="n"/>
    </row>
    <row r="13" ht="20" customHeight="1">
      <c r="A13" s="39" t="n"/>
      <c r="B13" s="146">
        <f>IF(AND($C$5&lt;&gt;"",$C$6&lt;&gt;"",$C$8&lt;&gt;"",COUNTIFS($C$17:$C$21,"&lt;&gt;",$D$17:$D$21,"&lt;&gt;",$E$17:$E$21,"&lt;&gt;")&gt;0),"✓ Ready — select and copy the block below into Work Register","⚠ Missing: "&amp;TEXTJOIN(", ",TRUE,IF($C$5="","Mission Name",""),IF($C$6="","Outcome",""),IF($C$8="","Priority",""),IF(COUNTIFS($C$17:$C$21,"&lt;&gt;",$D$17:$D$21,"&lt;&gt;",$E$17:$E$21,"&lt;&gt;")=0,"at least one complete Deliverable (Name + Component + Task)","")))</f>
        <v/>
      </c>
      <c r="C13" s="113" t="n"/>
      <c r="D13" s="113" t="n"/>
      <c r="E13" s="113" t="n"/>
      <c r="F13" s="114" t="n"/>
      <c r="G13" s="39" t="n"/>
      <c r="H13" s="39" t="n"/>
      <c r="I13" s="39" t="n"/>
      <c r="J13" s="39" t="n"/>
      <c r="K13" s="39" t="n"/>
      <c r="L13" s="39" t="n"/>
    </row>
    <row r="14" ht="16" customHeight="1">
      <c r="A14" s="39" t="n"/>
      <c r="B14" s="141">
        <f>IFERROR(IF(TEXTJOIN(", ",TRUE,IF(AND(OR($C17&lt;&gt;"",$D17&lt;&gt;"",$E17&lt;&gt;""),NOT(AND($C17&lt;&gt;"",$D17&lt;&gt;"",$E17&lt;&gt;""))),"D1",""),IF(AND(OR($C18&lt;&gt;"",$D18&lt;&gt;"",$E18&lt;&gt;""),NOT(AND($C18&lt;&gt;"",$D18&lt;&gt;"",$E18&lt;&gt;""))),"D2",""),IF(AND(OR($C19&lt;&gt;"",$D19&lt;&gt;"",$E19&lt;&gt;""),NOT(AND($C19&lt;&gt;"",$D19&lt;&gt;"",$E19&lt;&gt;""))),"D3",""),IF(AND(OR($C20&lt;&gt;"",$D20&lt;&gt;"",$E20&lt;&gt;""),NOT(AND($C20&lt;&gt;"",$D20&lt;&gt;"",$E20&lt;&gt;""))),"D4",""),IF(AND(OR($C21&lt;&gt;"",$D21&lt;&gt;"",$E21&lt;&gt;""),NOT(AND($C21&lt;&gt;"",$D21&lt;&gt;"",$E21&lt;&gt;""))),"D5",""))&lt;&gt;"","⚠ Incomplete: "&amp;TEXTJOIN(", ",TRUE,IF(AND(OR($C17&lt;&gt;"",$D17&lt;&gt;"",$E17&lt;&gt;""),NOT(AND($C17&lt;&gt;"",$D17&lt;&gt;"",$E17&lt;&gt;""))),"D1",""),IF(AND(OR($C18&lt;&gt;"",$D18&lt;&gt;"",$E18&lt;&gt;""),NOT(AND($C18&lt;&gt;"",$D18&lt;&gt;"",$E18&lt;&gt;""))),"D2",""),IF(AND(OR($C19&lt;&gt;"",$D19&lt;&gt;"",$E19&lt;&gt;""),NOT(AND($C19&lt;&gt;"",$D19&lt;&gt;"",$E19&lt;&gt;""))),"D3",""),IF(AND(OR($C20&lt;&gt;"",$D20&lt;&gt;"",$E20&lt;&gt;""),NOT(AND($C20&lt;&gt;"",$D20&lt;&gt;"",$E20&lt;&gt;""))),"D4",""),IF(AND(OR($C21&lt;&gt;"",$D21&lt;&gt;"",$E21&lt;&gt;""),NOT(AND($C21&lt;&gt;"",$D21&lt;&gt;"",$E21&lt;&gt;""))),"D5",""))&amp;" — missing Deliverable Name, Component, or Task on that row",""),"")</f>
        <v/>
      </c>
      <c r="G14" s="39" t="n"/>
      <c r="H14" s="39" t="n"/>
      <c r="I14" s="39" t="n"/>
      <c r="J14" s="39" t="n"/>
      <c r="K14" s="39" t="n"/>
      <c r="L14" s="39" t="n"/>
    </row>
    <row r="15">
      <c r="A15" s="39" t="n"/>
      <c r="B15" s="89" t="inlineStr">
        <is>
          <t>Deliverables</t>
        </is>
      </c>
      <c r="C15" s="39" t="n"/>
      <c r="D15" s="39" t="n"/>
      <c r="E15" s="39" t="n"/>
      <c r="F15" s="39" t="n"/>
      <c r="G15" s="39" t="n"/>
      <c r="H15" s="39" t="n"/>
      <c r="I15" s="39" t="n"/>
      <c r="J15" s="39" t="n"/>
      <c r="K15" s="39" t="n"/>
      <c r="L15" s="39" t="n"/>
    </row>
    <row r="16">
      <c r="A16" s="39" t="n"/>
      <c r="B16" s="39" t="n"/>
      <c r="C16" s="74" t="inlineStr">
        <is>
          <t>Deliverable Name</t>
        </is>
      </c>
      <c r="D16" s="74" t="inlineStr">
        <is>
          <t>Component</t>
        </is>
      </c>
      <c r="E16" s="74" t="inlineStr">
        <is>
          <t>Task (First Next Action)</t>
        </is>
      </c>
      <c r="F16" s="74" t="inlineStr">
        <is>
          <t>Energy</t>
        </is>
      </c>
      <c r="G16" s="74" t="inlineStr">
        <is>
          <t>Estimated Time</t>
        </is>
      </c>
      <c r="H16" s="39" t="n"/>
      <c r="I16" s="39" t="n"/>
      <c r="J16" s="39" t="n"/>
      <c r="K16" s="39" t="n"/>
      <c r="L16" s="39" t="n"/>
    </row>
    <row r="17">
      <c r="A17" s="39" t="n"/>
      <c r="B17" s="123" t="inlineStr">
        <is>
          <t>D1</t>
        </is>
      </c>
      <c r="C17" s="80" t="n"/>
      <c r="D17" s="80" t="n"/>
      <c r="E17" s="80" t="n"/>
      <c r="F17" s="80" t="n"/>
      <c r="G17" s="80" t="n"/>
      <c r="H17" s="39" t="n"/>
      <c r="I17" s="39" t="n"/>
      <c r="J17" s="39" t="n"/>
      <c r="K17" s="39" t="n"/>
      <c r="L17" s="39" t="n"/>
    </row>
    <row r="18">
      <c r="A18" s="39" t="n"/>
      <c r="B18" s="123" t="inlineStr">
        <is>
          <t>D2</t>
        </is>
      </c>
      <c r="C18" s="80" t="n"/>
      <c r="D18" s="80" t="n"/>
      <c r="E18" s="80" t="n"/>
      <c r="F18" s="80" t="n"/>
      <c r="G18" s="80" t="n"/>
      <c r="H18" s="39" t="n"/>
      <c r="I18" s="39" t="n"/>
      <c r="J18" s="39" t="n"/>
      <c r="K18" s="39" t="n"/>
      <c r="L18" s="39" t="n"/>
    </row>
    <row r="19">
      <c r="A19" s="39" t="n"/>
      <c r="B19" s="123" t="inlineStr">
        <is>
          <t>D3</t>
        </is>
      </c>
      <c r="C19" s="80" t="n"/>
      <c r="D19" s="80" t="n"/>
      <c r="E19" s="80" t="n"/>
      <c r="F19" s="80" t="n"/>
      <c r="G19" s="80" t="n"/>
      <c r="H19" s="39" t="n"/>
      <c r="I19" s="39" t="n"/>
      <c r="J19" s="39" t="n"/>
      <c r="K19" s="39" t="n"/>
      <c r="L19" s="39" t="n"/>
    </row>
    <row r="20">
      <c r="A20" s="39" t="n"/>
      <c r="B20" s="123" t="inlineStr">
        <is>
          <t>D4</t>
        </is>
      </c>
      <c r="C20" s="80" t="n"/>
      <c r="D20" s="80" t="n"/>
      <c r="E20" s="80" t="n"/>
      <c r="F20" s="80" t="n"/>
      <c r="G20" s="80" t="n"/>
      <c r="H20" s="39" t="n"/>
      <c r="I20" s="39" t="n"/>
      <c r="J20" s="39" t="n"/>
      <c r="K20" s="39" t="n"/>
      <c r="L20" s="39" t="n"/>
    </row>
    <row r="21">
      <c r="A21" s="39" t="n"/>
      <c r="B21" s="123" t="inlineStr">
        <is>
          <t>D5</t>
        </is>
      </c>
      <c r="C21" s="80" t="n"/>
      <c r="D21" s="80" t="n"/>
      <c r="E21" s="80" t="n"/>
      <c r="F21" s="80" t="n"/>
      <c r="G21" s="80" t="n"/>
      <c r="H21" s="39" t="n"/>
      <c r="I21" s="39" t="n"/>
      <c r="J21" s="39" t="n"/>
      <c r="K21" s="39" t="n"/>
      <c r="L21" s="39" t="n"/>
    </row>
    <row r="22">
      <c r="A22" s="39" t="n"/>
      <c r="B22" s="39" t="n"/>
      <c r="C22" s="39" t="n"/>
      <c r="D22" s="39" t="n"/>
      <c r="E22" s="39" t="n"/>
      <c r="F22" s="39" t="n"/>
      <c r="G22" s="39" t="n"/>
      <c r="H22" s="39" t="n"/>
      <c r="I22" s="39" t="n"/>
      <c r="J22" s="39" t="n"/>
      <c r="K22" s="39" t="n"/>
      <c r="L22" s="39" t="n"/>
    </row>
    <row r="23">
      <c r="A23" s="39" t="n"/>
      <c r="B23" s="89" t="inlineStr">
        <is>
          <t>Copy This Block Into Work Register</t>
        </is>
      </c>
      <c r="C23" s="39" t="n"/>
      <c r="D23" s="39" t="n"/>
      <c r="E23" s="39" t="n"/>
      <c r="F23" s="39" t="n"/>
      <c r="G23" s="39" t="n"/>
      <c r="H23" s="39" t="n"/>
      <c r="I23" s="39" t="n"/>
      <c r="J23" s="39" t="n"/>
      <c r="K23" s="39" t="n"/>
      <c r="L23" s="39" t="n"/>
    </row>
    <row r="24">
      <c r="A24" s="39" t="n"/>
      <c r="B24" s="83" t="inlineStr">
        <is>
          <t>Select A26:K30, copy, then paste into the first empty row of Work Register (starting at column A). Rows for Deliverables you didn't fill in will paste blank — delete them after pasting. Fill in Owner and Notes (columns J and K) either before or after pasting.</t>
        </is>
      </c>
      <c r="L24" s="39" t="n"/>
    </row>
    <row r="25">
      <c r="A25" s="74" t="inlineStr">
        <is>
          <t>Mission</t>
        </is>
      </c>
      <c r="B25" s="74" t="inlineStr">
        <is>
          <t>Deliverable</t>
        </is>
      </c>
      <c r="C25" s="74" t="inlineStr">
        <is>
          <t>Component</t>
        </is>
      </c>
      <c r="D25" s="74" t="inlineStr">
        <is>
          <t>Task</t>
        </is>
      </c>
      <c r="E25" s="74" t="inlineStr">
        <is>
          <t>Status</t>
        </is>
      </c>
      <c r="F25" s="74" t="inlineStr">
        <is>
          <t>Priority</t>
        </is>
      </c>
      <c r="G25" s="74" t="inlineStr">
        <is>
          <t>Energy</t>
        </is>
      </c>
      <c r="H25" s="74" t="inlineStr">
        <is>
          <t>Estimated Time</t>
        </is>
      </c>
      <c r="I25" s="74" t="inlineStr">
        <is>
          <t>Due Date</t>
        </is>
      </c>
      <c r="J25" s="74" t="inlineStr">
        <is>
          <t>Owner</t>
        </is>
      </c>
      <c r="K25" s="74" t="inlineStr">
        <is>
          <t>Notes</t>
        </is>
      </c>
      <c r="L25" s="39" t="n"/>
    </row>
    <row r="26">
      <c r="A26" s="95">
        <f>IF($C$17="","",$C$5)</f>
        <v/>
      </c>
      <c r="B26" s="95">
        <f>IF($C$17="","",$C$17)</f>
        <v/>
      </c>
      <c r="C26" s="95">
        <f>IF($C$17="","",$D$17)</f>
        <v/>
      </c>
      <c r="D26" s="95">
        <f>IF($C$17="","",$E$17)</f>
        <v/>
      </c>
      <c r="E26" s="96">
        <f>IF($C$17="","",$C$10)</f>
        <v/>
      </c>
      <c r="F26" s="96">
        <f>IF($C$17="","",$C$8)</f>
        <v/>
      </c>
      <c r="G26" s="96">
        <f>IF($C$17="","",$F$17)</f>
        <v/>
      </c>
      <c r="H26" s="96">
        <f>IF($C$17="","",$G$17)</f>
        <v/>
      </c>
      <c r="I26" s="96">
        <f>IF($C$17="","",$C$9)</f>
        <v/>
      </c>
      <c r="J26" s="124" t="n"/>
      <c r="K26" s="78" t="n"/>
      <c r="L26" s="39" t="n"/>
    </row>
    <row r="27">
      <c r="A27" s="95">
        <f>IF($C$18="","",$C$5)</f>
        <v/>
      </c>
      <c r="B27" s="95">
        <f>IF($C$18="","",$C$18)</f>
        <v/>
      </c>
      <c r="C27" s="95">
        <f>IF($C$18="","",$D$18)</f>
        <v/>
      </c>
      <c r="D27" s="95">
        <f>IF($C$18="","",$E$18)</f>
        <v/>
      </c>
      <c r="E27" s="96">
        <f>IF($C$18="","",$C$10)</f>
        <v/>
      </c>
      <c r="F27" s="96">
        <f>IF($C$18="","",$C$8)</f>
        <v/>
      </c>
      <c r="G27" s="96">
        <f>IF($C$18="","",$F$18)</f>
        <v/>
      </c>
      <c r="H27" s="96">
        <f>IF($C$18="","",$G$18)</f>
        <v/>
      </c>
      <c r="I27" s="96">
        <f>IF($C$18="","",$C$9)</f>
        <v/>
      </c>
      <c r="J27" s="124" t="n"/>
      <c r="K27" s="78" t="n"/>
      <c r="L27" s="39" t="n"/>
    </row>
    <row r="28">
      <c r="A28" s="95">
        <f>IF($C$19="","",$C$5)</f>
        <v/>
      </c>
      <c r="B28" s="95">
        <f>IF($C$19="","",$C$19)</f>
        <v/>
      </c>
      <c r="C28" s="95">
        <f>IF($C$19="","",$D$19)</f>
        <v/>
      </c>
      <c r="D28" s="95">
        <f>IF($C$19="","",$E$19)</f>
        <v/>
      </c>
      <c r="E28" s="96">
        <f>IF($C$19="","",$C$10)</f>
        <v/>
      </c>
      <c r="F28" s="96">
        <f>IF($C$19="","",$C$8)</f>
        <v/>
      </c>
      <c r="G28" s="96">
        <f>IF($C$19="","",$F$19)</f>
        <v/>
      </c>
      <c r="H28" s="96">
        <f>IF($C$19="","",$G$19)</f>
        <v/>
      </c>
      <c r="I28" s="96">
        <f>IF($C$19="","",$C$9)</f>
        <v/>
      </c>
      <c r="J28" s="124" t="n"/>
      <c r="K28" s="78" t="n"/>
      <c r="L28" s="39" t="n"/>
    </row>
    <row r="29">
      <c r="A29" s="95">
        <f>IF($C$20="","",$C$5)</f>
        <v/>
      </c>
      <c r="B29" s="95">
        <f>IF($C$20="","",$C$20)</f>
        <v/>
      </c>
      <c r="C29" s="95">
        <f>IF($C$20="","",$D$20)</f>
        <v/>
      </c>
      <c r="D29" s="95">
        <f>IF($C$20="","",$E$20)</f>
        <v/>
      </c>
      <c r="E29" s="96">
        <f>IF($C$20="","",$C$10)</f>
        <v/>
      </c>
      <c r="F29" s="96">
        <f>IF($C$20="","",$C$8)</f>
        <v/>
      </c>
      <c r="G29" s="96">
        <f>IF($C$20="","",$F$20)</f>
        <v/>
      </c>
      <c r="H29" s="96">
        <f>IF($C$20="","",$G$20)</f>
        <v/>
      </c>
      <c r="I29" s="96">
        <f>IF($C$20="","",$C$9)</f>
        <v/>
      </c>
      <c r="J29" s="124" t="n"/>
      <c r="K29" s="78" t="n"/>
      <c r="L29" s="39" t="n"/>
    </row>
    <row r="30">
      <c r="A30" s="95">
        <f>IF($C$21="","",$C$5)</f>
        <v/>
      </c>
      <c r="B30" s="95">
        <f>IF($C$21="","",$C$21)</f>
        <v/>
      </c>
      <c r="C30" s="95">
        <f>IF($C$21="","",$D$21)</f>
        <v/>
      </c>
      <c r="D30" s="95">
        <f>IF($C$21="","",$E$21)</f>
        <v/>
      </c>
      <c r="E30" s="96">
        <f>IF($C$21="","",$C$10)</f>
        <v/>
      </c>
      <c r="F30" s="96">
        <f>IF($C$21="","",$C$8)</f>
        <v/>
      </c>
      <c r="G30" s="96">
        <f>IF($C$21="","",$F$21)</f>
        <v/>
      </c>
      <c r="H30" s="96">
        <f>IF($C$21="","",$G$21)</f>
        <v/>
      </c>
      <c r="I30" s="96">
        <f>IF($C$21="","",$C$9)</f>
        <v/>
      </c>
      <c r="J30" s="124" t="n"/>
      <c r="K30" s="78" t="n"/>
      <c r="L30" s="39" t="n"/>
    </row>
    <row r="31">
      <c r="A31" s="39" t="n"/>
      <c r="B31" s="39" t="n"/>
      <c r="C31" s="39" t="n"/>
      <c r="D31" s="39" t="n"/>
      <c r="E31" s="39" t="n"/>
      <c r="F31" s="39" t="n"/>
      <c r="G31" s="39" t="n"/>
      <c r="H31" s="39" t="n"/>
      <c r="I31" s="39" t="n"/>
      <c r="J31" s="39" t="n"/>
      <c r="K31" s="39" t="n"/>
      <c r="L31" s="39" t="n"/>
    </row>
    <row r="32">
      <c r="A32" s="39" t="n"/>
      <c r="B32" s="82" t="inlineStr">
        <is>
          <t>How this works:</t>
        </is>
      </c>
      <c r="C32" s="39" t="n"/>
      <c r="D32" s="39" t="n"/>
      <c r="E32" s="39" t="n"/>
      <c r="F32" s="39" t="n"/>
      <c r="G32" s="39" t="n"/>
      <c r="H32" s="39" t="n"/>
      <c r="I32" s="39" t="n"/>
      <c r="J32" s="39" t="n"/>
      <c r="K32" s="39" t="n"/>
      <c r="L32" s="39" t="n"/>
    </row>
    <row r="33">
      <c r="A33" s="39" t="n"/>
      <c r="B33" s="83" t="inlineStr">
        <is>
          <t>This form does not automatically create records — Excel formulas can't write to another sheet</t>
        </is>
      </c>
      <c r="C33" s="39" t="n"/>
      <c r="D33" s="39" t="n"/>
      <c r="E33" s="39" t="n"/>
      <c r="F33" s="39" t="n"/>
      <c r="G33" s="39" t="n"/>
      <c r="H33" s="39" t="n"/>
      <c r="I33" s="39" t="n"/>
      <c r="J33" s="39" t="n"/>
      <c r="K33" s="39" t="n"/>
      <c r="L33" s="39" t="n"/>
    </row>
    <row r="34">
      <c r="A34" s="39" t="n"/>
      <c r="B34" s="83" t="inlineStr">
        <is>
          <t>on their own without VBA, which this workbook deliberately avoids for corporate compatibility.</t>
        </is>
      </c>
      <c r="C34" s="39" t="n"/>
      <c r="D34" s="39" t="n"/>
      <c r="E34" s="39" t="n"/>
      <c r="F34" s="39" t="n"/>
      <c r="G34" s="39" t="n"/>
      <c r="H34" s="39" t="n"/>
      <c r="I34" s="39" t="n"/>
      <c r="J34" s="39" t="n"/>
      <c r="K34" s="39" t="n"/>
      <c r="L34" s="39" t="n"/>
    </row>
    <row r="35">
      <c r="A35" s="39" t="n"/>
      <c r="B35" s="83" t="inlineStr">
        <is>
          <t>Fill in the Mission fields and up to 5 Deliverables above; the Readiness Check tells you when</t>
        </is>
      </c>
      <c r="C35" s="39" t="n"/>
      <c r="D35" s="39" t="n"/>
      <c r="E35" s="39" t="n"/>
      <c r="F35" s="39" t="n"/>
      <c r="G35" s="39" t="n"/>
      <c r="H35" s="39" t="n"/>
      <c r="I35" s="39" t="n"/>
      <c r="J35" s="39" t="n"/>
      <c r="K35" s="39" t="n"/>
      <c r="L35" s="39" t="n"/>
    </row>
    <row r="36">
      <c r="B36" s="84" t="inlineStr">
        <is>
          <t>you're good to go. The block below auto-fills Mission/Status/Priority/Due Date for you, so you</t>
        </is>
      </c>
    </row>
    <row r="37">
      <c r="B37" s="84" t="inlineStr">
        <is>
          <t>only type each Deliverable's details once. Copy it into Work Register, done in one paste.</t>
        </is>
      </c>
    </row>
  </sheetData>
  <sheetProtection selectLockedCells="0" selectUnlockedCells="0" sheet="1" objects="0" insertRows="1" insertHyperlinks="1" autoFilter="1" scenarios="0" formatColumns="1" deleteColumns="1" insertColumns="1" pivotTables="1" deleteRows="1" formatCells="1" formatRows="1" sort="1"/>
  <mergeCells count="3">
    <mergeCell ref="B13:F13"/>
    <mergeCell ref="B24:K24"/>
    <mergeCell ref="B14:F14"/>
  </mergeCells>
  <dataValidations count="4">
    <dataValidation sqref="C8" showDropDown="0" showInputMessage="0" showErrorMessage="0" allowBlank="1" type="list">
      <formula1>PriorityList</formula1>
    </dataValidation>
    <dataValidation sqref="C10" showDropDown="0" showInputMessage="0" showErrorMessage="0" allowBlank="1" type="list">
      <formula1>StatusList</formula1>
    </dataValidation>
    <dataValidation sqref="F17 F18 F19 F20 F21" showDropDown="0" showInputMessage="0" showErrorMessage="0" allowBlank="1" type="list">
      <formula1>EnergyList</formula1>
    </dataValidation>
    <dataValidation sqref="G17 G18 G19 G20 G21" showDropDown="0" showInputMessage="0" showErrorMessage="0" allowBlank="1" type="list">
      <formula1>TimeList</formula1>
    </dataValidation>
  </dataValidations>
  <hyperlinks>
    <hyperlink xmlns:r="http://schemas.openxmlformats.org/officeDocument/2006/relationships" ref="B3"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500"/>
  <sheetViews>
    <sheetView showGridLines="0" workbookViewId="0">
      <selection activeCell="A1" sqref="A1"/>
    </sheetView>
  </sheetViews>
  <sheetFormatPr baseColWidth="8" defaultRowHeight="15"/>
  <cols>
    <col width="20" customWidth="1" min="1" max="1"/>
    <col width="20" customWidth="1" min="2" max="2"/>
    <col width="18" customWidth="1" min="3" max="3"/>
    <col width="25" customWidth="1" min="4" max="4"/>
    <col width="15" customWidth="1" min="5" max="5"/>
    <col width="12" customWidth="1" min="6" max="6"/>
    <col width="16" customWidth="1" min="7" max="7"/>
    <col width="16" customWidth="1" min="8" max="8"/>
    <col width="12" customWidth="1" min="9" max="9"/>
    <col width="10" customWidth="1" min="10" max="10"/>
    <col width="25" customWidth="1" min="11" max="11"/>
    <col width="14" customWidth="1" min="12" max="12"/>
    <col width="10" customWidth="1" min="13" max="13"/>
    <col width="9" customWidth="1" min="14" max="14"/>
    <col width="34" customWidth="1" min="15" max="15"/>
    <col width="12" customWidth="1" min="16" max="16"/>
  </cols>
  <sheetData>
    <row r="1">
      <c r="A1" s="10" t="inlineStr">
        <is>
          <t>Work Register</t>
        </is>
      </c>
    </row>
    <row r="2" ht="20" customHeight="1">
      <c r="A2" s="11" t="inlineStr">
        <is>
          <t>← Home</t>
        </is>
      </c>
    </row>
    <row r="3">
      <c r="H3" s="84">
        <f>COUNTIF($D$5:$D$500,"&lt;&gt;")&amp;" of 496 task rows used"</f>
        <v/>
      </c>
      <c r="L3" s="33" t="inlineStr">
        <is>
          <t>Columns L–P power the recommendation engine — formulas cover rows 5–500 (496 tasks). Safe to leave as-is.</t>
        </is>
      </c>
    </row>
    <row r="4">
      <c r="A4" s="16" t="inlineStr">
        <is>
          <t>Mission</t>
        </is>
      </c>
      <c r="B4" s="16" t="inlineStr">
        <is>
          <t>Deliverable</t>
        </is>
      </c>
      <c r="C4" s="16" t="inlineStr">
        <is>
          <t>Component</t>
        </is>
      </c>
      <c r="D4" s="16" t="inlineStr">
        <is>
          <t>Task</t>
        </is>
      </c>
      <c r="E4" s="16" t="inlineStr">
        <is>
          <t>Status</t>
        </is>
      </c>
      <c r="F4" s="16" t="inlineStr">
        <is>
          <t>Priority</t>
        </is>
      </c>
      <c r="G4" s="16" t="inlineStr">
        <is>
          <t>Energy</t>
        </is>
      </c>
      <c r="H4" s="16" t="inlineStr">
        <is>
          <t>Estimated Time</t>
        </is>
      </c>
      <c r="I4" s="16" t="inlineStr">
        <is>
          <t>Due Date</t>
        </is>
      </c>
      <c r="J4" s="16" t="inlineStr">
        <is>
          <t>Owner</t>
        </is>
      </c>
      <c r="K4" s="16" t="inlineStr">
        <is>
          <t>Notes</t>
        </is>
      </c>
      <c r="L4" s="16" t="inlineStr">
        <is>
          <t>Last Updated</t>
        </is>
      </c>
      <c r="M4" s="16" t="inlineStr">
        <is>
          <t>Minutes</t>
        </is>
      </c>
      <c r="N4" s="16" t="inlineStr">
        <is>
          <t>Score</t>
        </is>
      </c>
      <c r="O4" s="16" t="inlineStr">
        <is>
          <t>Reason</t>
        </is>
      </c>
      <c r="P4" s="16" t="inlineStr">
        <is>
          <t>Filter Match</t>
        </is>
      </c>
    </row>
    <row r="5">
      <c r="A5" s="15" t="inlineStr">
        <is>
          <t>Operational Resilience Framework</t>
        </is>
      </c>
      <c r="B5" s="15" t="inlineStr">
        <is>
          <t>Framework</t>
        </is>
      </c>
      <c r="C5" s="15" t="inlineStr">
        <is>
          <t>Role Cards</t>
        </is>
      </c>
      <c r="D5" s="15" t="inlineStr">
        <is>
          <t>Rewrite Coordinator Role</t>
        </is>
      </c>
      <c r="E5" s="17" t="inlineStr">
        <is>
          <t>In Progress</t>
        </is>
      </c>
      <c r="F5" s="17" t="inlineStr">
        <is>
          <t>High</t>
        </is>
      </c>
      <c r="G5" s="17" t="inlineStr">
        <is>
          <t>Deep Thinking</t>
        </is>
      </c>
      <c r="H5" s="17" t="inlineStr">
        <is>
          <t>90+ mins</t>
        </is>
      </c>
      <c r="I5" s="18" t="n">
        <v>46243.24672175926</v>
      </c>
      <c r="J5" s="15" t="inlineStr">
        <is>
          <t>TJR</t>
        </is>
      </c>
      <c r="K5" s="15" t="inlineStr">
        <is>
          <t>Updated role mapping</t>
        </is>
      </c>
      <c r="L5" s="34" t="n">
        <v>46239.24672175926</v>
      </c>
      <c r="M5" s="5">
        <f>IF($D5="","",IFERROR(VLOOKUP($H5,Lists!$N$2:$O$6,2,FALSE),0))</f>
        <v/>
      </c>
      <c r="N5" s="5">
        <f>IF($D5="","",IF(OR($E5="Blocked",$E5="Done",$E5="Archive"),-9999,IF(AND($E5="Waiting",SUMPRODUCT((($E$5:$E$500="Next")+($E$5:$E$500="In Progress")+($E$5:$E$500="Captured"))*($D$5:$D$500&lt;&gt;""))&gt;0),-500,VLOOKUP($F5,Lists!$L$2:$M$4,2,FALSE)+IF($E5="In Progress",10,0)+IF(AND($I5&lt;&gt;"",$I5&lt;TODAY()),25,0)+IF(AND($I5&lt;&gt;"",$I5&gt;=TODAY(),$I5&lt;=TODAY()+7),15,0)+IF($H5="",0,IF($M5&lt;=VLOOKUP(Home!$C$7,Lists!$N$2:$O$6,2,FALSE),20,-10))+IF($G5=Home!$E$7,15,IF(Home!$E$7="",0,-5))-ROW()/100000)))</f>
        <v/>
      </c>
      <c r="O5" s="5">
        <f>IF($D5="","",IF($N5&lt;=-500,"Not recommended right now",IF($E5="Waiting","Nothing else actionable right now — Waiting on: "&amp;IF($K5="","this item",$K5),TEXTJOIN(" • ",TRUE,IF($F5="High","High Priority",""),IF(AND($I5&lt;&gt;"",$I5&lt;TODAY()),"Overdue",""),IF(AND($I5&lt;&gt;"",$I5&gt;=TODAY(),$I5&lt;=TODAY()+7),"Due This Week",""),IF(AND($H5&lt;&gt;"",$M5&lt;=VLOOKUP(Home!$C$7,Lists!$N$2:$O$6,2,FALSE)),$H5&amp;" Task",""),IF($G5=Home!$E$7,"Fits Current Energy",""),"No Blockers"))))</f>
        <v/>
      </c>
      <c r="P5" s="5">
        <f>IF($D5="","",SWITCH('Task Finder'!$C$6,"High Priority",AND($F5="High",$E5&lt;&gt;"Done",$E5&lt;&gt;"Archive"),"Due This Week",AND($I5&lt;&gt;"",$I5&gt;=TODAY(),$I5&lt;=TODAY()+7,$E5&lt;&gt;"Done"),"Quick Wins (15 mins or less)",AND($M5&lt;=15,$E5&lt;&gt;"Done",$E5&lt;&gt;"Blocked"),"Deep Thinking",AND($G5="Deep Thinking",$E5&lt;&gt;"Done"),"Processing",AND($G5="Processing",$E5&lt;&gt;"Done"),"Blocked",$E5="Blocked","Waiting",$E5="Waiting","Recently Updated",AND($L5&lt;&gt;"",$L5&gt;=TODAY()-7),"Keyword",AND('Task Finder'!$C$7&lt;&gt;"",OR(ISNUMBER(SEARCH('Task Finder'!$C$7,$A5)),ISNUMBER(SEARCH('Task Finder'!$C$7,$B5)),ISNUMBER(SEARCH('Task Finder'!$C$7,$C5)),ISNUMBER(SEARCH('Task Finder'!$C$7,$D5)),ISNUMBER(SEARCH('Task Finder'!$C$7,$K5)))),TRUE))</f>
        <v/>
      </c>
    </row>
    <row r="6">
      <c r="A6" s="15" t="inlineStr">
        <is>
          <t>Operational Resilience Framework</t>
        </is>
      </c>
      <c r="B6" s="15" t="inlineStr">
        <is>
          <t>Framework</t>
        </is>
      </c>
      <c r="C6" s="15" t="inlineStr">
        <is>
          <t>Role Cards</t>
        </is>
      </c>
      <c r="D6" s="15" t="inlineStr">
        <is>
          <t>Review Governance Section</t>
        </is>
      </c>
      <c r="E6" s="17" t="inlineStr">
        <is>
          <t>Waiting</t>
        </is>
      </c>
      <c r="F6" s="17" t="inlineStr">
        <is>
          <t>High</t>
        </is>
      </c>
      <c r="G6" s="17" t="inlineStr">
        <is>
          <t>Processing</t>
        </is>
      </c>
      <c r="H6" s="17" t="inlineStr">
        <is>
          <t>60 mins</t>
        </is>
      </c>
      <c r="I6" s="18" t="n">
        <v>46252.24672175926</v>
      </c>
      <c r="J6" s="15" t="inlineStr">
        <is>
          <t>TJR</t>
        </is>
      </c>
      <c r="K6" s="15" t="inlineStr">
        <is>
          <t>Awaiting feedback</t>
        </is>
      </c>
      <c r="L6" s="34" t="n">
        <v>46234.24672175926</v>
      </c>
      <c r="M6" s="5">
        <f>IF($D6="","",IFERROR(VLOOKUP($H6,Lists!$N$2:$O$6,2,FALSE),0))</f>
        <v/>
      </c>
      <c r="N6" s="5">
        <f>IF($D6="","",IF(OR($E6="Blocked",$E6="Done",$E6="Archive"),-9999,IF(AND($E6="Waiting",SUMPRODUCT((($E$5:$E$500="Next")+($E$5:$E$500="In Progress")+($E$5:$E$500="Captured"))*($D$5:$D$500&lt;&gt;""))&gt;0),-500,VLOOKUP($F6,Lists!$L$2:$M$4,2,FALSE)+IF($E6="In Progress",10,0)+IF(AND($I6&lt;&gt;"",$I6&lt;TODAY()),25,0)+IF(AND($I6&lt;&gt;"",$I6&gt;=TODAY(),$I6&lt;=TODAY()+7),15,0)+IF($H6="",0,IF($M6&lt;=VLOOKUP(Home!$C$7,Lists!$N$2:$O$6,2,FALSE),20,-10))+IF($G6=Home!$E$7,15,IF(Home!$E$7="",0,-5))-ROW()/100000)))</f>
        <v/>
      </c>
      <c r="O6" s="5">
        <f>IF($D6="","",IF($N6&lt;=-500,"Not recommended right now",IF($E6="Waiting","Nothing else actionable right now — Waiting on: "&amp;IF($K6="","this item",$K6),TEXTJOIN(" • ",TRUE,IF($F6="High","High Priority",""),IF(AND($I6&lt;&gt;"",$I6&lt;TODAY()),"Overdue",""),IF(AND($I6&lt;&gt;"",$I6&gt;=TODAY(),$I6&lt;=TODAY()+7),"Due This Week",""),IF(AND($H6&lt;&gt;"",$M6&lt;=VLOOKUP(Home!$C$7,Lists!$N$2:$O$6,2,FALSE)),$H6&amp;" Task",""),IF($G6=Home!$E$7,"Fits Current Energy",""),"No Blockers"))))</f>
        <v/>
      </c>
      <c r="P6" s="5">
        <f>IF($D6="","",SWITCH('Task Finder'!$C$6,"High Priority",AND($F6="High",$E6&lt;&gt;"Done",$E6&lt;&gt;"Archive"),"Due This Week",AND($I6&lt;&gt;"",$I6&gt;=TODAY(),$I6&lt;=TODAY()+7,$E6&lt;&gt;"Done"),"Quick Wins (15 mins or less)",AND($M6&lt;=15,$E6&lt;&gt;"Done",$E6&lt;&gt;"Blocked"),"Deep Thinking",AND($G6="Deep Thinking",$E6&lt;&gt;"Done"),"Processing",AND($G6="Processing",$E6&lt;&gt;"Done"),"Blocked",$E6="Blocked","Waiting",$E6="Waiting","Recently Updated",AND($L6&lt;&gt;"",$L6&gt;=TODAY()-7),"Keyword",AND('Task Finder'!$C$7&lt;&gt;"",OR(ISNUMBER(SEARCH('Task Finder'!$C$7,$A6)),ISNUMBER(SEARCH('Task Finder'!$C$7,$B6)),ISNUMBER(SEARCH('Task Finder'!$C$7,$C6)),ISNUMBER(SEARCH('Task Finder'!$C$7,$D6)),ISNUMBER(SEARCH('Task Finder'!$C$7,$K6)))),TRUE))</f>
        <v/>
      </c>
    </row>
    <row r="7">
      <c r="A7" s="15" t="inlineStr">
        <is>
          <t>Operational Resilience Framework</t>
        </is>
      </c>
      <c r="B7" s="15" t="inlineStr">
        <is>
          <t>Exercises</t>
        </is>
      </c>
      <c r="C7" s="15" t="inlineStr">
        <is>
          <t>Training</t>
        </is>
      </c>
      <c r="D7" s="15" t="inlineStr">
        <is>
          <t>Draft Exercise Plan</t>
        </is>
      </c>
      <c r="E7" s="17" t="inlineStr">
        <is>
          <t>Captured</t>
        </is>
      </c>
      <c r="F7" s="17" t="inlineStr">
        <is>
          <t>Medium</t>
        </is>
      </c>
      <c r="G7" s="17" t="inlineStr">
        <is>
          <t>Admin</t>
        </is>
      </c>
      <c r="H7" s="17" t="inlineStr">
        <is>
          <t>30 mins</t>
        </is>
      </c>
      <c r="I7" s="18" t="n">
        <v>46238.24672175926</v>
      </c>
      <c r="J7" s="15" t="inlineStr">
        <is>
          <t>TJR</t>
        </is>
      </c>
      <c r="K7" s="15" t="inlineStr">
        <is>
          <t>Initial outline needed</t>
        </is>
      </c>
      <c r="L7" s="34" t="n">
        <v>46224.24672175926</v>
      </c>
      <c r="M7" s="5">
        <f>IF($D7="","",IFERROR(VLOOKUP($H7,Lists!$N$2:$O$6,2,FALSE),0))</f>
        <v/>
      </c>
      <c r="N7" s="5">
        <f>IF($D7="","",IF(OR($E7="Blocked",$E7="Done",$E7="Archive"),-9999,IF(AND($E7="Waiting",SUMPRODUCT((($E$5:$E$500="Next")+($E$5:$E$500="In Progress")+($E$5:$E$500="Captured"))*($D$5:$D$500&lt;&gt;""))&gt;0),-500,VLOOKUP($F7,Lists!$L$2:$M$4,2,FALSE)+IF($E7="In Progress",10,0)+IF(AND($I7&lt;&gt;"",$I7&lt;TODAY()),25,0)+IF(AND($I7&lt;&gt;"",$I7&gt;=TODAY(),$I7&lt;=TODAY()+7),15,0)+IF($H7="",0,IF($M7&lt;=VLOOKUP(Home!$C$7,Lists!$N$2:$O$6,2,FALSE),20,-10))+IF($G7=Home!$E$7,15,IF(Home!$E$7="",0,-5))-ROW()/100000)))</f>
        <v/>
      </c>
      <c r="O7" s="5">
        <f>IF($D7="","",IF($N7&lt;=-500,"Not recommended right now",IF($E7="Waiting","Nothing else actionable right now — Waiting on: "&amp;IF($K7="","this item",$K7),TEXTJOIN(" • ",TRUE,IF($F7="High","High Priority",""),IF(AND($I7&lt;&gt;"",$I7&lt;TODAY()),"Overdue",""),IF(AND($I7&lt;&gt;"",$I7&gt;=TODAY(),$I7&lt;=TODAY()+7),"Due This Week",""),IF(AND($H7&lt;&gt;"",$M7&lt;=VLOOKUP(Home!$C$7,Lists!$N$2:$O$6,2,FALSE)),$H7&amp;" Task",""),IF($G7=Home!$E$7,"Fits Current Energy",""),"No Blockers"))))</f>
        <v/>
      </c>
      <c r="P7" s="5">
        <f>IF($D7="","",SWITCH('Task Finder'!$C$6,"High Priority",AND($F7="High",$E7&lt;&gt;"Done",$E7&lt;&gt;"Archive"),"Due This Week",AND($I7&lt;&gt;"",$I7&gt;=TODAY(),$I7&lt;=TODAY()+7,$E7&lt;&gt;"Done"),"Quick Wins (15 mins or less)",AND($M7&lt;=15,$E7&lt;&gt;"Done",$E7&lt;&gt;"Blocked"),"Deep Thinking",AND($G7="Deep Thinking",$E7&lt;&gt;"Done"),"Processing",AND($G7="Processing",$E7&lt;&gt;"Done"),"Blocked",$E7="Blocked","Waiting",$E7="Waiting","Recently Updated",AND($L7&lt;&gt;"",$L7&gt;=TODAY()-7),"Keyword",AND('Task Finder'!$C$7&lt;&gt;"",OR(ISNUMBER(SEARCH('Task Finder'!$C$7,$A7)),ISNUMBER(SEARCH('Task Finder'!$C$7,$B7)),ISNUMBER(SEARCH('Task Finder'!$C$7,$C7)),ISNUMBER(SEARCH('Task Finder'!$C$7,$D7)),ISNUMBER(SEARCH('Task Finder'!$C$7,$K7)))),TRUE))</f>
        <v/>
      </c>
    </row>
    <row r="8">
      <c r="A8" s="15" t="inlineStr">
        <is>
          <t>Operational Resilience Framework</t>
        </is>
      </c>
      <c r="B8" s="15" t="inlineStr">
        <is>
          <t>Training</t>
        </is>
      </c>
      <c r="C8" s="15" t="inlineStr">
        <is>
          <t>Training</t>
        </is>
      </c>
      <c r="D8" s="15" t="inlineStr">
        <is>
          <t>Publish Version 1</t>
        </is>
      </c>
      <c r="E8" s="17" t="inlineStr">
        <is>
          <t>Next</t>
        </is>
      </c>
      <c r="F8" s="17" t="inlineStr">
        <is>
          <t>High</t>
        </is>
      </c>
      <c r="G8" s="17" t="inlineStr">
        <is>
          <t>Admin</t>
        </is>
      </c>
      <c r="H8" s="17" t="inlineStr">
        <is>
          <t>15 mins</t>
        </is>
      </c>
      <c r="I8" s="18" t="n">
        <v>46241.24672175926</v>
      </c>
      <c r="J8" s="15" t="inlineStr">
        <is>
          <t>TJR</t>
        </is>
      </c>
      <c r="K8" s="15" t="inlineStr">
        <is>
          <t>Final review pending</t>
        </is>
      </c>
      <c r="L8" s="34" t="n">
        <v>46238.24672175926</v>
      </c>
      <c r="M8" s="5">
        <f>IF($D8="","",IFERROR(VLOOKUP($H8,Lists!$N$2:$O$6,2,FALSE),0))</f>
        <v/>
      </c>
      <c r="N8" s="5">
        <f>IF($D8="","",IF(OR($E8="Blocked",$E8="Done",$E8="Archive"),-9999,IF(AND($E8="Waiting",SUMPRODUCT((($E$5:$E$500="Next")+($E$5:$E$500="In Progress")+($E$5:$E$500="Captured"))*($D$5:$D$500&lt;&gt;""))&gt;0),-500,VLOOKUP($F8,Lists!$L$2:$M$4,2,FALSE)+IF($E8="In Progress",10,0)+IF(AND($I8&lt;&gt;"",$I8&lt;TODAY()),25,0)+IF(AND($I8&lt;&gt;"",$I8&gt;=TODAY(),$I8&lt;=TODAY()+7),15,0)+IF($H8="",0,IF($M8&lt;=VLOOKUP(Home!$C$7,Lists!$N$2:$O$6,2,FALSE),20,-10))+IF($G8=Home!$E$7,15,IF(Home!$E$7="",0,-5))-ROW()/100000)))</f>
        <v/>
      </c>
      <c r="O8" s="5">
        <f>IF($D8="","",IF($N8&lt;=-500,"Not recommended right now",IF($E8="Waiting","Nothing else actionable right now — Waiting on: "&amp;IF($K8="","this item",$K8),TEXTJOIN(" • ",TRUE,IF($F8="High","High Priority",""),IF(AND($I8&lt;&gt;"",$I8&lt;TODAY()),"Overdue",""),IF(AND($I8&lt;&gt;"",$I8&gt;=TODAY(),$I8&lt;=TODAY()+7),"Due This Week",""),IF(AND($H8&lt;&gt;"",$M8&lt;=VLOOKUP(Home!$C$7,Lists!$N$2:$O$6,2,FALSE)),$H8&amp;" Task",""),IF($G8=Home!$E$7,"Fits Current Energy",""),"No Blockers"))))</f>
        <v/>
      </c>
      <c r="P8" s="5">
        <f>IF($D8="","",SWITCH('Task Finder'!$C$6,"High Priority",AND($F8="High",$E8&lt;&gt;"Done",$E8&lt;&gt;"Archive"),"Due This Week",AND($I8&lt;&gt;"",$I8&gt;=TODAY(),$I8&lt;=TODAY()+7,$E8&lt;&gt;"Done"),"Quick Wins (15 mins or less)",AND($M8&lt;=15,$E8&lt;&gt;"Done",$E8&lt;&gt;"Blocked"),"Deep Thinking",AND($G8="Deep Thinking",$E8&lt;&gt;"Done"),"Processing",AND($G8="Processing",$E8&lt;&gt;"Done"),"Blocked",$E8="Blocked","Waiting",$E8="Waiting","Recently Updated",AND($L8&lt;&gt;"",$L8&gt;=TODAY()-7),"Keyword",AND('Task Finder'!$C$7&lt;&gt;"",OR(ISNUMBER(SEARCH('Task Finder'!$C$7,$A8)),ISNUMBER(SEARCH('Task Finder'!$C$7,$B8)),ISNUMBER(SEARCH('Task Finder'!$C$7,$C8)),ISNUMBER(SEARCH('Task Finder'!$C$7,$D8)),ISNUMBER(SEARCH('Task Finder'!$C$7,$K8)))),TRUE))</f>
        <v/>
      </c>
    </row>
    <row r="9">
      <c r="A9" s="15" t="inlineStr">
        <is>
          <t>Operational Resilience Framework</t>
        </is>
      </c>
      <c r="B9" s="15" t="inlineStr">
        <is>
          <t>Framework</t>
        </is>
      </c>
      <c r="C9" s="15" t="inlineStr">
        <is>
          <t>Role Cards</t>
        </is>
      </c>
      <c r="D9" s="15" t="inlineStr">
        <is>
          <t>Send Role Card for Sign-off</t>
        </is>
      </c>
      <c r="E9" s="17" t="inlineStr">
        <is>
          <t>Waiting</t>
        </is>
      </c>
      <c r="F9" s="17" t="inlineStr">
        <is>
          <t>Medium</t>
        </is>
      </c>
      <c r="G9" s="17" t="inlineStr">
        <is>
          <t>Admin</t>
        </is>
      </c>
      <c r="H9" s="17" t="inlineStr">
        <is>
          <t>15 mins</t>
        </is>
      </c>
      <c r="I9" s="18" t="n">
        <v>46245.24672175926</v>
      </c>
      <c r="J9" s="15" t="inlineStr">
        <is>
          <t>TJR</t>
        </is>
      </c>
      <c r="K9" s="15" t="inlineStr">
        <is>
          <t>Awaiting sponsor sign-off</t>
        </is>
      </c>
      <c r="L9" s="34" t="n">
        <v>46237.24672175926</v>
      </c>
      <c r="M9" s="5">
        <f>IF($D9="","",IFERROR(VLOOKUP($H9,Lists!$N$2:$O$6,2,FALSE),0))</f>
        <v/>
      </c>
      <c r="N9" s="5">
        <f>IF($D9="","",IF(OR($E9="Blocked",$E9="Done",$E9="Archive"),-9999,IF(AND($E9="Waiting",SUMPRODUCT((($E$5:$E$500="Next")+($E$5:$E$500="In Progress")+($E$5:$E$500="Captured"))*($D$5:$D$500&lt;&gt;""))&gt;0),-500,VLOOKUP($F9,Lists!$L$2:$M$4,2,FALSE)+IF($E9="In Progress",10,0)+IF(AND($I9&lt;&gt;"",$I9&lt;TODAY()),25,0)+IF(AND($I9&lt;&gt;"",$I9&gt;=TODAY(),$I9&lt;=TODAY()+7),15,0)+IF($H9="",0,IF($M9&lt;=VLOOKUP(Home!$C$7,Lists!$N$2:$O$6,2,FALSE),20,-10))+IF($G9=Home!$E$7,15,IF(Home!$E$7="",0,-5))-ROW()/100000)))</f>
        <v/>
      </c>
      <c r="O9" s="5">
        <f>IF($D9="","",IF($N9&lt;=-500,"Not recommended right now",IF($E9="Waiting","Nothing else actionable right now — Waiting on: "&amp;IF($K9="","this item",$K9),TEXTJOIN(" • ",TRUE,IF($F9="High","High Priority",""),IF(AND($I9&lt;&gt;"",$I9&lt;TODAY()),"Overdue",""),IF(AND($I9&lt;&gt;"",$I9&gt;=TODAY(),$I9&lt;=TODAY()+7),"Due This Week",""),IF(AND($H9&lt;&gt;"",$M9&lt;=VLOOKUP(Home!$C$7,Lists!$N$2:$O$6,2,FALSE)),$H9&amp;" Task",""),IF($G9=Home!$E$7,"Fits Current Energy",""),"No Blockers"))))</f>
        <v/>
      </c>
      <c r="P9" s="5">
        <f>IF($D9="","",SWITCH('Task Finder'!$C$6,"High Priority",AND($F9="High",$E9&lt;&gt;"Done",$E9&lt;&gt;"Archive"),"Due This Week",AND($I9&lt;&gt;"",$I9&gt;=TODAY(),$I9&lt;=TODAY()+7,$E9&lt;&gt;"Done"),"Quick Wins (15 mins or less)",AND($M9&lt;=15,$E9&lt;&gt;"Done",$E9&lt;&gt;"Blocked"),"Deep Thinking",AND($G9="Deep Thinking",$E9&lt;&gt;"Done"),"Processing",AND($G9="Processing",$E9&lt;&gt;"Done"),"Blocked",$E9="Blocked","Waiting",$E9="Waiting","Recently Updated",AND($L9&lt;&gt;"",$L9&gt;=TODAY()-7),"Keyword",AND('Task Finder'!$C$7&lt;&gt;"",OR(ISNUMBER(SEARCH('Task Finder'!$C$7,$A9)),ISNUMBER(SEARCH('Task Finder'!$C$7,$B9)),ISNUMBER(SEARCH('Task Finder'!$C$7,$C9)),ISNUMBER(SEARCH('Task Finder'!$C$7,$D9)),ISNUMBER(SEARCH('Task Finder'!$C$7,$K9)))),TRUE))</f>
        <v/>
      </c>
    </row>
    <row r="10">
      <c r="A10" s="15" t="inlineStr">
        <is>
          <t>Operational Resilience Framework</t>
        </is>
      </c>
      <c r="B10" s="15" t="inlineStr">
        <is>
          <t>Exercises</t>
        </is>
      </c>
      <c r="C10" s="15" t="inlineStr">
        <is>
          <t>Training</t>
        </is>
      </c>
      <c r="D10" s="15" t="inlineStr">
        <is>
          <t>Confirm Venue Booking</t>
        </is>
      </c>
      <c r="E10" s="17" t="inlineStr">
        <is>
          <t>Blocked</t>
        </is>
      </c>
      <c r="F10" s="17" t="inlineStr">
        <is>
          <t>Medium</t>
        </is>
      </c>
      <c r="G10" s="17" t="inlineStr">
        <is>
          <t>Admin</t>
        </is>
      </c>
      <c r="H10" s="17" t="inlineStr">
        <is>
          <t>15 mins</t>
        </is>
      </c>
      <c r="I10" s="18" t="n">
        <v>46250.24672175926</v>
      </c>
      <c r="J10" s="15" t="inlineStr">
        <is>
          <t>TJR</t>
        </is>
      </c>
      <c r="K10" s="15" t="inlineStr">
        <is>
          <t>Blocked on facilities team</t>
        </is>
      </c>
      <c r="L10" s="34" t="n">
        <v>46231.24672175926</v>
      </c>
      <c r="M10" s="5">
        <f>IF($D10="","",IFERROR(VLOOKUP($H10,Lists!$N$2:$O$6,2,FALSE),0))</f>
        <v/>
      </c>
      <c r="N10" s="5">
        <f>IF($D10="","",IF(OR($E10="Blocked",$E10="Done",$E10="Archive"),-9999,IF(AND($E10="Waiting",SUMPRODUCT((($E$5:$E$500="Next")+($E$5:$E$500="In Progress")+($E$5:$E$500="Captured"))*($D$5:$D$500&lt;&gt;""))&gt;0),-500,VLOOKUP($F10,Lists!$L$2:$M$4,2,FALSE)+IF($E10="In Progress",10,0)+IF(AND($I10&lt;&gt;"",$I10&lt;TODAY()),25,0)+IF(AND($I10&lt;&gt;"",$I10&gt;=TODAY(),$I10&lt;=TODAY()+7),15,0)+IF($H10="",0,IF($M10&lt;=VLOOKUP(Home!$C$7,Lists!$N$2:$O$6,2,FALSE),20,-10))+IF($G10=Home!$E$7,15,IF(Home!$E$7="",0,-5))-ROW()/100000)))</f>
        <v/>
      </c>
      <c r="O10" s="5">
        <f>IF($D10="","",IF($N10&lt;=-500,"Not recommended right now",IF($E10="Waiting","Nothing else actionable right now — Waiting on: "&amp;IF($K10="","this item",$K10),TEXTJOIN(" • ",TRUE,IF($F10="High","High Priority",""),IF(AND($I10&lt;&gt;"",$I10&lt;TODAY()),"Overdue",""),IF(AND($I10&lt;&gt;"",$I10&gt;=TODAY(),$I10&lt;=TODAY()+7),"Due This Week",""),IF(AND($H10&lt;&gt;"",$M10&lt;=VLOOKUP(Home!$C$7,Lists!$N$2:$O$6,2,FALSE)),$H10&amp;" Task",""),IF($G10=Home!$E$7,"Fits Current Energy",""),"No Blockers"))))</f>
        <v/>
      </c>
      <c r="P10" s="5">
        <f>IF($D10="","",SWITCH('Task Finder'!$C$6,"High Priority",AND($F10="High",$E10&lt;&gt;"Done",$E10&lt;&gt;"Archive"),"Due This Week",AND($I10&lt;&gt;"",$I10&gt;=TODAY(),$I10&lt;=TODAY()+7,$E10&lt;&gt;"Done"),"Quick Wins (15 mins or less)",AND($M10&lt;=15,$E10&lt;&gt;"Done",$E10&lt;&gt;"Blocked"),"Deep Thinking",AND($G10="Deep Thinking",$E10&lt;&gt;"Done"),"Processing",AND($G10="Processing",$E10&lt;&gt;"Done"),"Blocked",$E10="Blocked","Waiting",$E10="Waiting","Recently Updated",AND($L10&lt;&gt;"",$L10&gt;=TODAY()-7),"Keyword",AND('Task Finder'!$C$7&lt;&gt;"",OR(ISNUMBER(SEARCH('Task Finder'!$C$7,$A10)),ISNUMBER(SEARCH('Task Finder'!$C$7,$B10)),ISNUMBER(SEARCH('Task Finder'!$C$7,$C10)),ISNUMBER(SEARCH('Task Finder'!$C$7,$D10)),ISNUMBER(SEARCH('Task Finder'!$C$7,$K10)))),TRUE))</f>
        <v/>
      </c>
    </row>
    <row r="11">
      <c r="A11" s="15" t="inlineStr">
        <is>
          <t>Operational Resilience Framework</t>
        </is>
      </c>
      <c r="B11" s="15" t="inlineStr">
        <is>
          <t>Framework</t>
        </is>
      </c>
      <c r="C11" s="15" t="inlineStr">
        <is>
          <t>Governance</t>
        </is>
      </c>
      <c r="D11" s="15" t="inlineStr">
        <is>
          <t>Tidy Reference List</t>
        </is>
      </c>
      <c r="E11" s="17" t="inlineStr">
        <is>
          <t>Next</t>
        </is>
      </c>
      <c r="F11" s="17" t="inlineStr">
        <is>
          <t>Low</t>
        </is>
      </c>
      <c r="G11" s="17" t="inlineStr">
        <is>
          <t>Admin</t>
        </is>
      </c>
      <c r="H11" s="17" t="inlineStr">
        <is>
          <t>5 mins</t>
        </is>
      </c>
      <c r="I11" s="15" t="inlineStr"/>
      <c r="J11" s="15" t="inlineStr">
        <is>
          <t>TJR</t>
        </is>
      </c>
      <c r="K11" s="15" t="inlineStr"/>
      <c r="L11" s="34" t="n">
        <v>46239.24672175926</v>
      </c>
      <c r="M11" s="5">
        <f>IF($D11="","",IFERROR(VLOOKUP($H11,Lists!$N$2:$O$6,2,FALSE),0))</f>
        <v/>
      </c>
      <c r="N11" s="5">
        <f>IF($D11="","",IF(OR($E11="Blocked",$E11="Done",$E11="Archive"),-9999,IF(AND($E11="Waiting",SUMPRODUCT((($E$5:$E$500="Next")+($E$5:$E$500="In Progress")+($E$5:$E$500="Captured"))*($D$5:$D$500&lt;&gt;""))&gt;0),-500,VLOOKUP($F11,Lists!$L$2:$M$4,2,FALSE)+IF($E11="In Progress",10,0)+IF(AND($I11&lt;&gt;"",$I11&lt;TODAY()),25,0)+IF(AND($I11&lt;&gt;"",$I11&gt;=TODAY(),$I11&lt;=TODAY()+7),15,0)+IF($H11="",0,IF($M11&lt;=VLOOKUP(Home!$C$7,Lists!$N$2:$O$6,2,FALSE),20,-10))+IF($G11=Home!$E$7,15,IF(Home!$E$7="",0,-5))-ROW()/100000)))</f>
        <v/>
      </c>
      <c r="O11" s="5">
        <f>IF($D11="","",IF($N11&lt;=-500,"Not recommended right now",IF($E11="Waiting","Nothing else actionable right now — Waiting on: "&amp;IF($K11="","this item",$K11),TEXTJOIN(" • ",TRUE,IF($F11="High","High Priority",""),IF(AND($I11&lt;&gt;"",$I11&lt;TODAY()),"Overdue",""),IF(AND($I11&lt;&gt;"",$I11&gt;=TODAY(),$I11&lt;=TODAY()+7),"Due This Week",""),IF(AND($H11&lt;&gt;"",$M11&lt;=VLOOKUP(Home!$C$7,Lists!$N$2:$O$6,2,FALSE)),$H11&amp;" Task",""),IF($G11=Home!$E$7,"Fits Current Energy",""),"No Blockers"))))</f>
        <v/>
      </c>
      <c r="P11" s="5">
        <f>IF($D11="","",SWITCH('Task Finder'!$C$6,"High Priority",AND($F11="High",$E11&lt;&gt;"Done",$E11&lt;&gt;"Archive"),"Due This Week",AND($I11&lt;&gt;"",$I11&gt;=TODAY(),$I11&lt;=TODAY()+7,$E11&lt;&gt;"Done"),"Quick Wins (15 mins or less)",AND($M11&lt;=15,$E11&lt;&gt;"Done",$E11&lt;&gt;"Blocked"),"Deep Thinking",AND($G11="Deep Thinking",$E11&lt;&gt;"Done"),"Processing",AND($G11="Processing",$E11&lt;&gt;"Done"),"Blocked",$E11="Blocked","Waiting",$E11="Waiting","Recently Updated",AND($L11&lt;&gt;"",$L11&gt;=TODAY()-7),"Keyword",AND('Task Finder'!$C$7&lt;&gt;"",OR(ISNUMBER(SEARCH('Task Finder'!$C$7,$A11)),ISNUMBER(SEARCH('Task Finder'!$C$7,$B11)),ISNUMBER(SEARCH('Task Finder'!$C$7,$C11)),ISNUMBER(SEARCH('Task Finder'!$C$7,$D11)),ISNUMBER(SEARCH('Task Finder'!$C$7,$K11)))),TRUE))</f>
        <v/>
      </c>
    </row>
    <row r="12">
      <c r="A12" s="15" t="inlineStr">
        <is>
          <t>Client Onboarding Playbook</t>
        </is>
      </c>
      <c r="B12" s="15" t="inlineStr">
        <is>
          <t>Playbook</t>
        </is>
      </c>
      <c r="C12" s="15" t="inlineStr">
        <is>
          <t>Welcome Kit</t>
        </is>
      </c>
      <c r="D12" s="15" t="inlineStr">
        <is>
          <t>Draft Welcome Email Template</t>
        </is>
      </c>
      <c r="E12" s="17" t="inlineStr">
        <is>
          <t>In Progress</t>
        </is>
      </c>
      <c r="F12" s="17" t="inlineStr">
        <is>
          <t>High</t>
        </is>
      </c>
      <c r="G12" s="17" t="inlineStr">
        <is>
          <t>Processing</t>
        </is>
      </c>
      <c r="H12" s="17" t="inlineStr">
        <is>
          <t>30 mins</t>
        </is>
      </c>
      <c r="I12" s="18" t="n">
        <v>46242.24672175926</v>
      </c>
      <c r="J12" s="15" t="inlineStr">
        <is>
          <t>TJR</t>
        </is>
      </c>
      <c r="K12" s="15" t="inlineStr">
        <is>
          <t>First draft underway</t>
        </is>
      </c>
      <c r="L12" s="34" t="n">
        <v>46240.24672175926</v>
      </c>
      <c r="M12" s="5">
        <f>IF($D12="","",IFERROR(VLOOKUP($H12,Lists!$N$2:$O$6,2,FALSE),0))</f>
        <v/>
      </c>
      <c r="N12" s="5">
        <f>IF($D12="","",IF(OR($E12="Blocked",$E12="Done",$E12="Archive"),-9999,IF(AND($E12="Waiting",SUMPRODUCT((($E$5:$E$500="Next")+($E$5:$E$500="In Progress")+($E$5:$E$500="Captured"))*($D$5:$D$500&lt;&gt;""))&gt;0),-500,VLOOKUP($F12,Lists!$L$2:$M$4,2,FALSE)+IF($E12="In Progress",10,0)+IF(AND($I12&lt;&gt;"",$I12&lt;TODAY()),25,0)+IF(AND($I12&lt;&gt;"",$I12&gt;=TODAY(),$I12&lt;=TODAY()+7),15,0)+IF($H12="",0,IF($M12&lt;=VLOOKUP(Home!$C$7,Lists!$N$2:$O$6,2,FALSE),20,-10))+IF($G12=Home!$E$7,15,IF(Home!$E$7="",0,-5))-ROW()/100000)))</f>
        <v/>
      </c>
      <c r="O12" s="5">
        <f>IF($D12="","",IF($N12&lt;=-500,"Not recommended right now",IF($E12="Waiting","Nothing else actionable right now — Waiting on: "&amp;IF($K12="","this item",$K12),TEXTJOIN(" • ",TRUE,IF($F12="High","High Priority",""),IF(AND($I12&lt;&gt;"",$I12&lt;TODAY()),"Overdue",""),IF(AND($I12&lt;&gt;"",$I12&gt;=TODAY(),$I12&lt;=TODAY()+7),"Due This Week",""),IF(AND($H12&lt;&gt;"",$M12&lt;=VLOOKUP(Home!$C$7,Lists!$N$2:$O$6,2,FALSE)),$H12&amp;" Task",""),IF($G12=Home!$E$7,"Fits Current Energy",""),"No Blockers"))))</f>
        <v/>
      </c>
      <c r="P12" s="5">
        <f>IF($D12="","",SWITCH('Task Finder'!$C$6,"High Priority",AND($F12="High",$E12&lt;&gt;"Done",$E12&lt;&gt;"Archive"),"Due This Week",AND($I12&lt;&gt;"",$I12&gt;=TODAY(),$I12&lt;=TODAY()+7,$E12&lt;&gt;"Done"),"Quick Wins (15 mins or less)",AND($M12&lt;=15,$E12&lt;&gt;"Done",$E12&lt;&gt;"Blocked"),"Deep Thinking",AND($G12="Deep Thinking",$E12&lt;&gt;"Done"),"Processing",AND($G12="Processing",$E12&lt;&gt;"Done"),"Blocked",$E12="Blocked","Waiting",$E12="Waiting","Recently Updated",AND($L12&lt;&gt;"",$L12&gt;=TODAY()-7),"Keyword",AND('Task Finder'!$C$7&lt;&gt;"",OR(ISNUMBER(SEARCH('Task Finder'!$C$7,$A12)),ISNUMBER(SEARCH('Task Finder'!$C$7,$B12)),ISNUMBER(SEARCH('Task Finder'!$C$7,$C12)),ISNUMBER(SEARCH('Task Finder'!$C$7,$D12)),ISNUMBER(SEARCH('Task Finder'!$C$7,$K12)))),TRUE))</f>
        <v/>
      </c>
    </row>
    <row r="13">
      <c r="A13" s="15" t="inlineStr">
        <is>
          <t>Client Onboarding Playbook</t>
        </is>
      </c>
      <c r="B13" s="15" t="inlineStr">
        <is>
          <t>Playbook</t>
        </is>
      </c>
      <c r="C13" s="15" t="inlineStr">
        <is>
          <t>Welcome Kit</t>
        </is>
      </c>
      <c r="D13" s="15" t="inlineStr">
        <is>
          <t>List Required Access Requests</t>
        </is>
      </c>
      <c r="E13" s="17" t="inlineStr">
        <is>
          <t>Next</t>
        </is>
      </c>
      <c r="F13" s="17" t="inlineStr">
        <is>
          <t>Medium</t>
        </is>
      </c>
      <c r="G13" s="17" t="inlineStr">
        <is>
          <t>Admin</t>
        </is>
      </c>
      <c r="H13" s="17" t="inlineStr">
        <is>
          <t>15 mins</t>
        </is>
      </c>
      <c r="I13" s="18" t="n">
        <v>46246.24672175926</v>
      </c>
      <c r="J13" s="15" t="inlineStr">
        <is>
          <t>TJR</t>
        </is>
      </c>
      <c r="K13" s="15" t="inlineStr"/>
      <c r="L13" s="34" t="n">
        <v>46236.24672175926</v>
      </c>
      <c r="M13" s="5">
        <f>IF($D13="","",IFERROR(VLOOKUP($H13,Lists!$N$2:$O$6,2,FALSE),0))</f>
        <v/>
      </c>
      <c r="N13" s="5">
        <f>IF($D13="","",IF(OR($E13="Blocked",$E13="Done",$E13="Archive"),-9999,IF(AND($E13="Waiting",SUMPRODUCT((($E$5:$E$500="Next")+($E$5:$E$500="In Progress")+($E$5:$E$500="Captured"))*($D$5:$D$500&lt;&gt;""))&gt;0),-500,VLOOKUP($F13,Lists!$L$2:$M$4,2,FALSE)+IF($E13="In Progress",10,0)+IF(AND($I13&lt;&gt;"",$I13&lt;TODAY()),25,0)+IF(AND($I13&lt;&gt;"",$I13&gt;=TODAY(),$I13&lt;=TODAY()+7),15,0)+IF($H13="",0,IF($M13&lt;=VLOOKUP(Home!$C$7,Lists!$N$2:$O$6,2,FALSE),20,-10))+IF($G13=Home!$E$7,15,IF(Home!$E$7="",0,-5))-ROW()/100000)))</f>
        <v/>
      </c>
      <c r="O13" s="5">
        <f>IF($D13="","",IF($N13&lt;=-500,"Not recommended right now",IF($E13="Waiting","Nothing else actionable right now — Waiting on: "&amp;IF($K13="","this item",$K13),TEXTJOIN(" • ",TRUE,IF($F13="High","High Priority",""),IF(AND($I13&lt;&gt;"",$I13&lt;TODAY()),"Overdue",""),IF(AND($I13&lt;&gt;"",$I13&gt;=TODAY(),$I13&lt;=TODAY()+7),"Due This Week",""),IF(AND($H13&lt;&gt;"",$M13&lt;=VLOOKUP(Home!$C$7,Lists!$N$2:$O$6,2,FALSE)),$H13&amp;" Task",""),IF($G13=Home!$E$7,"Fits Current Energy",""),"No Blockers"))))</f>
        <v/>
      </c>
      <c r="P13" s="5">
        <f>IF($D13="","",SWITCH('Task Finder'!$C$6,"High Priority",AND($F13="High",$E13&lt;&gt;"Done",$E13&lt;&gt;"Archive"),"Due This Week",AND($I13&lt;&gt;"",$I13&gt;=TODAY(),$I13&lt;=TODAY()+7,$E13&lt;&gt;"Done"),"Quick Wins (15 mins or less)",AND($M13&lt;=15,$E13&lt;&gt;"Done",$E13&lt;&gt;"Blocked"),"Deep Thinking",AND($G13="Deep Thinking",$E13&lt;&gt;"Done"),"Processing",AND($G13="Processing",$E13&lt;&gt;"Done"),"Blocked",$E13="Blocked","Waiting",$E13="Waiting","Recently Updated",AND($L13&lt;&gt;"",$L13&gt;=TODAY()-7),"Keyword",AND('Task Finder'!$C$7&lt;&gt;"",OR(ISNUMBER(SEARCH('Task Finder'!$C$7,$A13)),ISNUMBER(SEARCH('Task Finder'!$C$7,$B13)),ISNUMBER(SEARCH('Task Finder'!$C$7,$C13)),ISNUMBER(SEARCH('Task Finder'!$C$7,$D13)),ISNUMBER(SEARCH('Task Finder'!$C$7,$K13)))),TRUE))</f>
        <v/>
      </c>
    </row>
    <row r="14">
      <c r="A14" s="19" t="n"/>
      <c r="B14" s="19" t="n"/>
      <c r="C14" s="19" t="n"/>
      <c r="D14" s="19" t="n"/>
      <c r="E14" s="19" t="n"/>
      <c r="F14" s="19" t="n"/>
      <c r="G14" s="19" t="n"/>
      <c r="H14" s="19" t="n"/>
      <c r="I14" s="19" t="n"/>
      <c r="J14" s="19" t="n"/>
      <c r="K14" s="19" t="n"/>
      <c r="L14" s="35" t="n"/>
      <c r="M14" s="5">
        <f>IF($D14="","",IFERROR(VLOOKUP($H14,Lists!$N$2:$O$6,2,FALSE),0))</f>
        <v/>
      </c>
      <c r="N14" s="5">
        <f>IF($D14="","",IF(OR($E14="Blocked",$E14="Done",$E14="Archive"),-9999,IF(AND($E14="Waiting",SUMPRODUCT((($E$5:$E$500="Next")+($E$5:$E$500="In Progress")+($E$5:$E$500="Captured"))*($D$5:$D$500&lt;&gt;""))&gt;0),-500,VLOOKUP($F14,Lists!$L$2:$M$4,2,FALSE)+IF($E14="In Progress",10,0)+IF(AND($I14&lt;&gt;"",$I14&lt;TODAY()),25,0)+IF(AND($I14&lt;&gt;"",$I14&gt;=TODAY(),$I14&lt;=TODAY()+7),15,0)+IF($H14="",0,IF($M14&lt;=VLOOKUP(Home!$C$7,Lists!$N$2:$O$6,2,FALSE),20,-10))+IF($G14=Home!$E$7,15,IF(Home!$E$7="",0,-5))-ROW()/100000)))</f>
        <v/>
      </c>
      <c r="O14" s="5">
        <f>IF($D14="","",IF($N14&lt;=-500,"Not recommended right now",IF($E14="Waiting","Nothing else actionable right now — Waiting on: "&amp;IF($K14="","this item",$K14),TEXTJOIN(" • ",TRUE,IF($F14="High","High Priority",""),IF(AND($I14&lt;&gt;"",$I14&lt;TODAY()),"Overdue",""),IF(AND($I14&lt;&gt;"",$I14&gt;=TODAY(),$I14&lt;=TODAY()+7),"Due This Week",""),IF(AND($H14&lt;&gt;"",$M14&lt;=VLOOKUP(Home!$C$7,Lists!$N$2:$O$6,2,FALSE)),$H14&amp;" Task",""),IF($G14=Home!$E$7,"Fits Current Energy",""),"No Blockers"))))</f>
        <v/>
      </c>
      <c r="P14" s="5">
        <f>IF($D14="","",SWITCH('Task Finder'!$C$6,"High Priority",AND($F14="High",$E14&lt;&gt;"Done",$E14&lt;&gt;"Archive"),"Due This Week",AND($I14&lt;&gt;"",$I14&gt;=TODAY(),$I14&lt;=TODAY()+7,$E14&lt;&gt;"Done"),"Quick Wins (15 mins or less)",AND($M14&lt;=15,$E14&lt;&gt;"Done",$E14&lt;&gt;"Blocked"),"Deep Thinking",AND($G14="Deep Thinking",$E14&lt;&gt;"Done"),"Processing",AND($G14="Processing",$E14&lt;&gt;"Done"),"Blocked",$E14="Blocked","Waiting",$E14="Waiting","Recently Updated",AND($L14&lt;&gt;"",$L14&gt;=TODAY()-7),"Keyword",AND('Task Finder'!$C$7&lt;&gt;"",OR(ISNUMBER(SEARCH('Task Finder'!$C$7,$A14)),ISNUMBER(SEARCH('Task Finder'!$C$7,$B14)),ISNUMBER(SEARCH('Task Finder'!$C$7,$C14)),ISNUMBER(SEARCH('Task Finder'!$C$7,$D14)),ISNUMBER(SEARCH('Task Finder'!$C$7,$K14)))),TRUE))</f>
        <v/>
      </c>
    </row>
    <row r="15">
      <c r="A15" s="19" t="n"/>
      <c r="B15" s="19" t="n"/>
      <c r="C15" s="19" t="n"/>
      <c r="D15" s="19" t="n"/>
      <c r="E15" s="19" t="n"/>
      <c r="F15" s="19" t="n"/>
      <c r="G15" s="19" t="n"/>
      <c r="H15" s="19" t="n"/>
      <c r="I15" s="19" t="n"/>
      <c r="J15" s="19" t="n"/>
      <c r="K15" s="19" t="n"/>
      <c r="L15" s="35" t="n"/>
      <c r="M15" s="5">
        <f>IF($D15="","",IFERROR(VLOOKUP($H15,Lists!$N$2:$O$6,2,FALSE),0))</f>
        <v/>
      </c>
      <c r="N15" s="5">
        <f>IF($D15="","",IF(OR($E15="Blocked",$E15="Done",$E15="Archive"),-9999,IF(AND($E15="Waiting",SUMPRODUCT((($E$5:$E$500="Next")+($E$5:$E$500="In Progress")+($E$5:$E$500="Captured"))*($D$5:$D$500&lt;&gt;""))&gt;0),-500,VLOOKUP($F15,Lists!$L$2:$M$4,2,FALSE)+IF($E15="In Progress",10,0)+IF(AND($I15&lt;&gt;"",$I15&lt;TODAY()),25,0)+IF(AND($I15&lt;&gt;"",$I15&gt;=TODAY(),$I15&lt;=TODAY()+7),15,0)+IF($H15="",0,IF($M15&lt;=VLOOKUP(Home!$C$7,Lists!$N$2:$O$6,2,FALSE),20,-10))+IF($G15=Home!$E$7,15,IF(Home!$E$7="",0,-5))-ROW()/100000)))</f>
        <v/>
      </c>
      <c r="O15" s="5">
        <f>IF($D15="","",IF($N15&lt;=-500,"Not recommended right now",IF($E15="Waiting","Nothing else actionable right now — Waiting on: "&amp;IF($K15="","this item",$K15),TEXTJOIN(" • ",TRUE,IF($F15="High","High Priority",""),IF(AND($I15&lt;&gt;"",$I15&lt;TODAY()),"Overdue",""),IF(AND($I15&lt;&gt;"",$I15&gt;=TODAY(),$I15&lt;=TODAY()+7),"Due This Week",""),IF(AND($H15&lt;&gt;"",$M15&lt;=VLOOKUP(Home!$C$7,Lists!$N$2:$O$6,2,FALSE)),$H15&amp;" Task",""),IF($G15=Home!$E$7,"Fits Current Energy",""),"No Blockers"))))</f>
        <v/>
      </c>
      <c r="P15" s="5">
        <f>IF($D15="","",SWITCH('Task Finder'!$C$6,"High Priority",AND($F15="High",$E15&lt;&gt;"Done",$E15&lt;&gt;"Archive"),"Due This Week",AND($I15&lt;&gt;"",$I15&gt;=TODAY(),$I15&lt;=TODAY()+7,$E15&lt;&gt;"Done"),"Quick Wins (15 mins or less)",AND($M15&lt;=15,$E15&lt;&gt;"Done",$E15&lt;&gt;"Blocked"),"Deep Thinking",AND($G15="Deep Thinking",$E15&lt;&gt;"Done"),"Processing",AND($G15="Processing",$E15&lt;&gt;"Done"),"Blocked",$E15="Blocked","Waiting",$E15="Waiting","Recently Updated",AND($L15&lt;&gt;"",$L15&gt;=TODAY()-7),"Keyword",AND('Task Finder'!$C$7&lt;&gt;"",OR(ISNUMBER(SEARCH('Task Finder'!$C$7,$A15)),ISNUMBER(SEARCH('Task Finder'!$C$7,$B15)),ISNUMBER(SEARCH('Task Finder'!$C$7,$C15)),ISNUMBER(SEARCH('Task Finder'!$C$7,$D15)),ISNUMBER(SEARCH('Task Finder'!$C$7,$K15)))),TRUE))</f>
        <v/>
      </c>
    </row>
    <row r="16">
      <c r="A16" s="19" t="n"/>
      <c r="B16" s="19" t="n"/>
      <c r="C16" s="19" t="n"/>
      <c r="D16" s="19" t="n"/>
      <c r="E16" s="19" t="n"/>
      <c r="F16" s="19" t="n"/>
      <c r="G16" s="19" t="n"/>
      <c r="H16" s="19" t="n"/>
      <c r="I16" s="19" t="n"/>
      <c r="J16" s="19" t="n"/>
      <c r="K16" s="19" t="n"/>
      <c r="L16" s="35" t="n"/>
      <c r="M16" s="5">
        <f>IF($D16="","",IFERROR(VLOOKUP($H16,Lists!$N$2:$O$6,2,FALSE),0))</f>
        <v/>
      </c>
      <c r="N16" s="5">
        <f>IF($D16="","",IF(OR($E16="Blocked",$E16="Done",$E16="Archive"),-9999,IF(AND($E16="Waiting",SUMPRODUCT((($E$5:$E$500="Next")+($E$5:$E$500="In Progress")+($E$5:$E$500="Captured"))*($D$5:$D$500&lt;&gt;""))&gt;0),-500,VLOOKUP($F16,Lists!$L$2:$M$4,2,FALSE)+IF($E16="In Progress",10,0)+IF(AND($I16&lt;&gt;"",$I16&lt;TODAY()),25,0)+IF(AND($I16&lt;&gt;"",$I16&gt;=TODAY(),$I16&lt;=TODAY()+7),15,0)+IF($H16="",0,IF($M16&lt;=VLOOKUP(Home!$C$7,Lists!$N$2:$O$6,2,FALSE),20,-10))+IF($G16=Home!$E$7,15,IF(Home!$E$7="",0,-5))-ROW()/100000)))</f>
        <v/>
      </c>
      <c r="O16" s="5">
        <f>IF($D16="","",IF($N16&lt;=-500,"Not recommended right now",IF($E16="Waiting","Nothing else actionable right now — Waiting on: "&amp;IF($K16="","this item",$K16),TEXTJOIN(" • ",TRUE,IF($F16="High","High Priority",""),IF(AND($I16&lt;&gt;"",$I16&lt;TODAY()),"Overdue",""),IF(AND($I16&lt;&gt;"",$I16&gt;=TODAY(),$I16&lt;=TODAY()+7),"Due This Week",""),IF(AND($H16&lt;&gt;"",$M16&lt;=VLOOKUP(Home!$C$7,Lists!$N$2:$O$6,2,FALSE)),$H16&amp;" Task",""),IF($G16=Home!$E$7,"Fits Current Energy",""),"No Blockers"))))</f>
        <v/>
      </c>
      <c r="P16" s="5">
        <f>IF($D16="","",SWITCH('Task Finder'!$C$6,"High Priority",AND($F16="High",$E16&lt;&gt;"Done",$E16&lt;&gt;"Archive"),"Due This Week",AND($I16&lt;&gt;"",$I16&gt;=TODAY(),$I16&lt;=TODAY()+7,$E16&lt;&gt;"Done"),"Quick Wins (15 mins or less)",AND($M16&lt;=15,$E16&lt;&gt;"Done",$E16&lt;&gt;"Blocked"),"Deep Thinking",AND($G16="Deep Thinking",$E16&lt;&gt;"Done"),"Processing",AND($G16="Processing",$E16&lt;&gt;"Done"),"Blocked",$E16="Blocked","Waiting",$E16="Waiting","Recently Updated",AND($L16&lt;&gt;"",$L16&gt;=TODAY()-7),"Keyword",AND('Task Finder'!$C$7&lt;&gt;"",OR(ISNUMBER(SEARCH('Task Finder'!$C$7,$A16)),ISNUMBER(SEARCH('Task Finder'!$C$7,$B16)),ISNUMBER(SEARCH('Task Finder'!$C$7,$C16)),ISNUMBER(SEARCH('Task Finder'!$C$7,$D16)),ISNUMBER(SEARCH('Task Finder'!$C$7,$K16)))),TRUE))</f>
        <v/>
      </c>
    </row>
    <row r="17">
      <c r="A17" s="19" t="n"/>
      <c r="B17" s="19" t="n"/>
      <c r="C17" s="19" t="n"/>
      <c r="D17" s="19" t="n"/>
      <c r="E17" s="19" t="n"/>
      <c r="F17" s="19" t="n"/>
      <c r="G17" s="19" t="n"/>
      <c r="H17" s="19" t="n"/>
      <c r="I17" s="19" t="n"/>
      <c r="J17" s="19" t="n"/>
      <c r="K17" s="19" t="n"/>
      <c r="L17" s="35" t="n"/>
      <c r="M17" s="5">
        <f>IF($D17="","",IFERROR(VLOOKUP($H17,Lists!$N$2:$O$6,2,FALSE),0))</f>
        <v/>
      </c>
      <c r="N17" s="5">
        <f>IF($D17="","",IF(OR($E17="Blocked",$E17="Done",$E17="Archive"),-9999,IF(AND($E17="Waiting",SUMPRODUCT((($E$5:$E$500="Next")+($E$5:$E$500="In Progress")+($E$5:$E$500="Captured"))*($D$5:$D$500&lt;&gt;""))&gt;0),-500,VLOOKUP($F17,Lists!$L$2:$M$4,2,FALSE)+IF($E17="In Progress",10,0)+IF(AND($I17&lt;&gt;"",$I17&lt;TODAY()),25,0)+IF(AND($I17&lt;&gt;"",$I17&gt;=TODAY(),$I17&lt;=TODAY()+7),15,0)+IF($H17="",0,IF($M17&lt;=VLOOKUP(Home!$C$7,Lists!$N$2:$O$6,2,FALSE),20,-10))+IF($G17=Home!$E$7,15,IF(Home!$E$7="",0,-5))-ROW()/100000)))</f>
        <v/>
      </c>
      <c r="O17" s="5">
        <f>IF($D17="","",IF($N17&lt;=-500,"Not recommended right now",IF($E17="Waiting","Nothing else actionable right now — Waiting on: "&amp;IF($K17="","this item",$K17),TEXTJOIN(" • ",TRUE,IF($F17="High","High Priority",""),IF(AND($I17&lt;&gt;"",$I17&lt;TODAY()),"Overdue",""),IF(AND($I17&lt;&gt;"",$I17&gt;=TODAY(),$I17&lt;=TODAY()+7),"Due This Week",""),IF(AND($H17&lt;&gt;"",$M17&lt;=VLOOKUP(Home!$C$7,Lists!$N$2:$O$6,2,FALSE)),$H17&amp;" Task",""),IF($G17=Home!$E$7,"Fits Current Energy",""),"No Blockers"))))</f>
        <v/>
      </c>
      <c r="P17" s="5">
        <f>IF($D17="","",SWITCH('Task Finder'!$C$6,"High Priority",AND($F17="High",$E17&lt;&gt;"Done",$E17&lt;&gt;"Archive"),"Due This Week",AND($I17&lt;&gt;"",$I17&gt;=TODAY(),$I17&lt;=TODAY()+7,$E17&lt;&gt;"Done"),"Quick Wins (15 mins or less)",AND($M17&lt;=15,$E17&lt;&gt;"Done",$E17&lt;&gt;"Blocked"),"Deep Thinking",AND($G17="Deep Thinking",$E17&lt;&gt;"Done"),"Processing",AND($G17="Processing",$E17&lt;&gt;"Done"),"Blocked",$E17="Blocked","Waiting",$E17="Waiting","Recently Updated",AND($L17&lt;&gt;"",$L17&gt;=TODAY()-7),"Keyword",AND('Task Finder'!$C$7&lt;&gt;"",OR(ISNUMBER(SEARCH('Task Finder'!$C$7,$A17)),ISNUMBER(SEARCH('Task Finder'!$C$7,$B17)),ISNUMBER(SEARCH('Task Finder'!$C$7,$C17)),ISNUMBER(SEARCH('Task Finder'!$C$7,$D17)),ISNUMBER(SEARCH('Task Finder'!$C$7,$K17)))),TRUE))</f>
        <v/>
      </c>
    </row>
    <row r="18">
      <c r="A18" s="19" t="n"/>
      <c r="B18" s="19" t="n"/>
      <c r="C18" s="19" t="n"/>
      <c r="D18" s="19" t="n"/>
      <c r="E18" s="19" t="n"/>
      <c r="F18" s="19" t="n"/>
      <c r="G18" s="19" t="n"/>
      <c r="H18" s="19" t="n"/>
      <c r="I18" s="19" t="n"/>
      <c r="J18" s="19" t="n"/>
      <c r="K18" s="19" t="n"/>
      <c r="L18" s="35" t="n"/>
      <c r="M18" s="5">
        <f>IF($D18="","",IFERROR(VLOOKUP($H18,Lists!$N$2:$O$6,2,FALSE),0))</f>
        <v/>
      </c>
      <c r="N18" s="5">
        <f>IF($D18="","",IF(OR($E18="Blocked",$E18="Done",$E18="Archive"),-9999,IF(AND($E18="Waiting",SUMPRODUCT((($E$5:$E$500="Next")+($E$5:$E$500="In Progress")+($E$5:$E$500="Captured"))*($D$5:$D$500&lt;&gt;""))&gt;0),-500,VLOOKUP($F18,Lists!$L$2:$M$4,2,FALSE)+IF($E18="In Progress",10,0)+IF(AND($I18&lt;&gt;"",$I18&lt;TODAY()),25,0)+IF(AND($I18&lt;&gt;"",$I18&gt;=TODAY(),$I18&lt;=TODAY()+7),15,0)+IF($H18="",0,IF($M18&lt;=VLOOKUP(Home!$C$7,Lists!$N$2:$O$6,2,FALSE),20,-10))+IF($G18=Home!$E$7,15,IF(Home!$E$7="",0,-5))-ROW()/100000)))</f>
        <v/>
      </c>
      <c r="O18" s="5">
        <f>IF($D18="","",IF($N18&lt;=-500,"Not recommended right now",IF($E18="Waiting","Nothing else actionable right now — Waiting on: "&amp;IF($K18="","this item",$K18),TEXTJOIN(" • ",TRUE,IF($F18="High","High Priority",""),IF(AND($I18&lt;&gt;"",$I18&lt;TODAY()),"Overdue",""),IF(AND($I18&lt;&gt;"",$I18&gt;=TODAY(),$I18&lt;=TODAY()+7),"Due This Week",""),IF(AND($H18&lt;&gt;"",$M18&lt;=VLOOKUP(Home!$C$7,Lists!$N$2:$O$6,2,FALSE)),$H18&amp;" Task",""),IF($G18=Home!$E$7,"Fits Current Energy",""),"No Blockers"))))</f>
        <v/>
      </c>
      <c r="P18" s="5">
        <f>IF($D18="","",SWITCH('Task Finder'!$C$6,"High Priority",AND($F18="High",$E18&lt;&gt;"Done",$E18&lt;&gt;"Archive"),"Due This Week",AND($I18&lt;&gt;"",$I18&gt;=TODAY(),$I18&lt;=TODAY()+7,$E18&lt;&gt;"Done"),"Quick Wins (15 mins or less)",AND($M18&lt;=15,$E18&lt;&gt;"Done",$E18&lt;&gt;"Blocked"),"Deep Thinking",AND($G18="Deep Thinking",$E18&lt;&gt;"Done"),"Processing",AND($G18="Processing",$E18&lt;&gt;"Done"),"Blocked",$E18="Blocked","Waiting",$E18="Waiting","Recently Updated",AND($L18&lt;&gt;"",$L18&gt;=TODAY()-7),"Keyword",AND('Task Finder'!$C$7&lt;&gt;"",OR(ISNUMBER(SEARCH('Task Finder'!$C$7,$A18)),ISNUMBER(SEARCH('Task Finder'!$C$7,$B18)),ISNUMBER(SEARCH('Task Finder'!$C$7,$C18)),ISNUMBER(SEARCH('Task Finder'!$C$7,$D18)),ISNUMBER(SEARCH('Task Finder'!$C$7,$K18)))),TRUE))</f>
        <v/>
      </c>
    </row>
    <row r="19">
      <c r="A19" s="19" t="n"/>
      <c r="B19" s="19" t="n"/>
      <c r="C19" s="19" t="n"/>
      <c r="D19" s="19" t="n"/>
      <c r="E19" s="19" t="n"/>
      <c r="F19" s="19" t="n"/>
      <c r="G19" s="19" t="n"/>
      <c r="H19" s="19" t="n"/>
      <c r="I19" s="19" t="n"/>
      <c r="J19" s="19" t="n"/>
      <c r="K19" s="19" t="n"/>
      <c r="L19" s="35" t="n"/>
      <c r="M19" s="5">
        <f>IF($D19="","",IFERROR(VLOOKUP($H19,Lists!$N$2:$O$6,2,FALSE),0))</f>
        <v/>
      </c>
      <c r="N19" s="5">
        <f>IF($D19="","",IF(OR($E19="Blocked",$E19="Done",$E19="Archive"),-9999,IF(AND($E19="Waiting",SUMPRODUCT((($E$5:$E$500="Next")+($E$5:$E$500="In Progress")+($E$5:$E$500="Captured"))*($D$5:$D$500&lt;&gt;""))&gt;0),-500,VLOOKUP($F19,Lists!$L$2:$M$4,2,FALSE)+IF($E19="In Progress",10,0)+IF(AND($I19&lt;&gt;"",$I19&lt;TODAY()),25,0)+IF(AND($I19&lt;&gt;"",$I19&gt;=TODAY(),$I19&lt;=TODAY()+7),15,0)+IF($H19="",0,IF($M19&lt;=VLOOKUP(Home!$C$7,Lists!$N$2:$O$6,2,FALSE),20,-10))+IF($G19=Home!$E$7,15,IF(Home!$E$7="",0,-5))-ROW()/100000)))</f>
        <v/>
      </c>
      <c r="O19" s="5">
        <f>IF($D19="","",IF($N19&lt;=-500,"Not recommended right now",IF($E19="Waiting","Nothing else actionable right now — Waiting on: "&amp;IF($K19="","this item",$K19),TEXTJOIN(" • ",TRUE,IF($F19="High","High Priority",""),IF(AND($I19&lt;&gt;"",$I19&lt;TODAY()),"Overdue",""),IF(AND($I19&lt;&gt;"",$I19&gt;=TODAY(),$I19&lt;=TODAY()+7),"Due This Week",""),IF(AND($H19&lt;&gt;"",$M19&lt;=VLOOKUP(Home!$C$7,Lists!$N$2:$O$6,2,FALSE)),$H19&amp;" Task",""),IF($G19=Home!$E$7,"Fits Current Energy",""),"No Blockers"))))</f>
        <v/>
      </c>
      <c r="P19" s="5">
        <f>IF($D19="","",SWITCH('Task Finder'!$C$6,"High Priority",AND($F19="High",$E19&lt;&gt;"Done",$E19&lt;&gt;"Archive"),"Due This Week",AND($I19&lt;&gt;"",$I19&gt;=TODAY(),$I19&lt;=TODAY()+7,$E19&lt;&gt;"Done"),"Quick Wins (15 mins or less)",AND($M19&lt;=15,$E19&lt;&gt;"Done",$E19&lt;&gt;"Blocked"),"Deep Thinking",AND($G19="Deep Thinking",$E19&lt;&gt;"Done"),"Processing",AND($G19="Processing",$E19&lt;&gt;"Done"),"Blocked",$E19="Blocked","Waiting",$E19="Waiting","Recently Updated",AND($L19&lt;&gt;"",$L19&gt;=TODAY()-7),"Keyword",AND('Task Finder'!$C$7&lt;&gt;"",OR(ISNUMBER(SEARCH('Task Finder'!$C$7,$A19)),ISNUMBER(SEARCH('Task Finder'!$C$7,$B19)),ISNUMBER(SEARCH('Task Finder'!$C$7,$C19)),ISNUMBER(SEARCH('Task Finder'!$C$7,$D19)),ISNUMBER(SEARCH('Task Finder'!$C$7,$K19)))),TRUE))</f>
        <v/>
      </c>
    </row>
    <row r="20">
      <c r="A20" s="19" t="n"/>
      <c r="B20" s="19" t="n"/>
      <c r="C20" s="19" t="n"/>
      <c r="D20" s="19" t="n"/>
      <c r="E20" s="19" t="n"/>
      <c r="F20" s="19" t="n"/>
      <c r="G20" s="19" t="n"/>
      <c r="H20" s="19" t="n"/>
      <c r="I20" s="19" t="n"/>
      <c r="J20" s="19" t="n"/>
      <c r="K20" s="19" t="n"/>
      <c r="L20" s="35" t="n"/>
      <c r="M20" s="5">
        <f>IF($D20="","",IFERROR(VLOOKUP($H20,Lists!$N$2:$O$6,2,FALSE),0))</f>
        <v/>
      </c>
      <c r="N20" s="5">
        <f>IF($D20="","",IF(OR($E20="Blocked",$E20="Done",$E20="Archive"),-9999,IF(AND($E20="Waiting",SUMPRODUCT((($E$5:$E$500="Next")+($E$5:$E$500="In Progress")+($E$5:$E$500="Captured"))*($D$5:$D$500&lt;&gt;""))&gt;0),-500,VLOOKUP($F20,Lists!$L$2:$M$4,2,FALSE)+IF($E20="In Progress",10,0)+IF(AND($I20&lt;&gt;"",$I20&lt;TODAY()),25,0)+IF(AND($I20&lt;&gt;"",$I20&gt;=TODAY(),$I20&lt;=TODAY()+7),15,0)+IF($H20="",0,IF($M20&lt;=VLOOKUP(Home!$C$7,Lists!$N$2:$O$6,2,FALSE),20,-10))+IF($G20=Home!$E$7,15,IF(Home!$E$7="",0,-5))-ROW()/100000)))</f>
        <v/>
      </c>
      <c r="O20" s="5">
        <f>IF($D20="","",IF($N20&lt;=-500,"Not recommended right now",IF($E20="Waiting","Nothing else actionable right now — Waiting on: "&amp;IF($K20="","this item",$K20),TEXTJOIN(" • ",TRUE,IF($F20="High","High Priority",""),IF(AND($I20&lt;&gt;"",$I20&lt;TODAY()),"Overdue",""),IF(AND($I20&lt;&gt;"",$I20&gt;=TODAY(),$I20&lt;=TODAY()+7),"Due This Week",""),IF(AND($H20&lt;&gt;"",$M20&lt;=VLOOKUP(Home!$C$7,Lists!$N$2:$O$6,2,FALSE)),$H20&amp;" Task",""),IF($G20=Home!$E$7,"Fits Current Energy",""),"No Blockers"))))</f>
        <v/>
      </c>
      <c r="P20" s="5">
        <f>IF($D20="","",SWITCH('Task Finder'!$C$6,"High Priority",AND($F20="High",$E20&lt;&gt;"Done",$E20&lt;&gt;"Archive"),"Due This Week",AND($I20&lt;&gt;"",$I20&gt;=TODAY(),$I20&lt;=TODAY()+7,$E20&lt;&gt;"Done"),"Quick Wins (15 mins or less)",AND($M20&lt;=15,$E20&lt;&gt;"Done",$E20&lt;&gt;"Blocked"),"Deep Thinking",AND($G20="Deep Thinking",$E20&lt;&gt;"Done"),"Processing",AND($G20="Processing",$E20&lt;&gt;"Done"),"Blocked",$E20="Blocked","Waiting",$E20="Waiting","Recently Updated",AND($L20&lt;&gt;"",$L20&gt;=TODAY()-7),"Keyword",AND('Task Finder'!$C$7&lt;&gt;"",OR(ISNUMBER(SEARCH('Task Finder'!$C$7,$A20)),ISNUMBER(SEARCH('Task Finder'!$C$7,$B20)),ISNUMBER(SEARCH('Task Finder'!$C$7,$C20)),ISNUMBER(SEARCH('Task Finder'!$C$7,$D20)),ISNUMBER(SEARCH('Task Finder'!$C$7,$K20)))),TRUE))</f>
        <v/>
      </c>
    </row>
    <row r="21">
      <c r="A21" s="19" t="n"/>
      <c r="B21" s="19" t="n"/>
      <c r="C21" s="19" t="n"/>
      <c r="D21" s="19" t="n"/>
      <c r="E21" s="19" t="n"/>
      <c r="F21" s="19" t="n"/>
      <c r="G21" s="19" t="n"/>
      <c r="H21" s="19" t="n"/>
      <c r="I21" s="19" t="n"/>
      <c r="J21" s="19" t="n"/>
      <c r="K21" s="19" t="n"/>
      <c r="L21" s="35" t="n"/>
      <c r="M21" s="5">
        <f>IF($D21="","",IFERROR(VLOOKUP($H21,Lists!$N$2:$O$6,2,FALSE),0))</f>
        <v/>
      </c>
      <c r="N21" s="5">
        <f>IF($D21="","",IF(OR($E21="Blocked",$E21="Done",$E21="Archive"),-9999,IF(AND($E21="Waiting",SUMPRODUCT((($E$5:$E$500="Next")+($E$5:$E$500="In Progress")+($E$5:$E$500="Captured"))*($D$5:$D$500&lt;&gt;""))&gt;0),-500,VLOOKUP($F21,Lists!$L$2:$M$4,2,FALSE)+IF($E21="In Progress",10,0)+IF(AND($I21&lt;&gt;"",$I21&lt;TODAY()),25,0)+IF(AND($I21&lt;&gt;"",$I21&gt;=TODAY(),$I21&lt;=TODAY()+7),15,0)+IF($H21="",0,IF($M21&lt;=VLOOKUP(Home!$C$7,Lists!$N$2:$O$6,2,FALSE),20,-10))+IF($G21=Home!$E$7,15,IF(Home!$E$7="",0,-5))-ROW()/100000)))</f>
        <v/>
      </c>
      <c r="O21" s="5">
        <f>IF($D21="","",IF($N21&lt;=-500,"Not recommended right now",IF($E21="Waiting","Nothing else actionable right now — Waiting on: "&amp;IF($K21="","this item",$K21),TEXTJOIN(" • ",TRUE,IF($F21="High","High Priority",""),IF(AND($I21&lt;&gt;"",$I21&lt;TODAY()),"Overdue",""),IF(AND($I21&lt;&gt;"",$I21&gt;=TODAY(),$I21&lt;=TODAY()+7),"Due This Week",""),IF(AND($H21&lt;&gt;"",$M21&lt;=VLOOKUP(Home!$C$7,Lists!$N$2:$O$6,2,FALSE)),$H21&amp;" Task",""),IF($G21=Home!$E$7,"Fits Current Energy",""),"No Blockers"))))</f>
        <v/>
      </c>
      <c r="P21" s="5">
        <f>IF($D21="","",SWITCH('Task Finder'!$C$6,"High Priority",AND($F21="High",$E21&lt;&gt;"Done",$E21&lt;&gt;"Archive"),"Due This Week",AND($I21&lt;&gt;"",$I21&gt;=TODAY(),$I21&lt;=TODAY()+7,$E21&lt;&gt;"Done"),"Quick Wins (15 mins or less)",AND($M21&lt;=15,$E21&lt;&gt;"Done",$E21&lt;&gt;"Blocked"),"Deep Thinking",AND($G21="Deep Thinking",$E21&lt;&gt;"Done"),"Processing",AND($G21="Processing",$E21&lt;&gt;"Done"),"Blocked",$E21="Blocked","Waiting",$E21="Waiting","Recently Updated",AND($L21&lt;&gt;"",$L21&gt;=TODAY()-7),"Keyword",AND('Task Finder'!$C$7&lt;&gt;"",OR(ISNUMBER(SEARCH('Task Finder'!$C$7,$A21)),ISNUMBER(SEARCH('Task Finder'!$C$7,$B21)),ISNUMBER(SEARCH('Task Finder'!$C$7,$C21)),ISNUMBER(SEARCH('Task Finder'!$C$7,$D21)),ISNUMBER(SEARCH('Task Finder'!$C$7,$K21)))),TRUE))</f>
        <v/>
      </c>
    </row>
    <row r="22">
      <c r="A22" s="19" t="n"/>
      <c r="B22" s="19" t="n"/>
      <c r="C22" s="19" t="n"/>
      <c r="D22" s="19" t="n"/>
      <c r="E22" s="19" t="n"/>
      <c r="F22" s="19" t="n"/>
      <c r="G22" s="19" t="n"/>
      <c r="H22" s="19" t="n"/>
      <c r="I22" s="19" t="n"/>
      <c r="J22" s="19" t="n"/>
      <c r="K22" s="19" t="n"/>
      <c r="L22" s="35" t="n"/>
      <c r="M22" s="5">
        <f>IF($D22="","",IFERROR(VLOOKUP($H22,Lists!$N$2:$O$6,2,FALSE),0))</f>
        <v/>
      </c>
      <c r="N22" s="5">
        <f>IF($D22="","",IF(OR($E22="Blocked",$E22="Done",$E22="Archive"),-9999,IF(AND($E22="Waiting",SUMPRODUCT((($E$5:$E$500="Next")+($E$5:$E$500="In Progress")+($E$5:$E$500="Captured"))*($D$5:$D$500&lt;&gt;""))&gt;0),-500,VLOOKUP($F22,Lists!$L$2:$M$4,2,FALSE)+IF($E22="In Progress",10,0)+IF(AND($I22&lt;&gt;"",$I22&lt;TODAY()),25,0)+IF(AND($I22&lt;&gt;"",$I22&gt;=TODAY(),$I22&lt;=TODAY()+7),15,0)+IF($H22="",0,IF($M22&lt;=VLOOKUP(Home!$C$7,Lists!$N$2:$O$6,2,FALSE),20,-10))+IF($G22=Home!$E$7,15,IF(Home!$E$7="",0,-5))-ROW()/100000)))</f>
        <v/>
      </c>
      <c r="O22" s="5">
        <f>IF($D22="","",IF($N22&lt;=-500,"Not recommended right now",IF($E22="Waiting","Nothing else actionable right now — Waiting on: "&amp;IF($K22="","this item",$K22),TEXTJOIN(" • ",TRUE,IF($F22="High","High Priority",""),IF(AND($I22&lt;&gt;"",$I22&lt;TODAY()),"Overdue",""),IF(AND($I22&lt;&gt;"",$I22&gt;=TODAY(),$I22&lt;=TODAY()+7),"Due This Week",""),IF(AND($H22&lt;&gt;"",$M22&lt;=VLOOKUP(Home!$C$7,Lists!$N$2:$O$6,2,FALSE)),$H22&amp;" Task",""),IF($G22=Home!$E$7,"Fits Current Energy",""),"No Blockers"))))</f>
        <v/>
      </c>
      <c r="P22" s="5">
        <f>IF($D22="","",SWITCH('Task Finder'!$C$6,"High Priority",AND($F22="High",$E22&lt;&gt;"Done",$E22&lt;&gt;"Archive"),"Due This Week",AND($I22&lt;&gt;"",$I22&gt;=TODAY(),$I22&lt;=TODAY()+7,$E22&lt;&gt;"Done"),"Quick Wins (15 mins or less)",AND($M22&lt;=15,$E22&lt;&gt;"Done",$E22&lt;&gt;"Blocked"),"Deep Thinking",AND($G22="Deep Thinking",$E22&lt;&gt;"Done"),"Processing",AND($G22="Processing",$E22&lt;&gt;"Done"),"Blocked",$E22="Blocked","Waiting",$E22="Waiting","Recently Updated",AND($L22&lt;&gt;"",$L22&gt;=TODAY()-7),"Keyword",AND('Task Finder'!$C$7&lt;&gt;"",OR(ISNUMBER(SEARCH('Task Finder'!$C$7,$A22)),ISNUMBER(SEARCH('Task Finder'!$C$7,$B22)),ISNUMBER(SEARCH('Task Finder'!$C$7,$C22)),ISNUMBER(SEARCH('Task Finder'!$C$7,$D22)),ISNUMBER(SEARCH('Task Finder'!$C$7,$K22)))),TRUE))</f>
        <v/>
      </c>
    </row>
    <row r="23">
      <c r="A23" s="19" t="n"/>
      <c r="B23" s="19" t="n"/>
      <c r="C23" s="19" t="n"/>
      <c r="D23" s="19" t="n"/>
      <c r="E23" s="19" t="n"/>
      <c r="F23" s="19" t="n"/>
      <c r="G23" s="19" t="n"/>
      <c r="H23" s="19" t="n"/>
      <c r="I23" s="19" t="n"/>
      <c r="J23" s="19" t="n"/>
      <c r="K23" s="19" t="n"/>
      <c r="L23" s="35" t="n"/>
      <c r="M23" s="5">
        <f>IF($D23="","",IFERROR(VLOOKUP($H23,Lists!$N$2:$O$6,2,FALSE),0))</f>
        <v/>
      </c>
      <c r="N23" s="5">
        <f>IF($D23="","",IF(OR($E23="Blocked",$E23="Done",$E23="Archive"),-9999,IF(AND($E23="Waiting",SUMPRODUCT((($E$5:$E$500="Next")+($E$5:$E$500="In Progress")+($E$5:$E$500="Captured"))*($D$5:$D$500&lt;&gt;""))&gt;0),-500,VLOOKUP($F23,Lists!$L$2:$M$4,2,FALSE)+IF($E23="In Progress",10,0)+IF(AND($I23&lt;&gt;"",$I23&lt;TODAY()),25,0)+IF(AND($I23&lt;&gt;"",$I23&gt;=TODAY(),$I23&lt;=TODAY()+7),15,0)+IF($H23="",0,IF($M23&lt;=VLOOKUP(Home!$C$7,Lists!$N$2:$O$6,2,FALSE),20,-10))+IF($G23=Home!$E$7,15,IF(Home!$E$7="",0,-5))-ROW()/100000)))</f>
        <v/>
      </c>
      <c r="O23" s="5">
        <f>IF($D23="","",IF($N23&lt;=-500,"Not recommended right now",IF($E23="Waiting","Nothing else actionable right now — Waiting on: "&amp;IF($K23="","this item",$K23),TEXTJOIN(" • ",TRUE,IF($F23="High","High Priority",""),IF(AND($I23&lt;&gt;"",$I23&lt;TODAY()),"Overdue",""),IF(AND($I23&lt;&gt;"",$I23&gt;=TODAY(),$I23&lt;=TODAY()+7),"Due This Week",""),IF(AND($H23&lt;&gt;"",$M23&lt;=VLOOKUP(Home!$C$7,Lists!$N$2:$O$6,2,FALSE)),$H23&amp;" Task",""),IF($G23=Home!$E$7,"Fits Current Energy",""),"No Blockers"))))</f>
        <v/>
      </c>
      <c r="P23" s="5">
        <f>IF($D23="","",SWITCH('Task Finder'!$C$6,"High Priority",AND($F23="High",$E23&lt;&gt;"Done",$E23&lt;&gt;"Archive"),"Due This Week",AND($I23&lt;&gt;"",$I23&gt;=TODAY(),$I23&lt;=TODAY()+7,$E23&lt;&gt;"Done"),"Quick Wins (15 mins or less)",AND($M23&lt;=15,$E23&lt;&gt;"Done",$E23&lt;&gt;"Blocked"),"Deep Thinking",AND($G23="Deep Thinking",$E23&lt;&gt;"Done"),"Processing",AND($G23="Processing",$E23&lt;&gt;"Done"),"Blocked",$E23="Blocked","Waiting",$E23="Waiting","Recently Updated",AND($L23&lt;&gt;"",$L23&gt;=TODAY()-7),"Keyword",AND('Task Finder'!$C$7&lt;&gt;"",OR(ISNUMBER(SEARCH('Task Finder'!$C$7,$A23)),ISNUMBER(SEARCH('Task Finder'!$C$7,$B23)),ISNUMBER(SEARCH('Task Finder'!$C$7,$C23)),ISNUMBER(SEARCH('Task Finder'!$C$7,$D23)),ISNUMBER(SEARCH('Task Finder'!$C$7,$K23)))),TRUE))</f>
        <v/>
      </c>
    </row>
    <row r="24">
      <c r="A24" s="19" t="n"/>
      <c r="B24" s="19" t="n"/>
      <c r="C24" s="19" t="n"/>
      <c r="D24" s="19" t="n"/>
      <c r="E24" s="19" t="n"/>
      <c r="F24" s="19" t="n"/>
      <c r="G24" s="19" t="n"/>
      <c r="H24" s="19" t="n"/>
      <c r="I24" s="19" t="n"/>
      <c r="J24" s="19" t="n"/>
      <c r="K24" s="19" t="n"/>
      <c r="L24" s="35" t="n"/>
      <c r="M24" s="5">
        <f>IF($D24="","",IFERROR(VLOOKUP($H24,Lists!$N$2:$O$6,2,FALSE),0))</f>
        <v/>
      </c>
      <c r="N24" s="5">
        <f>IF($D24="","",IF(OR($E24="Blocked",$E24="Done",$E24="Archive"),-9999,IF(AND($E24="Waiting",SUMPRODUCT((($E$5:$E$500="Next")+($E$5:$E$500="In Progress")+($E$5:$E$500="Captured"))*($D$5:$D$500&lt;&gt;""))&gt;0),-500,VLOOKUP($F24,Lists!$L$2:$M$4,2,FALSE)+IF($E24="In Progress",10,0)+IF(AND($I24&lt;&gt;"",$I24&lt;TODAY()),25,0)+IF(AND($I24&lt;&gt;"",$I24&gt;=TODAY(),$I24&lt;=TODAY()+7),15,0)+IF($H24="",0,IF($M24&lt;=VLOOKUP(Home!$C$7,Lists!$N$2:$O$6,2,FALSE),20,-10))+IF($G24=Home!$E$7,15,IF(Home!$E$7="",0,-5))-ROW()/100000)))</f>
        <v/>
      </c>
      <c r="O24" s="5">
        <f>IF($D24="","",IF($N24&lt;=-500,"Not recommended right now",IF($E24="Waiting","Nothing else actionable right now — Waiting on: "&amp;IF($K24="","this item",$K24),TEXTJOIN(" • ",TRUE,IF($F24="High","High Priority",""),IF(AND($I24&lt;&gt;"",$I24&lt;TODAY()),"Overdue",""),IF(AND($I24&lt;&gt;"",$I24&gt;=TODAY(),$I24&lt;=TODAY()+7),"Due This Week",""),IF(AND($H24&lt;&gt;"",$M24&lt;=VLOOKUP(Home!$C$7,Lists!$N$2:$O$6,2,FALSE)),$H24&amp;" Task",""),IF($G24=Home!$E$7,"Fits Current Energy",""),"No Blockers"))))</f>
        <v/>
      </c>
      <c r="P24" s="5">
        <f>IF($D24="","",SWITCH('Task Finder'!$C$6,"High Priority",AND($F24="High",$E24&lt;&gt;"Done",$E24&lt;&gt;"Archive"),"Due This Week",AND($I24&lt;&gt;"",$I24&gt;=TODAY(),$I24&lt;=TODAY()+7,$E24&lt;&gt;"Done"),"Quick Wins (15 mins or less)",AND($M24&lt;=15,$E24&lt;&gt;"Done",$E24&lt;&gt;"Blocked"),"Deep Thinking",AND($G24="Deep Thinking",$E24&lt;&gt;"Done"),"Processing",AND($G24="Processing",$E24&lt;&gt;"Done"),"Blocked",$E24="Blocked","Waiting",$E24="Waiting","Recently Updated",AND($L24&lt;&gt;"",$L24&gt;=TODAY()-7),"Keyword",AND('Task Finder'!$C$7&lt;&gt;"",OR(ISNUMBER(SEARCH('Task Finder'!$C$7,$A24)),ISNUMBER(SEARCH('Task Finder'!$C$7,$B24)),ISNUMBER(SEARCH('Task Finder'!$C$7,$C24)),ISNUMBER(SEARCH('Task Finder'!$C$7,$D24)),ISNUMBER(SEARCH('Task Finder'!$C$7,$K24)))),TRUE))</f>
        <v/>
      </c>
    </row>
    <row r="25">
      <c r="A25" s="19" t="n"/>
      <c r="B25" s="19" t="n"/>
      <c r="C25" s="19" t="n"/>
      <c r="D25" s="19" t="n"/>
      <c r="E25" s="19" t="n"/>
      <c r="F25" s="19" t="n"/>
      <c r="G25" s="19" t="n"/>
      <c r="H25" s="19" t="n"/>
      <c r="I25" s="19" t="n"/>
      <c r="J25" s="19" t="n"/>
      <c r="K25" s="19" t="n"/>
      <c r="L25" s="35" t="n"/>
      <c r="M25" s="5">
        <f>IF($D25="","",IFERROR(VLOOKUP($H25,Lists!$N$2:$O$6,2,FALSE),0))</f>
        <v/>
      </c>
      <c r="N25" s="5">
        <f>IF($D25="","",IF(OR($E25="Blocked",$E25="Done",$E25="Archive"),-9999,IF(AND($E25="Waiting",SUMPRODUCT((($E$5:$E$500="Next")+($E$5:$E$500="In Progress")+($E$5:$E$500="Captured"))*($D$5:$D$500&lt;&gt;""))&gt;0),-500,VLOOKUP($F25,Lists!$L$2:$M$4,2,FALSE)+IF($E25="In Progress",10,0)+IF(AND($I25&lt;&gt;"",$I25&lt;TODAY()),25,0)+IF(AND($I25&lt;&gt;"",$I25&gt;=TODAY(),$I25&lt;=TODAY()+7),15,0)+IF($H25="",0,IF($M25&lt;=VLOOKUP(Home!$C$7,Lists!$N$2:$O$6,2,FALSE),20,-10))+IF($G25=Home!$E$7,15,IF(Home!$E$7="",0,-5))-ROW()/100000)))</f>
        <v/>
      </c>
      <c r="O25" s="5">
        <f>IF($D25="","",IF($N25&lt;=-500,"Not recommended right now",IF($E25="Waiting","Nothing else actionable right now — Waiting on: "&amp;IF($K25="","this item",$K25),TEXTJOIN(" • ",TRUE,IF($F25="High","High Priority",""),IF(AND($I25&lt;&gt;"",$I25&lt;TODAY()),"Overdue",""),IF(AND($I25&lt;&gt;"",$I25&gt;=TODAY(),$I25&lt;=TODAY()+7),"Due This Week",""),IF(AND($H25&lt;&gt;"",$M25&lt;=VLOOKUP(Home!$C$7,Lists!$N$2:$O$6,2,FALSE)),$H25&amp;" Task",""),IF($G25=Home!$E$7,"Fits Current Energy",""),"No Blockers"))))</f>
        <v/>
      </c>
      <c r="P25" s="5">
        <f>IF($D25="","",SWITCH('Task Finder'!$C$6,"High Priority",AND($F25="High",$E25&lt;&gt;"Done",$E25&lt;&gt;"Archive"),"Due This Week",AND($I25&lt;&gt;"",$I25&gt;=TODAY(),$I25&lt;=TODAY()+7,$E25&lt;&gt;"Done"),"Quick Wins (15 mins or less)",AND($M25&lt;=15,$E25&lt;&gt;"Done",$E25&lt;&gt;"Blocked"),"Deep Thinking",AND($G25="Deep Thinking",$E25&lt;&gt;"Done"),"Processing",AND($G25="Processing",$E25&lt;&gt;"Done"),"Blocked",$E25="Blocked","Waiting",$E25="Waiting","Recently Updated",AND($L25&lt;&gt;"",$L25&gt;=TODAY()-7),"Keyword",AND('Task Finder'!$C$7&lt;&gt;"",OR(ISNUMBER(SEARCH('Task Finder'!$C$7,$A25)),ISNUMBER(SEARCH('Task Finder'!$C$7,$B25)),ISNUMBER(SEARCH('Task Finder'!$C$7,$C25)),ISNUMBER(SEARCH('Task Finder'!$C$7,$D25)),ISNUMBER(SEARCH('Task Finder'!$C$7,$K25)))),TRUE))</f>
        <v/>
      </c>
    </row>
    <row r="26">
      <c r="A26" s="19" t="n"/>
      <c r="B26" s="19" t="n"/>
      <c r="C26" s="19" t="n"/>
      <c r="D26" s="19" t="n"/>
      <c r="E26" s="19" t="n"/>
      <c r="F26" s="19" t="n"/>
      <c r="G26" s="19" t="n"/>
      <c r="H26" s="19" t="n"/>
      <c r="I26" s="19" t="n"/>
      <c r="J26" s="19" t="n"/>
      <c r="K26" s="19" t="n"/>
      <c r="L26" s="35" t="n"/>
      <c r="M26" s="5">
        <f>IF($D26="","",IFERROR(VLOOKUP($H26,Lists!$N$2:$O$6,2,FALSE),0))</f>
        <v/>
      </c>
      <c r="N26" s="5">
        <f>IF($D26="","",IF(OR($E26="Blocked",$E26="Done",$E26="Archive"),-9999,IF(AND($E26="Waiting",SUMPRODUCT((($E$5:$E$500="Next")+($E$5:$E$500="In Progress")+($E$5:$E$500="Captured"))*($D$5:$D$500&lt;&gt;""))&gt;0),-500,VLOOKUP($F26,Lists!$L$2:$M$4,2,FALSE)+IF($E26="In Progress",10,0)+IF(AND($I26&lt;&gt;"",$I26&lt;TODAY()),25,0)+IF(AND($I26&lt;&gt;"",$I26&gt;=TODAY(),$I26&lt;=TODAY()+7),15,0)+IF($H26="",0,IF($M26&lt;=VLOOKUP(Home!$C$7,Lists!$N$2:$O$6,2,FALSE),20,-10))+IF($G26=Home!$E$7,15,IF(Home!$E$7="",0,-5))-ROW()/100000)))</f>
        <v/>
      </c>
      <c r="O26" s="5">
        <f>IF($D26="","",IF($N26&lt;=-500,"Not recommended right now",IF($E26="Waiting","Nothing else actionable right now — Waiting on: "&amp;IF($K26="","this item",$K26),TEXTJOIN(" • ",TRUE,IF($F26="High","High Priority",""),IF(AND($I26&lt;&gt;"",$I26&lt;TODAY()),"Overdue",""),IF(AND($I26&lt;&gt;"",$I26&gt;=TODAY(),$I26&lt;=TODAY()+7),"Due This Week",""),IF(AND($H26&lt;&gt;"",$M26&lt;=VLOOKUP(Home!$C$7,Lists!$N$2:$O$6,2,FALSE)),$H26&amp;" Task",""),IF($G26=Home!$E$7,"Fits Current Energy",""),"No Blockers"))))</f>
        <v/>
      </c>
      <c r="P26" s="5">
        <f>IF($D26="","",SWITCH('Task Finder'!$C$6,"High Priority",AND($F26="High",$E26&lt;&gt;"Done",$E26&lt;&gt;"Archive"),"Due This Week",AND($I26&lt;&gt;"",$I26&gt;=TODAY(),$I26&lt;=TODAY()+7,$E26&lt;&gt;"Done"),"Quick Wins (15 mins or less)",AND($M26&lt;=15,$E26&lt;&gt;"Done",$E26&lt;&gt;"Blocked"),"Deep Thinking",AND($G26="Deep Thinking",$E26&lt;&gt;"Done"),"Processing",AND($G26="Processing",$E26&lt;&gt;"Done"),"Blocked",$E26="Blocked","Waiting",$E26="Waiting","Recently Updated",AND($L26&lt;&gt;"",$L26&gt;=TODAY()-7),"Keyword",AND('Task Finder'!$C$7&lt;&gt;"",OR(ISNUMBER(SEARCH('Task Finder'!$C$7,$A26)),ISNUMBER(SEARCH('Task Finder'!$C$7,$B26)),ISNUMBER(SEARCH('Task Finder'!$C$7,$C26)),ISNUMBER(SEARCH('Task Finder'!$C$7,$D26)),ISNUMBER(SEARCH('Task Finder'!$C$7,$K26)))),TRUE))</f>
        <v/>
      </c>
    </row>
    <row r="27">
      <c r="A27" s="19" t="n"/>
      <c r="B27" s="19" t="n"/>
      <c r="C27" s="19" t="n"/>
      <c r="D27" s="19" t="n"/>
      <c r="E27" s="19" t="n"/>
      <c r="F27" s="19" t="n"/>
      <c r="G27" s="19" t="n"/>
      <c r="H27" s="19" t="n"/>
      <c r="I27" s="19" t="n"/>
      <c r="J27" s="19" t="n"/>
      <c r="K27" s="19" t="n"/>
      <c r="L27" s="35" t="n"/>
      <c r="M27" s="5">
        <f>IF($D27="","",IFERROR(VLOOKUP($H27,Lists!$N$2:$O$6,2,FALSE),0))</f>
        <v/>
      </c>
      <c r="N27" s="5">
        <f>IF($D27="","",IF(OR($E27="Blocked",$E27="Done",$E27="Archive"),-9999,IF(AND($E27="Waiting",SUMPRODUCT((($E$5:$E$500="Next")+($E$5:$E$500="In Progress")+($E$5:$E$500="Captured"))*($D$5:$D$500&lt;&gt;""))&gt;0),-500,VLOOKUP($F27,Lists!$L$2:$M$4,2,FALSE)+IF($E27="In Progress",10,0)+IF(AND($I27&lt;&gt;"",$I27&lt;TODAY()),25,0)+IF(AND($I27&lt;&gt;"",$I27&gt;=TODAY(),$I27&lt;=TODAY()+7),15,0)+IF($H27="",0,IF($M27&lt;=VLOOKUP(Home!$C$7,Lists!$N$2:$O$6,2,FALSE),20,-10))+IF($G27=Home!$E$7,15,IF(Home!$E$7="",0,-5))-ROW()/100000)))</f>
        <v/>
      </c>
      <c r="O27" s="5">
        <f>IF($D27="","",IF($N27&lt;=-500,"Not recommended right now",IF($E27="Waiting","Nothing else actionable right now — Waiting on: "&amp;IF($K27="","this item",$K27),TEXTJOIN(" • ",TRUE,IF($F27="High","High Priority",""),IF(AND($I27&lt;&gt;"",$I27&lt;TODAY()),"Overdue",""),IF(AND($I27&lt;&gt;"",$I27&gt;=TODAY(),$I27&lt;=TODAY()+7),"Due This Week",""),IF(AND($H27&lt;&gt;"",$M27&lt;=VLOOKUP(Home!$C$7,Lists!$N$2:$O$6,2,FALSE)),$H27&amp;" Task",""),IF($G27=Home!$E$7,"Fits Current Energy",""),"No Blockers"))))</f>
        <v/>
      </c>
      <c r="P27" s="5">
        <f>IF($D27="","",SWITCH('Task Finder'!$C$6,"High Priority",AND($F27="High",$E27&lt;&gt;"Done",$E27&lt;&gt;"Archive"),"Due This Week",AND($I27&lt;&gt;"",$I27&gt;=TODAY(),$I27&lt;=TODAY()+7,$E27&lt;&gt;"Done"),"Quick Wins (15 mins or less)",AND($M27&lt;=15,$E27&lt;&gt;"Done",$E27&lt;&gt;"Blocked"),"Deep Thinking",AND($G27="Deep Thinking",$E27&lt;&gt;"Done"),"Processing",AND($G27="Processing",$E27&lt;&gt;"Done"),"Blocked",$E27="Blocked","Waiting",$E27="Waiting","Recently Updated",AND($L27&lt;&gt;"",$L27&gt;=TODAY()-7),"Keyword",AND('Task Finder'!$C$7&lt;&gt;"",OR(ISNUMBER(SEARCH('Task Finder'!$C$7,$A27)),ISNUMBER(SEARCH('Task Finder'!$C$7,$B27)),ISNUMBER(SEARCH('Task Finder'!$C$7,$C27)),ISNUMBER(SEARCH('Task Finder'!$C$7,$D27)),ISNUMBER(SEARCH('Task Finder'!$C$7,$K27)))),TRUE))</f>
        <v/>
      </c>
    </row>
    <row r="28">
      <c r="A28" s="19" t="n"/>
      <c r="B28" s="19" t="n"/>
      <c r="C28" s="19" t="n"/>
      <c r="D28" s="19" t="n"/>
      <c r="E28" s="19" t="n"/>
      <c r="F28" s="19" t="n"/>
      <c r="G28" s="19" t="n"/>
      <c r="H28" s="19" t="n"/>
      <c r="I28" s="19" t="n"/>
      <c r="J28" s="19" t="n"/>
      <c r="K28" s="19" t="n"/>
      <c r="L28" s="35" t="n"/>
      <c r="M28" s="5">
        <f>IF($D28="","",IFERROR(VLOOKUP($H28,Lists!$N$2:$O$6,2,FALSE),0))</f>
        <v/>
      </c>
      <c r="N28" s="5">
        <f>IF($D28="","",IF(OR($E28="Blocked",$E28="Done",$E28="Archive"),-9999,IF(AND($E28="Waiting",SUMPRODUCT((($E$5:$E$500="Next")+($E$5:$E$500="In Progress")+($E$5:$E$500="Captured"))*($D$5:$D$500&lt;&gt;""))&gt;0),-500,VLOOKUP($F28,Lists!$L$2:$M$4,2,FALSE)+IF($E28="In Progress",10,0)+IF(AND($I28&lt;&gt;"",$I28&lt;TODAY()),25,0)+IF(AND($I28&lt;&gt;"",$I28&gt;=TODAY(),$I28&lt;=TODAY()+7),15,0)+IF($H28="",0,IF($M28&lt;=VLOOKUP(Home!$C$7,Lists!$N$2:$O$6,2,FALSE),20,-10))+IF($G28=Home!$E$7,15,IF(Home!$E$7="",0,-5))-ROW()/100000)))</f>
        <v/>
      </c>
      <c r="O28" s="5">
        <f>IF($D28="","",IF($N28&lt;=-500,"Not recommended right now",IF($E28="Waiting","Nothing else actionable right now — Waiting on: "&amp;IF($K28="","this item",$K28),TEXTJOIN(" • ",TRUE,IF($F28="High","High Priority",""),IF(AND($I28&lt;&gt;"",$I28&lt;TODAY()),"Overdue",""),IF(AND($I28&lt;&gt;"",$I28&gt;=TODAY(),$I28&lt;=TODAY()+7),"Due This Week",""),IF(AND($H28&lt;&gt;"",$M28&lt;=VLOOKUP(Home!$C$7,Lists!$N$2:$O$6,2,FALSE)),$H28&amp;" Task",""),IF($G28=Home!$E$7,"Fits Current Energy",""),"No Blockers"))))</f>
        <v/>
      </c>
      <c r="P28" s="5">
        <f>IF($D28="","",SWITCH('Task Finder'!$C$6,"High Priority",AND($F28="High",$E28&lt;&gt;"Done",$E28&lt;&gt;"Archive"),"Due This Week",AND($I28&lt;&gt;"",$I28&gt;=TODAY(),$I28&lt;=TODAY()+7,$E28&lt;&gt;"Done"),"Quick Wins (15 mins or less)",AND($M28&lt;=15,$E28&lt;&gt;"Done",$E28&lt;&gt;"Blocked"),"Deep Thinking",AND($G28="Deep Thinking",$E28&lt;&gt;"Done"),"Processing",AND($G28="Processing",$E28&lt;&gt;"Done"),"Blocked",$E28="Blocked","Waiting",$E28="Waiting","Recently Updated",AND($L28&lt;&gt;"",$L28&gt;=TODAY()-7),"Keyword",AND('Task Finder'!$C$7&lt;&gt;"",OR(ISNUMBER(SEARCH('Task Finder'!$C$7,$A28)),ISNUMBER(SEARCH('Task Finder'!$C$7,$B28)),ISNUMBER(SEARCH('Task Finder'!$C$7,$C28)),ISNUMBER(SEARCH('Task Finder'!$C$7,$D28)),ISNUMBER(SEARCH('Task Finder'!$C$7,$K28)))),TRUE))</f>
        <v/>
      </c>
    </row>
    <row r="29">
      <c r="A29" s="19" t="n"/>
      <c r="B29" s="19" t="n"/>
      <c r="C29" s="19" t="n"/>
      <c r="D29" s="19" t="n"/>
      <c r="E29" s="19" t="n"/>
      <c r="F29" s="19" t="n"/>
      <c r="G29" s="19" t="n"/>
      <c r="H29" s="19" t="n"/>
      <c r="I29" s="19" t="n"/>
      <c r="J29" s="19" t="n"/>
      <c r="K29" s="19" t="n"/>
      <c r="L29" s="35" t="n"/>
      <c r="M29" s="5">
        <f>IF($D29="","",IFERROR(VLOOKUP($H29,Lists!$N$2:$O$6,2,FALSE),0))</f>
        <v/>
      </c>
      <c r="N29" s="5">
        <f>IF($D29="","",IF(OR($E29="Blocked",$E29="Done",$E29="Archive"),-9999,IF(AND($E29="Waiting",SUMPRODUCT((($E$5:$E$500="Next")+($E$5:$E$500="In Progress")+($E$5:$E$500="Captured"))*($D$5:$D$500&lt;&gt;""))&gt;0),-500,VLOOKUP($F29,Lists!$L$2:$M$4,2,FALSE)+IF($E29="In Progress",10,0)+IF(AND($I29&lt;&gt;"",$I29&lt;TODAY()),25,0)+IF(AND($I29&lt;&gt;"",$I29&gt;=TODAY(),$I29&lt;=TODAY()+7),15,0)+IF($H29="",0,IF($M29&lt;=VLOOKUP(Home!$C$7,Lists!$N$2:$O$6,2,FALSE),20,-10))+IF($G29=Home!$E$7,15,IF(Home!$E$7="",0,-5))-ROW()/100000)))</f>
        <v/>
      </c>
      <c r="O29" s="5">
        <f>IF($D29="","",IF($N29&lt;=-500,"Not recommended right now",IF($E29="Waiting","Nothing else actionable right now — Waiting on: "&amp;IF($K29="","this item",$K29),TEXTJOIN(" • ",TRUE,IF($F29="High","High Priority",""),IF(AND($I29&lt;&gt;"",$I29&lt;TODAY()),"Overdue",""),IF(AND($I29&lt;&gt;"",$I29&gt;=TODAY(),$I29&lt;=TODAY()+7),"Due This Week",""),IF(AND($H29&lt;&gt;"",$M29&lt;=VLOOKUP(Home!$C$7,Lists!$N$2:$O$6,2,FALSE)),$H29&amp;" Task",""),IF($G29=Home!$E$7,"Fits Current Energy",""),"No Blockers"))))</f>
        <v/>
      </c>
      <c r="P29" s="5">
        <f>IF($D29="","",SWITCH('Task Finder'!$C$6,"High Priority",AND($F29="High",$E29&lt;&gt;"Done",$E29&lt;&gt;"Archive"),"Due This Week",AND($I29&lt;&gt;"",$I29&gt;=TODAY(),$I29&lt;=TODAY()+7,$E29&lt;&gt;"Done"),"Quick Wins (15 mins or less)",AND($M29&lt;=15,$E29&lt;&gt;"Done",$E29&lt;&gt;"Blocked"),"Deep Thinking",AND($G29="Deep Thinking",$E29&lt;&gt;"Done"),"Processing",AND($G29="Processing",$E29&lt;&gt;"Done"),"Blocked",$E29="Blocked","Waiting",$E29="Waiting","Recently Updated",AND($L29&lt;&gt;"",$L29&gt;=TODAY()-7),"Keyword",AND('Task Finder'!$C$7&lt;&gt;"",OR(ISNUMBER(SEARCH('Task Finder'!$C$7,$A29)),ISNUMBER(SEARCH('Task Finder'!$C$7,$B29)),ISNUMBER(SEARCH('Task Finder'!$C$7,$C29)),ISNUMBER(SEARCH('Task Finder'!$C$7,$D29)),ISNUMBER(SEARCH('Task Finder'!$C$7,$K29)))),TRUE))</f>
        <v/>
      </c>
    </row>
    <row r="30">
      <c r="A30" s="19" t="n"/>
      <c r="B30" s="19" t="n"/>
      <c r="C30" s="19" t="n"/>
      <c r="D30" s="19" t="n"/>
      <c r="E30" s="19" t="n"/>
      <c r="F30" s="19" t="n"/>
      <c r="G30" s="19" t="n"/>
      <c r="H30" s="19" t="n"/>
      <c r="I30" s="19" t="n"/>
      <c r="J30" s="19" t="n"/>
      <c r="K30" s="19" t="n"/>
      <c r="L30" s="35" t="n"/>
      <c r="M30" s="5">
        <f>IF($D30="","",IFERROR(VLOOKUP($H30,Lists!$N$2:$O$6,2,FALSE),0))</f>
        <v/>
      </c>
      <c r="N30" s="5">
        <f>IF($D30="","",IF(OR($E30="Blocked",$E30="Done",$E30="Archive"),-9999,IF(AND($E30="Waiting",SUMPRODUCT((($E$5:$E$500="Next")+($E$5:$E$500="In Progress")+($E$5:$E$500="Captured"))*($D$5:$D$500&lt;&gt;""))&gt;0),-500,VLOOKUP($F30,Lists!$L$2:$M$4,2,FALSE)+IF($E30="In Progress",10,0)+IF(AND($I30&lt;&gt;"",$I30&lt;TODAY()),25,0)+IF(AND($I30&lt;&gt;"",$I30&gt;=TODAY(),$I30&lt;=TODAY()+7),15,0)+IF($H30="",0,IF($M30&lt;=VLOOKUP(Home!$C$7,Lists!$N$2:$O$6,2,FALSE),20,-10))+IF($G30=Home!$E$7,15,IF(Home!$E$7="",0,-5))-ROW()/100000)))</f>
        <v/>
      </c>
      <c r="O30" s="5">
        <f>IF($D30="","",IF($N30&lt;=-500,"Not recommended right now",IF($E30="Waiting","Nothing else actionable right now — Waiting on: "&amp;IF($K30="","this item",$K30),TEXTJOIN(" • ",TRUE,IF($F30="High","High Priority",""),IF(AND($I30&lt;&gt;"",$I30&lt;TODAY()),"Overdue",""),IF(AND($I30&lt;&gt;"",$I30&gt;=TODAY(),$I30&lt;=TODAY()+7),"Due This Week",""),IF(AND($H30&lt;&gt;"",$M30&lt;=VLOOKUP(Home!$C$7,Lists!$N$2:$O$6,2,FALSE)),$H30&amp;" Task",""),IF($G30=Home!$E$7,"Fits Current Energy",""),"No Blockers"))))</f>
        <v/>
      </c>
      <c r="P30" s="5">
        <f>IF($D30="","",SWITCH('Task Finder'!$C$6,"High Priority",AND($F30="High",$E30&lt;&gt;"Done",$E30&lt;&gt;"Archive"),"Due This Week",AND($I30&lt;&gt;"",$I30&gt;=TODAY(),$I30&lt;=TODAY()+7,$E30&lt;&gt;"Done"),"Quick Wins (15 mins or less)",AND($M30&lt;=15,$E30&lt;&gt;"Done",$E30&lt;&gt;"Blocked"),"Deep Thinking",AND($G30="Deep Thinking",$E30&lt;&gt;"Done"),"Processing",AND($G30="Processing",$E30&lt;&gt;"Done"),"Blocked",$E30="Blocked","Waiting",$E30="Waiting","Recently Updated",AND($L30&lt;&gt;"",$L30&gt;=TODAY()-7),"Keyword",AND('Task Finder'!$C$7&lt;&gt;"",OR(ISNUMBER(SEARCH('Task Finder'!$C$7,$A30)),ISNUMBER(SEARCH('Task Finder'!$C$7,$B30)),ISNUMBER(SEARCH('Task Finder'!$C$7,$C30)),ISNUMBER(SEARCH('Task Finder'!$C$7,$D30)),ISNUMBER(SEARCH('Task Finder'!$C$7,$K30)))),TRUE))</f>
        <v/>
      </c>
    </row>
    <row r="31">
      <c r="A31" s="19" t="n"/>
      <c r="B31" s="19" t="n"/>
      <c r="C31" s="19" t="n"/>
      <c r="D31" s="19" t="n"/>
      <c r="E31" s="19" t="n"/>
      <c r="F31" s="19" t="n"/>
      <c r="G31" s="19" t="n"/>
      <c r="H31" s="19" t="n"/>
      <c r="I31" s="19" t="n"/>
      <c r="J31" s="19" t="n"/>
      <c r="K31" s="19" t="n"/>
      <c r="L31" s="35" t="n"/>
      <c r="M31" s="5">
        <f>IF($D31="","",IFERROR(VLOOKUP($H31,Lists!$N$2:$O$6,2,FALSE),0))</f>
        <v/>
      </c>
      <c r="N31" s="5">
        <f>IF($D31="","",IF(OR($E31="Blocked",$E31="Done",$E31="Archive"),-9999,IF(AND($E31="Waiting",SUMPRODUCT((($E$5:$E$500="Next")+($E$5:$E$500="In Progress")+($E$5:$E$500="Captured"))*($D$5:$D$500&lt;&gt;""))&gt;0),-500,VLOOKUP($F31,Lists!$L$2:$M$4,2,FALSE)+IF($E31="In Progress",10,0)+IF(AND($I31&lt;&gt;"",$I31&lt;TODAY()),25,0)+IF(AND($I31&lt;&gt;"",$I31&gt;=TODAY(),$I31&lt;=TODAY()+7),15,0)+IF($H31="",0,IF($M31&lt;=VLOOKUP(Home!$C$7,Lists!$N$2:$O$6,2,FALSE),20,-10))+IF($G31=Home!$E$7,15,IF(Home!$E$7="",0,-5))-ROW()/100000)))</f>
        <v/>
      </c>
      <c r="O31" s="5">
        <f>IF($D31="","",IF($N31&lt;=-500,"Not recommended right now",IF($E31="Waiting","Nothing else actionable right now — Waiting on: "&amp;IF($K31="","this item",$K31),TEXTJOIN(" • ",TRUE,IF($F31="High","High Priority",""),IF(AND($I31&lt;&gt;"",$I31&lt;TODAY()),"Overdue",""),IF(AND($I31&lt;&gt;"",$I31&gt;=TODAY(),$I31&lt;=TODAY()+7),"Due This Week",""),IF(AND($H31&lt;&gt;"",$M31&lt;=VLOOKUP(Home!$C$7,Lists!$N$2:$O$6,2,FALSE)),$H31&amp;" Task",""),IF($G31=Home!$E$7,"Fits Current Energy",""),"No Blockers"))))</f>
        <v/>
      </c>
      <c r="P31" s="5">
        <f>IF($D31="","",SWITCH('Task Finder'!$C$6,"High Priority",AND($F31="High",$E31&lt;&gt;"Done",$E31&lt;&gt;"Archive"),"Due This Week",AND($I31&lt;&gt;"",$I31&gt;=TODAY(),$I31&lt;=TODAY()+7,$E31&lt;&gt;"Done"),"Quick Wins (15 mins or less)",AND($M31&lt;=15,$E31&lt;&gt;"Done",$E31&lt;&gt;"Blocked"),"Deep Thinking",AND($G31="Deep Thinking",$E31&lt;&gt;"Done"),"Processing",AND($G31="Processing",$E31&lt;&gt;"Done"),"Blocked",$E31="Blocked","Waiting",$E31="Waiting","Recently Updated",AND($L31&lt;&gt;"",$L31&gt;=TODAY()-7),"Keyword",AND('Task Finder'!$C$7&lt;&gt;"",OR(ISNUMBER(SEARCH('Task Finder'!$C$7,$A31)),ISNUMBER(SEARCH('Task Finder'!$C$7,$B31)),ISNUMBER(SEARCH('Task Finder'!$C$7,$C31)),ISNUMBER(SEARCH('Task Finder'!$C$7,$D31)),ISNUMBER(SEARCH('Task Finder'!$C$7,$K31)))),TRUE))</f>
        <v/>
      </c>
    </row>
    <row r="32">
      <c r="A32" s="19" t="n"/>
      <c r="B32" s="19" t="n"/>
      <c r="C32" s="19" t="n"/>
      <c r="D32" s="19" t="n"/>
      <c r="E32" s="19" t="n"/>
      <c r="F32" s="19" t="n"/>
      <c r="G32" s="19" t="n"/>
      <c r="H32" s="19" t="n"/>
      <c r="I32" s="19" t="n"/>
      <c r="J32" s="19" t="n"/>
      <c r="K32" s="19" t="n"/>
      <c r="L32" s="35" t="n"/>
      <c r="M32" s="5">
        <f>IF($D32="","",IFERROR(VLOOKUP($H32,Lists!$N$2:$O$6,2,FALSE),0))</f>
        <v/>
      </c>
      <c r="N32" s="5">
        <f>IF($D32="","",IF(OR($E32="Blocked",$E32="Done",$E32="Archive"),-9999,IF(AND($E32="Waiting",SUMPRODUCT((($E$5:$E$500="Next")+($E$5:$E$500="In Progress")+($E$5:$E$500="Captured"))*($D$5:$D$500&lt;&gt;""))&gt;0),-500,VLOOKUP($F32,Lists!$L$2:$M$4,2,FALSE)+IF($E32="In Progress",10,0)+IF(AND($I32&lt;&gt;"",$I32&lt;TODAY()),25,0)+IF(AND($I32&lt;&gt;"",$I32&gt;=TODAY(),$I32&lt;=TODAY()+7),15,0)+IF($H32="",0,IF($M32&lt;=VLOOKUP(Home!$C$7,Lists!$N$2:$O$6,2,FALSE),20,-10))+IF($G32=Home!$E$7,15,IF(Home!$E$7="",0,-5))-ROW()/100000)))</f>
        <v/>
      </c>
      <c r="O32" s="5">
        <f>IF($D32="","",IF($N32&lt;=-500,"Not recommended right now",IF($E32="Waiting","Nothing else actionable right now — Waiting on: "&amp;IF($K32="","this item",$K32),TEXTJOIN(" • ",TRUE,IF($F32="High","High Priority",""),IF(AND($I32&lt;&gt;"",$I32&lt;TODAY()),"Overdue",""),IF(AND($I32&lt;&gt;"",$I32&gt;=TODAY(),$I32&lt;=TODAY()+7),"Due This Week",""),IF(AND($H32&lt;&gt;"",$M32&lt;=VLOOKUP(Home!$C$7,Lists!$N$2:$O$6,2,FALSE)),$H32&amp;" Task",""),IF($G32=Home!$E$7,"Fits Current Energy",""),"No Blockers"))))</f>
        <v/>
      </c>
      <c r="P32" s="5">
        <f>IF($D32="","",SWITCH('Task Finder'!$C$6,"High Priority",AND($F32="High",$E32&lt;&gt;"Done",$E32&lt;&gt;"Archive"),"Due This Week",AND($I32&lt;&gt;"",$I32&gt;=TODAY(),$I32&lt;=TODAY()+7,$E32&lt;&gt;"Done"),"Quick Wins (15 mins or less)",AND($M32&lt;=15,$E32&lt;&gt;"Done",$E32&lt;&gt;"Blocked"),"Deep Thinking",AND($G32="Deep Thinking",$E32&lt;&gt;"Done"),"Processing",AND($G32="Processing",$E32&lt;&gt;"Done"),"Blocked",$E32="Blocked","Waiting",$E32="Waiting","Recently Updated",AND($L32&lt;&gt;"",$L32&gt;=TODAY()-7),"Keyword",AND('Task Finder'!$C$7&lt;&gt;"",OR(ISNUMBER(SEARCH('Task Finder'!$C$7,$A32)),ISNUMBER(SEARCH('Task Finder'!$C$7,$B32)),ISNUMBER(SEARCH('Task Finder'!$C$7,$C32)),ISNUMBER(SEARCH('Task Finder'!$C$7,$D32)),ISNUMBER(SEARCH('Task Finder'!$C$7,$K32)))),TRUE))</f>
        <v/>
      </c>
    </row>
    <row r="33">
      <c r="A33" s="19" t="n"/>
      <c r="B33" s="19" t="n"/>
      <c r="C33" s="19" t="n"/>
      <c r="D33" s="19" t="n"/>
      <c r="E33" s="19" t="n"/>
      <c r="F33" s="19" t="n"/>
      <c r="G33" s="19" t="n"/>
      <c r="H33" s="19" t="n"/>
      <c r="I33" s="19" t="n"/>
      <c r="J33" s="19" t="n"/>
      <c r="K33" s="19" t="n"/>
      <c r="L33" s="35" t="n"/>
      <c r="M33" s="5">
        <f>IF($D33="","",IFERROR(VLOOKUP($H33,Lists!$N$2:$O$6,2,FALSE),0))</f>
        <v/>
      </c>
      <c r="N33" s="5">
        <f>IF($D33="","",IF(OR($E33="Blocked",$E33="Done",$E33="Archive"),-9999,IF(AND($E33="Waiting",SUMPRODUCT((($E$5:$E$500="Next")+($E$5:$E$500="In Progress")+($E$5:$E$500="Captured"))*($D$5:$D$500&lt;&gt;""))&gt;0),-500,VLOOKUP($F33,Lists!$L$2:$M$4,2,FALSE)+IF($E33="In Progress",10,0)+IF(AND($I33&lt;&gt;"",$I33&lt;TODAY()),25,0)+IF(AND($I33&lt;&gt;"",$I33&gt;=TODAY(),$I33&lt;=TODAY()+7),15,0)+IF($H33="",0,IF($M33&lt;=VLOOKUP(Home!$C$7,Lists!$N$2:$O$6,2,FALSE),20,-10))+IF($G33=Home!$E$7,15,IF(Home!$E$7="",0,-5))-ROW()/100000)))</f>
        <v/>
      </c>
      <c r="O33" s="5">
        <f>IF($D33="","",IF($N33&lt;=-500,"Not recommended right now",IF($E33="Waiting","Nothing else actionable right now — Waiting on: "&amp;IF($K33="","this item",$K33),TEXTJOIN(" • ",TRUE,IF($F33="High","High Priority",""),IF(AND($I33&lt;&gt;"",$I33&lt;TODAY()),"Overdue",""),IF(AND($I33&lt;&gt;"",$I33&gt;=TODAY(),$I33&lt;=TODAY()+7),"Due This Week",""),IF(AND($H33&lt;&gt;"",$M33&lt;=VLOOKUP(Home!$C$7,Lists!$N$2:$O$6,2,FALSE)),$H33&amp;" Task",""),IF($G33=Home!$E$7,"Fits Current Energy",""),"No Blockers"))))</f>
        <v/>
      </c>
      <c r="P33" s="5">
        <f>IF($D33="","",SWITCH('Task Finder'!$C$6,"High Priority",AND($F33="High",$E33&lt;&gt;"Done",$E33&lt;&gt;"Archive"),"Due This Week",AND($I33&lt;&gt;"",$I33&gt;=TODAY(),$I33&lt;=TODAY()+7,$E33&lt;&gt;"Done"),"Quick Wins (15 mins or less)",AND($M33&lt;=15,$E33&lt;&gt;"Done",$E33&lt;&gt;"Blocked"),"Deep Thinking",AND($G33="Deep Thinking",$E33&lt;&gt;"Done"),"Processing",AND($G33="Processing",$E33&lt;&gt;"Done"),"Blocked",$E33="Blocked","Waiting",$E33="Waiting","Recently Updated",AND($L33&lt;&gt;"",$L33&gt;=TODAY()-7),"Keyword",AND('Task Finder'!$C$7&lt;&gt;"",OR(ISNUMBER(SEARCH('Task Finder'!$C$7,$A33)),ISNUMBER(SEARCH('Task Finder'!$C$7,$B33)),ISNUMBER(SEARCH('Task Finder'!$C$7,$C33)),ISNUMBER(SEARCH('Task Finder'!$C$7,$D33)),ISNUMBER(SEARCH('Task Finder'!$C$7,$K33)))),TRUE))</f>
        <v/>
      </c>
    </row>
    <row r="34">
      <c r="A34" s="19" t="n"/>
      <c r="B34" s="19" t="n"/>
      <c r="C34" s="19" t="n"/>
      <c r="D34" s="19" t="n"/>
      <c r="E34" s="19" t="n"/>
      <c r="F34" s="19" t="n"/>
      <c r="G34" s="19" t="n"/>
      <c r="H34" s="19" t="n"/>
      <c r="I34" s="19" t="n"/>
      <c r="J34" s="19" t="n"/>
      <c r="K34" s="19" t="n"/>
      <c r="L34" s="35" t="n"/>
      <c r="M34" s="5">
        <f>IF($D34="","",IFERROR(VLOOKUP($H34,Lists!$N$2:$O$6,2,FALSE),0))</f>
        <v/>
      </c>
      <c r="N34" s="5">
        <f>IF($D34="","",IF(OR($E34="Blocked",$E34="Done",$E34="Archive"),-9999,IF(AND($E34="Waiting",SUMPRODUCT((($E$5:$E$500="Next")+($E$5:$E$500="In Progress")+($E$5:$E$500="Captured"))*($D$5:$D$500&lt;&gt;""))&gt;0),-500,VLOOKUP($F34,Lists!$L$2:$M$4,2,FALSE)+IF($E34="In Progress",10,0)+IF(AND($I34&lt;&gt;"",$I34&lt;TODAY()),25,0)+IF(AND($I34&lt;&gt;"",$I34&gt;=TODAY(),$I34&lt;=TODAY()+7),15,0)+IF($H34="",0,IF($M34&lt;=VLOOKUP(Home!$C$7,Lists!$N$2:$O$6,2,FALSE),20,-10))+IF($G34=Home!$E$7,15,IF(Home!$E$7="",0,-5))-ROW()/100000)))</f>
        <v/>
      </c>
      <c r="O34" s="5">
        <f>IF($D34="","",IF($N34&lt;=-500,"Not recommended right now",IF($E34="Waiting","Nothing else actionable right now — Waiting on: "&amp;IF($K34="","this item",$K34),TEXTJOIN(" • ",TRUE,IF($F34="High","High Priority",""),IF(AND($I34&lt;&gt;"",$I34&lt;TODAY()),"Overdue",""),IF(AND($I34&lt;&gt;"",$I34&gt;=TODAY(),$I34&lt;=TODAY()+7),"Due This Week",""),IF(AND($H34&lt;&gt;"",$M34&lt;=VLOOKUP(Home!$C$7,Lists!$N$2:$O$6,2,FALSE)),$H34&amp;" Task",""),IF($G34=Home!$E$7,"Fits Current Energy",""),"No Blockers"))))</f>
        <v/>
      </c>
      <c r="P34" s="5">
        <f>IF($D34="","",SWITCH('Task Finder'!$C$6,"High Priority",AND($F34="High",$E34&lt;&gt;"Done",$E34&lt;&gt;"Archive"),"Due This Week",AND($I34&lt;&gt;"",$I34&gt;=TODAY(),$I34&lt;=TODAY()+7,$E34&lt;&gt;"Done"),"Quick Wins (15 mins or less)",AND($M34&lt;=15,$E34&lt;&gt;"Done",$E34&lt;&gt;"Blocked"),"Deep Thinking",AND($G34="Deep Thinking",$E34&lt;&gt;"Done"),"Processing",AND($G34="Processing",$E34&lt;&gt;"Done"),"Blocked",$E34="Blocked","Waiting",$E34="Waiting","Recently Updated",AND($L34&lt;&gt;"",$L34&gt;=TODAY()-7),"Keyword",AND('Task Finder'!$C$7&lt;&gt;"",OR(ISNUMBER(SEARCH('Task Finder'!$C$7,$A34)),ISNUMBER(SEARCH('Task Finder'!$C$7,$B34)),ISNUMBER(SEARCH('Task Finder'!$C$7,$C34)),ISNUMBER(SEARCH('Task Finder'!$C$7,$D34)),ISNUMBER(SEARCH('Task Finder'!$C$7,$K34)))),TRUE))</f>
        <v/>
      </c>
    </row>
    <row r="35">
      <c r="A35" s="19" t="n"/>
      <c r="B35" s="19" t="n"/>
      <c r="C35" s="19" t="n"/>
      <c r="D35" s="19" t="n"/>
      <c r="E35" s="19" t="n"/>
      <c r="F35" s="19" t="n"/>
      <c r="G35" s="19" t="n"/>
      <c r="H35" s="19" t="n"/>
      <c r="I35" s="19" t="n"/>
      <c r="J35" s="19" t="n"/>
      <c r="K35" s="19" t="n"/>
      <c r="L35" s="35" t="n"/>
      <c r="M35" s="5">
        <f>IF($D35="","",IFERROR(VLOOKUP($H35,Lists!$N$2:$O$6,2,FALSE),0))</f>
        <v/>
      </c>
      <c r="N35" s="5">
        <f>IF($D35="","",IF(OR($E35="Blocked",$E35="Done",$E35="Archive"),-9999,IF(AND($E35="Waiting",SUMPRODUCT((($E$5:$E$500="Next")+($E$5:$E$500="In Progress")+($E$5:$E$500="Captured"))*($D$5:$D$500&lt;&gt;""))&gt;0),-500,VLOOKUP($F35,Lists!$L$2:$M$4,2,FALSE)+IF($E35="In Progress",10,0)+IF(AND($I35&lt;&gt;"",$I35&lt;TODAY()),25,0)+IF(AND($I35&lt;&gt;"",$I35&gt;=TODAY(),$I35&lt;=TODAY()+7),15,0)+IF($H35="",0,IF($M35&lt;=VLOOKUP(Home!$C$7,Lists!$N$2:$O$6,2,FALSE),20,-10))+IF($G35=Home!$E$7,15,IF(Home!$E$7="",0,-5))-ROW()/100000)))</f>
        <v/>
      </c>
      <c r="O35" s="5">
        <f>IF($D35="","",IF($N35&lt;=-500,"Not recommended right now",IF($E35="Waiting","Nothing else actionable right now — Waiting on: "&amp;IF($K35="","this item",$K35),TEXTJOIN(" • ",TRUE,IF($F35="High","High Priority",""),IF(AND($I35&lt;&gt;"",$I35&lt;TODAY()),"Overdue",""),IF(AND($I35&lt;&gt;"",$I35&gt;=TODAY(),$I35&lt;=TODAY()+7),"Due This Week",""),IF(AND($H35&lt;&gt;"",$M35&lt;=VLOOKUP(Home!$C$7,Lists!$N$2:$O$6,2,FALSE)),$H35&amp;" Task",""),IF($G35=Home!$E$7,"Fits Current Energy",""),"No Blockers"))))</f>
        <v/>
      </c>
      <c r="P35" s="5">
        <f>IF($D35="","",SWITCH('Task Finder'!$C$6,"High Priority",AND($F35="High",$E35&lt;&gt;"Done",$E35&lt;&gt;"Archive"),"Due This Week",AND($I35&lt;&gt;"",$I35&gt;=TODAY(),$I35&lt;=TODAY()+7,$E35&lt;&gt;"Done"),"Quick Wins (15 mins or less)",AND($M35&lt;=15,$E35&lt;&gt;"Done",$E35&lt;&gt;"Blocked"),"Deep Thinking",AND($G35="Deep Thinking",$E35&lt;&gt;"Done"),"Processing",AND($G35="Processing",$E35&lt;&gt;"Done"),"Blocked",$E35="Blocked","Waiting",$E35="Waiting","Recently Updated",AND($L35&lt;&gt;"",$L35&gt;=TODAY()-7),"Keyword",AND('Task Finder'!$C$7&lt;&gt;"",OR(ISNUMBER(SEARCH('Task Finder'!$C$7,$A35)),ISNUMBER(SEARCH('Task Finder'!$C$7,$B35)),ISNUMBER(SEARCH('Task Finder'!$C$7,$C35)),ISNUMBER(SEARCH('Task Finder'!$C$7,$D35)),ISNUMBER(SEARCH('Task Finder'!$C$7,$K35)))),TRUE))</f>
        <v/>
      </c>
    </row>
    <row r="36">
      <c r="A36" s="19" t="n"/>
      <c r="B36" s="19" t="n"/>
      <c r="C36" s="19" t="n"/>
      <c r="D36" s="19" t="n"/>
      <c r="E36" s="19" t="n"/>
      <c r="F36" s="19" t="n"/>
      <c r="G36" s="19" t="n"/>
      <c r="H36" s="19" t="n"/>
      <c r="I36" s="19" t="n"/>
      <c r="J36" s="19" t="n"/>
      <c r="K36" s="19" t="n"/>
      <c r="L36" s="35" t="n"/>
      <c r="M36" s="5">
        <f>IF($D36="","",IFERROR(VLOOKUP($H36,Lists!$N$2:$O$6,2,FALSE),0))</f>
        <v/>
      </c>
      <c r="N36" s="5">
        <f>IF($D36="","",IF(OR($E36="Blocked",$E36="Done",$E36="Archive"),-9999,IF(AND($E36="Waiting",SUMPRODUCT((($E$5:$E$500="Next")+($E$5:$E$500="In Progress")+($E$5:$E$500="Captured"))*($D$5:$D$500&lt;&gt;""))&gt;0),-500,VLOOKUP($F36,Lists!$L$2:$M$4,2,FALSE)+IF($E36="In Progress",10,0)+IF(AND($I36&lt;&gt;"",$I36&lt;TODAY()),25,0)+IF(AND($I36&lt;&gt;"",$I36&gt;=TODAY(),$I36&lt;=TODAY()+7),15,0)+IF($H36="",0,IF($M36&lt;=VLOOKUP(Home!$C$7,Lists!$N$2:$O$6,2,FALSE),20,-10))+IF($G36=Home!$E$7,15,IF(Home!$E$7="",0,-5))-ROW()/100000)))</f>
        <v/>
      </c>
      <c r="O36" s="5">
        <f>IF($D36="","",IF($N36&lt;=-500,"Not recommended right now",IF($E36="Waiting","Nothing else actionable right now — Waiting on: "&amp;IF($K36="","this item",$K36),TEXTJOIN(" • ",TRUE,IF($F36="High","High Priority",""),IF(AND($I36&lt;&gt;"",$I36&lt;TODAY()),"Overdue",""),IF(AND($I36&lt;&gt;"",$I36&gt;=TODAY(),$I36&lt;=TODAY()+7),"Due This Week",""),IF(AND($H36&lt;&gt;"",$M36&lt;=VLOOKUP(Home!$C$7,Lists!$N$2:$O$6,2,FALSE)),$H36&amp;" Task",""),IF($G36=Home!$E$7,"Fits Current Energy",""),"No Blockers"))))</f>
        <v/>
      </c>
      <c r="P36" s="5">
        <f>IF($D36="","",SWITCH('Task Finder'!$C$6,"High Priority",AND($F36="High",$E36&lt;&gt;"Done",$E36&lt;&gt;"Archive"),"Due This Week",AND($I36&lt;&gt;"",$I36&gt;=TODAY(),$I36&lt;=TODAY()+7,$E36&lt;&gt;"Done"),"Quick Wins (15 mins or less)",AND($M36&lt;=15,$E36&lt;&gt;"Done",$E36&lt;&gt;"Blocked"),"Deep Thinking",AND($G36="Deep Thinking",$E36&lt;&gt;"Done"),"Processing",AND($G36="Processing",$E36&lt;&gt;"Done"),"Blocked",$E36="Blocked","Waiting",$E36="Waiting","Recently Updated",AND($L36&lt;&gt;"",$L36&gt;=TODAY()-7),"Keyword",AND('Task Finder'!$C$7&lt;&gt;"",OR(ISNUMBER(SEARCH('Task Finder'!$C$7,$A36)),ISNUMBER(SEARCH('Task Finder'!$C$7,$B36)),ISNUMBER(SEARCH('Task Finder'!$C$7,$C36)),ISNUMBER(SEARCH('Task Finder'!$C$7,$D36)),ISNUMBER(SEARCH('Task Finder'!$C$7,$K36)))),TRUE))</f>
        <v/>
      </c>
    </row>
    <row r="37">
      <c r="A37" s="19" t="n"/>
      <c r="B37" s="19" t="n"/>
      <c r="C37" s="19" t="n"/>
      <c r="D37" s="19" t="n"/>
      <c r="E37" s="19" t="n"/>
      <c r="F37" s="19" t="n"/>
      <c r="G37" s="19" t="n"/>
      <c r="H37" s="19" t="n"/>
      <c r="I37" s="19" t="n"/>
      <c r="J37" s="19" t="n"/>
      <c r="K37" s="19" t="n"/>
      <c r="L37" s="35" t="n"/>
      <c r="M37" s="5">
        <f>IF($D37="","",IFERROR(VLOOKUP($H37,Lists!$N$2:$O$6,2,FALSE),0))</f>
        <v/>
      </c>
      <c r="N37" s="5">
        <f>IF($D37="","",IF(OR($E37="Blocked",$E37="Done",$E37="Archive"),-9999,IF(AND($E37="Waiting",SUMPRODUCT((($E$5:$E$500="Next")+($E$5:$E$500="In Progress")+($E$5:$E$500="Captured"))*($D$5:$D$500&lt;&gt;""))&gt;0),-500,VLOOKUP($F37,Lists!$L$2:$M$4,2,FALSE)+IF($E37="In Progress",10,0)+IF(AND($I37&lt;&gt;"",$I37&lt;TODAY()),25,0)+IF(AND($I37&lt;&gt;"",$I37&gt;=TODAY(),$I37&lt;=TODAY()+7),15,0)+IF($H37="",0,IF($M37&lt;=VLOOKUP(Home!$C$7,Lists!$N$2:$O$6,2,FALSE),20,-10))+IF($G37=Home!$E$7,15,IF(Home!$E$7="",0,-5))-ROW()/100000)))</f>
        <v/>
      </c>
      <c r="O37" s="5">
        <f>IF($D37="","",IF($N37&lt;=-500,"Not recommended right now",IF($E37="Waiting","Nothing else actionable right now — Waiting on: "&amp;IF($K37="","this item",$K37),TEXTJOIN(" • ",TRUE,IF($F37="High","High Priority",""),IF(AND($I37&lt;&gt;"",$I37&lt;TODAY()),"Overdue",""),IF(AND($I37&lt;&gt;"",$I37&gt;=TODAY(),$I37&lt;=TODAY()+7),"Due This Week",""),IF(AND($H37&lt;&gt;"",$M37&lt;=VLOOKUP(Home!$C$7,Lists!$N$2:$O$6,2,FALSE)),$H37&amp;" Task",""),IF($G37=Home!$E$7,"Fits Current Energy",""),"No Blockers"))))</f>
        <v/>
      </c>
      <c r="P37" s="5">
        <f>IF($D37="","",SWITCH('Task Finder'!$C$6,"High Priority",AND($F37="High",$E37&lt;&gt;"Done",$E37&lt;&gt;"Archive"),"Due This Week",AND($I37&lt;&gt;"",$I37&gt;=TODAY(),$I37&lt;=TODAY()+7,$E37&lt;&gt;"Done"),"Quick Wins (15 mins or less)",AND($M37&lt;=15,$E37&lt;&gt;"Done",$E37&lt;&gt;"Blocked"),"Deep Thinking",AND($G37="Deep Thinking",$E37&lt;&gt;"Done"),"Processing",AND($G37="Processing",$E37&lt;&gt;"Done"),"Blocked",$E37="Blocked","Waiting",$E37="Waiting","Recently Updated",AND($L37&lt;&gt;"",$L37&gt;=TODAY()-7),"Keyword",AND('Task Finder'!$C$7&lt;&gt;"",OR(ISNUMBER(SEARCH('Task Finder'!$C$7,$A37)),ISNUMBER(SEARCH('Task Finder'!$C$7,$B37)),ISNUMBER(SEARCH('Task Finder'!$C$7,$C37)),ISNUMBER(SEARCH('Task Finder'!$C$7,$D37)),ISNUMBER(SEARCH('Task Finder'!$C$7,$K37)))),TRUE))</f>
        <v/>
      </c>
    </row>
    <row r="38">
      <c r="A38" s="19" t="n"/>
      <c r="B38" s="19" t="n"/>
      <c r="C38" s="19" t="n"/>
      <c r="D38" s="19" t="n"/>
      <c r="E38" s="19" t="n"/>
      <c r="F38" s="19" t="n"/>
      <c r="G38" s="19" t="n"/>
      <c r="H38" s="19" t="n"/>
      <c r="I38" s="19" t="n"/>
      <c r="J38" s="19" t="n"/>
      <c r="K38" s="19" t="n"/>
      <c r="L38" s="35" t="n"/>
      <c r="M38" s="5">
        <f>IF($D38="","",IFERROR(VLOOKUP($H38,Lists!$N$2:$O$6,2,FALSE),0))</f>
        <v/>
      </c>
      <c r="N38" s="5">
        <f>IF($D38="","",IF(OR($E38="Blocked",$E38="Done",$E38="Archive"),-9999,IF(AND($E38="Waiting",SUMPRODUCT((($E$5:$E$500="Next")+($E$5:$E$500="In Progress")+($E$5:$E$500="Captured"))*($D$5:$D$500&lt;&gt;""))&gt;0),-500,VLOOKUP($F38,Lists!$L$2:$M$4,2,FALSE)+IF($E38="In Progress",10,0)+IF(AND($I38&lt;&gt;"",$I38&lt;TODAY()),25,0)+IF(AND($I38&lt;&gt;"",$I38&gt;=TODAY(),$I38&lt;=TODAY()+7),15,0)+IF($H38="",0,IF($M38&lt;=VLOOKUP(Home!$C$7,Lists!$N$2:$O$6,2,FALSE),20,-10))+IF($G38=Home!$E$7,15,IF(Home!$E$7="",0,-5))-ROW()/100000)))</f>
        <v/>
      </c>
      <c r="O38" s="5">
        <f>IF($D38="","",IF($N38&lt;=-500,"Not recommended right now",IF($E38="Waiting","Nothing else actionable right now — Waiting on: "&amp;IF($K38="","this item",$K38),TEXTJOIN(" • ",TRUE,IF($F38="High","High Priority",""),IF(AND($I38&lt;&gt;"",$I38&lt;TODAY()),"Overdue",""),IF(AND($I38&lt;&gt;"",$I38&gt;=TODAY(),$I38&lt;=TODAY()+7),"Due This Week",""),IF(AND($H38&lt;&gt;"",$M38&lt;=VLOOKUP(Home!$C$7,Lists!$N$2:$O$6,2,FALSE)),$H38&amp;" Task",""),IF($G38=Home!$E$7,"Fits Current Energy",""),"No Blockers"))))</f>
        <v/>
      </c>
      <c r="P38" s="5">
        <f>IF($D38="","",SWITCH('Task Finder'!$C$6,"High Priority",AND($F38="High",$E38&lt;&gt;"Done",$E38&lt;&gt;"Archive"),"Due This Week",AND($I38&lt;&gt;"",$I38&gt;=TODAY(),$I38&lt;=TODAY()+7,$E38&lt;&gt;"Done"),"Quick Wins (15 mins or less)",AND($M38&lt;=15,$E38&lt;&gt;"Done",$E38&lt;&gt;"Blocked"),"Deep Thinking",AND($G38="Deep Thinking",$E38&lt;&gt;"Done"),"Processing",AND($G38="Processing",$E38&lt;&gt;"Done"),"Blocked",$E38="Blocked","Waiting",$E38="Waiting","Recently Updated",AND($L38&lt;&gt;"",$L38&gt;=TODAY()-7),"Keyword",AND('Task Finder'!$C$7&lt;&gt;"",OR(ISNUMBER(SEARCH('Task Finder'!$C$7,$A38)),ISNUMBER(SEARCH('Task Finder'!$C$7,$B38)),ISNUMBER(SEARCH('Task Finder'!$C$7,$C38)),ISNUMBER(SEARCH('Task Finder'!$C$7,$D38)),ISNUMBER(SEARCH('Task Finder'!$C$7,$K38)))),TRUE))</f>
        <v/>
      </c>
    </row>
    <row r="39">
      <c r="A39" s="19" t="n"/>
      <c r="B39" s="19" t="n"/>
      <c r="C39" s="19" t="n"/>
      <c r="D39" s="19" t="n"/>
      <c r="E39" s="19" t="n"/>
      <c r="F39" s="19" t="n"/>
      <c r="G39" s="19" t="n"/>
      <c r="H39" s="19" t="n"/>
      <c r="I39" s="19" t="n"/>
      <c r="J39" s="19" t="n"/>
      <c r="K39" s="19" t="n"/>
      <c r="L39" s="35" t="n"/>
      <c r="M39" s="5">
        <f>IF($D39="","",IFERROR(VLOOKUP($H39,Lists!$N$2:$O$6,2,FALSE),0))</f>
        <v/>
      </c>
      <c r="N39" s="5">
        <f>IF($D39="","",IF(OR($E39="Blocked",$E39="Done",$E39="Archive"),-9999,IF(AND($E39="Waiting",SUMPRODUCT((($E$5:$E$500="Next")+($E$5:$E$500="In Progress")+($E$5:$E$500="Captured"))*($D$5:$D$500&lt;&gt;""))&gt;0),-500,VLOOKUP($F39,Lists!$L$2:$M$4,2,FALSE)+IF($E39="In Progress",10,0)+IF(AND($I39&lt;&gt;"",$I39&lt;TODAY()),25,0)+IF(AND($I39&lt;&gt;"",$I39&gt;=TODAY(),$I39&lt;=TODAY()+7),15,0)+IF($H39="",0,IF($M39&lt;=VLOOKUP(Home!$C$7,Lists!$N$2:$O$6,2,FALSE),20,-10))+IF($G39=Home!$E$7,15,IF(Home!$E$7="",0,-5))-ROW()/100000)))</f>
        <v/>
      </c>
      <c r="O39" s="5">
        <f>IF($D39="","",IF($N39&lt;=-500,"Not recommended right now",IF($E39="Waiting","Nothing else actionable right now — Waiting on: "&amp;IF($K39="","this item",$K39),TEXTJOIN(" • ",TRUE,IF($F39="High","High Priority",""),IF(AND($I39&lt;&gt;"",$I39&lt;TODAY()),"Overdue",""),IF(AND($I39&lt;&gt;"",$I39&gt;=TODAY(),$I39&lt;=TODAY()+7),"Due This Week",""),IF(AND($H39&lt;&gt;"",$M39&lt;=VLOOKUP(Home!$C$7,Lists!$N$2:$O$6,2,FALSE)),$H39&amp;" Task",""),IF($G39=Home!$E$7,"Fits Current Energy",""),"No Blockers"))))</f>
        <v/>
      </c>
      <c r="P39" s="5">
        <f>IF($D39="","",SWITCH('Task Finder'!$C$6,"High Priority",AND($F39="High",$E39&lt;&gt;"Done",$E39&lt;&gt;"Archive"),"Due This Week",AND($I39&lt;&gt;"",$I39&gt;=TODAY(),$I39&lt;=TODAY()+7,$E39&lt;&gt;"Done"),"Quick Wins (15 mins or less)",AND($M39&lt;=15,$E39&lt;&gt;"Done",$E39&lt;&gt;"Blocked"),"Deep Thinking",AND($G39="Deep Thinking",$E39&lt;&gt;"Done"),"Processing",AND($G39="Processing",$E39&lt;&gt;"Done"),"Blocked",$E39="Blocked","Waiting",$E39="Waiting","Recently Updated",AND($L39&lt;&gt;"",$L39&gt;=TODAY()-7),"Keyword",AND('Task Finder'!$C$7&lt;&gt;"",OR(ISNUMBER(SEARCH('Task Finder'!$C$7,$A39)),ISNUMBER(SEARCH('Task Finder'!$C$7,$B39)),ISNUMBER(SEARCH('Task Finder'!$C$7,$C39)),ISNUMBER(SEARCH('Task Finder'!$C$7,$D39)),ISNUMBER(SEARCH('Task Finder'!$C$7,$K39)))),TRUE))</f>
        <v/>
      </c>
    </row>
    <row r="40">
      <c r="A40" s="19" t="n"/>
      <c r="B40" s="19" t="n"/>
      <c r="C40" s="19" t="n"/>
      <c r="D40" s="19" t="n"/>
      <c r="E40" s="19" t="n"/>
      <c r="F40" s="19" t="n"/>
      <c r="G40" s="19" t="n"/>
      <c r="H40" s="19" t="n"/>
      <c r="I40" s="19" t="n"/>
      <c r="J40" s="19" t="n"/>
      <c r="K40" s="19" t="n"/>
      <c r="L40" s="35" t="n"/>
      <c r="M40" s="5">
        <f>IF($D40="","",IFERROR(VLOOKUP($H40,Lists!$N$2:$O$6,2,FALSE),0))</f>
        <v/>
      </c>
      <c r="N40" s="5">
        <f>IF($D40="","",IF(OR($E40="Blocked",$E40="Done",$E40="Archive"),-9999,IF(AND($E40="Waiting",SUMPRODUCT((($E$5:$E$500="Next")+($E$5:$E$500="In Progress")+($E$5:$E$500="Captured"))*($D$5:$D$500&lt;&gt;""))&gt;0),-500,VLOOKUP($F40,Lists!$L$2:$M$4,2,FALSE)+IF($E40="In Progress",10,0)+IF(AND($I40&lt;&gt;"",$I40&lt;TODAY()),25,0)+IF(AND($I40&lt;&gt;"",$I40&gt;=TODAY(),$I40&lt;=TODAY()+7),15,0)+IF($H40="",0,IF($M40&lt;=VLOOKUP(Home!$C$7,Lists!$N$2:$O$6,2,FALSE),20,-10))+IF($G40=Home!$E$7,15,IF(Home!$E$7="",0,-5))-ROW()/100000)))</f>
        <v/>
      </c>
      <c r="O40" s="5">
        <f>IF($D40="","",IF($N40&lt;=-500,"Not recommended right now",IF($E40="Waiting","Nothing else actionable right now — Waiting on: "&amp;IF($K40="","this item",$K40),TEXTJOIN(" • ",TRUE,IF($F40="High","High Priority",""),IF(AND($I40&lt;&gt;"",$I40&lt;TODAY()),"Overdue",""),IF(AND($I40&lt;&gt;"",$I40&gt;=TODAY(),$I40&lt;=TODAY()+7),"Due This Week",""),IF(AND($H40&lt;&gt;"",$M40&lt;=VLOOKUP(Home!$C$7,Lists!$N$2:$O$6,2,FALSE)),$H40&amp;" Task",""),IF($G40=Home!$E$7,"Fits Current Energy",""),"No Blockers"))))</f>
        <v/>
      </c>
      <c r="P40" s="5">
        <f>IF($D40="","",SWITCH('Task Finder'!$C$6,"High Priority",AND($F40="High",$E40&lt;&gt;"Done",$E40&lt;&gt;"Archive"),"Due This Week",AND($I40&lt;&gt;"",$I40&gt;=TODAY(),$I40&lt;=TODAY()+7,$E40&lt;&gt;"Done"),"Quick Wins (15 mins or less)",AND($M40&lt;=15,$E40&lt;&gt;"Done",$E40&lt;&gt;"Blocked"),"Deep Thinking",AND($G40="Deep Thinking",$E40&lt;&gt;"Done"),"Processing",AND($G40="Processing",$E40&lt;&gt;"Done"),"Blocked",$E40="Blocked","Waiting",$E40="Waiting","Recently Updated",AND($L40&lt;&gt;"",$L40&gt;=TODAY()-7),"Keyword",AND('Task Finder'!$C$7&lt;&gt;"",OR(ISNUMBER(SEARCH('Task Finder'!$C$7,$A40)),ISNUMBER(SEARCH('Task Finder'!$C$7,$B40)),ISNUMBER(SEARCH('Task Finder'!$C$7,$C40)),ISNUMBER(SEARCH('Task Finder'!$C$7,$D40)),ISNUMBER(SEARCH('Task Finder'!$C$7,$K40)))),TRUE))</f>
        <v/>
      </c>
    </row>
    <row r="41">
      <c r="A41" s="19" t="n"/>
      <c r="B41" s="19" t="n"/>
      <c r="C41" s="19" t="n"/>
      <c r="D41" s="19" t="n"/>
      <c r="E41" s="19" t="n"/>
      <c r="F41" s="19" t="n"/>
      <c r="G41" s="19" t="n"/>
      <c r="H41" s="19" t="n"/>
      <c r="I41" s="19" t="n"/>
      <c r="J41" s="19" t="n"/>
      <c r="K41" s="19" t="n"/>
      <c r="L41" s="35" t="n"/>
      <c r="M41" s="5">
        <f>IF($D41="","",IFERROR(VLOOKUP($H41,Lists!$N$2:$O$6,2,FALSE),0))</f>
        <v/>
      </c>
      <c r="N41" s="5">
        <f>IF($D41="","",IF(OR($E41="Blocked",$E41="Done",$E41="Archive"),-9999,IF(AND($E41="Waiting",SUMPRODUCT((($E$5:$E$500="Next")+($E$5:$E$500="In Progress")+($E$5:$E$500="Captured"))*($D$5:$D$500&lt;&gt;""))&gt;0),-500,VLOOKUP($F41,Lists!$L$2:$M$4,2,FALSE)+IF($E41="In Progress",10,0)+IF(AND($I41&lt;&gt;"",$I41&lt;TODAY()),25,0)+IF(AND($I41&lt;&gt;"",$I41&gt;=TODAY(),$I41&lt;=TODAY()+7),15,0)+IF($H41="",0,IF($M41&lt;=VLOOKUP(Home!$C$7,Lists!$N$2:$O$6,2,FALSE),20,-10))+IF($G41=Home!$E$7,15,IF(Home!$E$7="",0,-5))-ROW()/100000)))</f>
        <v/>
      </c>
      <c r="O41" s="5">
        <f>IF($D41="","",IF($N41&lt;=-500,"Not recommended right now",IF($E41="Waiting","Nothing else actionable right now — Waiting on: "&amp;IF($K41="","this item",$K41),TEXTJOIN(" • ",TRUE,IF($F41="High","High Priority",""),IF(AND($I41&lt;&gt;"",$I41&lt;TODAY()),"Overdue",""),IF(AND($I41&lt;&gt;"",$I41&gt;=TODAY(),$I41&lt;=TODAY()+7),"Due This Week",""),IF(AND($H41&lt;&gt;"",$M41&lt;=VLOOKUP(Home!$C$7,Lists!$N$2:$O$6,2,FALSE)),$H41&amp;" Task",""),IF($G41=Home!$E$7,"Fits Current Energy",""),"No Blockers"))))</f>
        <v/>
      </c>
      <c r="P41" s="5">
        <f>IF($D41="","",SWITCH('Task Finder'!$C$6,"High Priority",AND($F41="High",$E41&lt;&gt;"Done",$E41&lt;&gt;"Archive"),"Due This Week",AND($I41&lt;&gt;"",$I41&gt;=TODAY(),$I41&lt;=TODAY()+7,$E41&lt;&gt;"Done"),"Quick Wins (15 mins or less)",AND($M41&lt;=15,$E41&lt;&gt;"Done",$E41&lt;&gt;"Blocked"),"Deep Thinking",AND($G41="Deep Thinking",$E41&lt;&gt;"Done"),"Processing",AND($G41="Processing",$E41&lt;&gt;"Done"),"Blocked",$E41="Blocked","Waiting",$E41="Waiting","Recently Updated",AND($L41&lt;&gt;"",$L41&gt;=TODAY()-7),"Keyword",AND('Task Finder'!$C$7&lt;&gt;"",OR(ISNUMBER(SEARCH('Task Finder'!$C$7,$A41)),ISNUMBER(SEARCH('Task Finder'!$C$7,$B41)),ISNUMBER(SEARCH('Task Finder'!$C$7,$C41)),ISNUMBER(SEARCH('Task Finder'!$C$7,$D41)),ISNUMBER(SEARCH('Task Finder'!$C$7,$K41)))),TRUE))</f>
        <v/>
      </c>
    </row>
    <row r="42">
      <c r="A42" s="19" t="n"/>
      <c r="B42" s="19" t="n"/>
      <c r="C42" s="19" t="n"/>
      <c r="D42" s="19" t="n"/>
      <c r="E42" s="19" t="n"/>
      <c r="F42" s="19" t="n"/>
      <c r="G42" s="19" t="n"/>
      <c r="H42" s="19" t="n"/>
      <c r="I42" s="19" t="n"/>
      <c r="J42" s="19" t="n"/>
      <c r="K42" s="19" t="n"/>
      <c r="L42" s="35" t="n"/>
      <c r="M42" s="5">
        <f>IF($D42="","",IFERROR(VLOOKUP($H42,Lists!$N$2:$O$6,2,FALSE),0))</f>
        <v/>
      </c>
      <c r="N42" s="5">
        <f>IF($D42="","",IF(OR($E42="Blocked",$E42="Done",$E42="Archive"),-9999,IF(AND($E42="Waiting",SUMPRODUCT((($E$5:$E$500="Next")+($E$5:$E$500="In Progress")+($E$5:$E$500="Captured"))*($D$5:$D$500&lt;&gt;""))&gt;0),-500,VLOOKUP($F42,Lists!$L$2:$M$4,2,FALSE)+IF($E42="In Progress",10,0)+IF(AND($I42&lt;&gt;"",$I42&lt;TODAY()),25,0)+IF(AND($I42&lt;&gt;"",$I42&gt;=TODAY(),$I42&lt;=TODAY()+7),15,0)+IF($H42="",0,IF($M42&lt;=VLOOKUP(Home!$C$7,Lists!$N$2:$O$6,2,FALSE),20,-10))+IF($G42=Home!$E$7,15,IF(Home!$E$7="",0,-5))-ROW()/100000)))</f>
        <v/>
      </c>
      <c r="O42" s="5">
        <f>IF($D42="","",IF($N42&lt;=-500,"Not recommended right now",IF($E42="Waiting","Nothing else actionable right now — Waiting on: "&amp;IF($K42="","this item",$K42),TEXTJOIN(" • ",TRUE,IF($F42="High","High Priority",""),IF(AND($I42&lt;&gt;"",$I42&lt;TODAY()),"Overdue",""),IF(AND($I42&lt;&gt;"",$I42&gt;=TODAY(),$I42&lt;=TODAY()+7),"Due This Week",""),IF(AND($H42&lt;&gt;"",$M42&lt;=VLOOKUP(Home!$C$7,Lists!$N$2:$O$6,2,FALSE)),$H42&amp;" Task",""),IF($G42=Home!$E$7,"Fits Current Energy",""),"No Blockers"))))</f>
        <v/>
      </c>
      <c r="P42" s="5">
        <f>IF($D42="","",SWITCH('Task Finder'!$C$6,"High Priority",AND($F42="High",$E42&lt;&gt;"Done",$E42&lt;&gt;"Archive"),"Due This Week",AND($I42&lt;&gt;"",$I42&gt;=TODAY(),$I42&lt;=TODAY()+7,$E42&lt;&gt;"Done"),"Quick Wins (15 mins or less)",AND($M42&lt;=15,$E42&lt;&gt;"Done",$E42&lt;&gt;"Blocked"),"Deep Thinking",AND($G42="Deep Thinking",$E42&lt;&gt;"Done"),"Processing",AND($G42="Processing",$E42&lt;&gt;"Done"),"Blocked",$E42="Blocked","Waiting",$E42="Waiting","Recently Updated",AND($L42&lt;&gt;"",$L42&gt;=TODAY()-7),"Keyword",AND('Task Finder'!$C$7&lt;&gt;"",OR(ISNUMBER(SEARCH('Task Finder'!$C$7,$A42)),ISNUMBER(SEARCH('Task Finder'!$C$7,$B42)),ISNUMBER(SEARCH('Task Finder'!$C$7,$C42)),ISNUMBER(SEARCH('Task Finder'!$C$7,$D42)),ISNUMBER(SEARCH('Task Finder'!$C$7,$K42)))),TRUE))</f>
        <v/>
      </c>
    </row>
    <row r="43">
      <c r="A43" s="19" t="n"/>
      <c r="B43" s="19" t="n"/>
      <c r="C43" s="19" t="n"/>
      <c r="D43" s="19" t="n"/>
      <c r="E43" s="19" t="n"/>
      <c r="F43" s="19" t="n"/>
      <c r="G43" s="19" t="n"/>
      <c r="H43" s="19" t="n"/>
      <c r="I43" s="19" t="n"/>
      <c r="J43" s="19" t="n"/>
      <c r="K43" s="19" t="n"/>
      <c r="L43" s="35" t="n"/>
      <c r="M43" s="5">
        <f>IF($D43="","",IFERROR(VLOOKUP($H43,Lists!$N$2:$O$6,2,FALSE),0))</f>
        <v/>
      </c>
      <c r="N43" s="5">
        <f>IF($D43="","",IF(OR($E43="Blocked",$E43="Done",$E43="Archive"),-9999,IF(AND($E43="Waiting",SUMPRODUCT((($E$5:$E$500="Next")+($E$5:$E$500="In Progress")+($E$5:$E$500="Captured"))*($D$5:$D$500&lt;&gt;""))&gt;0),-500,VLOOKUP($F43,Lists!$L$2:$M$4,2,FALSE)+IF($E43="In Progress",10,0)+IF(AND($I43&lt;&gt;"",$I43&lt;TODAY()),25,0)+IF(AND($I43&lt;&gt;"",$I43&gt;=TODAY(),$I43&lt;=TODAY()+7),15,0)+IF($H43="",0,IF($M43&lt;=VLOOKUP(Home!$C$7,Lists!$N$2:$O$6,2,FALSE),20,-10))+IF($G43=Home!$E$7,15,IF(Home!$E$7="",0,-5))-ROW()/100000)))</f>
        <v/>
      </c>
      <c r="O43" s="5">
        <f>IF($D43="","",IF($N43&lt;=-500,"Not recommended right now",IF($E43="Waiting","Nothing else actionable right now — Waiting on: "&amp;IF($K43="","this item",$K43),TEXTJOIN(" • ",TRUE,IF($F43="High","High Priority",""),IF(AND($I43&lt;&gt;"",$I43&lt;TODAY()),"Overdue",""),IF(AND($I43&lt;&gt;"",$I43&gt;=TODAY(),$I43&lt;=TODAY()+7),"Due This Week",""),IF(AND($H43&lt;&gt;"",$M43&lt;=VLOOKUP(Home!$C$7,Lists!$N$2:$O$6,2,FALSE)),$H43&amp;" Task",""),IF($G43=Home!$E$7,"Fits Current Energy",""),"No Blockers"))))</f>
        <v/>
      </c>
      <c r="P43" s="5">
        <f>IF($D43="","",SWITCH('Task Finder'!$C$6,"High Priority",AND($F43="High",$E43&lt;&gt;"Done",$E43&lt;&gt;"Archive"),"Due This Week",AND($I43&lt;&gt;"",$I43&gt;=TODAY(),$I43&lt;=TODAY()+7,$E43&lt;&gt;"Done"),"Quick Wins (15 mins or less)",AND($M43&lt;=15,$E43&lt;&gt;"Done",$E43&lt;&gt;"Blocked"),"Deep Thinking",AND($G43="Deep Thinking",$E43&lt;&gt;"Done"),"Processing",AND($G43="Processing",$E43&lt;&gt;"Done"),"Blocked",$E43="Blocked","Waiting",$E43="Waiting","Recently Updated",AND($L43&lt;&gt;"",$L43&gt;=TODAY()-7),"Keyword",AND('Task Finder'!$C$7&lt;&gt;"",OR(ISNUMBER(SEARCH('Task Finder'!$C$7,$A43)),ISNUMBER(SEARCH('Task Finder'!$C$7,$B43)),ISNUMBER(SEARCH('Task Finder'!$C$7,$C43)),ISNUMBER(SEARCH('Task Finder'!$C$7,$D43)),ISNUMBER(SEARCH('Task Finder'!$C$7,$K43)))),TRUE))</f>
        <v/>
      </c>
    </row>
    <row r="44">
      <c r="A44" s="19" t="n"/>
      <c r="B44" s="19" t="n"/>
      <c r="C44" s="19" t="n"/>
      <c r="D44" s="19" t="n"/>
      <c r="E44" s="19" t="n"/>
      <c r="F44" s="19" t="n"/>
      <c r="G44" s="19" t="n"/>
      <c r="H44" s="19" t="n"/>
      <c r="I44" s="19" t="n"/>
      <c r="J44" s="19" t="n"/>
      <c r="K44" s="19" t="n"/>
      <c r="L44" s="35" t="n"/>
      <c r="M44" s="5">
        <f>IF($D44="","",IFERROR(VLOOKUP($H44,Lists!$N$2:$O$6,2,FALSE),0))</f>
        <v/>
      </c>
      <c r="N44" s="5">
        <f>IF($D44="","",IF(OR($E44="Blocked",$E44="Done",$E44="Archive"),-9999,IF(AND($E44="Waiting",SUMPRODUCT((($E$5:$E$500="Next")+($E$5:$E$500="In Progress")+($E$5:$E$500="Captured"))*($D$5:$D$500&lt;&gt;""))&gt;0),-500,VLOOKUP($F44,Lists!$L$2:$M$4,2,FALSE)+IF($E44="In Progress",10,0)+IF(AND($I44&lt;&gt;"",$I44&lt;TODAY()),25,0)+IF(AND($I44&lt;&gt;"",$I44&gt;=TODAY(),$I44&lt;=TODAY()+7),15,0)+IF($H44="",0,IF($M44&lt;=VLOOKUP(Home!$C$7,Lists!$N$2:$O$6,2,FALSE),20,-10))+IF($G44=Home!$E$7,15,IF(Home!$E$7="",0,-5))-ROW()/100000)))</f>
        <v/>
      </c>
      <c r="O44" s="5">
        <f>IF($D44="","",IF($N44&lt;=-500,"Not recommended right now",IF($E44="Waiting","Nothing else actionable right now — Waiting on: "&amp;IF($K44="","this item",$K44),TEXTJOIN(" • ",TRUE,IF($F44="High","High Priority",""),IF(AND($I44&lt;&gt;"",$I44&lt;TODAY()),"Overdue",""),IF(AND($I44&lt;&gt;"",$I44&gt;=TODAY(),$I44&lt;=TODAY()+7),"Due This Week",""),IF(AND($H44&lt;&gt;"",$M44&lt;=VLOOKUP(Home!$C$7,Lists!$N$2:$O$6,2,FALSE)),$H44&amp;" Task",""),IF($G44=Home!$E$7,"Fits Current Energy",""),"No Blockers"))))</f>
        <v/>
      </c>
      <c r="P44" s="5">
        <f>IF($D44="","",SWITCH('Task Finder'!$C$6,"High Priority",AND($F44="High",$E44&lt;&gt;"Done",$E44&lt;&gt;"Archive"),"Due This Week",AND($I44&lt;&gt;"",$I44&gt;=TODAY(),$I44&lt;=TODAY()+7,$E44&lt;&gt;"Done"),"Quick Wins (15 mins or less)",AND($M44&lt;=15,$E44&lt;&gt;"Done",$E44&lt;&gt;"Blocked"),"Deep Thinking",AND($G44="Deep Thinking",$E44&lt;&gt;"Done"),"Processing",AND($G44="Processing",$E44&lt;&gt;"Done"),"Blocked",$E44="Blocked","Waiting",$E44="Waiting","Recently Updated",AND($L44&lt;&gt;"",$L44&gt;=TODAY()-7),"Keyword",AND('Task Finder'!$C$7&lt;&gt;"",OR(ISNUMBER(SEARCH('Task Finder'!$C$7,$A44)),ISNUMBER(SEARCH('Task Finder'!$C$7,$B44)),ISNUMBER(SEARCH('Task Finder'!$C$7,$C44)),ISNUMBER(SEARCH('Task Finder'!$C$7,$D44)),ISNUMBER(SEARCH('Task Finder'!$C$7,$K44)))),TRUE))</f>
        <v/>
      </c>
    </row>
    <row r="45">
      <c r="A45" s="19" t="n"/>
      <c r="B45" s="19" t="n"/>
      <c r="C45" s="19" t="n"/>
      <c r="D45" s="19" t="n"/>
      <c r="E45" s="19" t="n"/>
      <c r="F45" s="19" t="n"/>
      <c r="G45" s="19" t="n"/>
      <c r="H45" s="19" t="n"/>
      <c r="I45" s="19" t="n"/>
      <c r="J45" s="19" t="n"/>
      <c r="K45" s="19" t="n"/>
      <c r="L45" s="35" t="n"/>
      <c r="M45" s="5">
        <f>IF($D45="","",IFERROR(VLOOKUP($H45,Lists!$N$2:$O$6,2,FALSE),0))</f>
        <v/>
      </c>
      <c r="N45" s="5">
        <f>IF($D45="","",IF(OR($E45="Blocked",$E45="Done",$E45="Archive"),-9999,IF(AND($E45="Waiting",SUMPRODUCT((($E$5:$E$500="Next")+($E$5:$E$500="In Progress")+($E$5:$E$500="Captured"))*($D$5:$D$500&lt;&gt;""))&gt;0),-500,VLOOKUP($F45,Lists!$L$2:$M$4,2,FALSE)+IF($E45="In Progress",10,0)+IF(AND($I45&lt;&gt;"",$I45&lt;TODAY()),25,0)+IF(AND($I45&lt;&gt;"",$I45&gt;=TODAY(),$I45&lt;=TODAY()+7),15,0)+IF($H45="",0,IF($M45&lt;=VLOOKUP(Home!$C$7,Lists!$N$2:$O$6,2,FALSE),20,-10))+IF($G45=Home!$E$7,15,IF(Home!$E$7="",0,-5))-ROW()/100000)))</f>
        <v/>
      </c>
      <c r="O45" s="5">
        <f>IF($D45="","",IF($N45&lt;=-500,"Not recommended right now",IF($E45="Waiting","Nothing else actionable right now — Waiting on: "&amp;IF($K45="","this item",$K45),TEXTJOIN(" • ",TRUE,IF($F45="High","High Priority",""),IF(AND($I45&lt;&gt;"",$I45&lt;TODAY()),"Overdue",""),IF(AND($I45&lt;&gt;"",$I45&gt;=TODAY(),$I45&lt;=TODAY()+7),"Due This Week",""),IF(AND($H45&lt;&gt;"",$M45&lt;=VLOOKUP(Home!$C$7,Lists!$N$2:$O$6,2,FALSE)),$H45&amp;" Task",""),IF($G45=Home!$E$7,"Fits Current Energy",""),"No Blockers"))))</f>
        <v/>
      </c>
      <c r="P45" s="5">
        <f>IF($D45="","",SWITCH('Task Finder'!$C$6,"High Priority",AND($F45="High",$E45&lt;&gt;"Done",$E45&lt;&gt;"Archive"),"Due This Week",AND($I45&lt;&gt;"",$I45&gt;=TODAY(),$I45&lt;=TODAY()+7,$E45&lt;&gt;"Done"),"Quick Wins (15 mins or less)",AND($M45&lt;=15,$E45&lt;&gt;"Done",$E45&lt;&gt;"Blocked"),"Deep Thinking",AND($G45="Deep Thinking",$E45&lt;&gt;"Done"),"Processing",AND($G45="Processing",$E45&lt;&gt;"Done"),"Blocked",$E45="Blocked","Waiting",$E45="Waiting","Recently Updated",AND($L45&lt;&gt;"",$L45&gt;=TODAY()-7),"Keyword",AND('Task Finder'!$C$7&lt;&gt;"",OR(ISNUMBER(SEARCH('Task Finder'!$C$7,$A45)),ISNUMBER(SEARCH('Task Finder'!$C$7,$B45)),ISNUMBER(SEARCH('Task Finder'!$C$7,$C45)),ISNUMBER(SEARCH('Task Finder'!$C$7,$D45)),ISNUMBER(SEARCH('Task Finder'!$C$7,$K45)))),TRUE))</f>
        <v/>
      </c>
    </row>
    <row r="46">
      <c r="A46" s="19" t="n"/>
      <c r="B46" s="19" t="n"/>
      <c r="C46" s="19" t="n"/>
      <c r="D46" s="19" t="n"/>
      <c r="E46" s="19" t="n"/>
      <c r="F46" s="19" t="n"/>
      <c r="G46" s="19" t="n"/>
      <c r="H46" s="19" t="n"/>
      <c r="I46" s="19" t="n"/>
      <c r="J46" s="19" t="n"/>
      <c r="K46" s="19" t="n"/>
      <c r="L46" s="35" t="n"/>
      <c r="M46" s="5">
        <f>IF($D46="","",IFERROR(VLOOKUP($H46,Lists!$N$2:$O$6,2,FALSE),0))</f>
        <v/>
      </c>
      <c r="N46" s="5">
        <f>IF($D46="","",IF(OR($E46="Blocked",$E46="Done",$E46="Archive"),-9999,IF(AND($E46="Waiting",SUMPRODUCT((($E$5:$E$500="Next")+($E$5:$E$500="In Progress")+($E$5:$E$500="Captured"))*($D$5:$D$500&lt;&gt;""))&gt;0),-500,VLOOKUP($F46,Lists!$L$2:$M$4,2,FALSE)+IF($E46="In Progress",10,0)+IF(AND($I46&lt;&gt;"",$I46&lt;TODAY()),25,0)+IF(AND($I46&lt;&gt;"",$I46&gt;=TODAY(),$I46&lt;=TODAY()+7),15,0)+IF($H46="",0,IF($M46&lt;=VLOOKUP(Home!$C$7,Lists!$N$2:$O$6,2,FALSE),20,-10))+IF($G46=Home!$E$7,15,IF(Home!$E$7="",0,-5))-ROW()/100000)))</f>
        <v/>
      </c>
      <c r="O46" s="5">
        <f>IF($D46="","",IF($N46&lt;=-500,"Not recommended right now",IF($E46="Waiting","Nothing else actionable right now — Waiting on: "&amp;IF($K46="","this item",$K46),TEXTJOIN(" • ",TRUE,IF($F46="High","High Priority",""),IF(AND($I46&lt;&gt;"",$I46&lt;TODAY()),"Overdue",""),IF(AND($I46&lt;&gt;"",$I46&gt;=TODAY(),$I46&lt;=TODAY()+7),"Due This Week",""),IF(AND($H46&lt;&gt;"",$M46&lt;=VLOOKUP(Home!$C$7,Lists!$N$2:$O$6,2,FALSE)),$H46&amp;" Task",""),IF($G46=Home!$E$7,"Fits Current Energy",""),"No Blockers"))))</f>
        <v/>
      </c>
      <c r="P46" s="5">
        <f>IF($D46="","",SWITCH('Task Finder'!$C$6,"High Priority",AND($F46="High",$E46&lt;&gt;"Done",$E46&lt;&gt;"Archive"),"Due This Week",AND($I46&lt;&gt;"",$I46&gt;=TODAY(),$I46&lt;=TODAY()+7,$E46&lt;&gt;"Done"),"Quick Wins (15 mins or less)",AND($M46&lt;=15,$E46&lt;&gt;"Done",$E46&lt;&gt;"Blocked"),"Deep Thinking",AND($G46="Deep Thinking",$E46&lt;&gt;"Done"),"Processing",AND($G46="Processing",$E46&lt;&gt;"Done"),"Blocked",$E46="Blocked","Waiting",$E46="Waiting","Recently Updated",AND($L46&lt;&gt;"",$L46&gt;=TODAY()-7),"Keyword",AND('Task Finder'!$C$7&lt;&gt;"",OR(ISNUMBER(SEARCH('Task Finder'!$C$7,$A46)),ISNUMBER(SEARCH('Task Finder'!$C$7,$B46)),ISNUMBER(SEARCH('Task Finder'!$C$7,$C46)),ISNUMBER(SEARCH('Task Finder'!$C$7,$D46)),ISNUMBER(SEARCH('Task Finder'!$C$7,$K46)))),TRUE))</f>
        <v/>
      </c>
    </row>
    <row r="47">
      <c r="A47" s="19" t="n"/>
      <c r="B47" s="19" t="n"/>
      <c r="C47" s="19" t="n"/>
      <c r="D47" s="19" t="n"/>
      <c r="E47" s="19" t="n"/>
      <c r="F47" s="19" t="n"/>
      <c r="G47" s="19" t="n"/>
      <c r="H47" s="19" t="n"/>
      <c r="I47" s="19" t="n"/>
      <c r="J47" s="19" t="n"/>
      <c r="K47" s="19" t="n"/>
      <c r="L47" s="35" t="n"/>
      <c r="M47" s="5">
        <f>IF($D47="","",IFERROR(VLOOKUP($H47,Lists!$N$2:$O$6,2,FALSE),0))</f>
        <v/>
      </c>
      <c r="N47" s="5">
        <f>IF($D47="","",IF(OR($E47="Blocked",$E47="Done",$E47="Archive"),-9999,IF(AND($E47="Waiting",SUMPRODUCT((($E$5:$E$500="Next")+($E$5:$E$500="In Progress")+($E$5:$E$500="Captured"))*($D$5:$D$500&lt;&gt;""))&gt;0),-500,VLOOKUP($F47,Lists!$L$2:$M$4,2,FALSE)+IF($E47="In Progress",10,0)+IF(AND($I47&lt;&gt;"",$I47&lt;TODAY()),25,0)+IF(AND($I47&lt;&gt;"",$I47&gt;=TODAY(),$I47&lt;=TODAY()+7),15,0)+IF($H47="",0,IF($M47&lt;=VLOOKUP(Home!$C$7,Lists!$N$2:$O$6,2,FALSE),20,-10))+IF($G47=Home!$E$7,15,IF(Home!$E$7="",0,-5))-ROW()/100000)))</f>
        <v/>
      </c>
      <c r="O47" s="5">
        <f>IF($D47="","",IF($N47&lt;=-500,"Not recommended right now",IF($E47="Waiting","Nothing else actionable right now — Waiting on: "&amp;IF($K47="","this item",$K47),TEXTJOIN(" • ",TRUE,IF($F47="High","High Priority",""),IF(AND($I47&lt;&gt;"",$I47&lt;TODAY()),"Overdue",""),IF(AND($I47&lt;&gt;"",$I47&gt;=TODAY(),$I47&lt;=TODAY()+7),"Due This Week",""),IF(AND($H47&lt;&gt;"",$M47&lt;=VLOOKUP(Home!$C$7,Lists!$N$2:$O$6,2,FALSE)),$H47&amp;" Task",""),IF($G47=Home!$E$7,"Fits Current Energy",""),"No Blockers"))))</f>
        <v/>
      </c>
      <c r="P47" s="5">
        <f>IF($D47="","",SWITCH('Task Finder'!$C$6,"High Priority",AND($F47="High",$E47&lt;&gt;"Done",$E47&lt;&gt;"Archive"),"Due This Week",AND($I47&lt;&gt;"",$I47&gt;=TODAY(),$I47&lt;=TODAY()+7,$E47&lt;&gt;"Done"),"Quick Wins (15 mins or less)",AND($M47&lt;=15,$E47&lt;&gt;"Done",$E47&lt;&gt;"Blocked"),"Deep Thinking",AND($G47="Deep Thinking",$E47&lt;&gt;"Done"),"Processing",AND($G47="Processing",$E47&lt;&gt;"Done"),"Blocked",$E47="Blocked","Waiting",$E47="Waiting","Recently Updated",AND($L47&lt;&gt;"",$L47&gt;=TODAY()-7),"Keyword",AND('Task Finder'!$C$7&lt;&gt;"",OR(ISNUMBER(SEARCH('Task Finder'!$C$7,$A47)),ISNUMBER(SEARCH('Task Finder'!$C$7,$B47)),ISNUMBER(SEARCH('Task Finder'!$C$7,$C47)),ISNUMBER(SEARCH('Task Finder'!$C$7,$D47)),ISNUMBER(SEARCH('Task Finder'!$C$7,$K47)))),TRUE))</f>
        <v/>
      </c>
    </row>
    <row r="48">
      <c r="A48" s="19" t="n"/>
      <c r="B48" s="19" t="n"/>
      <c r="C48" s="19" t="n"/>
      <c r="D48" s="19" t="n"/>
      <c r="E48" s="19" t="n"/>
      <c r="F48" s="19" t="n"/>
      <c r="G48" s="19" t="n"/>
      <c r="H48" s="19" t="n"/>
      <c r="I48" s="19" t="n"/>
      <c r="J48" s="19" t="n"/>
      <c r="K48" s="19" t="n"/>
      <c r="L48" s="35" t="n"/>
      <c r="M48" s="5">
        <f>IF($D48="","",IFERROR(VLOOKUP($H48,Lists!$N$2:$O$6,2,FALSE),0))</f>
        <v/>
      </c>
      <c r="N48" s="5">
        <f>IF($D48="","",IF(OR($E48="Blocked",$E48="Done",$E48="Archive"),-9999,IF(AND($E48="Waiting",SUMPRODUCT((($E$5:$E$500="Next")+($E$5:$E$500="In Progress")+($E$5:$E$500="Captured"))*($D$5:$D$500&lt;&gt;""))&gt;0),-500,VLOOKUP($F48,Lists!$L$2:$M$4,2,FALSE)+IF($E48="In Progress",10,0)+IF(AND($I48&lt;&gt;"",$I48&lt;TODAY()),25,0)+IF(AND($I48&lt;&gt;"",$I48&gt;=TODAY(),$I48&lt;=TODAY()+7),15,0)+IF($H48="",0,IF($M48&lt;=VLOOKUP(Home!$C$7,Lists!$N$2:$O$6,2,FALSE),20,-10))+IF($G48=Home!$E$7,15,IF(Home!$E$7="",0,-5))-ROW()/100000)))</f>
        <v/>
      </c>
      <c r="O48" s="5">
        <f>IF($D48="","",IF($N48&lt;=-500,"Not recommended right now",IF($E48="Waiting","Nothing else actionable right now — Waiting on: "&amp;IF($K48="","this item",$K48),TEXTJOIN(" • ",TRUE,IF($F48="High","High Priority",""),IF(AND($I48&lt;&gt;"",$I48&lt;TODAY()),"Overdue",""),IF(AND($I48&lt;&gt;"",$I48&gt;=TODAY(),$I48&lt;=TODAY()+7),"Due This Week",""),IF(AND($H48&lt;&gt;"",$M48&lt;=VLOOKUP(Home!$C$7,Lists!$N$2:$O$6,2,FALSE)),$H48&amp;" Task",""),IF($G48=Home!$E$7,"Fits Current Energy",""),"No Blockers"))))</f>
        <v/>
      </c>
      <c r="P48" s="5">
        <f>IF($D48="","",SWITCH('Task Finder'!$C$6,"High Priority",AND($F48="High",$E48&lt;&gt;"Done",$E48&lt;&gt;"Archive"),"Due This Week",AND($I48&lt;&gt;"",$I48&gt;=TODAY(),$I48&lt;=TODAY()+7,$E48&lt;&gt;"Done"),"Quick Wins (15 mins or less)",AND($M48&lt;=15,$E48&lt;&gt;"Done",$E48&lt;&gt;"Blocked"),"Deep Thinking",AND($G48="Deep Thinking",$E48&lt;&gt;"Done"),"Processing",AND($G48="Processing",$E48&lt;&gt;"Done"),"Blocked",$E48="Blocked","Waiting",$E48="Waiting","Recently Updated",AND($L48&lt;&gt;"",$L48&gt;=TODAY()-7),"Keyword",AND('Task Finder'!$C$7&lt;&gt;"",OR(ISNUMBER(SEARCH('Task Finder'!$C$7,$A48)),ISNUMBER(SEARCH('Task Finder'!$C$7,$B48)),ISNUMBER(SEARCH('Task Finder'!$C$7,$C48)),ISNUMBER(SEARCH('Task Finder'!$C$7,$D48)),ISNUMBER(SEARCH('Task Finder'!$C$7,$K48)))),TRUE))</f>
        <v/>
      </c>
    </row>
    <row r="49">
      <c r="A49" s="19" t="n"/>
      <c r="B49" s="19" t="n"/>
      <c r="C49" s="19" t="n"/>
      <c r="D49" s="19" t="n"/>
      <c r="E49" s="19" t="n"/>
      <c r="F49" s="19" t="n"/>
      <c r="G49" s="19" t="n"/>
      <c r="H49" s="19" t="n"/>
      <c r="I49" s="19" t="n"/>
      <c r="J49" s="19" t="n"/>
      <c r="K49" s="19" t="n"/>
      <c r="L49" s="35" t="n"/>
      <c r="M49" s="5">
        <f>IF($D49="","",IFERROR(VLOOKUP($H49,Lists!$N$2:$O$6,2,FALSE),0))</f>
        <v/>
      </c>
      <c r="N49" s="5">
        <f>IF($D49="","",IF(OR($E49="Blocked",$E49="Done",$E49="Archive"),-9999,IF(AND($E49="Waiting",SUMPRODUCT((($E$5:$E$500="Next")+($E$5:$E$500="In Progress")+($E$5:$E$500="Captured"))*($D$5:$D$500&lt;&gt;""))&gt;0),-500,VLOOKUP($F49,Lists!$L$2:$M$4,2,FALSE)+IF($E49="In Progress",10,0)+IF(AND($I49&lt;&gt;"",$I49&lt;TODAY()),25,0)+IF(AND($I49&lt;&gt;"",$I49&gt;=TODAY(),$I49&lt;=TODAY()+7),15,0)+IF($H49="",0,IF($M49&lt;=VLOOKUP(Home!$C$7,Lists!$N$2:$O$6,2,FALSE),20,-10))+IF($G49=Home!$E$7,15,IF(Home!$E$7="",0,-5))-ROW()/100000)))</f>
        <v/>
      </c>
      <c r="O49" s="5">
        <f>IF($D49="","",IF($N49&lt;=-500,"Not recommended right now",IF($E49="Waiting","Nothing else actionable right now — Waiting on: "&amp;IF($K49="","this item",$K49),TEXTJOIN(" • ",TRUE,IF($F49="High","High Priority",""),IF(AND($I49&lt;&gt;"",$I49&lt;TODAY()),"Overdue",""),IF(AND($I49&lt;&gt;"",$I49&gt;=TODAY(),$I49&lt;=TODAY()+7),"Due This Week",""),IF(AND($H49&lt;&gt;"",$M49&lt;=VLOOKUP(Home!$C$7,Lists!$N$2:$O$6,2,FALSE)),$H49&amp;" Task",""),IF($G49=Home!$E$7,"Fits Current Energy",""),"No Blockers"))))</f>
        <v/>
      </c>
      <c r="P49" s="5">
        <f>IF($D49="","",SWITCH('Task Finder'!$C$6,"High Priority",AND($F49="High",$E49&lt;&gt;"Done",$E49&lt;&gt;"Archive"),"Due This Week",AND($I49&lt;&gt;"",$I49&gt;=TODAY(),$I49&lt;=TODAY()+7,$E49&lt;&gt;"Done"),"Quick Wins (15 mins or less)",AND($M49&lt;=15,$E49&lt;&gt;"Done",$E49&lt;&gt;"Blocked"),"Deep Thinking",AND($G49="Deep Thinking",$E49&lt;&gt;"Done"),"Processing",AND($G49="Processing",$E49&lt;&gt;"Done"),"Blocked",$E49="Blocked","Waiting",$E49="Waiting","Recently Updated",AND($L49&lt;&gt;"",$L49&gt;=TODAY()-7),"Keyword",AND('Task Finder'!$C$7&lt;&gt;"",OR(ISNUMBER(SEARCH('Task Finder'!$C$7,$A49)),ISNUMBER(SEARCH('Task Finder'!$C$7,$B49)),ISNUMBER(SEARCH('Task Finder'!$C$7,$C49)),ISNUMBER(SEARCH('Task Finder'!$C$7,$D49)),ISNUMBER(SEARCH('Task Finder'!$C$7,$K49)))),TRUE))</f>
        <v/>
      </c>
    </row>
    <row r="50">
      <c r="A50" s="19" t="n"/>
      <c r="B50" s="19" t="n"/>
      <c r="C50" s="19" t="n"/>
      <c r="D50" s="19" t="n"/>
      <c r="E50" s="19" t="n"/>
      <c r="F50" s="19" t="n"/>
      <c r="G50" s="19" t="n"/>
      <c r="H50" s="19" t="n"/>
      <c r="I50" s="19" t="n"/>
      <c r="J50" s="19" t="n"/>
      <c r="K50" s="19" t="n"/>
      <c r="L50" s="35" t="n"/>
      <c r="M50" s="5">
        <f>IF($D50="","",IFERROR(VLOOKUP($H50,Lists!$N$2:$O$6,2,FALSE),0))</f>
        <v/>
      </c>
      <c r="N50" s="5">
        <f>IF($D50="","",IF(OR($E50="Blocked",$E50="Done",$E50="Archive"),-9999,IF(AND($E50="Waiting",SUMPRODUCT((($E$5:$E$500="Next")+($E$5:$E$500="In Progress")+($E$5:$E$500="Captured"))*($D$5:$D$500&lt;&gt;""))&gt;0),-500,VLOOKUP($F50,Lists!$L$2:$M$4,2,FALSE)+IF($E50="In Progress",10,0)+IF(AND($I50&lt;&gt;"",$I50&lt;TODAY()),25,0)+IF(AND($I50&lt;&gt;"",$I50&gt;=TODAY(),$I50&lt;=TODAY()+7),15,0)+IF($H50="",0,IF($M50&lt;=VLOOKUP(Home!$C$7,Lists!$N$2:$O$6,2,FALSE),20,-10))+IF($G50=Home!$E$7,15,IF(Home!$E$7="",0,-5))-ROW()/100000)))</f>
        <v/>
      </c>
      <c r="O50" s="5">
        <f>IF($D50="","",IF($N50&lt;=-500,"Not recommended right now",IF($E50="Waiting","Nothing else actionable right now — Waiting on: "&amp;IF($K50="","this item",$K50),TEXTJOIN(" • ",TRUE,IF($F50="High","High Priority",""),IF(AND($I50&lt;&gt;"",$I50&lt;TODAY()),"Overdue",""),IF(AND($I50&lt;&gt;"",$I50&gt;=TODAY(),$I50&lt;=TODAY()+7),"Due This Week",""),IF(AND($H50&lt;&gt;"",$M50&lt;=VLOOKUP(Home!$C$7,Lists!$N$2:$O$6,2,FALSE)),$H50&amp;" Task",""),IF($G50=Home!$E$7,"Fits Current Energy",""),"No Blockers"))))</f>
        <v/>
      </c>
      <c r="P50" s="5">
        <f>IF($D50="","",SWITCH('Task Finder'!$C$6,"High Priority",AND($F50="High",$E50&lt;&gt;"Done",$E50&lt;&gt;"Archive"),"Due This Week",AND($I50&lt;&gt;"",$I50&gt;=TODAY(),$I50&lt;=TODAY()+7,$E50&lt;&gt;"Done"),"Quick Wins (15 mins or less)",AND($M50&lt;=15,$E50&lt;&gt;"Done",$E50&lt;&gt;"Blocked"),"Deep Thinking",AND($G50="Deep Thinking",$E50&lt;&gt;"Done"),"Processing",AND($G50="Processing",$E50&lt;&gt;"Done"),"Blocked",$E50="Blocked","Waiting",$E50="Waiting","Recently Updated",AND($L50&lt;&gt;"",$L50&gt;=TODAY()-7),"Keyword",AND('Task Finder'!$C$7&lt;&gt;"",OR(ISNUMBER(SEARCH('Task Finder'!$C$7,$A50)),ISNUMBER(SEARCH('Task Finder'!$C$7,$B50)),ISNUMBER(SEARCH('Task Finder'!$C$7,$C50)),ISNUMBER(SEARCH('Task Finder'!$C$7,$D50)),ISNUMBER(SEARCH('Task Finder'!$C$7,$K50)))),TRUE))</f>
        <v/>
      </c>
    </row>
    <row r="51">
      <c r="A51" s="19" t="n"/>
      <c r="B51" s="19" t="n"/>
      <c r="C51" s="19" t="n"/>
      <c r="D51" s="19" t="n"/>
      <c r="E51" s="19" t="n"/>
      <c r="F51" s="19" t="n"/>
      <c r="G51" s="19" t="n"/>
      <c r="H51" s="19" t="n"/>
      <c r="I51" s="19" t="n"/>
      <c r="J51" s="19" t="n"/>
      <c r="K51" s="19" t="n"/>
      <c r="L51" s="35" t="n"/>
      <c r="M51" s="5">
        <f>IF($D51="","",IFERROR(VLOOKUP($H51,Lists!$N$2:$O$6,2,FALSE),0))</f>
        <v/>
      </c>
      <c r="N51" s="5">
        <f>IF($D51="","",IF(OR($E51="Blocked",$E51="Done",$E51="Archive"),-9999,IF(AND($E51="Waiting",SUMPRODUCT((($E$5:$E$500="Next")+($E$5:$E$500="In Progress")+($E$5:$E$500="Captured"))*($D$5:$D$500&lt;&gt;""))&gt;0),-500,VLOOKUP($F51,Lists!$L$2:$M$4,2,FALSE)+IF($E51="In Progress",10,0)+IF(AND($I51&lt;&gt;"",$I51&lt;TODAY()),25,0)+IF(AND($I51&lt;&gt;"",$I51&gt;=TODAY(),$I51&lt;=TODAY()+7),15,0)+IF($H51="",0,IF($M51&lt;=VLOOKUP(Home!$C$7,Lists!$N$2:$O$6,2,FALSE),20,-10))+IF($G51=Home!$E$7,15,IF(Home!$E$7="",0,-5))-ROW()/100000)))</f>
        <v/>
      </c>
      <c r="O51" s="5">
        <f>IF($D51="","",IF($N51&lt;=-500,"Not recommended right now",IF($E51="Waiting","Nothing else actionable right now — Waiting on: "&amp;IF($K51="","this item",$K51),TEXTJOIN(" • ",TRUE,IF($F51="High","High Priority",""),IF(AND($I51&lt;&gt;"",$I51&lt;TODAY()),"Overdue",""),IF(AND($I51&lt;&gt;"",$I51&gt;=TODAY(),$I51&lt;=TODAY()+7),"Due This Week",""),IF(AND($H51&lt;&gt;"",$M51&lt;=VLOOKUP(Home!$C$7,Lists!$N$2:$O$6,2,FALSE)),$H51&amp;" Task",""),IF($G51=Home!$E$7,"Fits Current Energy",""),"No Blockers"))))</f>
        <v/>
      </c>
      <c r="P51" s="5">
        <f>IF($D51="","",SWITCH('Task Finder'!$C$6,"High Priority",AND($F51="High",$E51&lt;&gt;"Done",$E51&lt;&gt;"Archive"),"Due This Week",AND($I51&lt;&gt;"",$I51&gt;=TODAY(),$I51&lt;=TODAY()+7,$E51&lt;&gt;"Done"),"Quick Wins (15 mins or less)",AND($M51&lt;=15,$E51&lt;&gt;"Done",$E51&lt;&gt;"Blocked"),"Deep Thinking",AND($G51="Deep Thinking",$E51&lt;&gt;"Done"),"Processing",AND($G51="Processing",$E51&lt;&gt;"Done"),"Blocked",$E51="Blocked","Waiting",$E51="Waiting","Recently Updated",AND($L51&lt;&gt;"",$L51&gt;=TODAY()-7),"Keyword",AND('Task Finder'!$C$7&lt;&gt;"",OR(ISNUMBER(SEARCH('Task Finder'!$C$7,$A51)),ISNUMBER(SEARCH('Task Finder'!$C$7,$B51)),ISNUMBER(SEARCH('Task Finder'!$C$7,$C51)),ISNUMBER(SEARCH('Task Finder'!$C$7,$D51)),ISNUMBER(SEARCH('Task Finder'!$C$7,$K51)))),TRUE))</f>
        <v/>
      </c>
    </row>
    <row r="52">
      <c r="A52" s="19" t="n"/>
      <c r="B52" s="19" t="n"/>
      <c r="C52" s="19" t="n"/>
      <c r="D52" s="19" t="n"/>
      <c r="E52" s="19" t="n"/>
      <c r="F52" s="19" t="n"/>
      <c r="G52" s="19" t="n"/>
      <c r="H52" s="19" t="n"/>
      <c r="I52" s="19" t="n"/>
      <c r="J52" s="19" t="n"/>
      <c r="K52" s="19" t="n"/>
      <c r="L52" s="35" t="n"/>
      <c r="M52" s="5">
        <f>IF($D52="","",IFERROR(VLOOKUP($H52,Lists!$N$2:$O$6,2,FALSE),0))</f>
        <v/>
      </c>
      <c r="N52" s="5">
        <f>IF($D52="","",IF(OR($E52="Blocked",$E52="Done",$E52="Archive"),-9999,IF(AND($E52="Waiting",SUMPRODUCT((($E$5:$E$500="Next")+($E$5:$E$500="In Progress")+($E$5:$E$500="Captured"))*($D$5:$D$500&lt;&gt;""))&gt;0),-500,VLOOKUP($F52,Lists!$L$2:$M$4,2,FALSE)+IF($E52="In Progress",10,0)+IF(AND($I52&lt;&gt;"",$I52&lt;TODAY()),25,0)+IF(AND($I52&lt;&gt;"",$I52&gt;=TODAY(),$I52&lt;=TODAY()+7),15,0)+IF($H52="",0,IF($M52&lt;=VLOOKUP(Home!$C$7,Lists!$N$2:$O$6,2,FALSE),20,-10))+IF($G52=Home!$E$7,15,IF(Home!$E$7="",0,-5))-ROW()/100000)))</f>
        <v/>
      </c>
      <c r="O52" s="5">
        <f>IF($D52="","",IF($N52&lt;=-500,"Not recommended right now",IF($E52="Waiting","Nothing else actionable right now — Waiting on: "&amp;IF($K52="","this item",$K52),TEXTJOIN(" • ",TRUE,IF($F52="High","High Priority",""),IF(AND($I52&lt;&gt;"",$I52&lt;TODAY()),"Overdue",""),IF(AND($I52&lt;&gt;"",$I52&gt;=TODAY(),$I52&lt;=TODAY()+7),"Due This Week",""),IF(AND($H52&lt;&gt;"",$M52&lt;=VLOOKUP(Home!$C$7,Lists!$N$2:$O$6,2,FALSE)),$H52&amp;" Task",""),IF($G52=Home!$E$7,"Fits Current Energy",""),"No Blockers"))))</f>
        <v/>
      </c>
      <c r="P52" s="5">
        <f>IF($D52="","",SWITCH('Task Finder'!$C$6,"High Priority",AND($F52="High",$E52&lt;&gt;"Done",$E52&lt;&gt;"Archive"),"Due This Week",AND($I52&lt;&gt;"",$I52&gt;=TODAY(),$I52&lt;=TODAY()+7,$E52&lt;&gt;"Done"),"Quick Wins (15 mins or less)",AND($M52&lt;=15,$E52&lt;&gt;"Done",$E52&lt;&gt;"Blocked"),"Deep Thinking",AND($G52="Deep Thinking",$E52&lt;&gt;"Done"),"Processing",AND($G52="Processing",$E52&lt;&gt;"Done"),"Blocked",$E52="Blocked","Waiting",$E52="Waiting","Recently Updated",AND($L52&lt;&gt;"",$L52&gt;=TODAY()-7),"Keyword",AND('Task Finder'!$C$7&lt;&gt;"",OR(ISNUMBER(SEARCH('Task Finder'!$C$7,$A52)),ISNUMBER(SEARCH('Task Finder'!$C$7,$B52)),ISNUMBER(SEARCH('Task Finder'!$C$7,$C52)),ISNUMBER(SEARCH('Task Finder'!$C$7,$D52)),ISNUMBER(SEARCH('Task Finder'!$C$7,$K52)))),TRUE))</f>
        <v/>
      </c>
    </row>
    <row r="53">
      <c r="A53" s="19" t="n"/>
      <c r="B53" s="19" t="n"/>
      <c r="C53" s="19" t="n"/>
      <c r="D53" s="19" t="n"/>
      <c r="E53" s="19" t="n"/>
      <c r="F53" s="19" t="n"/>
      <c r="G53" s="19" t="n"/>
      <c r="H53" s="19" t="n"/>
      <c r="I53" s="19" t="n"/>
      <c r="J53" s="19" t="n"/>
      <c r="K53" s="19" t="n"/>
      <c r="L53" s="35" t="n"/>
      <c r="M53" s="5">
        <f>IF($D53="","",IFERROR(VLOOKUP($H53,Lists!$N$2:$O$6,2,FALSE),0))</f>
        <v/>
      </c>
      <c r="N53" s="5">
        <f>IF($D53="","",IF(OR($E53="Blocked",$E53="Done",$E53="Archive"),-9999,IF(AND($E53="Waiting",SUMPRODUCT((($E$5:$E$500="Next")+($E$5:$E$500="In Progress")+($E$5:$E$500="Captured"))*($D$5:$D$500&lt;&gt;""))&gt;0),-500,VLOOKUP($F53,Lists!$L$2:$M$4,2,FALSE)+IF($E53="In Progress",10,0)+IF(AND($I53&lt;&gt;"",$I53&lt;TODAY()),25,0)+IF(AND($I53&lt;&gt;"",$I53&gt;=TODAY(),$I53&lt;=TODAY()+7),15,0)+IF($H53="",0,IF($M53&lt;=VLOOKUP(Home!$C$7,Lists!$N$2:$O$6,2,FALSE),20,-10))+IF($G53=Home!$E$7,15,IF(Home!$E$7="",0,-5))-ROW()/100000)))</f>
        <v/>
      </c>
      <c r="O53" s="5">
        <f>IF($D53="","",IF($N53&lt;=-500,"Not recommended right now",IF($E53="Waiting","Nothing else actionable right now — Waiting on: "&amp;IF($K53="","this item",$K53),TEXTJOIN(" • ",TRUE,IF($F53="High","High Priority",""),IF(AND($I53&lt;&gt;"",$I53&lt;TODAY()),"Overdue",""),IF(AND($I53&lt;&gt;"",$I53&gt;=TODAY(),$I53&lt;=TODAY()+7),"Due This Week",""),IF(AND($H53&lt;&gt;"",$M53&lt;=VLOOKUP(Home!$C$7,Lists!$N$2:$O$6,2,FALSE)),$H53&amp;" Task",""),IF($G53=Home!$E$7,"Fits Current Energy",""),"No Blockers"))))</f>
        <v/>
      </c>
      <c r="P53" s="5">
        <f>IF($D53="","",SWITCH('Task Finder'!$C$6,"High Priority",AND($F53="High",$E53&lt;&gt;"Done",$E53&lt;&gt;"Archive"),"Due This Week",AND($I53&lt;&gt;"",$I53&gt;=TODAY(),$I53&lt;=TODAY()+7,$E53&lt;&gt;"Done"),"Quick Wins (15 mins or less)",AND($M53&lt;=15,$E53&lt;&gt;"Done",$E53&lt;&gt;"Blocked"),"Deep Thinking",AND($G53="Deep Thinking",$E53&lt;&gt;"Done"),"Processing",AND($G53="Processing",$E53&lt;&gt;"Done"),"Blocked",$E53="Blocked","Waiting",$E53="Waiting","Recently Updated",AND($L53&lt;&gt;"",$L53&gt;=TODAY()-7),"Keyword",AND('Task Finder'!$C$7&lt;&gt;"",OR(ISNUMBER(SEARCH('Task Finder'!$C$7,$A53)),ISNUMBER(SEARCH('Task Finder'!$C$7,$B53)),ISNUMBER(SEARCH('Task Finder'!$C$7,$C53)),ISNUMBER(SEARCH('Task Finder'!$C$7,$D53)),ISNUMBER(SEARCH('Task Finder'!$C$7,$K53)))),TRUE))</f>
        <v/>
      </c>
    </row>
    <row r="54">
      <c r="A54" s="19" t="n"/>
      <c r="B54" s="19" t="n"/>
      <c r="C54" s="19" t="n"/>
      <c r="D54" s="19" t="n"/>
      <c r="E54" s="19" t="n"/>
      <c r="F54" s="19" t="n"/>
      <c r="G54" s="19" t="n"/>
      <c r="H54" s="19" t="n"/>
      <c r="I54" s="19" t="n"/>
      <c r="J54" s="19" t="n"/>
      <c r="K54" s="19" t="n"/>
      <c r="L54" s="35" t="n"/>
      <c r="M54" s="5">
        <f>IF($D54="","",IFERROR(VLOOKUP($H54,Lists!$N$2:$O$6,2,FALSE),0))</f>
        <v/>
      </c>
      <c r="N54" s="5">
        <f>IF($D54="","",IF(OR($E54="Blocked",$E54="Done",$E54="Archive"),-9999,IF(AND($E54="Waiting",SUMPRODUCT((($E$5:$E$500="Next")+($E$5:$E$500="In Progress")+($E$5:$E$500="Captured"))*($D$5:$D$500&lt;&gt;""))&gt;0),-500,VLOOKUP($F54,Lists!$L$2:$M$4,2,FALSE)+IF($E54="In Progress",10,0)+IF(AND($I54&lt;&gt;"",$I54&lt;TODAY()),25,0)+IF(AND($I54&lt;&gt;"",$I54&gt;=TODAY(),$I54&lt;=TODAY()+7),15,0)+IF($H54="",0,IF($M54&lt;=VLOOKUP(Home!$C$7,Lists!$N$2:$O$6,2,FALSE),20,-10))+IF($G54=Home!$E$7,15,IF(Home!$E$7="",0,-5))-ROW()/100000)))</f>
        <v/>
      </c>
      <c r="O54" s="5">
        <f>IF($D54="","",IF($N54&lt;=-500,"Not recommended right now",IF($E54="Waiting","Nothing else actionable right now — Waiting on: "&amp;IF($K54="","this item",$K54),TEXTJOIN(" • ",TRUE,IF($F54="High","High Priority",""),IF(AND($I54&lt;&gt;"",$I54&lt;TODAY()),"Overdue",""),IF(AND($I54&lt;&gt;"",$I54&gt;=TODAY(),$I54&lt;=TODAY()+7),"Due This Week",""),IF(AND($H54&lt;&gt;"",$M54&lt;=VLOOKUP(Home!$C$7,Lists!$N$2:$O$6,2,FALSE)),$H54&amp;" Task",""),IF($G54=Home!$E$7,"Fits Current Energy",""),"No Blockers"))))</f>
        <v/>
      </c>
      <c r="P54" s="5">
        <f>IF($D54="","",SWITCH('Task Finder'!$C$6,"High Priority",AND($F54="High",$E54&lt;&gt;"Done",$E54&lt;&gt;"Archive"),"Due This Week",AND($I54&lt;&gt;"",$I54&gt;=TODAY(),$I54&lt;=TODAY()+7,$E54&lt;&gt;"Done"),"Quick Wins (15 mins or less)",AND($M54&lt;=15,$E54&lt;&gt;"Done",$E54&lt;&gt;"Blocked"),"Deep Thinking",AND($G54="Deep Thinking",$E54&lt;&gt;"Done"),"Processing",AND($G54="Processing",$E54&lt;&gt;"Done"),"Blocked",$E54="Blocked","Waiting",$E54="Waiting","Recently Updated",AND($L54&lt;&gt;"",$L54&gt;=TODAY()-7),"Keyword",AND('Task Finder'!$C$7&lt;&gt;"",OR(ISNUMBER(SEARCH('Task Finder'!$C$7,$A54)),ISNUMBER(SEARCH('Task Finder'!$C$7,$B54)),ISNUMBER(SEARCH('Task Finder'!$C$7,$C54)),ISNUMBER(SEARCH('Task Finder'!$C$7,$D54)),ISNUMBER(SEARCH('Task Finder'!$C$7,$K54)))),TRUE))</f>
        <v/>
      </c>
    </row>
    <row r="55">
      <c r="A55" s="19" t="n"/>
      <c r="B55" s="19" t="n"/>
      <c r="C55" s="19" t="n"/>
      <c r="D55" s="19" t="n"/>
      <c r="E55" s="19" t="n"/>
      <c r="F55" s="19" t="n"/>
      <c r="G55" s="19" t="n"/>
      <c r="H55" s="19" t="n"/>
      <c r="I55" s="19" t="n"/>
      <c r="J55" s="19" t="n"/>
      <c r="K55" s="19" t="n"/>
      <c r="L55" s="35" t="n"/>
      <c r="M55" s="5">
        <f>IF($D55="","",IFERROR(VLOOKUP($H55,Lists!$N$2:$O$6,2,FALSE),0))</f>
        <v/>
      </c>
      <c r="N55" s="5">
        <f>IF($D55="","",IF(OR($E55="Blocked",$E55="Done",$E55="Archive"),-9999,IF(AND($E55="Waiting",SUMPRODUCT((($E$5:$E$500="Next")+($E$5:$E$500="In Progress")+($E$5:$E$500="Captured"))*($D$5:$D$500&lt;&gt;""))&gt;0),-500,VLOOKUP($F55,Lists!$L$2:$M$4,2,FALSE)+IF($E55="In Progress",10,0)+IF(AND($I55&lt;&gt;"",$I55&lt;TODAY()),25,0)+IF(AND($I55&lt;&gt;"",$I55&gt;=TODAY(),$I55&lt;=TODAY()+7),15,0)+IF($H55="",0,IF($M55&lt;=VLOOKUP(Home!$C$7,Lists!$N$2:$O$6,2,FALSE),20,-10))+IF($G55=Home!$E$7,15,IF(Home!$E$7="",0,-5))-ROW()/100000)))</f>
        <v/>
      </c>
      <c r="O55" s="5">
        <f>IF($D55="","",IF($N55&lt;=-500,"Not recommended right now",IF($E55="Waiting","Nothing else actionable right now — Waiting on: "&amp;IF($K55="","this item",$K55),TEXTJOIN(" • ",TRUE,IF($F55="High","High Priority",""),IF(AND($I55&lt;&gt;"",$I55&lt;TODAY()),"Overdue",""),IF(AND($I55&lt;&gt;"",$I55&gt;=TODAY(),$I55&lt;=TODAY()+7),"Due This Week",""),IF(AND($H55&lt;&gt;"",$M55&lt;=VLOOKUP(Home!$C$7,Lists!$N$2:$O$6,2,FALSE)),$H55&amp;" Task",""),IF($G55=Home!$E$7,"Fits Current Energy",""),"No Blockers"))))</f>
        <v/>
      </c>
      <c r="P55" s="5">
        <f>IF($D55="","",SWITCH('Task Finder'!$C$6,"High Priority",AND($F55="High",$E55&lt;&gt;"Done",$E55&lt;&gt;"Archive"),"Due This Week",AND($I55&lt;&gt;"",$I55&gt;=TODAY(),$I55&lt;=TODAY()+7,$E55&lt;&gt;"Done"),"Quick Wins (15 mins or less)",AND($M55&lt;=15,$E55&lt;&gt;"Done",$E55&lt;&gt;"Blocked"),"Deep Thinking",AND($G55="Deep Thinking",$E55&lt;&gt;"Done"),"Processing",AND($G55="Processing",$E55&lt;&gt;"Done"),"Blocked",$E55="Blocked","Waiting",$E55="Waiting","Recently Updated",AND($L55&lt;&gt;"",$L55&gt;=TODAY()-7),"Keyword",AND('Task Finder'!$C$7&lt;&gt;"",OR(ISNUMBER(SEARCH('Task Finder'!$C$7,$A55)),ISNUMBER(SEARCH('Task Finder'!$C$7,$B55)),ISNUMBER(SEARCH('Task Finder'!$C$7,$C55)),ISNUMBER(SEARCH('Task Finder'!$C$7,$D55)),ISNUMBER(SEARCH('Task Finder'!$C$7,$K55)))),TRUE))</f>
        <v/>
      </c>
    </row>
    <row r="56">
      <c r="A56" s="19" t="n"/>
      <c r="B56" s="19" t="n"/>
      <c r="C56" s="19" t="n"/>
      <c r="D56" s="19" t="n"/>
      <c r="E56" s="19" t="n"/>
      <c r="F56" s="19" t="n"/>
      <c r="G56" s="19" t="n"/>
      <c r="H56" s="19" t="n"/>
      <c r="I56" s="19" t="n"/>
      <c r="J56" s="19" t="n"/>
      <c r="K56" s="19" t="n"/>
      <c r="L56" s="35" t="n"/>
      <c r="M56" s="5">
        <f>IF($D56="","",IFERROR(VLOOKUP($H56,Lists!$N$2:$O$6,2,FALSE),0))</f>
        <v/>
      </c>
      <c r="N56" s="5">
        <f>IF($D56="","",IF(OR($E56="Blocked",$E56="Done",$E56="Archive"),-9999,IF(AND($E56="Waiting",SUMPRODUCT((($E$5:$E$500="Next")+($E$5:$E$500="In Progress")+($E$5:$E$500="Captured"))*($D$5:$D$500&lt;&gt;""))&gt;0),-500,VLOOKUP($F56,Lists!$L$2:$M$4,2,FALSE)+IF($E56="In Progress",10,0)+IF(AND($I56&lt;&gt;"",$I56&lt;TODAY()),25,0)+IF(AND($I56&lt;&gt;"",$I56&gt;=TODAY(),$I56&lt;=TODAY()+7),15,0)+IF($H56="",0,IF($M56&lt;=VLOOKUP(Home!$C$7,Lists!$N$2:$O$6,2,FALSE),20,-10))+IF($G56=Home!$E$7,15,IF(Home!$E$7="",0,-5))-ROW()/100000)))</f>
        <v/>
      </c>
      <c r="O56" s="5">
        <f>IF($D56="","",IF($N56&lt;=-500,"Not recommended right now",IF($E56="Waiting","Nothing else actionable right now — Waiting on: "&amp;IF($K56="","this item",$K56),TEXTJOIN(" • ",TRUE,IF($F56="High","High Priority",""),IF(AND($I56&lt;&gt;"",$I56&lt;TODAY()),"Overdue",""),IF(AND($I56&lt;&gt;"",$I56&gt;=TODAY(),$I56&lt;=TODAY()+7),"Due This Week",""),IF(AND($H56&lt;&gt;"",$M56&lt;=VLOOKUP(Home!$C$7,Lists!$N$2:$O$6,2,FALSE)),$H56&amp;" Task",""),IF($G56=Home!$E$7,"Fits Current Energy",""),"No Blockers"))))</f>
        <v/>
      </c>
      <c r="P56" s="5">
        <f>IF($D56="","",SWITCH('Task Finder'!$C$6,"High Priority",AND($F56="High",$E56&lt;&gt;"Done",$E56&lt;&gt;"Archive"),"Due This Week",AND($I56&lt;&gt;"",$I56&gt;=TODAY(),$I56&lt;=TODAY()+7,$E56&lt;&gt;"Done"),"Quick Wins (15 mins or less)",AND($M56&lt;=15,$E56&lt;&gt;"Done",$E56&lt;&gt;"Blocked"),"Deep Thinking",AND($G56="Deep Thinking",$E56&lt;&gt;"Done"),"Processing",AND($G56="Processing",$E56&lt;&gt;"Done"),"Blocked",$E56="Blocked","Waiting",$E56="Waiting","Recently Updated",AND($L56&lt;&gt;"",$L56&gt;=TODAY()-7),"Keyword",AND('Task Finder'!$C$7&lt;&gt;"",OR(ISNUMBER(SEARCH('Task Finder'!$C$7,$A56)),ISNUMBER(SEARCH('Task Finder'!$C$7,$B56)),ISNUMBER(SEARCH('Task Finder'!$C$7,$C56)),ISNUMBER(SEARCH('Task Finder'!$C$7,$D56)),ISNUMBER(SEARCH('Task Finder'!$C$7,$K56)))),TRUE))</f>
        <v/>
      </c>
    </row>
    <row r="57">
      <c r="A57" s="19" t="n"/>
      <c r="B57" s="19" t="n"/>
      <c r="C57" s="19" t="n"/>
      <c r="D57" s="19" t="n"/>
      <c r="E57" s="19" t="n"/>
      <c r="F57" s="19" t="n"/>
      <c r="G57" s="19" t="n"/>
      <c r="H57" s="19" t="n"/>
      <c r="I57" s="19" t="n"/>
      <c r="J57" s="19" t="n"/>
      <c r="K57" s="19" t="n"/>
      <c r="L57" s="35" t="n"/>
      <c r="M57" s="5">
        <f>IF($D57="","",IFERROR(VLOOKUP($H57,Lists!$N$2:$O$6,2,FALSE),0))</f>
        <v/>
      </c>
      <c r="N57" s="5">
        <f>IF($D57="","",IF(OR($E57="Blocked",$E57="Done",$E57="Archive"),-9999,IF(AND($E57="Waiting",SUMPRODUCT((($E$5:$E$500="Next")+($E$5:$E$500="In Progress")+($E$5:$E$500="Captured"))*($D$5:$D$500&lt;&gt;""))&gt;0),-500,VLOOKUP($F57,Lists!$L$2:$M$4,2,FALSE)+IF($E57="In Progress",10,0)+IF(AND($I57&lt;&gt;"",$I57&lt;TODAY()),25,0)+IF(AND($I57&lt;&gt;"",$I57&gt;=TODAY(),$I57&lt;=TODAY()+7),15,0)+IF($H57="",0,IF($M57&lt;=VLOOKUP(Home!$C$7,Lists!$N$2:$O$6,2,FALSE),20,-10))+IF($G57=Home!$E$7,15,IF(Home!$E$7="",0,-5))-ROW()/100000)))</f>
        <v/>
      </c>
      <c r="O57" s="5">
        <f>IF($D57="","",IF($N57&lt;=-500,"Not recommended right now",IF($E57="Waiting","Nothing else actionable right now — Waiting on: "&amp;IF($K57="","this item",$K57),TEXTJOIN(" • ",TRUE,IF($F57="High","High Priority",""),IF(AND($I57&lt;&gt;"",$I57&lt;TODAY()),"Overdue",""),IF(AND($I57&lt;&gt;"",$I57&gt;=TODAY(),$I57&lt;=TODAY()+7),"Due This Week",""),IF(AND($H57&lt;&gt;"",$M57&lt;=VLOOKUP(Home!$C$7,Lists!$N$2:$O$6,2,FALSE)),$H57&amp;" Task",""),IF($G57=Home!$E$7,"Fits Current Energy",""),"No Blockers"))))</f>
        <v/>
      </c>
      <c r="P57" s="5">
        <f>IF($D57="","",SWITCH('Task Finder'!$C$6,"High Priority",AND($F57="High",$E57&lt;&gt;"Done",$E57&lt;&gt;"Archive"),"Due This Week",AND($I57&lt;&gt;"",$I57&gt;=TODAY(),$I57&lt;=TODAY()+7,$E57&lt;&gt;"Done"),"Quick Wins (15 mins or less)",AND($M57&lt;=15,$E57&lt;&gt;"Done",$E57&lt;&gt;"Blocked"),"Deep Thinking",AND($G57="Deep Thinking",$E57&lt;&gt;"Done"),"Processing",AND($G57="Processing",$E57&lt;&gt;"Done"),"Blocked",$E57="Blocked","Waiting",$E57="Waiting","Recently Updated",AND($L57&lt;&gt;"",$L57&gt;=TODAY()-7),"Keyword",AND('Task Finder'!$C$7&lt;&gt;"",OR(ISNUMBER(SEARCH('Task Finder'!$C$7,$A57)),ISNUMBER(SEARCH('Task Finder'!$C$7,$B57)),ISNUMBER(SEARCH('Task Finder'!$C$7,$C57)),ISNUMBER(SEARCH('Task Finder'!$C$7,$D57)),ISNUMBER(SEARCH('Task Finder'!$C$7,$K57)))),TRUE))</f>
        <v/>
      </c>
    </row>
    <row r="58">
      <c r="A58" s="19" t="n"/>
      <c r="B58" s="19" t="n"/>
      <c r="C58" s="19" t="n"/>
      <c r="D58" s="19" t="n"/>
      <c r="E58" s="19" t="n"/>
      <c r="F58" s="19" t="n"/>
      <c r="G58" s="19" t="n"/>
      <c r="H58" s="19" t="n"/>
      <c r="I58" s="19" t="n"/>
      <c r="J58" s="19" t="n"/>
      <c r="K58" s="19" t="n"/>
      <c r="L58" s="35" t="n"/>
      <c r="M58" s="5">
        <f>IF($D58="","",IFERROR(VLOOKUP($H58,Lists!$N$2:$O$6,2,FALSE),0))</f>
        <v/>
      </c>
      <c r="N58" s="5">
        <f>IF($D58="","",IF(OR($E58="Blocked",$E58="Done",$E58="Archive"),-9999,IF(AND($E58="Waiting",SUMPRODUCT((($E$5:$E$500="Next")+($E$5:$E$500="In Progress")+($E$5:$E$500="Captured"))*($D$5:$D$500&lt;&gt;""))&gt;0),-500,VLOOKUP($F58,Lists!$L$2:$M$4,2,FALSE)+IF($E58="In Progress",10,0)+IF(AND($I58&lt;&gt;"",$I58&lt;TODAY()),25,0)+IF(AND($I58&lt;&gt;"",$I58&gt;=TODAY(),$I58&lt;=TODAY()+7),15,0)+IF($H58="",0,IF($M58&lt;=VLOOKUP(Home!$C$7,Lists!$N$2:$O$6,2,FALSE),20,-10))+IF($G58=Home!$E$7,15,IF(Home!$E$7="",0,-5))-ROW()/100000)))</f>
        <v/>
      </c>
      <c r="O58" s="5">
        <f>IF($D58="","",IF($N58&lt;=-500,"Not recommended right now",IF($E58="Waiting","Nothing else actionable right now — Waiting on: "&amp;IF($K58="","this item",$K58),TEXTJOIN(" • ",TRUE,IF($F58="High","High Priority",""),IF(AND($I58&lt;&gt;"",$I58&lt;TODAY()),"Overdue",""),IF(AND($I58&lt;&gt;"",$I58&gt;=TODAY(),$I58&lt;=TODAY()+7),"Due This Week",""),IF(AND($H58&lt;&gt;"",$M58&lt;=VLOOKUP(Home!$C$7,Lists!$N$2:$O$6,2,FALSE)),$H58&amp;" Task",""),IF($G58=Home!$E$7,"Fits Current Energy",""),"No Blockers"))))</f>
        <v/>
      </c>
      <c r="P58" s="5">
        <f>IF($D58="","",SWITCH('Task Finder'!$C$6,"High Priority",AND($F58="High",$E58&lt;&gt;"Done",$E58&lt;&gt;"Archive"),"Due This Week",AND($I58&lt;&gt;"",$I58&gt;=TODAY(),$I58&lt;=TODAY()+7,$E58&lt;&gt;"Done"),"Quick Wins (15 mins or less)",AND($M58&lt;=15,$E58&lt;&gt;"Done",$E58&lt;&gt;"Blocked"),"Deep Thinking",AND($G58="Deep Thinking",$E58&lt;&gt;"Done"),"Processing",AND($G58="Processing",$E58&lt;&gt;"Done"),"Blocked",$E58="Blocked","Waiting",$E58="Waiting","Recently Updated",AND($L58&lt;&gt;"",$L58&gt;=TODAY()-7),"Keyword",AND('Task Finder'!$C$7&lt;&gt;"",OR(ISNUMBER(SEARCH('Task Finder'!$C$7,$A58)),ISNUMBER(SEARCH('Task Finder'!$C$7,$B58)),ISNUMBER(SEARCH('Task Finder'!$C$7,$C58)),ISNUMBER(SEARCH('Task Finder'!$C$7,$D58)),ISNUMBER(SEARCH('Task Finder'!$C$7,$K58)))),TRUE))</f>
        <v/>
      </c>
    </row>
    <row r="59">
      <c r="A59" s="19" t="n"/>
      <c r="B59" s="19" t="n"/>
      <c r="C59" s="19" t="n"/>
      <c r="D59" s="19" t="n"/>
      <c r="E59" s="19" t="n"/>
      <c r="F59" s="19" t="n"/>
      <c r="G59" s="19" t="n"/>
      <c r="H59" s="19" t="n"/>
      <c r="I59" s="19" t="n"/>
      <c r="J59" s="19" t="n"/>
      <c r="K59" s="19" t="n"/>
      <c r="L59" s="35" t="n"/>
      <c r="M59" s="5">
        <f>IF($D59="","",IFERROR(VLOOKUP($H59,Lists!$N$2:$O$6,2,FALSE),0))</f>
        <v/>
      </c>
      <c r="N59" s="5">
        <f>IF($D59="","",IF(OR($E59="Blocked",$E59="Done",$E59="Archive"),-9999,IF(AND($E59="Waiting",SUMPRODUCT((($E$5:$E$500="Next")+($E$5:$E$500="In Progress")+($E$5:$E$500="Captured"))*($D$5:$D$500&lt;&gt;""))&gt;0),-500,VLOOKUP($F59,Lists!$L$2:$M$4,2,FALSE)+IF($E59="In Progress",10,0)+IF(AND($I59&lt;&gt;"",$I59&lt;TODAY()),25,0)+IF(AND($I59&lt;&gt;"",$I59&gt;=TODAY(),$I59&lt;=TODAY()+7),15,0)+IF($H59="",0,IF($M59&lt;=VLOOKUP(Home!$C$7,Lists!$N$2:$O$6,2,FALSE),20,-10))+IF($G59=Home!$E$7,15,IF(Home!$E$7="",0,-5))-ROW()/100000)))</f>
        <v/>
      </c>
      <c r="O59" s="5">
        <f>IF($D59="","",IF($N59&lt;=-500,"Not recommended right now",IF($E59="Waiting","Nothing else actionable right now — Waiting on: "&amp;IF($K59="","this item",$K59),TEXTJOIN(" • ",TRUE,IF($F59="High","High Priority",""),IF(AND($I59&lt;&gt;"",$I59&lt;TODAY()),"Overdue",""),IF(AND($I59&lt;&gt;"",$I59&gt;=TODAY(),$I59&lt;=TODAY()+7),"Due This Week",""),IF(AND($H59&lt;&gt;"",$M59&lt;=VLOOKUP(Home!$C$7,Lists!$N$2:$O$6,2,FALSE)),$H59&amp;" Task",""),IF($G59=Home!$E$7,"Fits Current Energy",""),"No Blockers"))))</f>
        <v/>
      </c>
      <c r="P59" s="5">
        <f>IF($D59="","",SWITCH('Task Finder'!$C$6,"High Priority",AND($F59="High",$E59&lt;&gt;"Done",$E59&lt;&gt;"Archive"),"Due This Week",AND($I59&lt;&gt;"",$I59&gt;=TODAY(),$I59&lt;=TODAY()+7,$E59&lt;&gt;"Done"),"Quick Wins (15 mins or less)",AND($M59&lt;=15,$E59&lt;&gt;"Done",$E59&lt;&gt;"Blocked"),"Deep Thinking",AND($G59="Deep Thinking",$E59&lt;&gt;"Done"),"Processing",AND($G59="Processing",$E59&lt;&gt;"Done"),"Blocked",$E59="Blocked","Waiting",$E59="Waiting","Recently Updated",AND($L59&lt;&gt;"",$L59&gt;=TODAY()-7),"Keyword",AND('Task Finder'!$C$7&lt;&gt;"",OR(ISNUMBER(SEARCH('Task Finder'!$C$7,$A59)),ISNUMBER(SEARCH('Task Finder'!$C$7,$B59)),ISNUMBER(SEARCH('Task Finder'!$C$7,$C59)),ISNUMBER(SEARCH('Task Finder'!$C$7,$D59)),ISNUMBER(SEARCH('Task Finder'!$C$7,$K59)))),TRUE))</f>
        <v/>
      </c>
    </row>
    <row r="60">
      <c r="A60" s="19" t="n"/>
      <c r="B60" s="19" t="n"/>
      <c r="C60" s="19" t="n"/>
      <c r="D60" s="19" t="n"/>
      <c r="E60" s="19" t="n"/>
      <c r="F60" s="19" t="n"/>
      <c r="G60" s="19" t="n"/>
      <c r="H60" s="19" t="n"/>
      <c r="I60" s="19" t="n"/>
      <c r="J60" s="19" t="n"/>
      <c r="K60" s="19" t="n"/>
      <c r="L60" s="35" t="n"/>
      <c r="M60" s="5">
        <f>IF($D60="","",IFERROR(VLOOKUP($H60,Lists!$N$2:$O$6,2,FALSE),0))</f>
        <v/>
      </c>
      <c r="N60" s="5">
        <f>IF($D60="","",IF(OR($E60="Blocked",$E60="Done",$E60="Archive"),-9999,IF(AND($E60="Waiting",SUMPRODUCT((($E$5:$E$500="Next")+($E$5:$E$500="In Progress")+($E$5:$E$500="Captured"))*($D$5:$D$500&lt;&gt;""))&gt;0),-500,VLOOKUP($F60,Lists!$L$2:$M$4,2,FALSE)+IF($E60="In Progress",10,0)+IF(AND($I60&lt;&gt;"",$I60&lt;TODAY()),25,0)+IF(AND($I60&lt;&gt;"",$I60&gt;=TODAY(),$I60&lt;=TODAY()+7),15,0)+IF($H60="",0,IF($M60&lt;=VLOOKUP(Home!$C$7,Lists!$N$2:$O$6,2,FALSE),20,-10))+IF($G60=Home!$E$7,15,IF(Home!$E$7="",0,-5))-ROW()/100000)))</f>
        <v/>
      </c>
      <c r="O60" s="5">
        <f>IF($D60="","",IF($N60&lt;=-500,"Not recommended right now",IF($E60="Waiting","Nothing else actionable right now — Waiting on: "&amp;IF($K60="","this item",$K60),TEXTJOIN(" • ",TRUE,IF($F60="High","High Priority",""),IF(AND($I60&lt;&gt;"",$I60&lt;TODAY()),"Overdue",""),IF(AND($I60&lt;&gt;"",$I60&gt;=TODAY(),$I60&lt;=TODAY()+7),"Due This Week",""),IF(AND($H60&lt;&gt;"",$M60&lt;=VLOOKUP(Home!$C$7,Lists!$N$2:$O$6,2,FALSE)),$H60&amp;" Task",""),IF($G60=Home!$E$7,"Fits Current Energy",""),"No Blockers"))))</f>
        <v/>
      </c>
      <c r="P60" s="5">
        <f>IF($D60="","",SWITCH('Task Finder'!$C$6,"High Priority",AND($F60="High",$E60&lt;&gt;"Done",$E60&lt;&gt;"Archive"),"Due This Week",AND($I60&lt;&gt;"",$I60&gt;=TODAY(),$I60&lt;=TODAY()+7,$E60&lt;&gt;"Done"),"Quick Wins (15 mins or less)",AND($M60&lt;=15,$E60&lt;&gt;"Done",$E60&lt;&gt;"Blocked"),"Deep Thinking",AND($G60="Deep Thinking",$E60&lt;&gt;"Done"),"Processing",AND($G60="Processing",$E60&lt;&gt;"Done"),"Blocked",$E60="Blocked","Waiting",$E60="Waiting","Recently Updated",AND($L60&lt;&gt;"",$L60&gt;=TODAY()-7),"Keyword",AND('Task Finder'!$C$7&lt;&gt;"",OR(ISNUMBER(SEARCH('Task Finder'!$C$7,$A60)),ISNUMBER(SEARCH('Task Finder'!$C$7,$B60)),ISNUMBER(SEARCH('Task Finder'!$C$7,$C60)),ISNUMBER(SEARCH('Task Finder'!$C$7,$D60)),ISNUMBER(SEARCH('Task Finder'!$C$7,$K60)))),TRUE))</f>
        <v/>
      </c>
    </row>
    <row r="61">
      <c r="A61" s="19" t="n"/>
      <c r="B61" s="19" t="n"/>
      <c r="C61" s="19" t="n"/>
      <c r="D61" s="19" t="n"/>
      <c r="E61" s="19" t="n"/>
      <c r="F61" s="19" t="n"/>
      <c r="G61" s="19" t="n"/>
      <c r="H61" s="19" t="n"/>
      <c r="I61" s="19" t="n"/>
      <c r="J61" s="19" t="n"/>
      <c r="K61" s="19" t="n"/>
      <c r="L61" s="35" t="n"/>
      <c r="M61" s="5">
        <f>IF($D61="","",IFERROR(VLOOKUP($H61,Lists!$N$2:$O$6,2,FALSE),0))</f>
        <v/>
      </c>
      <c r="N61" s="5">
        <f>IF($D61="","",IF(OR($E61="Blocked",$E61="Done",$E61="Archive"),-9999,IF(AND($E61="Waiting",SUMPRODUCT((($E$5:$E$500="Next")+($E$5:$E$500="In Progress")+($E$5:$E$500="Captured"))*($D$5:$D$500&lt;&gt;""))&gt;0),-500,VLOOKUP($F61,Lists!$L$2:$M$4,2,FALSE)+IF($E61="In Progress",10,0)+IF(AND($I61&lt;&gt;"",$I61&lt;TODAY()),25,0)+IF(AND($I61&lt;&gt;"",$I61&gt;=TODAY(),$I61&lt;=TODAY()+7),15,0)+IF($H61="",0,IF($M61&lt;=VLOOKUP(Home!$C$7,Lists!$N$2:$O$6,2,FALSE),20,-10))+IF($G61=Home!$E$7,15,IF(Home!$E$7="",0,-5))-ROW()/100000)))</f>
        <v/>
      </c>
      <c r="O61" s="5">
        <f>IF($D61="","",IF($N61&lt;=-500,"Not recommended right now",IF($E61="Waiting","Nothing else actionable right now — Waiting on: "&amp;IF($K61="","this item",$K61),TEXTJOIN(" • ",TRUE,IF($F61="High","High Priority",""),IF(AND($I61&lt;&gt;"",$I61&lt;TODAY()),"Overdue",""),IF(AND($I61&lt;&gt;"",$I61&gt;=TODAY(),$I61&lt;=TODAY()+7),"Due This Week",""),IF(AND($H61&lt;&gt;"",$M61&lt;=VLOOKUP(Home!$C$7,Lists!$N$2:$O$6,2,FALSE)),$H61&amp;" Task",""),IF($G61=Home!$E$7,"Fits Current Energy",""),"No Blockers"))))</f>
        <v/>
      </c>
      <c r="P61" s="5">
        <f>IF($D61="","",SWITCH('Task Finder'!$C$6,"High Priority",AND($F61="High",$E61&lt;&gt;"Done",$E61&lt;&gt;"Archive"),"Due This Week",AND($I61&lt;&gt;"",$I61&gt;=TODAY(),$I61&lt;=TODAY()+7,$E61&lt;&gt;"Done"),"Quick Wins (15 mins or less)",AND($M61&lt;=15,$E61&lt;&gt;"Done",$E61&lt;&gt;"Blocked"),"Deep Thinking",AND($G61="Deep Thinking",$E61&lt;&gt;"Done"),"Processing",AND($G61="Processing",$E61&lt;&gt;"Done"),"Blocked",$E61="Blocked","Waiting",$E61="Waiting","Recently Updated",AND($L61&lt;&gt;"",$L61&gt;=TODAY()-7),"Keyword",AND('Task Finder'!$C$7&lt;&gt;"",OR(ISNUMBER(SEARCH('Task Finder'!$C$7,$A61)),ISNUMBER(SEARCH('Task Finder'!$C$7,$B61)),ISNUMBER(SEARCH('Task Finder'!$C$7,$C61)),ISNUMBER(SEARCH('Task Finder'!$C$7,$D61)),ISNUMBER(SEARCH('Task Finder'!$C$7,$K61)))),TRUE))</f>
        <v/>
      </c>
    </row>
    <row r="62">
      <c r="A62" s="19" t="n"/>
      <c r="B62" s="19" t="n"/>
      <c r="C62" s="19" t="n"/>
      <c r="D62" s="19" t="n"/>
      <c r="E62" s="19" t="n"/>
      <c r="F62" s="19" t="n"/>
      <c r="G62" s="19" t="n"/>
      <c r="H62" s="19" t="n"/>
      <c r="I62" s="19" t="n"/>
      <c r="J62" s="19" t="n"/>
      <c r="K62" s="19" t="n"/>
      <c r="L62" s="35" t="n"/>
      <c r="M62" s="5">
        <f>IF($D62="","",IFERROR(VLOOKUP($H62,Lists!$N$2:$O$6,2,FALSE),0))</f>
        <v/>
      </c>
      <c r="N62" s="5">
        <f>IF($D62="","",IF(OR($E62="Blocked",$E62="Done",$E62="Archive"),-9999,IF(AND($E62="Waiting",SUMPRODUCT((($E$5:$E$500="Next")+($E$5:$E$500="In Progress")+($E$5:$E$500="Captured"))*($D$5:$D$500&lt;&gt;""))&gt;0),-500,VLOOKUP($F62,Lists!$L$2:$M$4,2,FALSE)+IF($E62="In Progress",10,0)+IF(AND($I62&lt;&gt;"",$I62&lt;TODAY()),25,0)+IF(AND($I62&lt;&gt;"",$I62&gt;=TODAY(),$I62&lt;=TODAY()+7),15,0)+IF($H62="",0,IF($M62&lt;=VLOOKUP(Home!$C$7,Lists!$N$2:$O$6,2,FALSE),20,-10))+IF($G62=Home!$E$7,15,IF(Home!$E$7="",0,-5))-ROW()/100000)))</f>
        <v/>
      </c>
      <c r="O62" s="5">
        <f>IF($D62="","",IF($N62&lt;=-500,"Not recommended right now",IF($E62="Waiting","Nothing else actionable right now — Waiting on: "&amp;IF($K62="","this item",$K62),TEXTJOIN(" • ",TRUE,IF($F62="High","High Priority",""),IF(AND($I62&lt;&gt;"",$I62&lt;TODAY()),"Overdue",""),IF(AND($I62&lt;&gt;"",$I62&gt;=TODAY(),$I62&lt;=TODAY()+7),"Due This Week",""),IF(AND($H62&lt;&gt;"",$M62&lt;=VLOOKUP(Home!$C$7,Lists!$N$2:$O$6,2,FALSE)),$H62&amp;" Task",""),IF($G62=Home!$E$7,"Fits Current Energy",""),"No Blockers"))))</f>
        <v/>
      </c>
      <c r="P62" s="5">
        <f>IF($D62="","",SWITCH('Task Finder'!$C$6,"High Priority",AND($F62="High",$E62&lt;&gt;"Done",$E62&lt;&gt;"Archive"),"Due This Week",AND($I62&lt;&gt;"",$I62&gt;=TODAY(),$I62&lt;=TODAY()+7,$E62&lt;&gt;"Done"),"Quick Wins (15 mins or less)",AND($M62&lt;=15,$E62&lt;&gt;"Done",$E62&lt;&gt;"Blocked"),"Deep Thinking",AND($G62="Deep Thinking",$E62&lt;&gt;"Done"),"Processing",AND($G62="Processing",$E62&lt;&gt;"Done"),"Blocked",$E62="Blocked","Waiting",$E62="Waiting","Recently Updated",AND($L62&lt;&gt;"",$L62&gt;=TODAY()-7),"Keyword",AND('Task Finder'!$C$7&lt;&gt;"",OR(ISNUMBER(SEARCH('Task Finder'!$C$7,$A62)),ISNUMBER(SEARCH('Task Finder'!$C$7,$B62)),ISNUMBER(SEARCH('Task Finder'!$C$7,$C62)),ISNUMBER(SEARCH('Task Finder'!$C$7,$D62)),ISNUMBER(SEARCH('Task Finder'!$C$7,$K62)))),TRUE))</f>
        <v/>
      </c>
    </row>
    <row r="63">
      <c r="A63" s="19" t="n"/>
      <c r="B63" s="19" t="n"/>
      <c r="C63" s="19" t="n"/>
      <c r="D63" s="19" t="n"/>
      <c r="E63" s="19" t="n"/>
      <c r="F63" s="19" t="n"/>
      <c r="G63" s="19" t="n"/>
      <c r="H63" s="19" t="n"/>
      <c r="I63" s="19" t="n"/>
      <c r="J63" s="19" t="n"/>
      <c r="K63" s="19" t="n"/>
      <c r="L63" s="35" t="n"/>
      <c r="M63" s="5">
        <f>IF($D63="","",IFERROR(VLOOKUP($H63,Lists!$N$2:$O$6,2,FALSE),0))</f>
        <v/>
      </c>
      <c r="N63" s="5">
        <f>IF($D63="","",IF(OR($E63="Blocked",$E63="Done",$E63="Archive"),-9999,IF(AND($E63="Waiting",SUMPRODUCT((($E$5:$E$500="Next")+($E$5:$E$500="In Progress")+($E$5:$E$500="Captured"))*($D$5:$D$500&lt;&gt;""))&gt;0),-500,VLOOKUP($F63,Lists!$L$2:$M$4,2,FALSE)+IF($E63="In Progress",10,0)+IF(AND($I63&lt;&gt;"",$I63&lt;TODAY()),25,0)+IF(AND($I63&lt;&gt;"",$I63&gt;=TODAY(),$I63&lt;=TODAY()+7),15,0)+IF($H63="",0,IF($M63&lt;=VLOOKUP(Home!$C$7,Lists!$N$2:$O$6,2,FALSE),20,-10))+IF($G63=Home!$E$7,15,IF(Home!$E$7="",0,-5))-ROW()/100000)))</f>
        <v/>
      </c>
      <c r="O63" s="5">
        <f>IF($D63="","",IF($N63&lt;=-500,"Not recommended right now",IF($E63="Waiting","Nothing else actionable right now — Waiting on: "&amp;IF($K63="","this item",$K63),TEXTJOIN(" • ",TRUE,IF($F63="High","High Priority",""),IF(AND($I63&lt;&gt;"",$I63&lt;TODAY()),"Overdue",""),IF(AND($I63&lt;&gt;"",$I63&gt;=TODAY(),$I63&lt;=TODAY()+7),"Due This Week",""),IF(AND($H63&lt;&gt;"",$M63&lt;=VLOOKUP(Home!$C$7,Lists!$N$2:$O$6,2,FALSE)),$H63&amp;" Task",""),IF($G63=Home!$E$7,"Fits Current Energy",""),"No Blockers"))))</f>
        <v/>
      </c>
      <c r="P63" s="5">
        <f>IF($D63="","",SWITCH('Task Finder'!$C$6,"High Priority",AND($F63="High",$E63&lt;&gt;"Done",$E63&lt;&gt;"Archive"),"Due This Week",AND($I63&lt;&gt;"",$I63&gt;=TODAY(),$I63&lt;=TODAY()+7,$E63&lt;&gt;"Done"),"Quick Wins (15 mins or less)",AND($M63&lt;=15,$E63&lt;&gt;"Done",$E63&lt;&gt;"Blocked"),"Deep Thinking",AND($G63="Deep Thinking",$E63&lt;&gt;"Done"),"Processing",AND($G63="Processing",$E63&lt;&gt;"Done"),"Blocked",$E63="Blocked","Waiting",$E63="Waiting","Recently Updated",AND($L63&lt;&gt;"",$L63&gt;=TODAY()-7),"Keyword",AND('Task Finder'!$C$7&lt;&gt;"",OR(ISNUMBER(SEARCH('Task Finder'!$C$7,$A63)),ISNUMBER(SEARCH('Task Finder'!$C$7,$B63)),ISNUMBER(SEARCH('Task Finder'!$C$7,$C63)),ISNUMBER(SEARCH('Task Finder'!$C$7,$D63)),ISNUMBER(SEARCH('Task Finder'!$C$7,$K63)))),TRUE))</f>
        <v/>
      </c>
    </row>
    <row r="64">
      <c r="A64" s="19" t="n"/>
      <c r="B64" s="19" t="n"/>
      <c r="C64" s="19" t="n"/>
      <c r="D64" s="19" t="n"/>
      <c r="E64" s="19" t="n"/>
      <c r="F64" s="19" t="n"/>
      <c r="G64" s="19" t="n"/>
      <c r="H64" s="19" t="n"/>
      <c r="I64" s="19" t="n"/>
      <c r="J64" s="19" t="n"/>
      <c r="K64" s="19" t="n"/>
      <c r="L64" s="35" t="n"/>
      <c r="M64" s="5">
        <f>IF($D64="","",IFERROR(VLOOKUP($H64,Lists!$N$2:$O$6,2,FALSE),0))</f>
        <v/>
      </c>
      <c r="N64" s="5">
        <f>IF($D64="","",IF(OR($E64="Blocked",$E64="Done",$E64="Archive"),-9999,IF(AND($E64="Waiting",SUMPRODUCT((($E$5:$E$500="Next")+($E$5:$E$500="In Progress")+($E$5:$E$500="Captured"))*($D$5:$D$500&lt;&gt;""))&gt;0),-500,VLOOKUP($F64,Lists!$L$2:$M$4,2,FALSE)+IF($E64="In Progress",10,0)+IF(AND($I64&lt;&gt;"",$I64&lt;TODAY()),25,0)+IF(AND($I64&lt;&gt;"",$I64&gt;=TODAY(),$I64&lt;=TODAY()+7),15,0)+IF($H64="",0,IF($M64&lt;=VLOOKUP(Home!$C$7,Lists!$N$2:$O$6,2,FALSE),20,-10))+IF($G64=Home!$E$7,15,IF(Home!$E$7="",0,-5))-ROW()/100000)))</f>
        <v/>
      </c>
      <c r="O64" s="5">
        <f>IF($D64="","",IF($N64&lt;=-500,"Not recommended right now",IF($E64="Waiting","Nothing else actionable right now — Waiting on: "&amp;IF($K64="","this item",$K64),TEXTJOIN(" • ",TRUE,IF($F64="High","High Priority",""),IF(AND($I64&lt;&gt;"",$I64&lt;TODAY()),"Overdue",""),IF(AND($I64&lt;&gt;"",$I64&gt;=TODAY(),$I64&lt;=TODAY()+7),"Due This Week",""),IF(AND($H64&lt;&gt;"",$M64&lt;=VLOOKUP(Home!$C$7,Lists!$N$2:$O$6,2,FALSE)),$H64&amp;" Task",""),IF($G64=Home!$E$7,"Fits Current Energy",""),"No Blockers"))))</f>
        <v/>
      </c>
      <c r="P64" s="5">
        <f>IF($D64="","",SWITCH('Task Finder'!$C$6,"High Priority",AND($F64="High",$E64&lt;&gt;"Done",$E64&lt;&gt;"Archive"),"Due This Week",AND($I64&lt;&gt;"",$I64&gt;=TODAY(),$I64&lt;=TODAY()+7,$E64&lt;&gt;"Done"),"Quick Wins (15 mins or less)",AND($M64&lt;=15,$E64&lt;&gt;"Done",$E64&lt;&gt;"Blocked"),"Deep Thinking",AND($G64="Deep Thinking",$E64&lt;&gt;"Done"),"Processing",AND($G64="Processing",$E64&lt;&gt;"Done"),"Blocked",$E64="Blocked","Waiting",$E64="Waiting","Recently Updated",AND($L64&lt;&gt;"",$L64&gt;=TODAY()-7),"Keyword",AND('Task Finder'!$C$7&lt;&gt;"",OR(ISNUMBER(SEARCH('Task Finder'!$C$7,$A64)),ISNUMBER(SEARCH('Task Finder'!$C$7,$B64)),ISNUMBER(SEARCH('Task Finder'!$C$7,$C64)),ISNUMBER(SEARCH('Task Finder'!$C$7,$D64)),ISNUMBER(SEARCH('Task Finder'!$C$7,$K64)))),TRUE))</f>
        <v/>
      </c>
    </row>
    <row r="65">
      <c r="A65" s="19" t="n"/>
      <c r="B65" s="19" t="n"/>
      <c r="C65" s="19" t="n"/>
      <c r="D65" s="19" t="n"/>
      <c r="E65" s="19" t="n"/>
      <c r="F65" s="19" t="n"/>
      <c r="G65" s="19" t="n"/>
      <c r="H65" s="19" t="n"/>
      <c r="I65" s="19" t="n"/>
      <c r="J65" s="19" t="n"/>
      <c r="K65" s="19" t="n"/>
      <c r="L65" s="35" t="n"/>
      <c r="M65" s="5">
        <f>IF($D65="","",IFERROR(VLOOKUP($H65,Lists!$N$2:$O$6,2,FALSE),0))</f>
        <v/>
      </c>
      <c r="N65" s="5">
        <f>IF($D65="","",IF(OR($E65="Blocked",$E65="Done",$E65="Archive"),-9999,IF(AND($E65="Waiting",SUMPRODUCT((($E$5:$E$500="Next")+($E$5:$E$500="In Progress")+($E$5:$E$500="Captured"))*($D$5:$D$500&lt;&gt;""))&gt;0),-500,VLOOKUP($F65,Lists!$L$2:$M$4,2,FALSE)+IF($E65="In Progress",10,0)+IF(AND($I65&lt;&gt;"",$I65&lt;TODAY()),25,0)+IF(AND($I65&lt;&gt;"",$I65&gt;=TODAY(),$I65&lt;=TODAY()+7),15,0)+IF($H65="",0,IF($M65&lt;=VLOOKUP(Home!$C$7,Lists!$N$2:$O$6,2,FALSE),20,-10))+IF($G65=Home!$E$7,15,IF(Home!$E$7="",0,-5))-ROW()/100000)))</f>
        <v/>
      </c>
      <c r="O65" s="5">
        <f>IF($D65="","",IF($N65&lt;=-500,"Not recommended right now",IF($E65="Waiting","Nothing else actionable right now — Waiting on: "&amp;IF($K65="","this item",$K65),TEXTJOIN(" • ",TRUE,IF($F65="High","High Priority",""),IF(AND($I65&lt;&gt;"",$I65&lt;TODAY()),"Overdue",""),IF(AND($I65&lt;&gt;"",$I65&gt;=TODAY(),$I65&lt;=TODAY()+7),"Due This Week",""),IF(AND($H65&lt;&gt;"",$M65&lt;=VLOOKUP(Home!$C$7,Lists!$N$2:$O$6,2,FALSE)),$H65&amp;" Task",""),IF($G65=Home!$E$7,"Fits Current Energy",""),"No Blockers"))))</f>
        <v/>
      </c>
      <c r="P65" s="5">
        <f>IF($D65="","",SWITCH('Task Finder'!$C$6,"High Priority",AND($F65="High",$E65&lt;&gt;"Done",$E65&lt;&gt;"Archive"),"Due This Week",AND($I65&lt;&gt;"",$I65&gt;=TODAY(),$I65&lt;=TODAY()+7,$E65&lt;&gt;"Done"),"Quick Wins (15 mins or less)",AND($M65&lt;=15,$E65&lt;&gt;"Done",$E65&lt;&gt;"Blocked"),"Deep Thinking",AND($G65="Deep Thinking",$E65&lt;&gt;"Done"),"Processing",AND($G65="Processing",$E65&lt;&gt;"Done"),"Blocked",$E65="Blocked","Waiting",$E65="Waiting","Recently Updated",AND($L65&lt;&gt;"",$L65&gt;=TODAY()-7),"Keyword",AND('Task Finder'!$C$7&lt;&gt;"",OR(ISNUMBER(SEARCH('Task Finder'!$C$7,$A65)),ISNUMBER(SEARCH('Task Finder'!$C$7,$B65)),ISNUMBER(SEARCH('Task Finder'!$C$7,$C65)),ISNUMBER(SEARCH('Task Finder'!$C$7,$D65)),ISNUMBER(SEARCH('Task Finder'!$C$7,$K65)))),TRUE))</f>
        <v/>
      </c>
    </row>
    <row r="66">
      <c r="A66" s="19" t="n"/>
      <c r="B66" s="19" t="n"/>
      <c r="C66" s="19" t="n"/>
      <c r="D66" s="19" t="n"/>
      <c r="E66" s="19" t="n"/>
      <c r="F66" s="19" t="n"/>
      <c r="G66" s="19" t="n"/>
      <c r="H66" s="19" t="n"/>
      <c r="I66" s="19" t="n"/>
      <c r="J66" s="19" t="n"/>
      <c r="K66" s="19" t="n"/>
      <c r="L66" s="35" t="n"/>
      <c r="M66" s="5">
        <f>IF($D66="","",IFERROR(VLOOKUP($H66,Lists!$N$2:$O$6,2,FALSE),0))</f>
        <v/>
      </c>
      <c r="N66" s="5">
        <f>IF($D66="","",IF(OR($E66="Blocked",$E66="Done",$E66="Archive"),-9999,IF(AND($E66="Waiting",SUMPRODUCT((($E$5:$E$500="Next")+($E$5:$E$500="In Progress")+($E$5:$E$500="Captured"))*($D$5:$D$500&lt;&gt;""))&gt;0),-500,VLOOKUP($F66,Lists!$L$2:$M$4,2,FALSE)+IF($E66="In Progress",10,0)+IF(AND($I66&lt;&gt;"",$I66&lt;TODAY()),25,0)+IF(AND($I66&lt;&gt;"",$I66&gt;=TODAY(),$I66&lt;=TODAY()+7),15,0)+IF($H66="",0,IF($M66&lt;=VLOOKUP(Home!$C$7,Lists!$N$2:$O$6,2,FALSE),20,-10))+IF($G66=Home!$E$7,15,IF(Home!$E$7="",0,-5))-ROW()/100000)))</f>
        <v/>
      </c>
      <c r="O66" s="5">
        <f>IF($D66="","",IF($N66&lt;=-500,"Not recommended right now",IF($E66="Waiting","Nothing else actionable right now — Waiting on: "&amp;IF($K66="","this item",$K66),TEXTJOIN(" • ",TRUE,IF($F66="High","High Priority",""),IF(AND($I66&lt;&gt;"",$I66&lt;TODAY()),"Overdue",""),IF(AND($I66&lt;&gt;"",$I66&gt;=TODAY(),$I66&lt;=TODAY()+7),"Due This Week",""),IF(AND($H66&lt;&gt;"",$M66&lt;=VLOOKUP(Home!$C$7,Lists!$N$2:$O$6,2,FALSE)),$H66&amp;" Task",""),IF($G66=Home!$E$7,"Fits Current Energy",""),"No Blockers"))))</f>
        <v/>
      </c>
      <c r="P66" s="5">
        <f>IF($D66="","",SWITCH('Task Finder'!$C$6,"High Priority",AND($F66="High",$E66&lt;&gt;"Done",$E66&lt;&gt;"Archive"),"Due This Week",AND($I66&lt;&gt;"",$I66&gt;=TODAY(),$I66&lt;=TODAY()+7,$E66&lt;&gt;"Done"),"Quick Wins (15 mins or less)",AND($M66&lt;=15,$E66&lt;&gt;"Done",$E66&lt;&gt;"Blocked"),"Deep Thinking",AND($G66="Deep Thinking",$E66&lt;&gt;"Done"),"Processing",AND($G66="Processing",$E66&lt;&gt;"Done"),"Blocked",$E66="Blocked","Waiting",$E66="Waiting","Recently Updated",AND($L66&lt;&gt;"",$L66&gt;=TODAY()-7),"Keyword",AND('Task Finder'!$C$7&lt;&gt;"",OR(ISNUMBER(SEARCH('Task Finder'!$C$7,$A66)),ISNUMBER(SEARCH('Task Finder'!$C$7,$B66)),ISNUMBER(SEARCH('Task Finder'!$C$7,$C66)),ISNUMBER(SEARCH('Task Finder'!$C$7,$D66)),ISNUMBER(SEARCH('Task Finder'!$C$7,$K66)))),TRUE))</f>
        <v/>
      </c>
    </row>
    <row r="67">
      <c r="A67" s="19" t="n"/>
      <c r="B67" s="19" t="n"/>
      <c r="C67" s="19" t="n"/>
      <c r="D67" s="19" t="n"/>
      <c r="E67" s="19" t="n"/>
      <c r="F67" s="19" t="n"/>
      <c r="G67" s="19" t="n"/>
      <c r="H67" s="19" t="n"/>
      <c r="I67" s="19" t="n"/>
      <c r="J67" s="19" t="n"/>
      <c r="K67" s="19" t="n"/>
      <c r="L67" s="35" t="n"/>
      <c r="M67" s="5">
        <f>IF($D67="","",IFERROR(VLOOKUP($H67,Lists!$N$2:$O$6,2,FALSE),0))</f>
        <v/>
      </c>
      <c r="N67" s="5">
        <f>IF($D67="","",IF(OR($E67="Blocked",$E67="Done",$E67="Archive"),-9999,IF(AND($E67="Waiting",SUMPRODUCT((($E$5:$E$500="Next")+($E$5:$E$500="In Progress")+($E$5:$E$500="Captured"))*($D$5:$D$500&lt;&gt;""))&gt;0),-500,VLOOKUP($F67,Lists!$L$2:$M$4,2,FALSE)+IF($E67="In Progress",10,0)+IF(AND($I67&lt;&gt;"",$I67&lt;TODAY()),25,0)+IF(AND($I67&lt;&gt;"",$I67&gt;=TODAY(),$I67&lt;=TODAY()+7),15,0)+IF($H67="",0,IF($M67&lt;=VLOOKUP(Home!$C$7,Lists!$N$2:$O$6,2,FALSE),20,-10))+IF($G67=Home!$E$7,15,IF(Home!$E$7="",0,-5))-ROW()/100000)))</f>
        <v/>
      </c>
      <c r="O67" s="5">
        <f>IF($D67="","",IF($N67&lt;=-500,"Not recommended right now",IF($E67="Waiting","Nothing else actionable right now — Waiting on: "&amp;IF($K67="","this item",$K67),TEXTJOIN(" • ",TRUE,IF($F67="High","High Priority",""),IF(AND($I67&lt;&gt;"",$I67&lt;TODAY()),"Overdue",""),IF(AND($I67&lt;&gt;"",$I67&gt;=TODAY(),$I67&lt;=TODAY()+7),"Due This Week",""),IF(AND($H67&lt;&gt;"",$M67&lt;=VLOOKUP(Home!$C$7,Lists!$N$2:$O$6,2,FALSE)),$H67&amp;" Task",""),IF($G67=Home!$E$7,"Fits Current Energy",""),"No Blockers"))))</f>
        <v/>
      </c>
      <c r="P67" s="5">
        <f>IF($D67="","",SWITCH('Task Finder'!$C$6,"High Priority",AND($F67="High",$E67&lt;&gt;"Done",$E67&lt;&gt;"Archive"),"Due This Week",AND($I67&lt;&gt;"",$I67&gt;=TODAY(),$I67&lt;=TODAY()+7,$E67&lt;&gt;"Done"),"Quick Wins (15 mins or less)",AND($M67&lt;=15,$E67&lt;&gt;"Done",$E67&lt;&gt;"Blocked"),"Deep Thinking",AND($G67="Deep Thinking",$E67&lt;&gt;"Done"),"Processing",AND($G67="Processing",$E67&lt;&gt;"Done"),"Blocked",$E67="Blocked","Waiting",$E67="Waiting","Recently Updated",AND($L67&lt;&gt;"",$L67&gt;=TODAY()-7),"Keyword",AND('Task Finder'!$C$7&lt;&gt;"",OR(ISNUMBER(SEARCH('Task Finder'!$C$7,$A67)),ISNUMBER(SEARCH('Task Finder'!$C$7,$B67)),ISNUMBER(SEARCH('Task Finder'!$C$7,$C67)),ISNUMBER(SEARCH('Task Finder'!$C$7,$D67)),ISNUMBER(SEARCH('Task Finder'!$C$7,$K67)))),TRUE))</f>
        <v/>
      </c>
    </row>
    <row r="68">
      <c r="A68" s="19" t="n"/>
      <c r="B68" s="19" t="n"/>
      <c r="C68" s="19" t="n"/>
      <c r="D68" s="19" t="n"/>
      <c r="E68" s="19" t="n"/>
      <c r="F68" s="19" t="n"/>
      <c r="G68" s="19" t="n"/>
      <c r="H68" s="19" t="n"/>
      <c r="I68" s="19" t="n"/>
      <c r="J68" s="19" t="n"/>
      <c r="K68" s="19" t="n"/>
      <c r="L68" s="35" t="n"/>
      <c r="M68" s="5">
        <f>IF($D68="","",IFERROR(VLOOKUP($H68,Lists!$N$2:$O$6,2,FALSE),0))</f>
        <v/>
      </c>
      <c r="N68" s="5">
        <f>IF($D68="","",IF(OR($E68="Blocked",$E68="Done",$E68="Archive"),-9999,IF(AND($E68="Waiting",SUMPRODUCT((($E$5:$E$500="Next")+($E$5:$E$500="In Progress")+($E$5:$E$500="Captured"))*($D$5:$D$500&lt;&gt;""))&gt;0),-500,VLOOKUP($F68,Lists!$L$2:$M$4,2,FALSE)+IF($E68="In Progress",10,0)+IF(AND($I68&lt;&gt;"",$I68&lt;TODAY()),25,0)+IF(AND($I68&lt;&gt;"",$I68&gt;=TODAY(),$I68&lt;=TODAY()+7),15,0)+IF($H68="",0,IF($M68&lt;=VLOOKUP(Home!$C$7,Lists!$N$2:$O$6,2,FALSE),20,-10))+IF($G68=Home!$E$7,15,IF(Home!$E$7="",0,-5))-ROW()/100000)))</f>
        <v/>
      </c>
      <c r="O68" s="5">
        <f>IF($D68="","",IF($N68&lt;=-500,"Not recommended right now",IF($E68="Waiting","Nothing else actionable right now — Waiting on: "&amp;IF($K68="","this item",$K68),TEXTJOIN(" • ",TRUE,IF($F68="High","High Priority",""),IF(AND($I68&lt;&gt;"",$I68&lt;TODAY()),"Overdue",""),IF(AND($I68&lt;&gt;"",$I68&gt;=TODAY(),$I68&lt;=TODAY()+7),"Due This Week",""),IF(AND($H68&lt;&gt;"",$M68&lt;=VLOOKUP(Home!$C$7,Lists!$N$2:$O$6,2,FALSE)),$H68&amp;" Task",""),IF($G68=Home!$E$7,"Fits Current Energy",""),"No Blockers"))))</f>
        <v/>
      </c>
      <c r="P68" s="5">
        <f>IF($D68="","",SWITCH('Task Finder'!$C$6,"High Priority",AND($F68="High",$E68&lt;&gt;"Done",$E68&lt;&gt;"Archive"),"Due This Week",AND($I68&lt;&gt;"",$I68&gt;=TODAY(),$I68&lt;=TODAY()+7,$E68&lt;&gt;"Done"),"Quick Wins (15 mins or less)",AND($M68&lt;=15,$E68&lt;&gt;"Done",$E68&lt;&gt;"Blocked"),"Deep Thinking",AND($G68="Deep Thinking",$E68&lt;&gt;"Done"),"Processing",AND($G68="Processing",$E68&lt;&gt;"Done"),"Blocked",$E68="Blocked","Waiting",$E68="Waiting","Recently Updated",AND($L68&lt;&gt;"",$L68&gt;=TODAY()-7),"Keyword",AND('Task Finder'!$C$7&lt;&gt;"",OR(ISNUMBER(SEARCH('Task Finder'!$C$7,$A68)),ISNUMBER(SEARCH('Task Finder'!$C$7,$B68)),ISNUMBER(SEARCH('Task Finder'!$C$7,$C68)),ISNUMBER(SEARCH('Task Finder'!$C$7,$D68)),ISNUMBER(SEARCH('Task Finder'!$C$7,$K68)))),TRUE))</f>
        <v/>
      </c>
    </row>
    <row r="69">
      <c r="A69" s="19" t="n"/>
      <c r="B69" s="19" t="n"/>
      <c r="C69" s="19" t="n"/>
      <c r="D69" s="19" t="n"/>
      <c r="E69" s="19" t="n"/>
      <c r="F69" s="19" t="n"/>
      <c r="G69" s="19" t="n"/>
      <c r="H69" s="19" t="n"/>
      <c r="I69" s="19" t="n"/>
      <c r="J69" s="19" t="n"/>
      <c r="K69" s="19" t="n"/>
      <c r="L69" s="35" t="n"/>
      <c r="M69" s="5">
        <f>IF($D69="","",IFERROR(VLOOKUP($H69,Lists!$N$2:$O$6,2,FALSE),0))</f>
        <v/>
      </c>
      <c r="N69" s="5">
        <f>IF($D69="","",IF(OR($E69="Blocked",$E69="Done",$E69="Archive"),-9999,IF(AND($E69="Waiting",SUMPRODUCT((($E$5:$E$500="Next")+($E$5:$E$500="In Progress")+($E$5:$E$500="Captured"))*($D$5:$D$500&lt;&gt;""))&gt;0),-500,VLOOKUP($F69,Lists!$L$2:$M$4,2,FALSE)+IF($E69="In Progress",10,0)+IF(AND($I69&lt;&gt;"",$I69&lt;TODAY()),25,0)+IF(AND($I69&lt;&gt;"",$I69&gt;=TODAY(),$I69&lt;=TODAY()+7),15,0)+IF($H69="",0,IF($M69&lt;=VLOOKUP(Home!$C$7,Lists!$N$2:$O$6,2,FALSE),20,-10))+IF($G69=Home!$E$7,15,IF(Home!$E$7="",0,-5))-ROW()/100000)))</f>
        <v/>
      </c>
      <c r="O69" s="5">
        <f>IF($D69="","",IF($N69&lt;=-500,"Not recommended right now",IF($E69="Waiting","Nothing else actionable right now — Waiting on: "&amp;IF($K69="","this item",$K69),TEXTJOIN(" • ",TRUE,IF($F69="High","High Priority",""),IF(AND($I69&lt;&gt;"",$I69&lt;TODAY()),"Overdue",""),IF(AND($I69&lt;&gt;"",$I69&gt;=TODAY(),$I69&lt;=TODAY()+7),"Due This Week",""),IF(AND($H69&lt;&gt;"",$M69&lt;=VLOOKUP(Home!$C$7,Lists!$N$2:$O$6,2,FALSE)),$H69&amp;" Task",""),IF($G69=Home!$E$7,"Fits Current Energy",""),"No Blockers"))))</f>
        <v/>
      </c>
      <c r="P69" s="5">
        <f>IF($D69="","",SWITCH('Task Finder'!$C$6,"High Priority",AND($F69="High",$E69&lt;&gt;"Done",$E69&lt;&gt;"Archive"),"Due This Week",AND($I69&lt;&gt;"",$I69&gt;=TODAY(),$I69&lt;=TODAY()+7,$E69&lt;&gt;"Done"),"Quick Wins (15 mins or less)",AND($M69&lt;=15,$E69&lt;&gt;"Done",$E69&lt;&gt;"Blocked"),"Deep Thinking",AND($G69="Deep Thinking",$E69&lt;&gt;"Done"),"Processing",AND($G69="Processing",$E69&lt;&gt;"Done"),"Blocked",$E69="Blocked","Waiting",$E69="Waiting","Recently Updated",AND($L69&lt;&gt;"",$L69&gt;=TODAY()-7),"Keyword",AND('Task Finder'!$C$7&lt;&gt;"",OR(ISNUMBER(SEARCH('Task Finder'!$C$7,$A69)),ISNUMBER(SEARCH('Task Finder'!$C$7,$B69)),ISNUMBER(SEARCH('Task Finder'!$C$7,$C69)),ISNUMBER(SEARCH('Task Finder'!$C$7,$D69)),ISNUMBER(SEARCH('Task Finder'!$C$7,$K69)))),TRUE))</f>
        <v/>
      </c>
    </row>
    <row r="70">
      <c r="A70" s="19" t="n"/>
      <c r="B70" s="19" t="n"/>
      <c r="C70" s="19" t="n"/>
      <c r="D70" s="19" t="n"/>
      <c r="E70" s="19" t="n"/>
      <c r="F70" s="19" t="n"/>
      <c r="G70" s="19" t="n"/>
      <c r="H70" s="19" t="n"/>
      <c r="I70" s="19" t="n"/>
      <c r="J70" s="19" t="n"/>
      <c r="K70" s="19" t="n"/>
      <c r="L70" s="35" t="n"/>
      <c r="M70" s="5">
        <f>IF($D70="","",IFERROR(VLOOKUP($H70,Lists!$N$2:$O$6,2,FALSE),0))</f>
        <v/>
      </c>
      <c r="N70" s="5">
        <f>IF($D70="","",IF(OR($E70="Blocked",$E70="Done",$E70="Archive"),-9999,IF(AND($E70="Waiting",SUMPRODUCT((($E$5:$E$500="Next")+($E$5:$E$500="In Progress")+($E$5:$E$500="Captured"))*($D$5:$D$500&lt;&gt;""))&gt;0),-500,VLOOKUP($F70,Lists!$L$2:$M$4,2,FALSE)+IF($E70="In Progress",10,0)+IF(AND($I70&lt;&gt;"",$I70&lt;TODAY()),25,0)+IF(AND($I70&lt;&gt;"",$I70&gt;=TODAY(),$I70&lt;=TODAY()+7),15,0)+IF($H70="",0,IF($M70&lt;=VLOOKUP(Home!$C$7,Lists!$N$2:$O$6,2,FALSE),20,-10))+IF($G70=Home!$E$7,15,IF(Home!$E$7="",0,-5))-ROW()/100000)))</f>
        <v/>
      </c>
      <c r="O70" s="5">
        <f>IF($D70="","",IF($N70&lt;=-500,"Not recommended right now",IF($E70="Waiting","Nothing else actionable right now — Waiting on: "&amp;IF($K70="","this item",$K70),TEXTJOIN(" • ",TRUE,IF($F70="High","High Priority",""),IF(AND($I70&lt;&gt;"",$I70&lt;TODAY()),"Overdue",""),IF(AND($I70&lt;&gt;"",$I70&gt;=TODAY(),$I70&lt;=TODAY()+7),"Due This Week",""),IF(AND($H70&lt;&gt;"",$M70&lt;=VLOOKUP(Home!$C$7,Lists!$N$2:$O$6,2,FALSE)),$H70&amp;" Task",""),IF($G70=Home!$E$7,"Fits Current Energy",""),"No Blockers"))))</f>
        <v/>
      </c>
      <c r="P70" s="5">
        <f>IF($D70="","",SWITCH('Task Finder'!$C$6,"High Priority",AND($F70="High",$E70&lt;&gt;"Done",$E70&lt;&gt;"Archive"),"Due This Week",AND($I70&lt;&gt;"",$I70&gt;=TODAY(),$I70&lt;=TODAY()+7,$E70&lt;&gt;"Done"),"Quick Wins (15 mins or less)",AND($M70&lt;=15,$E70&lt;&gt;"Done",$E70&lt;&gt;"Blocked"),"Deep Thinking",AND($G70="Deep Thinking",$E70&lt;&gt;"Done"),"Processing",AND($G70="Processing",$E70&lt;&gt;"Done"),"Blocked",$E70="Blocked","Waiting",$E70="Waiting","Recently Updated",AND($L70&lt;&gt;"",$L70&gt;=TODAY()-7),"Keyword",AND('Task Finder'!$C$7&lt;&gt;"",OR(ISNUMBER(SEARCH('Task Finder'!$C$7,$A70)),ISNUMBER(SEARCH('Task Finder'!$C$7,$B70)),ISNUMBER(SEARCH('Task Finder'!$C$7,$C70)),ISNUMBER(SEARCH('Task Finder'!$C$7,$D70)),ISNUMBER(SEARCH('Task Finder'!$C$7,$K70)))),TRUE))</f>
        <v/>
      </c>
    </row>
    <row r="71">
      <c r="A71" s="19" t="n"/>
      <c r="B71" s="19" t="n"/>
      <c r="C71" s="19" t="n"/>
      <c r="D71" s="19" t="n"/>
      <c r="E71" s="19" t="n"/>
      <c r="F71" s="19" t="n"/>
      <c r="G71" s="19" t="n"/>
      <c r="H71" s="19" t="n"/>
      <c r="I71" s="19" t="n"/>
      <c r="J71" s="19" t="n"/>
      <c r="K71" s="19" t="n"/>
      <c r="L71" s="35" t="n"/>
      <c r="M71" s="5">
        <f>IF($D71="","",IFERROR(VLOOKUP($H71,Lists!$N$2:$O$6,2,FALSE),0))</f>
        <v/>
      </c>
      <c r="N71" s="5">
        <f>IF($D71="","",IF(OR($E71="Blocked",$E71="Done",$E71="Archive"),-9999,IF(AND($E71="Waiting",SUMPRODUCT((($E$5:$E$500="Next")+($E$5:$E$500="In Progress")+($E$5:$E$500="Captured"))*($D$5:$D$500&lt;&gt;""))&gt;0),-500,VLOOKUP($F71,Lists!$L$2:$M$4,2,FALSE)+IF($E71="In Progress",10,0)+IF(AND($I71&lt;&gt;"",$I71&lt;TODAY()),25,0)+IF(AND($I71&lt;&gt;"",$I71&gt;=TODAY(),$I71&lt;=TODAY()+7),15,0)+IF($H71="",0,IF($M71&lt;=VLOOKUP(Home!$C$7,Lists!$N$2:$O$6,2,FALSE),20,-10))+IF($G71=Home!$E$7,15,IF(Home!$E$7="",0,-5))-ROW()/100000)))</f>
        <v/>
      </c>
      <c r="O71" s="5">
        <f>IF($D71="","",IF($N71&lt;=-500,"Not recommended right now",IF($E71="Waiting","Nothing else actionable right now — Waiting on: "&amp;IF($K71="","this item",$K71),TEXTJOIN(" • ",TRUE,IF($F71="High","High Priority",""),IF(AND($I71&lt;&gt;"",$I71&lt;TODAY()),"Overdue",""),IF(AND($I71&lt;&gt;"",$I71&gt;=TODAY(),$I71&lt;=TODAY()+7),"Due This Week",""),IF(AND($H71&lt;&gt;"",$M71&lt;=VLOOKUP(Home!$C$7,Lists!$N$2:$O$6,2,FALSE)),$H71&amp;" Task",""),IF($G71=Home!$E$7,"Fits Current Energy",""),"No Blockers"))))</f>
        <v/>
      </c>
      <c r="P71" s="5">
        <f>IF($D71="","",SWITCH('Task Finder'!$C$6,"High Priority",AND($F71="High",$E71&lt;&gt;"Done",$E71&lt;&gt;"Archive"),"Due This Week",AND($I71&lt;&gt;"",$I71&gt;=TODAY(),$I71&lt;=TODAY()+7,$E71&lt;&gt;"Done"),"Quick Wins (15 mins or less)",AND($M71&lt;=15,$E71&lt;&gt;"Done",$E71&lt;&gt;"Blocked"),"Deep Thinking",AND($G71="Deep Thinking",$E71&lt;&gt;"Done"),"Processing",AND($G71="Processing",$E71&lt;&gt;"Done"),"Blocked",$E71="Blocked","Waiting",$E71="Waiting","Recently Updated",AND($L71&lt;&gt;"",$L71&gt;=TODAY()-7),"Keyword",AND('Task Finder'!$C$7&lt;&gt;"",OR(ISNUMBER(SEARCH('Task Finder'!$C$7,$A71)),ISNUMBER(SEARCH('Task Finder'!$C$7,$B71)),ISNUMBER(SEARCH('Task Finder'!$C$7,$C71)),ISNUMBER(SEARCH('Task Finder'!$C$7,$D71)),ISNUMBER(SEARCH('Task Finder'!$C$7,$K71)))),TRUE))</f>
        <v/>
      </c>
    </row>
    <row r="72">
      <c r="A72" s="19" t="n"/>
      <c r="B72" s="19" t="n"/>
      <c r="C72" s="19" t="n"/>
      <c r="D72" s="19" t="n"/>
      <c r="E72" s="19" t="n"/>
      <c r="F72" s="19" t="n"/>
      <c r="G72" s="19" t="n"/>
      <c r="H72" s="19" t="n"/>
      <c r="I72" s="19" t="n"/>
      <c r="J72" s="19" t="n"/>
      <c r="K72" s="19" t="n"/>
      <c r="L72" s="35" t="n"/>
      <c r="M72" s="5">
        <f>IF($D72="","",IFERROR(VLOOKUP($H72,Lists!$N$2:$O$6,2,FALSE),0))</f>
        <v/>
      </c>
      <c r="N72" s="5">
        <f>IF($D72="","",IF(OR($E72="Blocked",$E72="Done",$E72="Archive"),-9999,IF(AND($E72="Waiting",SUMPRODUCT((($E$5:$E$500="Next")+($E$5:$E$500="In Progress")+($E$5:$E$500="Captured"))*($D$5:$D$500&lt;&gt;""))&gt;0),-500,VLOOKUP($F72,Lists!$L$2:$M$4,2,FALSE)+IF($E72="In Progress",10,0)+IF(AND($I72&lt;&gt;"",$I72&lt;TODAY()),25,0)+IF(AND($I72&lt;&gt;"",$I72&gt;=TODAY(),$I72&lt;=TODAY()+7),15,0)+IF($H72="",0,IF($M72&lt;=VLOOKUP(Home!$C$7,Lists!$N$2:$O$6,2,FALSE),20,-10))+IF($G72=Home!$E$7,15,IF(Home!$E$7="",0,-5))-ROW()/100000)))</f>
        <v/>
      </c>
      <c r="O72" s="5">
        <f>IF($D72="","",IF($N72&lt;=-500,"Not recommended right now",IF($E72="Waiting","Nothing else actionable right now — Waiting on: "&amp;IF($K72="","this item",$K72),TEXTJOIN(" • ",TRUE,IF($F72="High","High Priority",""),IF(AND($I72&lt;&gt;"",$I72&lt;TODAY()),"Overdue",""),IF(AND($I72&lt;&gt;"",$I72&gt;=TODAY(),$I72&lt;=TODAY()+7),"Due This Week",""),IF(AND($H72&lt;&gt;"",$M72&lt;=VLOOKUP(Home!$C$7,Lists!$N$2:$O$6,2,FALSE)),$H72&amp;" Task",""),IF($G72=Home!$E$7,"Fits Current Energy",""),"No Blockers"))))</f>
        <v/>
      </c>
      <c r="P72" s="5">
        <f>IF($D72="","",SWITCH('Task Finder'!$C$6,"High Priority",AND($F72="High",$E72&lt;&gt;"Done",$E72&lt;&gt;"Archive"),"Due This Week",AND($I72&lt;&gt;"",$I72&gt;=TODAY(),$I72&lt;=TODAY()+7,$E72&lt;&gt;"Done"),"Quick Wins (15 mins or less)",AND($M72&lt;=15,$E72&lt;&gt;"Done",$E72&lt;&gt;"Blocked"),"Deep Thinking",AND($G72="Deep Thinking",$E72&lt;&gt;"Done"),"Processing",AND($G72="Processing",$E72&lt;&gt;"Done"),"Blocked",$E72="Blocked","Waiting",$E72="Waiting","Recently Updated",AND($L72&lt;&gt;"",$L72&gt;=TODAY()-7),"Keyword",AND('Task Finder'!$C$7&lt;&gt;"",OR(ISNUMBER(SEARCH('Task Finder'!$C$7,$A72)),ISNUMBER(SEARCH('Task Finder'!$C$7,$B72)),ISNUMBER(SEARCH('Task Finder'!$C$7,$C72)),ISNUMBER(SEARCH('Task Finder'!$C$7,$D72)),ISNUMBER(SEARCH('Task Finder'!$C$7,$K72)))),TRUE))</f>
        <v/>
      </c>
    </row>
    <row r="73">
      <c r="A73" s="19" t="n"/>
      <c r="B73" s="19" t="n"/>
      <c r="C73" s="19" t="n"/>
      <c r="D73" s="19" t="n"/>
      <c r="E73" s="19" t="n"/>
      <c r="F73" s="19" t="n"/>
      <c r="G73" s="19" t="n"/>
      <c r="H73" s="19" t="n"/>
      <c r="I73" s="19" t="n"/>
      <c r="J73" s="19" t="n"/>
      <c r="K73" s="19" t="n"/>
      <c r="L73" s="35" t="n"/>
      <c r="M73" s="5">
        <f>IF($D73="","",IFERROR(VLOOKUP($H73,Lists!$N$2:$O$6,2,FALSE),0))</f>
        <v/>
      </c>
      <c r="N73" s="5">
        <f>IF($D73="","",IF(OR($E73="Blocked",$E73="Done",$E73="Archive"),-9999,IF(AND($E73="Waiting",SUMPRODUCT((($E$5:$E$500="Next")+($E$5:$E$500="In Progress")+($E$5:$E$500="Captured"))*($D$5:$D$500&lt;&gt;""))&gt;0),-500,VLOOKUP($F73,Lists!$L$2:$M$4,2,FALSE)+IF($E73="In Progress",10,0)+IF(AND($I73&lt;&gt;"",$I73&lt;TODAY()),25,0)+IF(AND($I73&lt;&gt;"",$I73&gt;=TODAY(),$I73&lt;=TODAY()+7),15,0)+IF($H73="",0,IF($M73&lt;=VLOOKUP(Home!$C$7,Lists!$N$2:$O$6,2,FALSE),20,-10))+IF($G73=Home!$E$7,15,IF(Home!$E$7="",0,-5))-ROW()/100000)))</f>
        <v/>
      </c>
      <c r="O73" s="5">
        <f>IF($D73="","",IF($N73&lt;=-500,"Not recommended right now",IF($E73="Waiting","Nothing else actionable right now — Waiting on: "&amp;IF($K73="","this item",$K73),TEXTJOIN(" • ",TRUE,IF($F73="High","High Priority",""),IF(AND($I73&lt;&gt;"",$I73&lt;TODAY()),"Overdue",""),IF(AND($I73&lt;&gt;"",$I73&gt;=TODAY(),$I73&lt;=TODAY()+7),"Due This Week",""),IF(AND($H73&lt;&gt;"",$M73&lt;=VLOOKUP(Home!$C$7,Lists!$N$2:$O$6,2,FALSE)),$H73&amp;" Task",""),IF($G73=Home!$E$7,"Fits Current Energy",""),"No Blockers"))))</f>
        <v/>
      </c>
      <c r="P73" s="5">
        <f>IF($D73="","",SWITCH('Task Finder'!$C$6,"High Priority",AND($F73="High",$E73&lt;&gt;"Done",$E73&lt;&gt;"Archive"),"Due This Week",AND($I73&lt;&gt;"",$I73&gt;=TODAY(),$I73&lt;=TODAY()+7,$E73&lt;&gt;"Done"),"Quick Wins (15 mins or less)",AND($M73&lt;=15,$E73&lt;&gt;"Done",$E73&lt;&gt;"Blocked"),"Deep Thinking",AND($G73="Deep Thinking",$E73&lt;&gt;"Done"),"Processing",AND($G73="Processing",$E73&lt;&gt;"Done"),"Blocked",$E73="Blocked","Waiting",$E73="Waiting","Recently Updated",AND($L73&lt;&gt;"",$L73&gt;=TODAY()-7),"Keyword",AND('Task Finder'!$C$7&lt;&gt;"",OR(ISNUMBER(SEARCH('Task Finder'!$C$7,$A73)),ISNUMBER(SEARCH('Task Finder'!$C$7,$B73)),ISNUMBER(SEARCH('Task Finder'!$C$7,$C73)),ISNUMBER(SEARCH('Task Finder'!$C$7,$D73)),ISNUMBER(SEARCH('Task Finder'!$C$7,$K73)))),TRUE))</f>
        <v/>
      </c>
    </row>
    <row r="74">
      <c r="A74" s="19" t="n"/>
      <c r="B74" s="19" t="n"/>
      <c r="C74" s="19" t="n"/>
      <c r="D74" s="19" t="n"/>
      <c r="E74" s="19" t="n"/>
      <c r="F74" s="19" t="n"/>
      <c r="G74" s="19" t="n"/>
      <c r="H74" s="19" t="n"/>
      <c r="I74" s="19" t="n"/>
      <c r="J74" s="19" t="n"/>
      <c r="K74" s="19" t="n"/>
      <c r="L74" s="35" t="n"/>
      <c r="M74" s="5">
        <f>IF($D74="","",IFERROR(VLOOKUP($H74,Lists!$N$2:$O$6,2,FALSE),0))</f>
        <v/>
      </c>
      <c r="N74" s="5">
        <f>IF($D74="","",IF(OR($E74="Blocked",$E74="Done",$E74="Archive"),-9999,IF(AND($E74="Waiting",SUMPRODUCT((($E$5:$E$500="Next")+($E$5:$E$500="In Progress")+($E$5:$E$500="Captured"))*($D$5:$D$500&lt;&gt;""))&gt;0),-500,VLOOKUP($F74,Lists!$L$2:$M$4,2,FALSE)+IF($E74="In Progress",10,0)+IF(AND($I74&lt;&gt;"",$I74&lt;TODAY()),25,0)+IF(AND($I74&lt;&gt;"",$I74&gt;=TODAY(),$I74&lt;=TODAY()+7),15,0)+IF($H74="",0,IF($M74&lt;=VLOOKUP(Home!$C$7,Lists!$N$2:$O$6,2,FALSE),20,-10))+IF($G74=Home!$E$7,15,IF(Home!$E$7="",0,-5))-ROW()/100000)))</f>
        <v/>
      </c>
      <c r="O74" s="5">
        <f>IF($D74="","",IF($N74&lt;=-500,"Not recommended right now",IF($E74="Waiting","Nothing else actionable right now — Waiting on: "&amp;IF($K74="","this item",$K74),TEXTJOIN(" • ",TRUE,IF($F74="High","High Priority",""),IF(AND($I74&lt;&gt;"",$I74&lt;TODAY()),"Overdue",""),IF(AND($I74&lt;&gt;"",$I74&gt;=TODAY(),$I74&lt;=TODAY()+7),"Due This Week",""),IF(AND($H74&lt;&gt;"",$M74&lt;=VLOOKUP(Home!$C$7,Lists!$N$2:$O$6,2,FALSE)),$H74&amp;" Task",""),IF($G74=Home!$E$7,"Fits Current Energy",""),"No Blockers"))))</f>
        <v/>
      </c>
      <c r="P74" s="5">
        <f>IF($D74="","",SWITCH('Task Finder'!$C$6,"High Priority",AND($F74="High",$E74&lt;&gt;"Done",$E74&lt;&gt;"Archive"),"Due This Week",AND($I74&lt;&gt;"",$I74&gt;=TODAY(),$I74&lt;=TODAY()+7,$E74&lt;&gt;"Done"),"Quick Wins (15 mins or less)",AND($M74&lt;=15,$E74&lt;&gt;"Done",$E74&lt;&gt;"Blocked"),"Deep Thinking",AND($G74="Deep Thinking",$E74&lt;&gt;"Done"),"Processing",AND($G74="Processing",$E74&lt;&gt;"Done"),"Blocked",$E74="Blocked","Waiting",$E74="Waiting","Recently Updated",AND($L74&lt;&gt;"",$L74&gt;=TODAY()-7),"Keyword",AND('Task Finder'!$C$7&lt;&gt;"",OR(ISNUMBER(SEARCH('Task Finder'!$C$7,$A74)),ISNUMBER(SEARCH('Task Finder'!$C$7,$B74)),ISNUMBER(SEARCH('Task Finder'!$C$7,$C74)),ISNUMBER(SEARCH('Task Finder'!$C$7,$D74)),ISNUMBER(SEARCH('Task Finder'!$C$7,$K74)))),TRUE))</f>
        <v/>
      </c>
    </row>
    <row r="75">
      <c r="A75" s="19" t="n"/>
      <c r="B75" s="19" t="n"/>
      <c r="C75" s="19" t="n"/>
      <c r="D75" s="19" t="n"/>
      <c r="E75" s="19" t="n"/>
      <c r="F75" s="19" t="n"/>
      <c r="G75" s="19" t="n"/>
      <c r="H75" s="19" t="n"/>
      <c r="I75" s="19" t="n"/>
      <c r="J75" s="19" t="n"/>
      <c r="K75" s="19" t="n"/>
      <c r="L75" s="35" t="n"/>
      <c r="M75" s="5">
        <f>IF($D75="","",IFERROR(VLOOKUP($H75,Lists!$N$2:$O$6,2,FALSE),0))</f>
        <v/>
      </c>
      <c r="N75" s="5">
        <f>IF($D75="","",IF(OR($E75="Blocked",$E75="Done",$E75="Archive"),-9999,IF(AND($E75="Waiting",SUMPRODUCT((($E$5:$E$500="Next")+($E$5:$E$500="In Progress")+($E$5:$E$500="Captured"))*($D$5:$D$500&lt;&gt;""))&gt;0),-500,VLOOKUP($F75,Lists!$L$2:$M$4,2,FALSE)+IF($E75="In Progress",10,0)+IF(AND($I75&lt;&gt;"",$I75&lt;TODAY()),25,0)+IF(AND($I75&lt;&gt;"",$I75&gt;=TODAY(),$I75&lt;=TODAY()+7),15,0)+IF($H75="",0,IF($M75&lt;=VLOOKUP(Home!$C$7,Lists!$N$2:$O$6,2,FALSE),20,-10))+IF($G75=Home!$E$7,15,IF(Home!$E$7="",0,-5))-ROW()/100000)))</f>
        <v/>
      </c>
      <c r="O75" s="5">
        <f>IF($D75="","",IF($N75&lt;=-500,"Not recommended right now",IF($E75="Waiting","Nothing else actionable right now — Waiting on: "&amp;IF($K75="","this item",$K75),TEXTJOIN(" • ",TRUE,IF($F75="High","High Priority",""),IF(AND($I75&lt;&gt;"",$I75&lt;TODAY()),"Overdue",""),IF(AND($I75&lt;&gt;"",$I75&gt;=TODAY(),$I75&lt;=TODAY()+7),"Due This Week",""),IF(AND($H75&lt;&gt;"",$M75&lt;=VLOOKUP(Home!$C$7,Lists!$N$2:$O$6,2,FALSE)),$H75&amp;" Task",""),IF($G75=Home!$E$7,"Fits Current Energy",""),"No Blockers"))))</f>
        <v/>
      </c>
      <c r="P75" s="5">
        <f>IF($D75="","",SWITCH('Task Finder'!$C$6,"High Priority",AND($F75="High",$E75&lt;&gt;"Done",$E75&lt;&gt;"Archive"),"Due This Week",AND($I75&lt;&gt;"",$I75&gt;=TODAY(),$I75&lt;=TODAY()+7,$E75&lt;&gt;"Done"),"Quick Wins (15 mins or less)",AND($M75&lt;=15,$E75&lt;&gt;"Done",$E75&lt;&gt;"Blocked"),"Deep Thinking",AND($G75="Deep Thinking",$E75&lt;&gt;"Done"),"Processing",AND($G75="Processing",$E75&lt;&gt;"Done"),"Blocked",$E75="Blocked","Waiting",$E75="Waiting","Recently Updated",AND($L75&lt;&gt;"",$L75&gt;=TODAY()-7),"Keyword",AND('Task Finder'!$C$7&lt;&gt;"",OR(ISNUMBER(SEARCH('Task Finder'!$C$7,$A75)),ISNUMBER(SEARCH('Task Finder'!$C$7,$B75)),ISNUMBER(SEARCH('Task Finder'!$C$7,$C75)),ISNUMBER(SEARCH('Task Finder'!$C$7,$D75)),ISNUMBER(SEARCH('Task Finder'!$C$7,$K75)))),TRUE))</f>
        <v/>
      </c>
    </row>
    <row r="76">
      <c r="A76" s="19" t="n"/>
      <c r="B76" s="19" t="n"/>
      <c r="C76" s="19" t="n"/>
      <c r="D76" s="19" t="n"/>
      <c r="E76" s="19" t="n"/>
      <c r="F76" s="19" t="n"/>
      <c r="G76" s="19" t="n"/>
      <c r="H76" s="19" t="n"/>
      <c r="I76" s="19" t="n"/>
      <c r="J76" s="19" t="n"/>
      <c r="K76" s="19" t="n"/>
      <c r="L76" s="35" t="n"/>
      <c r="M76" s="5">
        <f>IF($D76="","",IFERROR(VLOOKUP($H76,Lists!$N$2:$O$6,2,FALSE),0))</f>
        <v/>
      </c>
      <c r="N76" s="5">
        <f>IF($D76="","",IF(OR($E76="Blocked",$E76="Done",$E76="Archive"),-9999,IF(AND($E76="Waiting",SUMPRODUCT((($E$5:$E$500="Next")+($E$5:$E$500="In Progress")+($E$5:$E$500="Captured"))*($D$5:$D$500&lt;&gt;""))&gt;0),-500,VLOOKUP($F76,Lists!$L$2:$M$4,2,FALSE)+IF($E76="In Progress",10,0)+IF(AND($I76&lt;&gt;"",$I76&lt;TODAY()),25,0)+IF(AND($I76&lt;&gt;"",$I76&gt;=TODAY(),$I76&lt;=TODAY()+7),15,0)+IF($H76="",0,IF($M76&lt;=VLOOKUP(Home!$C$7,Lists!$N$2:$O$6,2,FALSE),20,-10))+IF($G76=Home!$E$7,15,IF(Home!$E$7="",0,-5))-ROW()/100000)))</f>
        <v/>
      </c>
      <c r="O76" s="5">
        <f>IF($D76="","",IF($N76&lt;=-500,"Not recommended right now",IF($E76="Waiting","Nothing else actionable right now — Waiting on: "&amp;IF($K76="","this item",$K76),TEXTJOIN(" • ",TRUE,IF($F76="High","High Priority",""),IF(AND($I76&lt;&gt;"",$I76&lt;TODAY()),"Overdue",""),IF(AND($I76&lt;&gt;"",$I76&gt;=TODAY(),$I76&lt;=TODAY()+7),"Due This Week",""),IF(AND($H76&lt;&gt;"",$M76&lt;=VLOOKUP(Home!$C$7,Lists!$N$2:$O$6,2,FALSE)),$H76&amp;" Task",""),IF($G76=Home!$E$7,"Fits Current Energy",""),"No Blockers"))))</f>
        <v/>
      </c>
      <c r="P76" s="5">
        <f>IF($D76="","",SWITCH('Task Finder'!$C$6,"High Priority",AND($F76="High",$E76&lt;&gt;"Done",$E76&lt;&gt;"Archive"),"Due This Week",AND($I76&lt;&gt;"",$I76&gt;=TODAY(),$I76&lt;=TODAY()+7,$E76&lt;&gt;"Done"),"Quick Wins (15 mins or less)",AND($M76&lt;=15,$E76&lt;&gt;"Done",$E76&lt;&gt;"Blocked"),"Deep Thinking",AND($G76="Deep Thinking",$E76&lt;&gt;"Done"),"Processing",AND($G76="Processing",$E76&lt;&gt;"Done"),"Blocked",$E76="Blocked","Waiting",$E76="Waiting","Recently Updated",AND($L76&lt;&gt;"",$L76&gt;=TODAY()-7),"Keyword",AND('Task Finder'!$C$7&lt;&gt;"",OR(ISNUMBER(SEARCH('Task Finder'!$C$7,$A76)),ISNUMBER(SEARCH('Task Finder'!$C$7,$B76)),ISNUMBER(SEARCH('Task Finder'!$C$7,$C76)),ISNUMBER(SEARCH('Task Finder'!$C$7,$D76)),ISNUMBER(SEARCH('Task Finder'!$C$7,$K76)))),TRUE))</f>
        <v/>
      </c>
    </row>
    <row r="77">
      <c r="A77" s="19" t="n"/>
      <c r="B77" s="19" t="n"/>
      <c r="C77" s="19" t="n"/>
      <c r="D77" s="19" t="n"/>
      <c r="E77" s="19" t="n"/>
      <c r="F77" s="19" t="n"/>
      <c r="G77" s="19" t="n"/>
      <c r="H77" s="19" t="n"/>
      <c r="I77" s="19" t="n"/>
      <c r="J77" s="19" t="n"/>
      <c r="K77" s="19" t="n"/>
      <c r="L77" s="35" t="n"/>
      <c r="M77" s="5">
        <f>IF($D77="","",IFERROR(VLOOKUP($H77,Lists!$N$2:$O$6,2,FALSE),0))</f>
        <v/>
      </c>
      <c r="N77" s="5">
        <f>IF($D77="","",IF(OR($E77="Blocked",$E77="Done",$E77="Archive"),-9999,IF(AND($E77="Waiting",SUMPRODUCT((($E$5:$E$500="Next")+($E$5:$E$500="In Progress")+($E$5:$E$500="Captured"))*($D$5:$D$500&lt;&gt;""))&gt;0),-500,VLOOKUP($F77,Lists!$L$2:$M$4,2,FALSE)+IF($E77="In Progress",10,0)+IF(AND($I77&lt;&gt;"",$I77&lt;TODAY()),25,0)+IF(AND($I77&lt;&gt;"",$I77&gt;=TODAY(),$I77&lt;=TODAY()+7),15,0)+IF($H77="",0,IF($M77&lt;=VLOOKUP(Home!$C$7,Lists!$N$2:$O$6,2,FALSE),20,-10))+IF($G77=Home!$E$7,15,IF(Home!$E$7="",0,-5))-ROW()/100000)))</f>
        <v/>
      </c>
      <c r="O77" s="5">
        <f>IF($D77="","",IF($N77&lt;=-500,"Not recommended right now",IF($E77="Waiting","Nothing else actionable right now — Waiting on: "&amp;IF($K77="","this item",$K77),TEXTJOIN(" • ",TRUE,IF($F77="High","High Priority",""),IF(AND($I77&lt;&gt;"",$I77&lt;TODAY()),"Overdue",""),IF(AND($I77&lt;&gt;"",$I77&gt;=TODAY(),$I77&lt;=TODAY()+7),"Due This Week",""),IF(AND($H77&lt;&gt;"",$M77&lt;=VLOOKUP(Home!$C$7,Lists!$N$2:$O$6,2,FALSE)),$H77&amp;" Task",""),IF($G77=Home!$E$7,"Fits Current Energy",""),"No Blockers"))))</f>
        <v/>
      </c>
      <c r="P77" s="5">
        <f>IF($D77="","",SWITCH('Task Finder'!$C$6,"High Priority",AND($F77="High",$E77&lt;&gt;"Done",$E77&lt;&gt;"Archive"),"Due This Week",AND($I77&lt;&gt;"",$I77&gt;=TODAY(),$I77&lt;=TODAY()+7,$E77&lt;&gt;"Done"),"Quick Wins (15 mins or less)",AND($M77&lt;=15,$E77&lt;&gt;"Done",$E77&lt;&gt;"Blocked"),"Deep Thinking",AND($G77="Deep Thinking",$E77&lt;&gt;"Done"),"Processing",AND($G77="Processing",$E77&lt;&gt;"Done"),"Blocked",$E77="Blocked","Waiting",$E77="Waiting","Recently Updated",AND($L77&lt;&gt;"",$L77&gt;=TODAY()-7),"Keyword",AND('Task Finder'!$C$7&lt;&gt;"",OR(ISNUMBER(SEARCH('Task Finder'!$C$7,$A77)),ISNUMBER(SEARCH('Task Finder'!$C$7,$B77)),ISNUMBER(SEARCH('Task Finder'!$C$7,$C77)),ISNUMBER(SEARCH('Task Finder'!$C$7,$D77)),ISNUMBER(SEARCH('Task Finder'!$C$7,$K77)))),TRUE))</f>
        <v/>
      </c>
    </row>
    <row r="78">
      <c r="A78" s="19" t="n"/>
      <c r="B78" s="19" t="n"/>
      <c r="C78" s="19" t="n"/>
      <c r="D78" s="19" t="n"/>
      <c r="E78" s="19" t="n"/>
      <c r="F78" s="19" t="n"/>
      <c r="G78" s="19" t="n"/>
      <c r="H78" s="19" t="n"/>
      <c r="I78" s="19" t="n"/>
      <c r="J78" s="19" t="n"/>
      <c r="K78" s="19" t="n"/>
      <c r="L78" s="35" t="n"/>
      <c r="M78" s="5">
        <f>IF($D78="","",IFERROR(VLOOKUP($H78,Lists!$N$2:$O$6,2,FALSE),0))</f>
        <v/>
      </c>
      <c r="N78" s="5">
        <f>IF($D78="","",IF(OR($E78="Blocked",$E78="Done",$E78="Archive"),-9999,IF(AND($E78="Waiting",SUMPRODUCT((($E$5:$E$500="Next")+($E$5:$E$500="In Progress")+($E$5:$E$500="Captured"))*($D$5:$D$500&lt;&gt;""))&gt;0),-500,VLOOKUP($F78,Lists!$L$2:$M$4,2,FALSE)+IF($E78="In Progress",10,0)+IF(AND($I78&lt;&gt;"",$I78&lt;TODAY()),25,0)+IF(AND($I78&lt;&gt;"",$I78&gt;=TODAY(),$I78&lt;=TODAY()+7),15,0)+IF($H78="",0,IF($M78&lt;=VLOOKUP(Home!$C$7,Lists!$N$2:$O$6,2,FALSE),20,-10))+IF($G78=Home!$E$7,15,IF(Home!$E$7="",0,-5))-ROW()/100000)))</f>
        <v/>
      </c>
      <c r="O78" s="5">
        <f>IF($D78="","",IF($N78&lt;=-500,"Not recommended right now",IF($E78="Waiting","Nothing else actionable right now — Waiting on: "&amp;IF($K78="","this item",$K78),TEXTJOIN(" • ",TRUE,IF($F78="High","High Priority",""),IF(AND($I78&lt;&gt;"",$I78&lt;TODAY()),"Overdue",""),IF(AND($I78&lt;&gt;"",$I78&gt;=TODAY(),$I78&lt;=TODAY()+7),"Due This Week",""),IF(AND($H78&lt;&gt;"",$M78&lt;=VLOOKUP(Home!$C$7,Lists!$N$2:$O$6,2,FALSE)),$H78&amp;" Task",""),IF($G78=Home!$E$7,"Fits Current Energy",""),"No Blockers"))))</f>
        <v/>
      </c>
      <c r="P78" s="5">
        <f>IF($D78="","",SWITCH('Task Finder'!$C$6,"High Priority",AND($F78="High",$E78&lt;&gt;"Done",$E78&lt;&gt;"Archive"),"Due This Week",AND($I78&lt;&gt;"",$I78&gt;=TODAY(),$I78&lt;=TODAY()+7,$E78&lt;&gt;"Done"),"Quick Wins (15 mins or less)",AND($M78&lt;=15,$E78&lt;&gt;"Done",$E78&lt;&gt;"Blocked"),"Deep Thinking",AND($G78="Deep Thinking",$E78&lt;&gt;"Done"),"Processing",AND($G78="Processing",$E78&lt;&gt;"Done"),"Blocked",$E78="Blocked","Waiting",$E78="Waiting","Recently Updated",AND($L78&lt;&gt;"",$L78&gt;=TODAY()-7),"Keyword",AND('Task Finder'!$C$7&lt;&gt;"",OR(ISNUMBER(SEARCH('Task Finder'!$C$7,$A78)),ISNUMBER(SEARCH('Task Finder'!$C$7,$B78)),ISNUMBER(SEARCH('Task Finder'!$C$7,$C78)),ISNUMBER(SEARCH('Task Finder'!$C$7,$D78)),ISNUMBER(SEARCH('Task Finder'!$C$7,$K78)))),TRUE))</f>
        <v/>
      </c>
    </row>
    <row r="79">
      <c r="A79" s="19" t="n"/>
      <c r="B79" s="19" t="n"/>
      <c r="C79" s="19" t="n"/>
      <c r="D79" s="19" t="n"/>
      <c r="E79" s="19" t="n"/>
      <c r="F79" s="19" t="n"/>
      <c r="G79" s="19" t="n"/>
      <c r="H79" s="19" t="n"/>
      <c r="I79" s="19" t="n"/>
      <c r="J79" s="19" t="n"/>
      <c r="K79" s="19" t="n"/>
      <c r="L79" s="35" t="n"/>
      <c r="M79" s="5">
        <f>IF($D79="","",IFERROR(VLOOKUP($H79,Lists!$N$2:$O$6,2,FALSE),0))</f>
        <v/>
      </c>
      <c r="N79" s="5">
        <f>IF($D79="","",IF(OR($E79="Blocked",$E79="Done",$E79="Archive"),-9999,IF(AND($E79="Waiting",SUMPRODUCT((($E$5:$E$500="Next")+($E$5:$E$500="In Progress")+($E$5:$E$500="Captured"))*($D$5:$D$500&lt;&gt;""))&gt;0),-500,VLOOKUP($F79,Lists!$L$2:$M$4,2,FALSE)+IF($E79="In Progress",10,0)+IF(AND($I79&lt;&gt;"",$I79&lt;TODAY()),25,0)+IF(AND($I79&lt;&gt;"",$I79&gt;=TODAY(),$I79&lt;=TODAY()+7),15,0)+IF($H79="",0,IF($M79&lt;=VLOOKUP(Home!$C$7,Lists!$N$2:$O$6,2,FALSE),20,-10))+IF($G79=Home!$E$7,15,IF(Home!$E$7="",0,-5))-ROW()/100000)))</f>
        <v/>
      </c>
      <c r="O79" s="5">
        <f>IF($D79="","",IF($N79&lt;=-500,"Not recommended right now",IF($E79="Waiting","Nothing else actionable right now — Waiting on: "&amp;IF($K79="","this item",$K79),TEXTJOIN(" • ",TRUE,IF($F79="High","High Priority",""),IF(AND($I79&lt;&gt;"",$I79&lt;TODAY()),"Overdue",""),IF(AND($I79&lt;&gt;"",$I79&gt;=TODAY(),$I79&lt;=TODAY()+7),"Due This Week",""),IF(AND($H79&lt;&gt;"",$M79&lt;=VLOOKUP(Home!$C$7,Lists!$N$2:$O$6,2,FALSE)),$H79&amp;" Task",""),IF($G79=Home!$E$7,"Fits Current Energy",""),"No Blockers"))))</f>
        <v/>
      </c>
      <c r="P79" s="5">
        <f>IF($D79="","",SWITCH('Task Finder'!$C$6,"High Priority",AND($F79="High",$E79&lt;&gt;"Done",$E79&lt;&gt;"Archive"),"Due This Week",AND($I79&lt;&gt;"",$I79&gt;=TODAY(),$I79&lt;=TODAY()+7,$E79&lt;&gt;"Done"),"Quick Wins (15 mins or less)",AND($M79&lt;=15,$E79&lt;&gt;"Done",$E79&lt;&gt;"Blocked"),"Deep Thinking",AND($G79="Deep Thinking",$E79&lt;&gt;"Done"),"Processing",AND($G79="Processing",$E79&lt;&gt;"Done"),"Blocked",$E79="Blocked","Waiting",$E79="Waiting","Recently Updated",AND($L79&lt;&gt;"",$L79&gt;=TODAY()-7),"Keyword",AND('Task Finder'!$C$7&lt;&gt;"",OR(ISNUMBER(SEARCH('Task Finder'!$C$7,$A79)),ISNUMBER(SEARCH('Task Finder'!$C$7,$B79)),ISNUMBER(SEARCH('Task Finder'!$C$7,$C79)),ISNUMBER(SEARCH('Task Finder'!$C$7,$D79)),ISNUMBER(SEARCH('Task Finder'!$C$7,$K79)))),TRUE))</f>
        <v/>
      </c>
    </row>
    <row r="80">
      <c r="A80" s="19" t="n"/>
      <c r="B80" s="19" t="n"/>
      <c r="C80" s="19" t="n"/>
      <c r="D80" s="19" t="n"/>
      <c r="E80" s="19" t="n"/>
      <c r="F80" s="19" t="n"/>
      <c r="G80" s="19" t="n"/>
      <c r="H80" s="19" t="n"/>
      <c r="I80" s="19" t="n"/>
      <c r="J80" s="19" t="n"/>
      <c r="K80" s="19" t="n"/>
      <c r="L80" s="35" t="n"/>
      <c r="M80" s="5">
        <f>IF($D80="","",IFERROR(VLOOKUP($H80,Lists!$N$2:$O$6,2,FALSE),0))</f>
        <v/>
      </c>
      <c r="N80" s="5">
        <f>IF($D80="","",IF(OR($E80="Blocked",$E80="Done",$E80="Archive"),-9999,IF(AND($E80="Waiting",SUMPRODUCT((($E$5:$E$500="Next")+($E$5:$E$500="In Progress")+($E$5:$E$500="Captured"))*($D$5:$D$500&lt;&gt;""))&gt;0),-500,VLOOKUP($F80,Lists!$L$2:$M$4,2,FALSE)+IF($E80="In Progress",10,0)+IF(AND($I80&lt;&gt;"",$I80&lt;TODAY()),25,0)+IF(AND($I80&lt;&gt;"",$I80&gt;=TODAY(),$I80&lt;=TODAY()+7),15,0)+IF($H80="",0,IF($M80&lt;=VLOOKUP(Home!$C$7,Lists!$N$2:$O$6,2,FALSE),20,-10))+IF($G80=Home!$E$7,15,IF(Home!$E$7="",0,-5))-ROW()/100000)))</f>
        <v/>
      </c>
      <c r="O80" s="5">
        <f>IF($D80="","",IF($N80&lt;=-500,"Not recommended right now",IF($E80="Waiting","Nothing else actionable right now — Waiting on: "&amp;IF($K80="","this item",$K80),TEXTJOIN(" • ",TRUE,IF($F80="High","High Priority",""),IF(AND($I80&lt;&gt;"",$I80&lt;TODAY()),"Overdue",""),IF(AND($I80&lt;&gt;"",$I80&gt;=TODAY(),$I80&lt;=TODAY()+7),"Due This Week",""),IF(AND($H80&lt;&gt;"",$M80&lt;=VLOOKUP(Home!$C$7,Lists!$N$2:$O$6,2,FALSE)),$H80&amp;" Task",""),IF($G80=Home!$E$7,"Fits Current Energy",""),"No Blockers"))))</f>
        <v/>
      </c>
      <c r="P80" s="5">
        <f>IF($D80="","",SWITCH('Task Finder'!$C$6,"High Priority",AND($F80="High",$E80&lt;&gt;"Done",$E80&lt;&gt;"Archive"),"Due This Week",AND($I80&lt;&gt;"",$I80&gt;=TODAY(),$I80&lt;=TODAY()+7,$E80&lt;&gt;"Done"),"Quick Wins (15 mins or less)",AND($M80&lt;=15,$E80&lt;&gt;"Done",$E80&lt;&gt;"Blocked"),"Deep Thinking",AND($G80="Deep Thinking",$E80&lt;&gt;"Done"),"Processing",AND($G80="Processing",$E80&lt;&gt;"Done"),"Blocked",$E80="Blocked","Waiting",$E80="Waiting","Recently Updated",AND($L80&lt;&gt;"",$L80&gt;=TODAY()-7),"Keyword",AND('Task Finder'!$C$7&lt;&gt;"",OR(ISNUMBER(SEARCH('Task Finder'!$C$7,$A80)),ISNUMBER(SEARCH('Task Finder'!$C$7,$B80)),ISNUMBER(SEARCH('Task Finder'!$C$7,$C80)),ISNUMBER(SEARCH('Task Finder'!$C$7,$D80)),ISNUMBER(SEARCH('Task Finder'!$C$7,$K80)))),TRUE))</f>
        <v/>
      </c>
    </row>
    <row r="81">
      <c r="A81" s="19" t="n"/>
      <c r="B81" s="19" t="n"/>
      <c r="C81" s="19" t="n"/>
      <c r="D81" s="19" t="n"/>
      <c r="E81" s="19" t="n"/>
      <c r="F81" s="19" t="n"/>
      <c r="G81" s="19" t="n"/>
      <c r="H81" s="19" t="n"/>
      <c r="I81" s="19" t="n"/>
      <c r="J81" s="19" t="n"/>
      <c r="K81" s="19" t="n"/>
      <c r="L81" s="35" t="n"/>
      <c r="M81" s="5">
        <f>IF($D81="","",IFERROR(VLOOKUP($H81,Lists!$N$2:$O$6,2,FALSE),0))</f>
        <v/>
      </c>
      <c r="N81" s="5">
        <f>IF($D81="","",IF(OR($E81="Blocked",$E81="Done",$E81="Archive"),-9999,IF(AND($E81="Waiting",SUMPRODUCT((($E$5:$E$500="Next")+($E$5:$E$500="In Progress")+($E$5:$E$500="Captured"))*($D$5:$D$500&lt;&gt;""))&gt;0),-500,VLOOKUP($F81,Lists!$L$2:$M$4,2,FALSE)+IF($E81="In Progress",10,0)+IF(AND($I81&lt;&gt;"",$I81&lt;TODAY()),25,0)+IF(AND($I81&lt;&gt;"",$I81&gt;=TODAY(),$I81&lt;=TODAY()+7),15,0)+IF($H81="",0,IF($M81&lt;=VLOOKUP(Home!$C$7,Lists!$N$2:$O$6,2,FALSE),20,-10))+IF($G81=Home!$E$7,15,IF(Home!$E$7="",0,-5))-ROW()/100000)))</f>
        <v/>
      </c>
      <c r="O81" s="5">
        <f>IF($D81="","",IF($N81&lt;=-500,"Not recommended right now",IF($E81="Waiting","Nothing else actionable right now — Waiting on: "&amp;IF($K81="","this item",$K81),TEXTJOIN(" • ",TRUE,IF($F81="High","High Priority",""),IF(AND($I81&lt;&gt;"",$I81&lt;TODAY()),"Overdue",""),IF(AND($I81&lt;&gt;"",$I81&gt;=TODAY(),$I81&lt;=TODAY()+7),"Due This Week",""),IF(AND($H81&lt;&gt;"",$M81&lt;=VLOOKUP(Home!$C$7,Lists!$N$2:$O$6,2,FALSE)),$H81&amp;" Task",""),IF($G81=Home!$E$7,"Fits Current Energy",""),"No Blockers"))))</f>
        <v/>
      </c>
      <c r="P81" s="5">
        <f>IF($D81="","",SWITCH('Task Finder'!$C$6,"High Priority",AND($F81="High",$E81&lt;&gt;"Done",$E81&lt;&gt;"Archive"),"Due This Week",AND($I81&lt;&gt;"",$I81&gt;=TODAY(),$I81&lt;=TODAY()+7,$E81&lt;&gt;"Done"),"Quick Wins (15 mins or less)",AND($M81&lt;=15,$E81&lt;&gt;"Done",$E81&lt;&gt;"Blocked"),"Deep Thinking",AND($G81="Deep Thinking",$E81&lt;&gt;"Done"),"Processing",AND($G81="Processing",$E81&lt;&gt;"Done"),"Blocked",$E81="Blocked","Waiting",$E81="Waiting","Recently Updated",AND($L81&lt;&gt;"",$L81&gt;=TODAY()-7),"Keyword",AND('Task Finder'!$C$7&lt;&gt;"",OR(ISNUMBER(SEARCH('Task Finder'!$C$7,$A81)),ISNUMBER(SEARCH('Task Finder'!$C$7,$B81)),ISNUMBER(SEARCH('Task Finder'!$C$7,$C81)),ISNUMBER(SEARCH('Task Finder'!$C$7,$D81)),ISNUMBER(SEARCH('Task Finder'!$C$7,$K81)))),TRUE))</f>
        <v/>
      </c>
    </row>
    <row r="82">
      <c r="A82" s="19" t="n"/>
      <c r="B82" s="19" t="n"/>
      <c r="C82" s="19" t="n"/>
      <c r="D82" s="19" t="n"/>
      <c r="E82" s="19" t="n"/>
      <c r="F82" s="19" t="n"/>
      <c r="G82" s="19" t="n"/>
      <c r="H82" s="19" t="n"/>
      <c r="I82" s="19" t="n"/>
      <c r="J82" s="19" t="n"/>
      <c r="K82" s="19" t="n"/>
      <c r="L82" s="35" t="n"/>
      <c r="M82" s="5">
        <f>IF($D82="","",IFERROR(VLOOKUP($H82,Lists!$N$2:$O$6,2,FALSE),0))</f>
        <v/>
      </c>
      <c r="N82" s="5">
        <f>IF($D82="","",IF(OR($E82="Blocked",$E82="Done",$E82="Archive"),-9999,IF(AND($E82="Waiting",SUMPRODUCT((($E$5:$E$500="Next")+($E$5:$E$500="In Progress")+($E$5:$E$500="Captured"))*($D$5:$D$500&lt;&gt;""))&gt;0),-500,VLOOKUP($F82,Lists!$L$2:$M$4,2,FALSE)+IF($E82="In Progress",10,0)+IF(AND($I82&lt;&gt;"",$I82&lt;TODAY()),25,0)+IF(AND($I82&lt;&gt;"",$I82&gt;=TODAY(),$I82&lt;=TODAY()+7),15,0)+IF($H82="",0,IF($M82&lt;=VLOOKUP(Home!$C$7,Lists!$N$2:$O$6,2,FALSE),20,-10))+IF($G82=Home!$E$7,15,IF(Home!$E$7="",0,-5))-ROW()/100000)))</f>
        <v/>
      </c>
      <c r="O82" s="5">
        <f>IF($D82="","",IF($N82&lt;=-500,"Not recommended right now",IF($E82="Waiting","Nothing else actionable right now — Waiting on: "&amp;IF($K82="","this item",$K82),TEXTJOIN(" • ",TRUE,IF($F82="High","High Priority",""),IF(AND($I82&lt;&gt;"",$I82&lt;TODAY()),"Overdue",""),IF(AND($I82&lt;&gt;"",$I82&gt;=TODAY(),$I82&lt;=TODAY()+7),"Due This Week",""),IF(AND($H82&lt;&gt;"",$M82&lt;=VLOOKUP(Home!$C$7,Lists!$N$2:$O$6,2,FALSE)),$H82&amp;" Task",""),IF($G82=Home!$E$7,"Fits Current Energy",""),"No Blockers"))))</f>
        <v/>
      </c>
      <c r="P82" s="5">
        <f>IF($D82="","",SWITCH('Task Finder'!$C$6,"High Priority",AND($F82="High",$E82&lt;&gt;"Done",$E82&lt;&gt;"Archive"),"Due This Week",AND($I82&lt;&gt;"",$I82&gt;=TODAY(),$I82&lt;=TODAY()+7,$E82&lt;&gt;"Done"),"Quick Wins (15 mins or less)",AND($M82&lt;=15,$E82&lt;&gt;"Done",$E82&lt;&gt;"Blocked"),"Deep Thinking",AND($G82="Deep Thinking",$E82&lt;&gt;"Done"),"Processing",AND($G82="Processing",$E82&lt;&gt;"Done"),"Blocked",$E82="Blocked","Waiting",$E82="Waiting","Recently Updated",AND($L82&lt;&gt;"",$L82&gt;=TODAY()-7),"Keyword",AND('Task Finder'!$C$7&lt;&gt;"",OR(ISNUMBER(SEARCH('Task Finder'!$C$7,$A82)),ISNUMBER(SEARCH('Task Finder'!$C$7,$B82)),ISNUMBER(SEARCH('Task Finder'!$C$7,$C82)),ISNUMBER(SEARCH('Task Finder'!$C$7,$D82)),ISNUMBER(SEARCH('Task Finder'!$C$7,$K82)))),TRUE))</f>
        <v/>
      </c>
    </row>
    <row r="83">
      <c r="A83" s="19" t="n"/>
      <c r="B83" s="19" t="n"/>
      <c r="C83" s="19" t="n"/>
      <c r="D83" s="19" t="n"/>
      <c r="E83" s="19" t="n"/>
      <c r="F83" s="19" t="n"/>
      <c r="G83" s="19" t="n"/>
      <c r="H83" s="19" t="n"/>
      <c r="I83" s="19" t="n"/>
      <c r="J83" s="19" t="n"/>
      <c r="K83" s="19" t="n"/>
      <c r="L83" s="35" t="n"/>
      <c r="M83" s="5">
        <f>IF($D83="","",IFERROR(VLOOKUP($H83,Lists!$N$2:$O$6,2,FALSE),0))</f>
        <v/>
      </c>
      <c r="N83" s="5">
        <f>IF($D83="","",IF(OR($E83="Blocked",$E83="Done",$E83="Archive"),-9999,IF(AND($E83="Waiting",SUMPRODUCT((($E$5:$E$500="Next")+($E$5:$E$500="In Progress")+($E$5:$E$500="Captured"))*($D$5:$D$500&lt;&gt;""))&gt;0),-500,VLOOKUP($F83,Lists!$L$2:$M$4,2,FALSE)+IF($E83="In Progress",10,0)+IF(AND($I83&lt;&gt;"",$I83&lt;TODAY()),25,0)+IF(AND($I83&lt;&gt;"",$I83&gt;=TODAY(),$I83&lt;=TODAY()+7),15,0)+IF($H83="",0,IF($M83&lt;=VLOOKUP(Home!$C$7,Lists!$N$2:$O$6,2,FALSE),20,-10))+IF($G83=Home!$E$7,15,IF(Home!$E$7="",0,-5))-ROW()/100000)))</f>
        <v/>
      </c>
      <c r="O83" s="5">
        <f>IF($D83="","",IF($N83&lt;=-500,"Not recommended right now",IF($E83="Waiting","Nothing else actionable right now — Waiting on: "&amp;IF($K83="","this item",$K83),TEXTJOIN(" • ",TRUE,IF($F83="High","High Priority",""),IF(AND($I83&lt;&gt;"",$I83&lt;TODAY()),"Overdue",""),IF(AND($I83&lt;&gt;"",$I83&gt;=TODAY(),$I83&lt;=TODAY()+7),"Due This Week",""),IF(AND($H83&lt;&gt;"",$M83&lt;=VLOOKUP(Home!$C$7,Lists!$N$2:$O$6,2,FALSE)),$H83&amp;" Task",""),IF($G83=Home!$E$7,"Fits Current Energy",""),"No Blockers"))))</f>
        <v/>
      </c>
      <c r="P83" s="5">
        <f>IF($D83="","",SWITCH('Task Finder'!$C$6,"High Priority",AND($F83="High",$E83&lt;&gt;"Done",$E83&lt;&gt;"Archive"),"Due This Week",AND($I83&lt;&gt;"",$I83&gt;=TODAY(),$I83&lt;=TODAY()+7,$E83&lt;&gt;"Done"),"Quick Wins (15 mins or less)",AND($M83&lt;=15,$E83&lt;&gt;"Done",$E83&lt;&gt;"Blocked"),"Deep Thinking",AND($G83="Deep Thinking",$E83&lt;&gt;"Done"),"Processing",AND($G83="Processing",$E83&lt;&gt;"Done"),"Blocked",$E83="Blocked","Waiting",$E83="Waiting","Recently Updated",AND($L83&lt;&gt;"",$L83&gt;=TODAY()-7),"Keyword",AND('Task Finder'!$C$7&lt;&gt;"",OR(ISNUMBER(SEARCH('Task Finder'!$C$7,$A83)),ISNUMBER(SEARCH('Task Finder'!$C$7,$B83)),ISNUMBER(SEARCH('Task Finder'!$C$7,$C83)),ISNUMBER(SEARCH('Task Finder'!$C$7,$D83)),ISNUMBER(SEARCH('Task Finder'!$C$7,$K83)))),TRUE))</f>
        <v/>
      </c>
    </row>
    <row r="84">
      <c r="A84" s="19" t="n"/>
      <c r="B84" s="19" t="n"/>
      <c r="C84" s="19" t="n"/>
      <c r="D84" s="19" t="n"/>
      <c r="E84" s="19" t="n"/>
      <c r="F84" s="19" t="n"/>
      <c r="G84" s="19" t="n"/>
      <c r="H84" s="19" t="n"/>
      <c r="I84" s="19" t="n"/>
      <c r="J84" s="19" t="n"/>
      <c r="K84" s="19" t="n"/>
      <c r="L84" s="35" t="n"/>
      <c r="M84" s="5">
        <f>IF($D84="","",IFERROR(VLOOKUP($H84,Lists!$N$2:$O$6,2,FALSE),0))</f>
        <v/>
      </c>
      <c r="N84" s="5">
        <f>IF($D84="","",IF(OR($E84="Blocked",$E84="Done",$E84="Archive"),-9999,IF(AND($E84="Waiting",SUMPRODUCT((($E$5:$E$500="Next")+($E$5:$E$500="In Progress")+($E$5:$E$500="Captured"))*($D$5:$D$500&lt;&gt;""))&gt;0),-500,VLOOKUP($F84,Lists!$L$2:$M$4,2,FALSE)+IF($E84="In Progress",10,0)+IF(AND($I84&lt;&gt;"",$I84&lt;TODAY()),25,0)+IF(AND($I84&lt;&gt;"",$I84&gt;=TODAY(),$I84&lt;=TODAY()+7),15,0)+IF($H84="",0,IF($M84&lt;=VLOOKUP(Home!$C$7,Lists!$N$2:$O$6,2,FALSE),20,-10))+IF($G84=Home!$E$7,15,IF(Home!$E$7="",0,-5))-ROW()/100000)))</f>
        <v/>
      </c>
      <c r="O84" s="5">
        <f>IF($D84="","",IF($N84&lt;=-500,"Not recommended right now",IF($E84="Waiting","Nothing else actionable right now — Waiting on: "&amp;IF($K84="","this item",$K84),TEXTJOIN(" • ",TRUE,IF($F84="High","High Priority",""),IF(AND($I84&lt;&gt;"",$I84&lt;TODAY()),"Overdue",""),IF(AND($I84&lt;&gt;"",$I84&gt;=TODAY(),$I84&lt;=TODAY()+7),"Due This Week",""),IF(AND($H84&lt;&gt;"",$M84&lt;=VLOOKUP(Home!$C$7,Lists!$N$2:$O$6,2,FALSE)),$H84&amp;" Task",""),IF($G84=Home!$E$7,"Fits Current Energy",""),"No Blockers"))))</f>
        <v/>
      </c>
      <c r="P84" s="5">
        <f>IF($D84="","",SWITCH('Task Finder'!$C$6,"High Priority",AND($F84="High",$E84&lt;&gt;"Done",$E84&lt;&gt;"Archive"),"Due This Week",AND($I84&lt;&gt;"",$I84&gt;=TODAY(),$I84&lt;=TODAY()+7,$E84&lt;&gt;"Done"),"Quick Wins (15 mins or less)",AND($M84&lt;=15,$E84&lt;&gt;"Done",$E84&lt;&gt;"Blocked"),"Deep Thinking",AND($G84="Deep Thinking",$E84&lt;&gt;"Done"),"Processing",AND($G84="Processing",$E84&lt;&gt;"Done"),"Blocked",$E84="Blocked","Waiting",$E84="Waiting","Recently Updated",AND($L84&lt;&gt;"",$L84&gt;=TODAY()-7),"Keyword",AND('Task Finder'!$C$7&lt;&gt;"",OR(ISNUMBER(SEARCH('Task Finder'!$C$7,$A84)),ISNUMBER(SEARCH('Task Finder'!$C$7,$B84)),ISNUMBER(SEARCH('Task Finder'!$C$7,$C84)),ISNUMBER(SEARCH('Task Finder'!$C$7,$D84)),ISNUMBER(SEARCH('Task Finder'!$C$7,$K84)))),TRUE))</f>
        <v/>
      </c>
    </row>
    <row r="85">
      <c r="A85" s="19" t="n"/>
      <c r="B85" s="19" t="n"/>
      <c r="C85" s="19" t="n"/>
      <c r="D85" s="19" t="n"/>
      <c r="E85" s="19" t="n"/>
      <c r="F85" s="19" t="n"/>
      <c r="G85" s="19" t="n"/>
      <c r="H85" s="19" t="n"/>
      <c r="I85" s="19" t="n"/>
      <c r="J85" s="19" t="n"/>
      <c r="K85" s="19" t="n"/>
      <c r="L85" s="35" t="n"/>
      <c r="M85" s="5">
        <f>IF($D85="","",IFERROR(VLOOKUP($H85,Lists!$N$2:$O$6,2,FALSE),0))</f>
        <v/>
      </c>
      <c r="N85" s="5">
        <f>IF($D85="","",IF(OR($E85="Blocked",$E85="Done",$E85="Archive"),-9999,IF(AND($E85="Waiting",SUMPRODUCT((($E$5:$E$500="Next")+($E$5:$E$500="In Progress")+($E$5:$E$500="Captured"))*($D$5:$D$500&lt;&gt;""))&gt;0),-500,VLOOKUP($F85,Lists!$L$2:$M$4,2,FALSE)+IF($E85="In Progress",10,0)+IF(AND($I85&lt;&gt;"",$I85&lt;TODAY()),25,0)+IF(AND($I85&lt;&gt;"",$I85&gt;=TODAY(),$I85&lt;=TODAY()+7),15,0)+IF($H85="",0,IF($M85&lt;=VLOOKUP(Home!$C$7,Lists!$N$2:$O$6,2,FALSE),20,-10))+IF($G85=Home!$E$7,15,IF(Home!$E$7="",0,-5))-ROW()/100000)))</f>
        <v/>
      </c>
      <c r="O85" s="5">
        <f>IF($D85="","",IF($N85&lt;=-500,"Not recommended right now",IF($E85="Waiting","Nothing else actionable right now — Waiting on: "&amp;IF($K85="","this item",$K85),TEXTJOIN(" • ",TRUE,IF($F85="High","High Priority",""),IF(AND($I85&lt;&gt;"",$I85&lt;TODAY()),"Overdue",""),IF(AND($I85&lt;&gt;"",$I85&gt;=TODAY(),$I85&lt;=TODAY()+7),"Due This Week",""),IF(AND($H85&lt;&gt;"",$M85&lt;=VLOOKUP(Home!$C$7,Lists!$N$2:$O$6,2,FALSE)),$H85&amp;" Task",""),IF($G85=Home!$E$7,"Fits Current Energy",""),"No Blockers"))))</f>
        <v/>
      </c>
      <c r="P85" s="5">
        <f>IF($D85="","",SWITCH('Task Finder'!$C$6,"High Priority",AND($F85="High",$E85&lt;&gt;"Done",$E85&lt;&gt;"Archive"),"Due This Week",AND($I85&lt;&gt;"",$I85&gt;=TODAY(),$I85&lt;=TODAY()+7,$E85&lt;&gt;"Done"),"Quick Wins (15 mins or less)",AND($M85&lt;=15,$E85&lt;&gt;"Done",$E85&lt;&gt;"Blocked"),"Deep Thinking",AND($G85="Deep Thinking",$E85&lt;&gt;"Done"),"Processing",AND($G85="Processing",$E85&lt;&gt;"Done"),"Blocked",$E85="Blocked","Waiting",$E85="Waiting","Recently Updated",AND($L85&lt;&gt;"",$L85&gt;=TODAY()-7),"Keyword",AND('Task Finder'!$C$7&lt;&gt;"",OR(ISNUMBER(SEARCH('Task Finder'!$C$7,$A85)),ISNUMBER(SEARCH('Task Finder'!$C$7,$B85)),ISNUMBER(SEARCH('Task Finder'!$C$7,$C85)),ISNUMBER(SEARCH('Task Finder'!$C$7,$D85)),ISNUMBER(SEARCH('Task Finder'!$C$7,$K85)))),TRUE))</f>
        <v/>
      </c>
    </row>
    <row r="86">
      <c r="A86" s="19" t="n"/>
      <c r="B86" s="19" t="n"/>
      <c r="C86" s="19" t="n"/>
      <c r="D86" s="19" t="n"/>
      <c r="E86" s="19" t="n"/>
      <c r="F86" s="19" t="n"/>
      <c r="G86" s="19" t="n"/>
      <c r="H86" s="19" t="n"/>
      <c r="I86" s="19" t="n"/>
      <c r="J86" s="19" t="n"/>
      <c r="K86" s="19" t="n"/>
      <c r="L86" s="35" t="n"/>
      <c r="M86" s="5">
        <f>IF($D86="","",IFERROR(VLOOKUP($H86,Lists!$N$2:$O$6,2,FALSE),0))</f>
        <v/>
      </c>
      <c r="N86" s="5">
        <f>IF($D86="","",IF(OR($E86="Blocked",$E86="Done",$E86="Archive"),-9999,IF(AND($E86="Waiting",SUMPRODUCT((($E$5:$E$500="Next")+($E$5:$E$500="In Progress")+($E$5:$E$500="Captured"))*($D$5:$D$500&lt;&gt;""))&gt;0),-500,VLOOKUP($F86,Lists!$L$2:$M$4,2,FALSE)+IF($E86="In Progress",10,0)+IF(AND($I86&lt;&gt;"",$I86&lt;TODAY()),25,0)+IF(AND($I86&lt;&gt;"",$I86&gt;=TODAY(),$I86&lt;=TODAY()+7),15,0)+IF($H86="",0,IF($M86&lt;=VLOOKUP(Home!$C$7,Lists!$N$2:$O$6,2,FALSE),20,-10))+IF($G86=Home!$E$7,15,IF(Home!$E$7="",0,-5))-ROW()/100000)))</f>
        <v/>
      </c>
      <c r="O86" s="5">
        <f>IF($D86="","",IF($N86&lt;=-500,"Not recommended right now",IF($E86="Waiting","Nothing else actionable right now — Waiting on: "&amp;IF($K86="","this item",$K86),TEXTJOIN(" • ",TRUE,IF($F86="High","High Priority",""),IF(AND($I86&lt;&gt;"",$I86&lt;TODAY()),"Overdue",""),IF(AND($I86&lt;&gt;"",$I86&gt;=TODAY(),$I86&lt;=TODAY()+7),"Due This Week",""),IF(AND($H86&lt;&gt;"",$M86&lt;=VLOOKUP(Home!$C$7,Lists!$N$2:$O$6,2,FALSE)),$H86&amp;" Task",""),IF($G86=Home!$E$7,"Fits Current Energy",""),"No Blockers"))))</f>
        <v/>
      </c>
      <c r="P86" s="5">
        <f>IF($D86="","",SWITCH('Task Finder'!$C$6,"High Priority",AND($F86="High",$E86&lt;&gt;"Done",$E86&lt;&gt;"Archive"),"Due This Week",AND($I86&lt;&gt;"",$I86&gt;=TODAY(),$I86&lt;=TODAY()+7,$E86&lt;&gt;"Done"),"Quick Wins (15 mins or less)",AND($M86&lt;=15,$E86&lt;&gt;"Done",$E86&lt;&gt;"Blocked"),"Deep Thinking",AND($G86="Deep Thinking",$E86&lt;&gt;"Done"),"Processing",AND($G86="Processing",$E86&lt;&gt;"Done"),"Blocked",$E86="Blocked","Waiting",$E86="Waiting","Recently Updated",AND($L86&lt;&gt;"",$L86&gt;=TODAY()-7),"Keyword",AND('Task Finder'!$C$7&lt;&gt;"",OR(ISNUMBER(SEARCH('Task Finder'!$C$7,$A86)),ISNUMBER(SEARCH('Task Finder'!$C$7,$B86)),ISNUMBER(SEARCH('Task Finder'!$C$7,$C86)),ISNUMBER(SEARCH('Task Finder'!$C$7,$D86)),ISNUMBER(SEARCH('Task Finder'!$C$7,$K86)))),TRUE))</f>
        <v/>
      </c>
    </row>
    <row r="87">
      <c r="A87" s="19" t="n"/>
      <c r="B87" s="19" t="n"/>
      <c r="C87" s="19" t="n"/>
      <c r="D87" s="19" t="n"/>
      <c r="E87" s="19" t="n"/>
      <c r="F87" s="19" t="n"/>
      <c r="G87" s="19" t="n"/>
      <c r="H87" s="19" t="n"/>
      <c r="I87" s="19" t="n"/>
      <c r="J87" s="19" t="n"/>
      <c r="K87" s="19" t="n"/>
      <c r="L87" s="35" t="n"/>
      <c r="M87" s="5">
        <f>IF($D87="","",IFERROR(VLOOKUP($H87,Lists!$N$2:$O$6,2,FALSE),0))</f>
        <v/>
      </c>
      <c r="N87" s="5">
        <f>IF($D87="","",IF(OR($E87="Blocked",$E87="Done",$E87="Archive"),-9999,IF(AND($E87="Waiting",SUMPRODUCT((($E$5:$E$500="Next")+($E$5:$E$500="In Progress")+($E$5:$E$500="Captured"))*($D$5:$D$500&lt;&gt;""))&gt;0),-500,VLOOKUP($F87,Lists!$L$2:$M$4,2,FALSE)+IF($E87="In Progress",10,0)+IF(AND($I87&lt;&gt;"",$I87&lt;TODAY()),25,0)+IF(AND($I87&lt;&gt;"",$I87&gt;=TODAY(),$I87&lt;=TODAY()+7),15,0)+IF($H87="",0,IF($M87&lt;=VLOOKUP(Home!$C$7,Lists!$N$2:$O$6,2,FALSE),20,-10))+IF($G87=Home!$E$7,15,IF(Home!$E$7="",0,-5))-ROW()/100000)))</f>
        <v/>
      </c>
      <c r="O87" s="5">
        <f>IF($D87="","",IF($N87&lt;=-500,"Not recommended right now",IF($E87="Waiting","Nothing else actionable right now — Waiting on: "&amp;IF($K87="","this item",$K87),TEXTJOIN(" • ",TRUE,IF($F87="High","High Priority",""),IF(AND($I87&lt;&gt;"",$I87&lt;TODAY()),"Overdue",""),IF(AND($I87&lt;&gt;"",$I87&gt;=TODAY(),$I87&lt;=TODAY()+7),"Due This Week",""),IF(AND($H87&lt;&gt;"",$M87&lt;=VLOOKUP(Home!$C$7,Lists!$N$2:$O$6,2,FALSE)),$H87&amp;" Task",""),IF($G87=Home!$E$7,"Fits Current Energy",""),"No Blockers"))))</f>
        <v/>
      </c>
      <c r="P87" s="5">
        <f>IF($D87="","",SWITCH('Task Finder'!$C$6,"High Priority",AND($F87="High",$E87&lt;&gt;"Done",$E87&lt;&gt;"Archive"),"Due This Week",AND($I87&lt;&gt;"",$I87&gt;=TODAY(),$I87&lt;=TODAY()+7,$E87&lt;&gt;"Done"),"Quick Wins (15 mins or less)",AND($M87&lt;=15,$E87&lt;&gt;"Done",$E87&lt;&gt;"Blocked"),"Deep Thinking",AND($G87="Deep Thinking",$E87&lt;&gt;"Done"),"Processing",AND($G87="Processing",$E87&lt;&gt;"Done"),"Blocked",$E87="Blocked","Waiting",$E87="Waiting","Recently Updated",AND($L87&lt;&gt;"",$L87&gt;=TODAY()-7),"Keyword",AND('Task Finder'!$C$7&lt;&gt;"",OR(ISNUMBER(SEARCH('Task Finder'!$C$7,$A87)),ISNUMBER(SEARCH('Task Finder'!$C$7,$B87)),ISNUMBER(SEARCH('Task Finder'!$C$7,$C87)),ISNUMBER(SEARCH('Task Finder'!$C$7,$D87)),ISNUMBER(SEARCH('Task Finder'!$C$7,$K87)))),TRUE))</f>
        <v/>
      </c>
    </row>
    <row r="88">
      <c r="A88" s="19" t="n"/>
      <c r="B88" s="19" t="n"/>
      <c r="C88" s="19" t="n"/>
      <c r="D88" s="19" t="n"/>
      <c r="E88" s="19" t="n"/>
      <c r="F88" s="19" t="n"/>
      <c r="G88" s="19" t="n"/>
      <c r="H88" s="19" t="n"/>
      <c r="I88" s="19" t="n"/>
      <c r="J88" s="19" t="n"/>
      <c r="K88" s="19" t="n"/>
      <c r="L88" s="35" t="n"/>
      <c r="M88" s="5">
        <f>IF($D88="","",IFERROR(VLOOKUP($H88,Lists!$N$2:$O$6,2,FALSE),0))</f>
        <v/>
      </c>
      <c r="N88" s="5">
        <f>IF($D88="","",IF(OR($E88="Blocked",$E88="Done",$E88="Archive"),-9999,IF(AND($E88="Waiting",SUMPRODUCT((($E$5:$E$500="Next")+($E$5:$E$500="In Progress")+($E$5:$E$500="Captured"))*($D$5:$D$500&lt;&gt;""))&gt;0),-500,VLOOKUP($F88,Lists!$L$2:$M$4,2,FALSE)+IF($E88="In Progress",10,0)+IF(AND($I88&lt;&gt;"",$I88&lt;TODAY()),25,0)+IF(AND($I88&lt;&gt;"",$I88&gt;=TODAY(),$I88&lt;=TODAY()+7),15,0)+IF($H88="",0,IF($M88&lt;=VLOOKUP(Home!$C$7,Lists!$N$2:$O$6,2,FALSE),20,-10))+IF($G88=Home!$E$7,15,IF(Home!$E$7="",0,-5))-ROW()/100000)))</f>
        <v/>
      </c>
      <c r="O88" s="5">
        <f>IF($D88="","",IF($N88&lt;=-500,"Not recommended right now",IF($E88="Waiting","Nothing else actionable right now — Waiting on: "&amp;IF($K88="","this item",$K88),TEXTJOIN(" • ",TRUE,IF($F88="High","High Priority",""),IF(AND($I88&lt;&gt;"",$I88&lt;TODAY()),"Overdue",""),IF(AND($I88&lt;&gt;"",$I88&gt;=TODAY(),$I88&lt;=TODAY()+7),"Due This Week",""),IF(AND($H88&lt;&gt;"",$M88&lt;=VLOOKUP(Home!$C$7,Lists!$N$2:$O$6,2,FALSE)),$H88&amp;" Task",""),IF($G88=Home!$E$7,"Fits Current Energy",""),"No Blockers"))))</f>
        <v/>
      </c>
      <c r="P88" s="5">
        <f>IF($D88="","",SWITCH('Task Finder'!$C$6,"High Priority",AND($F88="High",$E88&lt;&gt;"Done",$E88&lt;&gt;"Archive"),"Due This Week",AND($I88&lt;&gt;"",$I88&gt;=TODAY(),$I88&lt;=TODAY()+7,$E88&lt;&gt;"Done"),"Quick Wins (15 mins or less)",AND($M88&lt;=15,$E88&lt;&gt;"Done",$E88&lt;&gt;"Blocked"),"Deep Thinking",AND($G88="Deep Thinking",$E88&lt;&gt;"Done"),"Processing",AND($G88="Processing",$E88&lt;&gt;"Done"),"Blocked",$E88="Blocked","Waiting",$E88="Waiting","Recently Updated",AND($L88&lt;&gt;"",$L88&gt;=TODAY()-7),"Keyword",AND('Task Finder'!$C$7&lt;&gt;"",OR(ISNUMBER(SEARCH('Task Finder'!$C$7,$A88)),ISNUMBER(SEARCH('Task Finder'!$C$7,$B88)),ISNUMBER(SEARCH('Task Finder'!$C$7,$C88)),ISNUMBER(SEARCH('Task Finder'!$C$7,$D88)),ISNUMBER(SEARCH('Task Finder'!$C$7,$K88)))),TRUE))</f>
        <v/>
      </c>
    </row>
    <row r="89">
      <c r="A89" s="19" t="n"/>
      <c r="B89" s="19" t="n"/>
      <c r="C89" s="19" t="n"/>
      <c r="D89" s="19" t="n"/>
      <c r="E89" s="19" t="n"/>
      <c r="F89" s="19" t="n"/>
      <c r="G89" s="19" t="n"/>
      <c r="H89" s="19" t="n"/>
      <c r="I89" s="19" t="n"/>
      <c r="J89" s="19" t="n"/>
      <c r="K89" s="19" t="n"/>
      <c r="L89" s="35" t="n"/>
      <c r="M89" s="5">
        <f>IF($D89="","",IFERROR(VLOOKUP($H89,Lists!$N$2:$O$6,2,FALSE),0))</f>
        <v/>
      </c>
      <c r="N89" s="5">
        <f>IF($D89="","",IF(OR($E89="Blocked",$E89="Done",$E89="Archive"),-9999,IF(AND($E89="Waiting",SUMPRODUCT((($E$5:$E$500="Next")+($E$5:$E$500="In Progress")+($E$5:$E$500="Captured"))*($D$5:$D$500&lt;&gt;""))&gt;0),-500,VLOOKUP($F89,Lists!$L$2:$M$4,2,FALSE)+IF($E89="In Progress",10,0)+IF(AND($I89&lt;&gt;"",$I89&lt;TODAY()),25,0)+IF(AND($I89&lt;&gt;"",$I89&gt;=TODAY(),$I89&lt;=TODAY()+7),15,0)+IF($H89="",0,IF($M89&lt;=VLOOKUP(Home!$C$7,Lists!$N$2:$O$6,2,FALSE),20,-10))+IF($G89=Home!$E$7,15,IF(Home!$E$7="",0,-5))-ROW()/100000)))</f>
        <v/>
      </c>
      <c r="O89" s="5">
        <f>IF($D89="","",IF($N89&lt;=-500,"Not recommended right now",IF($E89="Waiting","Nothing else actionable right now — Waiting on: "&amp;IF($K89="","this item",$K89),TEXTJOIN(" • ",TRUE,IF($F89="High","High Priority",""),IF(AND($I89&lt;&gt;"",$I89&lt;TODAY()),"Overdue",""),IF(AND($I89&lt;&gt;"",$I89&gt;=TODAY(),$I89&lt;=TODAY()+7),"Due This Week",""),IF(AND($H89&lt;&gt;"",$M89&lt;=VLOOKUP(Home!$C$7,Lists!$N$2:$O$6,2,FALSE)),$H89&amp;" Task",""),IF($G89=Home!$E$7,"Fits Current Energy",""),"No Blockers"))))</f>
        <v/>
      </c>
      <c r="P89" s="5">
        <f>IF($D89="","",SWITCH('Task Finder'!$C$6,"High Priority",AND($F89="High",$E89&lt;&gt;"Done",$E89&lt;&gt;"Archive"),"Due This Week",AND($I89&lt;&gt;"",$I89&gt;=TODAY(),$I89&lt;=TODAY()+7,$E89&lt;&gt;"Done"),"Quick Wins (15 mins or less)",AND($M89&lt;=15,$E89&lt;&gt;"Done",$E89&lt;&gt;"Blocked"),"Deep Thinking",AND($G89="Deep Thinking",$E89&lt;&gt;"Done"),"Processing",AND($G89="Processing",$E89&lt;&gt;"Done"),"Blocked",$E89="Blocked","Waiting",$E89="Waiting","Recently Updated",AND($L89&lt;&gt;"",$L89&gt;=TODAY()-7),"Keyword",AND('Task Finder'!$C$7&lt;&gt;"",OR(ISNUMBER(SEARCH('Task Finder'!$C$7,$A89)),ISNUMBER(SEARCH('Task Finder'!$C$7,$B89)),ISNUMBER(SEARCH('Task Finder'!$C$7,$C89)),ISNUMBER(SEARCH('Task Finder'!$C$7,$D89)),ISNUMBER(SEARCH('Task Finder'!$C$7,$K89)))),TRUE))</f>
        <v/>
      </c>
    </row>
    <row r="90">
      <c r="A90" s="19" t="n"/>
      <c r="B90" s="19" t="n"/>
      <c r="C90" s="19" t="n"/>
      <c r="D90" s="19" t="n"/>
      <c r="E90" s="19" t="n"/>
      <c r="F90" s="19" t="n"/>
      <c r="G90" s="19" t="n"/>
      <c r="H90" s="19" t="n"/>
      <c r="I90" s="19" t="n"/>
      <c r="J90" s="19" t="n"/>
      <c r="K90" s="19" t="n"/>
      <c r="L90" s="35" t="n"/>
      <c r="M90" s="5">
        <f>IF($D90="","",IFERROR(VLOOKUP($H90,Lists!$N$2:$O$6,2,FALSE),0))</f>
        <v/>
      </c>
      <c r="N90" s="5">
        <f>IF($D90="","",IF(OR($E90="Blocked",$E90="Done",$E90="Archive"),-9999,IF(AND($E90="Waiting",SUMPRODUCT((($E$5:$E$500="Next")+($E$5:$E$500="In Progress")+($E$5:$E$500="Captured"))*($D$5:$D$500&lt;&gt;""))&gt;0),-500,VLOOKUP($F90,Lists!$L$2:$M$4,2,FALSE)+IF($E90="In Progress",10,0)+IF(AND($I90&lt;&gt;"",$I90&lt;TODAY()),25,0)+IF(AND($I90&lt;&gt;"",$I90&gt;=TODAY(),$I90&lt;=TODAY()+7),15,0)+IF($H90="",0,IF($M90&lt;=VLOOKUP(Home!$C$7,Lists!$N$2:$O$6,2,FALSE),20,-10))+IF($G90=Home!$E$7,15,IF(Home!$E$7="",0,-5))-ROW()/100000)))</f>
        <v/>
      </c>
      <c r="O90" s="5">
        <f>IF($D90="","",IF($N90&lt;=-500,"Not recommended right now",IF($E90="Waiting","Nothing else actionable right now — Waiting on: "&amp;IF($K90="","this item",$K90),TEXTJOIN(" • ",TRUE,IF($F90="High","High Priority",""),IF(AND($I90&lt;&gt;"",$I90&lt;TODAY()),"Overdue",""),IF(AND($I90&lt;&gt;"",$I90&gt;=TODAY(),$I90&lt;=TODAY()+7),"Due This Week",""),IF(AND($H90&lt;&gt;"",$M90&lt;=VLOOKUP(Home!$C$7,Lists!$N$2:$O$6,2,FALSE)),$H90&amp;" Task",""),IF($G90=Home!$E$7,"Fits Current Energy",""),"No Blockers"))))</f>
        <v/>
      </c>
      <c r="P90" s="5">
        <f>IF($D90="","",SWITCH('Task Finder'!$C$6,"High Priority",AND($F90="High",$E90&lt;&gt;"Done",$E90&lt;&gt;"Archive"),"Due This Week",AND($I90&lt;&gt;"",$I90&gt;=TODAY(),$I90&lt;=TODAY()+7,$E90&lt;&gt;"Done"),"Quick Wins (15 mins or less)",AND($M90&lt;=15,$E90&lt;&gt;"Done",$E90&lt;&gt;"Blocked"),"Deep Thinking",AND($G90="Deep Thinking",$E90&lt;&gt;"Done"),"Processing",AND($G90="Processing",$E90&lt;&gt;"Done"),"Blocked",$E90="Blocked","Waiting",$E90="Waiting","Recently Updated",AND($L90&lt;&gt;"",$L90&gt;=TODAY()-7),"Keyword",AND('Task Finder'!$C$7&lt;&gt;"",OR(ISNUMBER(SEARCH('Task Finder'!$C$7,$A90)),ISNUMBER(SEARCH('Task Finder'!$C$7,$B90)),ISNUMBER(SEARCH('Task Finder'!$C$7,$C90)),ISNUMBER(SEARCH('Task Finder'!$C$7,$D90)),ISNUMBER(SEARCH('Task Finder'!$C$7,$K90)))),TRUE))</f>
        <v/>
      </c>
    </row>
    <row r="91">
      <c r="A91" s="19" t="n"/>
      <c r="B91" s="19" t="n"/>
      <c r="C91" s="19" t="n"/>
      <c r="D91" s="19" t="n"/>
      <c r="E91" s="19" t="n"/>
      <c r="F91" s="19" t="n"/>
      <c r="G91" s="19" t="n"/>
      <c r="H91" s="19" t="n"/>
      <c r="I91" s="19" t="n"/>
      <c r="J91" s="19" t="n"/>
      <c r="K91" s="19" t="n"/>
      <c r="L91" s="35" t="n"/>
      <c r="M91" s="5">
        <f>IF($D91="","",IFERROR(VLOOKUP($H91,Lists!$N$2:$O$6,2,FALSE),0))</f>
        <v/>
      </c>
      <c r="N91" s="5">
        <f>IF($D91="","",IF(OR($E91="Blocked",$E91="Done",$E91="Archive"),-9999,IF(AND($E91="Waiting",SUMPRODUCT((($E$5:$E$500="Next")+($E$5:$E$500="In Progress")+($E$5:$E$500="Captured"))*($D$5:$D$500&lt;&gt;""))&gt;0),-500,VLOOKUP($F91,Lists!$L$2:$M$4,2,FALSE)+IF($E91="In Progress",10,0)+IF(AND($I91&lt;&gt;"",$I91&lt;TODAY()),25,0)+IF(AND($I91&lt;&gt;"",$I91&gt;=TODAY(),$I91&lt;=TODAY()+7),15,0)+IF($H91="",0,IF($M91&lt;=VLOOKUP(Home!$C$7,Lists!$N$2:$O$6,2,FALSE),20,-10))+IF($G91=Home!$E$7,15,IF(Home!$E$7="",0,-5))-ROW()/100000)))</f>
        <v/>
      </c>
      <c r="O91" s="5">
        <f>IF($D91="","",IF($N91&lt;=-500,"Not recommended right now",IF($E91="Waiting","Nothing else actionable right now — Waiting on: "&amp;IF($K91="","this item",$K91),TEXTJOIN(" • ",TRUE,IF($F91="High","High Priority",""),IF(AND($I91&lt;&gt;"",$I91&lt;TODAY()),"Overdue",""),IF(AND($I91&lt;&gt;"",$I91&gt;=TODAY(),$I91&lt;=TODAY()+7),"Due This Week",""),IF(AND($H91&lt;&gt;"",$M91&lt;=VLOOKUP(Home!$C$7,Lists!$N$2:$O$6,2,FALSE)),$H91&amp;" Task",""),IF($G91=Home!$E$7,"Fits Current Energy",""),"No Blockers"))))</f>
        <v/>
      </c>
      <c r="P91" s="5">
        <f>IF($D91="","",SWITCH('Task Finder'!$C$6,"High Priority",AND($F91="High",$E91&lt;&gt;"Done",$E91&lt;&gt;"Archive"),"Due This Week",AND($I91&lt;&gt;"",$I91&gt;=TODAY(),$I91&lt;=TODAY()+7,$E91&lt;&gt;"Done"),"Quick Wins (15 mins or less)",AND($M91&lt;=15,$E91&lt;&gt;"Done",$E91&lt;&gt;"Blocked"),"Deep Thinking",AND($G91="Deep Thinking",$E91&lt;&gt;"Done"),"Processing",AND($G91="Processing",$E91&lt;&gt;"Done"),"Blocked",$E91="Blocked","Waiting",$E91="Waiting","Recently Updated",AND($L91&lt;&gt;"",$L91&gt;=TODAY()-7),"Keyword",AND('Task Finder'!$C$7&lt;&gt;"",OR(ISNUMBER(SEARCH('Task Finder'!$C$7,$A91)),ISNUMBER(SEARCH('Task Finder'!$C$7,$B91)),ISNUMBER(SEARCH('Task Finder'!$C$7,$C91)),ISNUMBER(SEARCH('Task Finder'!$C$7,$D91)),ISNUMBER(SEARCH('Task Finder'!$C$7,$K91)))),TRUE))</f>
        <v/>
      </c>
    </row>
    <row r="92">
      <c r="A92" s="19" t="n"/>
      <c r="B92" s="19" t="n"/>
      <c r="C92" s="19" t="n"/>
      <c r="D92" s="19" t="n"/>
      <c r="E92" s="19" t="n"/>
      <c r="F92" s="19" t="n"/>
      <c r="G92" s="19" t="n"/>
      <c r="H92" s="19" t="n"/>
      <c r="I92" s="19" t="n"/>
      <c r="J92" s="19" t="n"/>
      <c r="K92" s="19" t="n"/>
      <c r="L92" s="35" t="n"/>
      <c r="M92" s="5">
        <f>IF($D92="","",IFERROR(VLOOKUP($H92,Lists!$N$2:$O$6,2,FALSE),0))</f>
        <v/>
      </c>
      <c r="N92" s="5">
        <f>IF($D92="","",IF(OR($E92="Blocked",$E92="Done",$E92="Archive"),-9999,IF(AND($E92="Waiting",SUMPRODUCT((($E$5:$E$500="Next")+($E$5:$E$500="In Progress")+($E$5:$E$500="Captured"))*($D$5:$D$500&lt;&gt;""))&gt;0),-500,VLOOKUP($F92,Lists!$L$2:$M$4,2,FALSE)+IF($E92="In Progress",10,0)+IF(AND($I92&lt;&gt;"",$I92&lt;TODAY()),25,0)+IF(AND($I92&lt;&gt;"",$I92&gt;=TODAY(),$I92&lt;=TODAY()+7),15,0)+IF($H92="",0,IF($M92&lt;=VLOOKUP(Home!$C$7,Lists!$N$2:$O$6,2,FALSE),20,-10))+IF($G92=Home!$E$7,15,IF(Home!$E$7="",0,-5))-ROW()/100000)))</f>
        <v/>
      </c>
      <c r="O92" s="5">
        <f>IF($D92="","",IF($N92&lt;=-500,"Not recommended right now",IF($E92="Waiting","Nothing else actionable right now — Waiting on: "&amp;IF($K92="","this item",$K92),TEXTJOIN(" • ",TRUE,IF($F92="High","High Priority",""),IF(AND($I92&lt;&gt;"",$I92&lt;TODAY()),"Overdue",""),IF(AND($I92&lt;&gt;"",$I92&gt;=TODAY(),$I92&lt;=TODAY()+7),"Due This Week",""),IF(AND($H92&lt;&gt;"",$M92&lt;=VLOOKUP(Home!$C$7,Lists!$N$2:$O$6,2,FALSE)),$H92&amp;" Task",""),IF($G92=Home!$E$7,"Fits Current Energy",""),"No Blockers"))))</f>
        <v/>
      </c>
      <c r="P92" s="5">
        <f>IF($D92="","",SWITCH('Task Finder'!$C$6,"High Priority",AND($F92="High",$E92&lt;&gt;"Done",$E92&lt;&gt;"Archive"),"Due This Week",AND($I92&lt;&gt;"",$I92&gt;=TODAY(),$I92&lt;=TODAY()+7,$E92&lt;&gt;"Done"),"Quick Wins (15 mins or less)",AND($M92&lt;=15,$E92&lt;&gt;"Done",$E92&lt;&gt;"Blocked"),"Deep Thinking",AND($G92="Deep Thinking",$E92&lt;&gt;"Done"),"Processing",AND($G92="Processing",$E92&lt;&gt;"Done"),"Blocked",$E92="Blocked","Waiting",$E92="Waiting","Recently Updated",AND($L92&lt;&gt;"",$L92&gt;=TODAY()-7),"Keyword",AND('Task Finder'!$C$7&lt;&gt;"",OR(ISNUMBER(SEARCH('Task Finder'!$C$7,$A92)),ISNUMBER(SEARCH('Task Finder'!$C$7,$B92)),ISNUMBER(SEARCH('Task Finder'!$C$7,$C92)),ISNUMBER(SEARCH('Task Finder'!$C$7,$D92)),ISNUMBER(SEARCH('Task Finder'!$C$7,$K92)))),TRUE))</f>
        <v/>
      </c>
    </row>
    <row r="93">
      <c r="A93" s="19" t="n"/>
      <c r="B93" s="19" t="n"/>
      <c r="C93" s="19" t="n"/>
      <c r="D93" s="19" t="n"/>
      <c r="E93" s="19" t="n"/>
      <c r="F93" s="19" t="n"/>
      <c r="G93" s="19" t="n"/>
      <c r="H93" s="19" t="n"/>
      <c r="I93" s="19" t="n"/>
      <c r="J93" s="19" t="n"/>
      <c r="K93" s="19" t="n"/>
      <c r="L93" s="35" t="n"/>
      <c r="M93" s="5">
        <f>IF($D93="","",IFERROR(VLOOKUP($H93,Lists!$N$2:$O$6,2,FALSE),0))</f>
        <v/>
      </c>
      <c r="N93" s="5">
        <f>IF($D93="","",IF(OR($E93="Blocked",$E93="Done",$E93="Archive"),-9999,IF(AND($E93="Waiting",SUMPRODUCT((($E$5:$E$500="Next")+($E$5:$E$500="In Progress")+($E$5:$E$500="Captured"))*($D$5:$D$500&lt;&gt;""))&gt;0),-500,VLOOKUP($F93,Lists!$L$2:$M$4,2,FALSE)+IF($E93="In Progress",10,0)+IF(AND($I93&lt;&gt;"",$I93&lt;TODAY()),25,0)+IF(AND($I93&lt;&gt;"",$I93&gt;=TODAY(),$I93&lt;=TODAY()+7),15,0)+IF($H93="",0,IF($M93&lt;=VLOOKUP(Home!$C$7,Lists!$N$2:$O$6,2,FALSE),20,-10))+IF($G93=Home!$E$7,15,IF(Home!$E$7="",0,-5))-ROW()/100000)))</f>
        <v/>
      </c>
      <c r="O93" s="5">
        <f>IF($D93="","",IF($N93&lt;=-500,"Not recommended right now",IF($E93="Waiting","Nothing else actionable right now — Waiting on: "&amp;IF($K93="","this item",$K93),TEXTJOIN(" • ",TRUE,IF($F93="High","High Priority",""),IF(AND($I93&lt;&gt;"",$I93&lt;TODAY()),"Overdue",""),IF(AND($I93&lt;&gt;"",$I93&gt;=TODAY(),$I93&lt;=TODAY()+7),"Due This Week",""),IF(AND($H93&lt;&gt;"",$M93&lt;=VLOOKUP(Home!$C$7,Lists!$N$2:$O$6,2,FALSE)),$H93&amp;" Task",""),IF($G93=Home!$E$7,"Fits Current Energy",""),"No Blockers"))))</f>
        <v/>
      </c>
      <c r="P93" s="5">
        <f>IF($D93="","",SWITCH('Task Finder'!$C$6,"High Priority",AND($F93="High",$E93&lt;&gt;"Done",$E93&lt;&gt;"Archive"),"Due This Week",AND($I93&lt;&gt;"",$I93&gt;=TODAY(),$I93&lt;=TODAY()+7,$E93&lt;&gt;"Done"),"Quick Wins (15 mins or less)",AND($M93&lt;=15,$E93&lt;&gt;"Done",$E93&lt;&gt;"Blocked"),"Deep Thinking",AND($G93="Deep Thinking",$E93&lt;&gt;"Done"),"Processing",AND($G93="Processing",$E93&lt;&gt;"Done"),"Blocked",$E93="Blocked","Waiting",$E93="Waiting","Recently Updated",AND($L93&lt;&gt;"",$L93&gt;=TODAY()-7),"Keyword",AND('Task Finder'!$C$7&lt;&gt;"",OR(ISNUMBER(SEARCH('Task Finder'!$C$7,$A93)),ISNUMBER(SEARCH('Task Finder'!$C$7,$B93)),ISNUMBER(SEARCH('Task Finder'!$C$7,$C93)),ISNUMBER(SEARCH('Task Finder'!$C$7,$D93)),ISNUMBER(SEARCH('Task Finder'!$C$7,$K93)))),TRUE))</f>
        <v/>
      </c>
    </row>
    <row r="94">
      <c r="A94" s="19" t="n"/>
      <c r="B94" s="19" t="n"/>
      <c r="C94" s="19" t="n"/>
      <c r="D94" s="19" t="n"/>
      <c r="E94" s="19" t="n"/>
      <c r="F94" s="19" t="n"/>
      <c r="G94" s="19" t="n"/>
      <c r="H94" s="19" t="n"/>
      <c r="I94" s="19" t="n"/>
      <c r="J94" s="19" t="n"/>
      <c r="K94" s="19" t="n"/>
      <c r="L94" s="35" t="n"/>
      <c r="M94" s="5">
        <f>IF($D94="","",IFERROR(VLOOKUP($H94,Lists!$N$2:$O$6,2,FALSE),0))</f>
        <v/>
      </c>
      <c r="N94" s="5">
        <f>IF($D94="","",IF(OR($E94="Blocked",$E94="Done",$E94="Archive"),-9999,IF(AND($E94="Waiting",SUMPRODUCT((($E$5:$E$500="Next")+($E$5:$E$500="In Progress")+($E$5:$E$500="Captured"))*($D$5:$D$500&lt;&gt;""))&gt;0),-500,VLOOKUP($F94,Lists!$L$2:$M$4,2,FALSE)+IF($E94="In Progress",10,0)+IF(AND($I94&lt;&gt;"",$I94&lt;TODAY()),25,0)+IF(AND($I94&lt;&gt;"",$I94&gt;=TODAY(),$I94&lt;=TODAY()+7),15,0)+IF($H94="",0,IF($M94&lt;=VLOOKUP(Home!$C$7,Lists!$N$2:$O$6,2,FALSE),20,-10))+IF($G94=Home!$E$7,15,IF(Home!$E$7="",0,-5))-ROW()/100000)))</f>
        <v/>
      </c>
      <c r="O94" s="5">
        <f>IF($D94="","",IF($N94&lt;=-500,"Not recommended right now",IF($E94="Waiting","Nothing else actionable right now — Waiting on: "&amp;IF($K94="","this item",$K94),TEXTJOIN(" • ",TRUE,IF($F94="High","High Priority",""),IF(AND($I94&lt;&gt;"",$I94&lt;TODAY()),"Overdue",""),IF(AND($I94&lt;&gt;"",$I94&gt;=TODAY(),$I94&lt;=TODAY()+7),"Due This Week",""),IF(AND($H94&lt;&gt;"",$M94&lt;=VLOOKUP(Home!$C$7,Lists!$N$2:$O$6,2,FALSE)),$H94&amp;" Task",""),IF($G94=Home!$E$7,"Fits Current Energy",""),"No Blockers"))))</f>
        <v/>
      </c>
      <c r="P94" s="5">
        <f>IF($D94="","",SWITCH('Task Finder'!$C$6,"High Priority",AND($F94="High",$E94&lt;&gt;"Done",$E94&lt;&gt;"Archive"),"Due This Week",AND($I94&lt;&gt;"",$I94&gt;=TODAY(),$I94&lt;=TODAY()+7,$E94&lt;&gt;"Done"),"Quick Wins (15 mins or less)",AND($M94&lt;=15,$E94&lt;&gt;"Done",$E94&lt;&gt;"Blocked"),"Deep Thinking",AND($G94="Deep Thinking",$E94&lt;&gt;"Done"),"Processing",AND($G94="Processing",$E94&lt;&gt;"Done"),"Blocked",$E94="Blocked","Waiting",$E94="Waiting","Recently Updated",AND($L94&lt;&gt;"",$L94&gt;=TODAY()-7),"Keyword",AND('Task Finder'!$C$7&lt;&gt;"",OR(ISNUMBER(SEARCH('Task Finder'!$C$7,$A94)),ISNUMBER(SEARCH('Task Finder'!$C$7,$B94)),ISNUMBER(SEARCH('Task Finder'!$C$7,$C94)),ISNUMBER(SEARCH('Task Finder'!$C$7,$D94)),ISNUMBER(SEARCH('Task Finder'!$C$7,$K94)))),TRUE))</f>
        <v/>
      </c>
    </row>
    <row r="95">
      <c r="A95" s="19" t="n"/>
      <c r="B95" s="19" t="n"/>
      <c r="C95" s="19" t="n"/>
      <c r="D95" s="19" t="n"/>
      <c r="E95" s="19" t="n"/>
      <c r="F95" s="19" t="n"/>
      <c r="G95" s="19" t="n"/>
      <c r="H95" s="19" t="n"/>
      <c r="I95" s="19" t="n"/>
      <c r="J95" s="19" t="n"/>
      <c r="K95" s="19" t="n"/>
      <c r="L95" s="35" t="n"/>
      <c r="M95" s="5">
        <f>IF($D95="","",IFERROR(VLOOKUP($H95,Lists!$N$2:$O$6,2,FALSE),0))</f>
        <v/>
      </c>
      <c r="N95" s="5">
        <f>IF($D95="","",IF(OR($E95="Blocked",$E95="Done",$E95="Archive"),-9999,IF(AND($E95="Waiting",SUMPRODUCT((($E$5:$E$500="Next")+($E$5:$E$500="In Progress")+($E$5:$E$500="Captured"))*($D$5:$D$500&lt;&gt;""))&gt;0),-500,VLOOKUP($F95,Lists!$L$2:$M$4,2,FALSE)+IF($E95="In Progress",10,0)+IF(AND($I95&lt;&gt;"",$I95&lt;TODAY()),25,0)+IF(AND($I95&lt;&gt;"",$I95&gt;=TODAY(),$I95&lt;=TODAY()+7),15,0)+IF($H95="",0,IF($M95&lt;=VLOOKUP(Home!$C$7,Lists!$N$2:$O$6,2,FALSE),20,-10))+IF($G95=Home!$E$7,15,IF(Home!$E$7="",0,-5))-ROW()/100000)))</f>
        <v/>
      </c>
      <c r="O95" s="5">
        <f>IF($D95="","",IF($N95&lt;=-500,"Not recommended right now",IF($E95="Waiting","Nothing else actionable right now — Waiting on: "&amp;IF($K95="","this item",$K95),TEXTJOIN(" • ",TRUE,IF($F95="High","High Priority",""),IF(AND($I95&lt;&gt;"",$I95&lt;TODAY()),"Overdue",""),IF(AND($I95&lt;&gt;"",$I95&gt;=TODAY(),$I95&lt;=TODAY()+7),"Due This Week",""),IF(AND($H95&lt;&gt;"",$M95&lt;=VLOOKUP(Home!$C$7,Lists!$N$2:$O$6,2,FALSE)),$H95&amp;" Task",""),IF($G95=Home!$E$7,"Fits Current Energy",""),"No Blockers"))))</f>
        <v/>
      </c>
      <c r="P95" s="5">
        <f>IF($D95="","",SWITCH('Task Finder'!$C$6,"High Priority",AND($F95="High",$E95&lt;&gt;"Done",$E95&lt;&gt;"Archive"),"Due This Week",AND($I95&lt;&gt;"",$I95&gt;=TODAY(),$I95&lt;=TODAY()+7,$E95&lt;&gt;"Done"),"Quick Wins (15 mins or less)",AND($M95&lt;=15,$E95&lt;&gt;"Done",$E95&lt;&gt;"Blocked"),"Deep Thinking",AND($G95="Deep Thinking",$E95&lt;&gt;"Done"),"Processing",AND($G95="Processing",$E95&lt;&gt;"Done"),"Blocked",$E95="Blocked","Waiting",$E95="Waiting","Recently Updated",AND($L95&lt;&gt;"",$L95&gt;=TODAY()-7),"Keyword",AND('Task Finder'!$C$7&lt;&gt;"",OR(ISNUMBER(SEARCH('Task Finder'!$C$7,$A95)),ISNUMBER(SEARCH('Task Finder'!$C$7,$B95)),ISNUMBER(SEARCH('Task Finder'!$C$7,$C95)),ISNUMBER(SEARCH('Task Finder'!$C$7,$D95)),ISNUMBER(SEARCH('Task Finder'!$C$7,$K95)))),TRUE))</f>
        <v/>
      </c>
    </row>
    <row r="96">
      <c r="A96" s="19" t="n"/>
      <c r="B96" s="19" t="n"/>
      <c r="C96" s="19" t="n"/>
      <c r="D96" s="19" t="n"/>
      <c r="E96" s="19" t="n"/>
      <c r="F96" s="19" t="n"/>
      <c r="G96" s="19" t="n"/>
      <c r="H96" s="19" t="n"/>
      <c r="I96" s="19" t="n"/>
      <c r="J96" s="19" t="n"/>
      <c r="K96" s="19" t="n"/>
      <c r="L96" s="35" t="n"/>
      <c r="M96" s="5">
        <f>IF($D96="","",IFERROR(VLOOKUP($H96,Lists!$N$2:$O$6,2,FALSE),0))</f>
        <v/>
      </c>
      <c r="N96" s="5">
        <f>IF($D96="","",IF(OR($E96="Blocked",$E96="Done",$E96="Archive"),-9999,IF(AND($E96="Waiting",SUMPRODUCT((($E$5:$E$500="Next")+($E$5:$E$500="In Progress")+($E$5:$E$500="Captured"))*($D$5:$D$500&lt;&gt;""))&gt;0),-500,VLOOKUP($F96,Lists!$L$2:$M$4,2,FALSE)+IF($E96="In Progress",10,0)+IF(AND($I96&lt;&gt;"",$I96&lt;TODAY()),25,0)+IF(AND($I96&lt;&gt;"",$I96&gt;=TODAY(),$I96&lt;=TODAY()+7),15,0)+IF($H96="",0,IF($M96&lt;=VLOOKUP(Home!$C$7,Lists!$N$2:$O$6,2,FALSE),20,-10))+IF($G96=Home!$E$7,15,IF(Home!$E$7="",0,-5))-ROW()/100000)))</f>
        <v/>
      </c>
      <c r="O96" s="5">
        <f>IF($D96="","",IF($N96&lt;=-500,"Not recommended right now",IF($E96="Waiting","Nothing else actionable right now — Waiting on: "&amp;IF($K96="","this item",$K96),TEXTJOIN(" • ",TRUE,IF($F96="High","High Priority",""),IF(AND($I96&lt;&gt;"",$I96&lt;TODAY()),"Overdue",""),IF(AND($I96&lt;&gt;"",$I96&gt;=TODAY(),$I96&lt;=TODAY()+7),"Due This Week",""),IF(AND($H96&lt;&gt;"",$M96&lt;=VLOOKUP(Home!$C$7,Lists!$N$2:$O$6,2,FALSE)),$H96&amp;" Task",""),IF($G96=Home!$E$7,"Fits Current Energy",""),"No Blockers"))))</f>
        <v/>
      </c>
      <c r="P96" s="5">
        <f>IF($D96="","",SWITCH('Task Finder'!$C$6,"High Priority",AND($F96="High",$E96&lt;&gt;"Done",$E96&lt;&gt;"Archive"),"Due This Week",AND($I96&lt;&gt;"",$I96&gt;=TODAY(),$I96&lt;=TODAY()+7,$E96&lt;&gt;"Done"),"Quick Wins (15 mins or less)",AND($M96&lt;=15,$E96&lt;&gt;"Done",$E96&lt;&gt;"Blocked"),"Deep Thinking",AND($G96="Deep Thinking",$E96&lt;&gt;"Done"),"Processing",AND($G96="Processing",$E96&lt;&gt;"Done"),"Blocked",$E96="Blocked","Waiting",$E96="Waiting","Recently Updated",AND($L96&lt;&gt;"",$L96&gt;=TODAY()-7),"Keyword",AND('Task Finder'!$C$7&lt;&gt;"",OR(ISNUMBER(SEARCH('Task Finder'!$C$7,$A96)),ISNUMBER(SEARCH('Task Finder'!$C$7,$B96)),ISNUMBER(SEARCH('Task Finder'!$C$7,$C96)),ISNUMBER(SEARCH('Task Finder'!$C$7,$D96)),ISNUMBER(SEARCH('Task Finder'!$C$7,$K96)))),TRUE))</f>
        <v/>
      </c>
    </row>
    <row r="97">
      <c r="A97" s="19" t="n"/>
      <c r="B97" s="19" t="n"/>
      <c r="C97" s="19" t="n"/>
      <c r="D97" s="19" t="n"/>
      <c r="E97" s="19" t="n"/>
      <c r="F97" s="19" t="n"/>
      <c r="G97" s="19" t="n"/>
      <c r="H97" s="19" t="n"/>
      <c r="I97" s="19" t="n"/>
      <c r="J97" s="19" t="n"/>
      <c r="K97" s="19" t="n"/>
      <c r="L97" s="35" t="n"/>
      <c r="M97" s="5">
        <f>IF($D97="","",IFERROR(VLOOKUP($H97,Lists!$N$2:$O$6,2,FALSE),0))</f>
        <v/>
      </c>
      <c r="N97" s="5">
        <f>IF($D97="","",IF(OR($E97="Blocked",$E97="Done",$E97="Archive"),-9999,IF(AND($E97="Waiting",SUMPRODUCT((($E$5:$E$500="Next")+($E$5:$E$500="In Progress")+($E$5:$E$500="Captured"))*($D$5:$D$500&lt;&gt;""))&gt;0),-500,VLOOKUP($F97,Lists!$L$2:$M$4,2,FALSE)+IF($E97="In Progress",10,0)+IF(AND($I97&lt;&gt;"",$I97&lt;TODAY()),25,0)+IF(AND($I97&lt;&gt;"",$I97&gt;=TODAY(),$I97&lt;=TODAY()+7),15,0)+IF($H97="",0,IF($M97&lt;=VLOOKUP(Home!$C$7,Lists!$N$2:$O$6,2,FALSE),20,-10))+IF($G97=Home!$E$7,15,IF(Home!$E$7="",0,-5))-ROW()/100000)))</f>
        <v/>
      </c>
      <c r="O97" s="5">
        <f>IF($D97="","",IF($N97&lt;=-500,"Not recommended right now",IF($E97="Waiting","Nothing else actionable right now — Waiting on: "&amp;IF($K97="","this item",$K97),TEXTJOIN(" • ",TRUE,IF($F97="High","High Priority",""),IF(AND($I97&lt;&gt;"",$I97&lt;TODAY()),"Overdue",""),IF(AND($I97&lt;&gt;"",$I97&gt;=TODAY(),$I97&lt;=TODAY()+7),"Due This Week",""),IF(AND($H97&lt;&gt;"",$M97&lt;=VLOOKUP(Home!$C$7,Lists!$N$2:$O$6,2,FALSE)),$H97&amp;" Task",""),IF($G97=Home!$E$7,"Fits Current Energy",""),"No Blockers"))))</f>
        <v/>
      </c>
      <c r="P97" s="5">
        <f>IF($D97="","",SWITCH('Task Finder'!$C$6,"High Priority",AND($F97="High",$E97&lt;&gt;"Done",$E97&lt;&gt;"Archive"),"Due This Week",AND($I97&lt;&gt;"",$I97&gt;=TODAY(),$I97&lt;=TODAY()+7,$E97&lt;&gt;"Done"),"Quick Wins (15 mins or less)",AND($M97&lt;=15,$E97&lt;&gt;"Done",$E97&lt;&gt;"Blocked"),"Deep Thinking",AND($G97="Deep Thinking",$E97&lt;&gt;"Done"),"Processing",AND($G97="Processing",$E97&lt;&gt;"Done"),"Blocked",$E97="Blocked","Waiting",$E97="Waiting","Recently Updated",AND($L97&lt;&gt;"",$L97&gt;=TODAY()-7),"Keyword",AND('Task Finder'!$C$7&lt;&gt;"",OR(ISNUMBER(SEARCH('Task Finder'!$C$7,$A97)),ISNUMBER(SEARCH('Task Finder'!$C$7,$B97)),ISNUMBER(SEARCH('Task Finder'!$C$7,$C97)),ISNUMBER(SEARCH('Task Finder'!$C$7,$D97)),ISNUMBER(SEARCH('Task Finder'!$C$7,$K97)))),TRUE))</f>
        <v/>
      </c>
    </row>
    <row r="98">
      <c r="A98" s="19" t="n"/>
      <c r="B98" s="19" t="n"/>
      <c r="C98" s="19" t="n"/>
      <c r="D98" s="19" t="n"/>
      <c r="E98" s="19" t="n"/>
      <c r="F98" s="19" t="n"/>
      <c r="G98" s="19" t="n"/>
      <c r="H98" s="19" t="n"/>
      <c r="I98" s="19" t="n"/>
      <c r="J98" s="19" t="n"/>
      <c r="K98" s="19" t="n"/>
      <c r="L98" s="35" t="n"/>
      <c r="M98" s="5">
        <f>IF($D98="","",IFERROR(VLOOKUP($H98,Lists!$N$2:$O$6,2,FALSE),0))</f>
        <v/>
      </c>
      <c r="N98" s="5">
        <f>IF($D98="","",IF(OR($E98="Blocked",$E98="Done",$E98="Archive"),-9999,IF(AND($E98="Waiting",SUMPRODUCT((($E$5:$E$500="Next")+($E$5:$E$500="In Progress")+($E$5:$E$500="Captured"))*($D$5:$D$500&lt;&gt;""))&gt;0),-500,VLOOKUP($F98,Lists!$L$2:$M$4,2,FALSE)+IF($E98="In Progress",10,0)+IF(AND($I98&lt;&gt;"",$I98&lt;TODAY()),25,0)+IF(AND($I98&lt;&gt;"",$I98&gt;=TODAY(),$I98&lt;=TODAY()+7),15,0)+IF($H98="",0,IF($M98&lt;=VLOOKUP(Home!$C$7,Lists!$N$2:$O$6,2,FALSE),20,-10))+IF($G98=Home!$E$7,15,IF(Home!$E$7="",0,-5))-ROW()/100000)))</f>
        <v/>
      </c>
      <c r="O98" s="5">
        <f>IF($D98="","",IF($N98&lt;=-500,"Not recommended right now",IF($E98="Waiting","Nothing else actionable right now — Waiting on: "&amp;IF($K98="","this item",$K98),TEXTJOIN(" • ",TRUE,IF($F98="High","High Priority",""),IF(AND($I98&lt;&gt;"",$I98&lt;TODAY()),"Overdue",""),IF(AND($I98&lt;&gt;"",$I98&gt;=TODAY(),$I98&lt;=TODAY()+7),"Due This Week",""),IF(AND($H98&lt;&gt;"",$M98&lt;=VLOOKUP(Home!$C$7,Lists!$N$2:$O$6,2,FALSE)),$H98&amp;" Task",""),IF($G98=Home!$E$7,"Fits Current Energy",""),"No Blockers"))))</f>
        <v/>
      </c>
      <c r="P98" s="5">
        <f>IF($D98="","",SWITCH('Task Finder'!$C$6,"High Priority",AND($F98="High",$E98&lt;&gt;"Done",$E98&lt;&gt;"Archive"),"Due This Week",AND($I98&lt;&gt;"",$I98&gt;=TODAY(),$I98&lt;=TODAY()+7,$E98&lt;&gt;"Done"),"Quick Wins (15 mins or less)",AND($M98&lt;=15,$E98&lt;&gt;"Done",$E98&lt;&gt;"Blocked"),"Deep Thinking",AND($G98="Deep Thinking",$E98&lt;&gt;"Done"),"Processing",AND($G98="Processing",$E98&lt;&gt;"Done"),"Blocked",$E98="Blocked","Waiting",$E98="Waiting","Recently Updated",AND($L98&lt;&gt;"",$L98&gt;=TODAY()-7),"Keyword",AND('Task Finder'!$C$7&lt;&gt;"",OR(ISNUMBER(SEARCH('Task Finder'!$C$7,$A98)),ISNUMBER(SEARCH('Task Finder'!$C$7,$B98)),ISNUMBER(SEARCH('Task Finder'!$C$7,$C98)),ISNUMBER(SEARCH('Task Finder'!$C$7,$D98)),ISNUMBER(SEARCH('Task Finder'!$C$7,$K98)))),TRUE))</f>
        <v/>
      </c>
    </row>
    <row r="99">
      <c r="A99" s="19" t="n"/>
      <c r="B99" s="19" t="n"/>
      <c r="C99" s="19" t="n"/>
      <c r="D99" s="19" t="n"/>
      <c r="E99" s="19" t="n"/>
      <c r="F99" s="19" t="n"/>
      <c r="G99" s="19" t="n"/>
      <c r="H99" s="19" t="n"/>
      <c r="I99" s="19" t="n"/>
      <c r="J99" s="19" t="n"/>
      <c r="K99" s="19" t="n"/>
      <c r="L99" s="35" t="n"/>
      <c r="M99" s="5">
        <f>IF($D99="","",IFERROR(VLOOKUP($H99,Lists!$N$2:$O$6,2,FALSE),0))</f>
        <v/>
      </c>
      <c r="N99" s="5">
        <f>IF($D99="","",IF(OR($E99="Blocked",$E99="Done",$E99="Archive"),-9999,IF(AND($E99="Waiting",SUMPRODUCT((($E$5:$E$500="Next")+($E$5:$E$500="In Progress")+($E$5:$E$500="Captured"))*($D$5:$D$500&lt;&gt;""))&gt;0),-500,VLOOKUP($F99,Lists!$L$2:$M$4,2,FALSE)+IF($E99="In Progress",10,0)+IF(AND($I99&lt;&gt;"",$I99&lt;TODAY()),25,0)+IF(AND($I99&lt;&gt;"",$I99&gt;=TODAY(),$I99&lt;=TODAY()+7),15,0)+IF($H99="",0,IF($M99&lt;=VLOOKUP(Home!$C$7,Lists!$N$2:$O$6,2,FALSE),20,-10))+IF($G99=Home!$E$7,15,IF(Home!$E$7="",0,-5))-ROW()/100000)))</f>
        <v/>
      </c>
      <c r="O99" s="5">
        <f>IF($D99="","",IF($N99&lt;=-500,"Not recommended right now",IF($E99="Waiting","Nothing else actionable right now — Waiting on: "&amp;IF($K99="","this item",$K99),TEXTJOIN(" • ",TRUE,IF($F99="High","High Priority",""),IF(AND($I99&lt;&gt;"",$I99&lt;TODAY()),"Overdue",""),IF(AND($I99&lt;&gt;"",$I99&gt;=TODAY(),$I99&lt;=TODAY()+7),"Due This Week",""),IF(AND($H99&lt;&gt;"",$M99&lt;=VLOOKUP(Home!$C$7,Lists!$N$2:$O$6,2,FALSE)),$H99&amp;" Task",""),IF($G99=Home!$E$7,"Fits Current Energy",""),"No Blockers"))))</f>
        <v/>
      </c>
      <c r="P99" s="5">
        <f>IF($D99="","",SWITCH('Task Finder'!$C$6,"High Priority",AND($F99="High",$E99&lt;&gt;"Done",$E99&lt;&gt;"Archive"),"Due This Week",AND($I99&lt;&gt;"",$I99&gt;=TODAY(),$I99&lt;=TODAY()+7,$E99&lt;&gt;"Done"),"Quick Wins (15 mins or less)",AND($M99&lt;=15,$E99&lt;&gt;"Done",$E99&lt;&gt;"Blocked"),"Deep Thinking",AND($G99="Deep Thinking",$E99&lt;&gt;"Done"),"Processing",AND($G99="Processing",$E99&lt;&gt;"Done"),"Blocked",$E99="Blocked","Waiting",$E99="Waiting","Recently Updated",AND($L99&lt;&gt;"",$L99&gt;=TODAY()-7),"Keyword",AND('Task Finder'!$C$7&lt;&gt;"",OR(ISNUMBER(SEARCH('Task Finder'!$C$7,$A99)),ISNUMBER(SEARCH('Task Finder'!$C$7,$B99)),ISNUMBER(SEARCH('Task Finder'!$C$7,$C99)),ISNUMBER(SEARCH('Task Finder'!$C$7,$D99)),ISNUMBER(SEARCH('Task Finder'!$C$7,$K99)))),TRUE))</f>
        <v/>
      </c>
    </row>
    <row r="100">
      <c r="A100" s="19" t="n"/>
      <c r="B100" s="19" t="n"/>
      <c r="C100" s="19" t="n"/>
      <c r="D100" s="19" t="n"/>
      <c r="E100" s="19" t="n"/>
      <c r="F100" s="19" t="n"/>
      <c r="G100" s="19" t="n"/>
      <c r="H100" s="19" t="n"/>
      <c r="I100" s="19" t="n"/>
      <c r="J100" s="19" t="n"/>
      <c r="K100" s="19" t="n"/>
      <c r="L100" s="35" t="n"/>
      <c r="M100" s="5">
        <f>IF($D100="","",IFERROR(VLOOKUP($H100,Lists!$N$2:$O$6,2,FALSE),0))</f>
        <v/>
      </c>
      <c r="N100" s="5">
        <f>IF($D100="","",IF(OR($E100="Blocked",$E100="Done",$E100="Archive"),-9999,IF(AND($E100="Waiting",SUMPRODUCT((($E$5:$E$500="Next")+($E$5:$E$500="In Progress")+($E$5:$E$500="Captured"))*($D$5:$D$500&lt;&gt;""))&gt;0),-500,VLOOKUP($F100,Lists!$L$2:$M$4,2,FALSE)+IF($E100="In Progress",10,0)+IF(AND($I100&lt;&gt;"",$I100&lt;TODAY()),25,0)+IF(AND($I100&lt;&gt;"",$I100&gt;=TODAY(),$I100&lt;=TODAY()+7),15,0)+IF($H100="",0,IF($M100&lt;=VLOOKUP(Home!$C$7,Lists!$N$2:$O$6,2,FALSE),20,-10))+IF($G100=Home!$E$7,15,IF(Home!$E$7="",0,-5))-ROW()/100000)))</f>
        <v/>
      </c>
      <c r="O100" s="5">
        <f>IF($D100="","",IF($N100&lt;=-500,"Not recommended right now",IF($E100="Waiting","Nothing else actionable right now — Waiting on: "&amp;IF($K100="","this item",$K100),TEXTJOIN(" • ",TRUE,IF($F100="High","High Priority",""),IF(AND($I100&lt;&gt;"",$I100&lt;TODAY()),"Overdue",""),IF(AND($I100&lt;&gt;"",$I100&gt;=TODAY(),$I100&lt;=TODAY()+7),"Due This Week",""),IF(AND($H100&lt;&gt;"",$M100&lt;=VLOOKUP(Home!$C$7,Lists!$N$2:$O$6,2,FALSE)),$H100&amp;" Task",""),IF($G100=Home!$E$7,"Fits Current Energy",""),"No Blockers"))))</f>
        <v/>
      </c>
      <c r="P100" s="5">
        <f>IF($D100="","",SWITCH('Task Finder'!$C$6,"High Priority",AND($F100="High",$E100&lt;&gt;"Done",$E100&lt;&gt;"Archive"),"Due This Week",AND($I100&lt;&gt;"",$I100&gt;=TODAY(),$I100&lt;=TODAY()+7,$E100&lt;&gt;"Done"),"Quick Wins (15 mins or less)",AND($M100&lt;=15,$E100&lt;&gt;"Done",$E100&lt;&gt;"Blocked"),"Deep Thinking",AND($G100="Deep Thinking",$E100&lt;&gt;"Done"),"Processing",AND($G100="Processing",$E100&lt;&gt;"Done"),"Blocked",$E100="Blocked","Waiting",$E100="Waiting","Recently Updated",AND($L100&lt;&gt;"",$L100&gt;=TODAY()-7),"Keyword",AND('Task Finder'!$C$7&lt;&gt;"",OR(ISNUMBER(SEARCH('Task Finder'!$C$7,$A100)),ISNUMBER(SEARCH('Task Finder'!$C$7,$B100)),ISNUMBER(SEARCH('Task Finder'!$C$7,$C100)),ISNUMBER(SEARCH('Task Finder'!$C$7,$D100)),ISNUMBER(SEARCH('Task Finder'!$C$7,$K100)))),TRUE))</f>
        <v/>
      </c>
    </row>
    <row r="101">
      <c r="A101" s="19" t="n"/>
      <c r="B101" s="19" t="n"/>
      <c r="C101" s="19" t="n"/>
      <c r="D101" s="19" t="n"/>
      <c r="E101" s="19" t="n"/>
      <c r="F101" s="19" t="n"/>
      <c r="G101" s="19" t="n"/>
      <c r="H101" s="19" t="n"/>
      <c r="I101" s="19" t="n"/>
      <c r="J101" s="19" t="n"/>
      <c r="K101" s="19" t="n"/>
      <c r="L101" s="35" t="n"/>
      <c r="M101" s="5">
        <f>IF($D101="","",IFERROR(VLOOKUP($H101,Lists!$N$2:$O$6,2,FALSE),0))</f>
        <v/>
      </c>
      <c r="N101" s="5">
        <f>IF($D101="","",IF(OR($E101="Blocked",$E101="Done",$E101="Archive"),-9999,IF(AND($E101="Waiting",SUMPRODUCT((($E$5:$E$500="Next")+($E$5:$E$500="In Progress")+($E$5:$E$500="Captured"))*($D$5:$D$500&lt;&gt;""))&gt;0),-500,VLOOKUP($F101,Lists!$L$2:$M$4,2,FALSE)+IF($E101="In Progress",10,0)+IF(AND($I101&lt;&gt;"",$I101&lt;TODAY()),25,0)+IF(AND($I101&lt;&gt;"",$I101&gt;=TODAY(),$I101&lt;=TODAY()+7),15,0)+IF($H101="",0,IF($M101&lt;=VLOOKUP(Home!$C$7,Lists!$N$2:$O$6,2,FALSE),20,-10))+IF($G101=Home!$E$7,15,IF(Home!$E$7="",0,-5))-ROW()/100000)))</f>
        <v/>
      </c>
      <c r="O101" s="5">
        <f>IF($D101="","",IF($N101&lt;=-500,"Not recommended right now",IF($E101="Waiting","Nothing else actionable right now — Waiting on: "&amp;IF($K101="","this item",$K101),TEXTJOIN(" • ",TRUE,IF($F101="High","High Priority",""),IF(AND($I101&lt;&gt;"",$I101&lt;TODAY()),"Overdue",""),IF(AND($I101&lt;&gt;"",$I101&gt;=TODAY(),$I101&lt;=TODAY()+7),"Due This Week",""),IF(AND($H101&lt;&gt;"",$M101&lt;=VLOOKUP(Home!$C$7,Lists!$N$2:$O$6,2,FALSE)),$H101&amp;" Task",""),IF($G101=Home!$E$7,"Fits Current Energy",""),"No Blockers"))))</f>
        <v/>
      </c>
      <c r="P101" s="5">
        <f>IF($D101="","",SWITCH('Task Finder'!$C$6,"High Priority",AND($F101="High",$E101&lt;&gt;"Done",$E101&lt;&gt;"Archive"),"Due This Week",AND($I101&lt;&gt;"",$I101&gt;=TODAY(),$I101&lt;=TODAY()+7,$E101&lt;&gt;"Done"),"Quick Wins (15 mins or less)",AND($M101&lt;=15,$E101&lt;&gt;"Done",$E101&lt;&gt;"Blocked"),"Deep Thinking",AND($G101="Deep Thinking",$E101&lt;&gt;"Done"),"Processing",AND($G101="Processing",$E101&lt;&gt;"Done"),"Blocked",$E101="Blocked","Waiting",$E101="Waiting","Recently Updated",AND($L101&lt;&gt;"",$L101&gt;=TODAY()-7),"Keyword",AND('Task Finder'!$C$7&lt;&gt;"",OR(ISNUMBER(SEARCH('Task Finder'!$C$7,$A101)),ISNUMBER(SEARCH('Task Finder'!$C$7,$B101)),ISNUMBER(SEARCH('Task Finder'!$C$7,$C101)),ISNUMBER(SEARCH('Task Finder'!$C$7,$D101)),ISNUMBER(SEARCH('Task Finder'!$C$7,$K101)))),TRUE))</f>
        <v/>
      </c>
    </row>
    <row r="102">
      <c r="A102" s="19" t="n"/>
      <c r="B102" s="19" t="n"/>
      <c r="C102" s="19" t="n"/>
      <c r="D102" s="19" t="n"/>
      <c r="E102" s="19" t="n"/>
      <c r="F102" s="19" t="n"/>
      <c r="G102" s="19" t="n"/>
      <c r="H102" s="19" t="n"/>
      <c r="I102" s="19" t="n"/>
      <c r="J102" s="19" t="n"/>
      <c r="K102" s="19" t="n"/>
      <c r="L102" s="35" t="n"/>
      <c r="M102" s="5">
        <f>IF($D102="","",IFERROR(VLOOKUP($H102,Lists!$N$2:$O$6,2,FALSE),0))</f>
        <v/>
      </c>
      <c r="N102" s="5">
        <f>IF($D102="","",IF(OR($E102="Blocked",$E102="Done",$E102="Archive"),-9999,IF(AND($E102="Waiting",SUMPRODUCT((($E$5:$E$500="Next")+($E$5:$E$500="In Progress")+($E$5:$E$500="Captured"))*($D$5:$D$500&lt;&gt;""))&gt;0),-500,VLOOKUP($F102,Lists!$L$2:$M$4,2,FALSE)+IF($E102="In Progress",10,0)+IF(AND($I102&lt;&gt;"",$I102&lt;TODAY()),25,0)+IF(AND($I102&lt;&gt;"",$I102&gt;=TODAY(),$I102&lt;=TODAY()+7),15,0)+IF($H102="",0,IF($M102&lt;=VLOOKUP(Home!$C$7,Lists!$N$2:$O$6,2,FALSE),20,-10))+IF($G102=Home!$E$7,15,IF(Home!$E$7="",0,-5))-ROW()/100000)))</f>
        <v/>
      </c>
      <c r="O102" s="5">
        <f>IF($D102="","",IF($N102&lt;=-500,"Not recommended right now",IF($E102="Waiting","Nothing else actionable right now — Waiting on: "&amp;IF($K102="","this item",$K102),TEXTJOIN(" • ",TRUE,IF($F102="High","High Priority",""),IF(AND($I102&lt;&gt;"",$I102&lt;TODAY()),"Overdue",""),IF(AND($I102&lt;&gt;"",$I102&gt;=TODAY(),$I102&lt;=TODAY()+7),"Due This Week",""),IF(AND($H102&lt;&gt;"",$M102&lt;=VLOOKUP(Home!$C$7,Lists!$N$2:$O$6,2,FALSE)),$H102&amp;" Task",""),IF($G102=Home!$E$7,"Fits Current Energy",""),"No Blockers"))))</f>
        <v/>
      </c>
      <c r="P102" s="5">
        <f>IF($D102="","",SWITCH('Task Finder'!$C$6,"High Priority",AND($F102="High",$E102&lt;&gt;"Done",$E102&lt;&gt;"Archive"),"Due This Week",AND($I102&lt;&gt;"",$I102&gt;=TODAY(),$I102&lt;=TODAY()+7,$E102&lt;&gt;"Done"),"Quick Wins (15 mins or less)",AND($M102&lt;=15,$E102&lt;&gt;"Done",$E102&lt;&gt;"Blocked"),"Deep Thinking",AND($G102="Deep Thinking",$E102&lt;&gt;"Done"),"Processing",AND($G102="Processing",$E102&lt;&gt;"Done"),"Blocked",$E102="Blocked","Waiting",$E102="Waiting","Recently Updated",AND($L102&lt;&gt;"",$L102&gt;=TODAY()-7),"Keyword",AND('Task Finder'!$C$7&lt;&gt;"",OR(ISNUMBER(SEARCH('Task Finder'!$C$7,$A102)),ISNUMBER(SEARCH('Task Finder'!$C$7,$B102)),ISNUMBER(SEARCH('Task Finder'!$C$7,$C102)),ISNUMBER(SEARCH('Task Finder'!$C$7,$D102)),ISNUMBER(SEARCH('Task Finder'!$C$7,$K102)))),TRUE))</f>
        <v/>
      </c>
    </row>
    <row r="103">
      <c r="A103" s="19" t="n"/>
      <c r="B103" s="19" t="n"/>
      <c r="C103" s="19" t="n"/>
      <c r="D103" s="19" t="n"/>
      <c r="E103" s="19" t="n"/>
      <c r="F103" s="19" t="n"/>
      <c r="G103" s="19" t="n"/>
      <c r="H103" s="19" t="n"/>
      <c r="I103" s="19" t="n"/>
      <c r="J103" s="19" t="n"/>
      <c r="K103" s="19" t="n"/>
      <c r="L103" s="35" t="n"/>
      <c r="M103" s="5">
        <f>IF($D103="","",IFERROR(VLOOKUP($H103,Lists!$N$2:$O$6,2,FALSE),0))</f>
        <v/>
      </c>
      <c r="N103" s="5">
        <f>IF($D103="","",IF(OR($E103="Blocked",$E103="Done",$E103="Archive"),-9999,IF(AND($E103="Waiting",SUMPRODUCT((($E$5:$E$500="Next")+($E$5:$E$500="In Progress")+($E$5:$E$500="Captured"))*($D$5:$D$500&lt;&gt;""))&gt;0),-500,VLOOKUP($F103,Lists!$L$2:$M$4,2,FALSE)+IF($E103="In Progress",10,0)+IF(AND($I103&lt;&gt;"",$I103&lt;TODAY()),25,0)+IF(AND($I103&lt;&gt;"",$I103&gt;=TODAY(),$I103&lt;=TODAY()+7),15,0)+IF($H103="",0,IF($M103&lt;=VLOOKUP(Home!$C$7,Lists!$N$2:$O$6,2,FALSE),20,-10))+IF($G103=Home!$E$7,15,IF(Home!$E$7="",0,-5))-ROW()/100000)))</f>
        <v/>
      </c>
      <c r="O103" s="5">
        <f>IF($D103="","",IF($N103&lt;=-500,"Not recommended right now",IF($E103="Waiting","Nothing else actionable right now — Waiting on: "&amp;IF($K103="","this item",$K103),TEXTJOIN(" • ",TRUE,IF($F103="High","High Priority",""),IF(AND($I103&lt;&gt;"",$I103&lt;TODAY()),"Overdue",""),IF(AND($I103&lt;&gt;"",$I103&gt;=TODAY(),$I103&lt;=TODAY()+7),"Due This Week",""),IF(AND($H103&lt;&gt;"",$M103&lt;=VLOOKUP(Home!$C$7,Lists!$N$2:$O$6,2,FALSE)),$H103&amp;" Task",""),IF($G103=Home!$E$7,"Fits Current Energy",""),"No Blockers"))))</f>
        <v/>
      </c>
      <c r="P103" s="5">
        <f>IF($D103="","",SWITCH('Task Finder'!$C$6,"High Priority",AND($F103="High",$E103&lt;&gt;"Done",$E103&lt;&gt;"Archive"),"Due This Week",AND($I103&lt;&gt;"",$I103&gt;=TODAY(),$I103&lt;=TODAY()+7,$E103&lt;&gt;"Done"),"Quick Wins (15 mins or less)",AND($M103&lt;=15,$E103&lt;&gt;"Done",$E103&lt;&gt;"Blocked"),"Deep Thinking",AND($G103="Deep Thinking",$E103&lt;&gt;"Done"),"Processing",AND($G103="Processing",$E103&lt;&gt;"Done"),"Blocked",$E103="Blocked","Waiting",$E103="Waiting","Recently Updated",AND($L103&lt;&gt;"",$L103&gt;=TODAY()-7),"Keyword",AND('Task Finder'!$C$7&lt;&gt;"",OR(ISNUMBER(SEARCH('Task Finder'!$C$7,$A103)),ISNUMBER(SEARCH('Task Finder'!$C$7,$B103)),ISNUMBER(SEARCH('Task Finder'!$C$7,$C103)),ISNUMBER(SEARCH('Task Finder'!$C$7,$D103)),ISNUMBER(SEARCH('Task Finder'!$C$7,$K103)))),TRUE))</f>
        <v/>
      </c>
    </row>
    <row r="104">
      <c r="A104" s="19" t="n"/>
      <c r="B104" s="19" t="n"/>
      <c r="C104" s="19" t="n"/>
      <c r="D104" s="19" t="n"/>
      <c r="E104" s="19" t="n"/>
      <c r="F104" s="19" t="n"/>
      <c r="G104" s="19" t="n"/>
      <c r="H104" s="19" t="n"/>
      <c r="I104" s="19" t="n"/>
      <c r="J104" s="19" t="n"/>
      <c r="K104" s="19" t="n"/>
      <c r="L104" s="35" t="n"/>
      <c r="M104" s="5">
        <f>IF($D104="","",IFERROR(VLOOKUP($H104,Lists!$N$2:$O$6,2,FALSE),0))</f>
        <v/>
      </c>
      <c r="N104" s="5">
        <f>IF($D104="","",IF(OR($E104="Blocked",$E104="Done",$E104="Archive"),-9999,IF(AND($E104="Waiting",SUMPRODUCT((($E$5:$E$500="Next")+($E$5:$E$500="In Progress")+($E$5:$E$500="Captured"))*($D$5:$D$500&lt;&gt;""))&gt;0),-500,VLOOKUP($F104,Lists!$L$2:$M$4,2,FALSE)+IF($E104="In Progress",10,0)+IF(AND($I104&lt;&gt;"",$I104&lt;TODAY()),25,0)+IF(AND($I104&lt;&gt;"",$I104&gt;=TODAY(),$I104&lt;=TODAY()+7),15,0)+IF($H104="",0,IF($M104&lt;=VLOOKUP(Home!$C$7,Lists!$N$2:$O$6,2,FALSE),20,-10))+IF($G104=Home!$E$7,15,IF(Home!$E$7="",0,-5))-ROW()/100000)))</f>
        <v/>
      </c>
      <c r="O104" s="5">
        <f>IF($D104="","",IF($N104&lt;=-500,"Not recommended right now",IF($E104="Waiting","Nothing else actionable right now — Waiting on: "&amp;IF($K104="","this item",$K104),TEXTJOIN(" • ",TRUE,IF($F104="High","High Priority",""),IF(AND($I104&lt;&gt;"",$I104&lt;TODAY()),"Overdue",""),IF(AND($I104&lt;&gt;"",$I104&gt;=TODAY(),$I104&lt;=TODAY()+7),"Due This Week",""),IF(AND($H104&lt;&gt;"",$M104&lt;=VLOOKUP(Home!$C$7,Lists!$N$2:$O$6,2,FALSE)),$H104&amp;" Task",""),IF($G104=Home!$E$7,"Fits Current Energy",""),"No Blockers"))))</f>
        <v/>
      </c>
      <c r="P104" s="5">
        <f>IF($D104="","",SWITCH('Task Finder'!$C$6,"High Priority",AND($F104="High",$E104&lt;&gt;"Done",$E104&lt;&gt;"Archive"),"Due This Week",AND($I104&lt;&gt;"",$I104&gt;=TODAY(),$I104&lt;=TODAY()+7,$E104&lt;&gt;"Done"),"Quick Wins (15 mins or less)",AND($M104&lt;=15,$E104&lt;&gt;"Done",$E104&lt;&gt;"Blocked"),"Deep Thinking",AND($G104="Deep Thinking",$E104&lt;&gt;"Done"),"Processing",AND($G104="Processing",$E104&lt;&gt;"Done"),"Blocked",$E104="Blocked","Waiting",$E104="Waiting","Recently Updated",AND($L104&lt;&gt;"",$L104&gt;=TODAY()-7),"Keyword",AND('Task Finder'!$C$7&lt;&gt;"",OR(ISNUMBER(SEARCH('Task Finder'!$C$7,$A104)),ISNUMBER(SEARCH('Task Finder'!$C$7,$B104)),ISNUMBER(SEARCH('Task Finder'!$C$7,$C104)),ISNUMBER(SEARCH('Task Finder'!$C$7,$D104)),ISNUMBER(SEARCH('Task Finder'!$C$7,$K104)))),TRUE))</f>
        <v/>
      </c>
    </row>
    <row r="105">
      <c r="A105" s="19" t="n"/>
      <c r="B105" s="19" t="n"/>
      <c r="C105" s="19" t="n"/>
      <c r="D105" s="19" t="n"/>
      <c r="E105" s="19" t="n"/>
      <c r="F105" s="19" t="n"/>
      <c r="G105" s="19" t="n"/>
      <c r="H105" s="19" t="n"/>
      <c r="I105" s="19" t="n"/>
      <c r="J105" s="19" t="n"/>
      <c r="K105" s="19" t="n"/>
      <c r="L105" s="35" t="n"/>
      <c r="M105" s="5">
        <f>IF($D105="","",IFERROR(VLOOKUP($H105,Lists!$N$2:$O$6,2,FALSE),0))</f>
        <v/>
      </c>
      <c r="N105" s="5">
        <f>IF($D105="","",IF(OR($E105="Blocked",$E105="Done",$E105="Archive"),-9999,IF(AND($E105="Waiting",SUMPRODUCT((($E$5:$E$500="Next")+($E$5:$E$500="In Progress")+($E$5:$E$500="Captured"))*($D$5:$D$500&lt;&gt;""))&gt;0),-500,VLOOKUP($F105,Lists!$L$2:$M$4,2,FALSE)+IF($E105="In Progress",10,0)+IF(AND($I105&lt;&gt;"",$I105&lt;TODAY()),25,0)+IF(AND($I105&lt;&gt;"",$I105&gt;=TODAY(),$I105&lt;=TODAY()+7),15,0)+IF($H105="",0,IF($M105&lt;=VLOOKUP(Home!$C$7,Lists!$N$2:$O$6,2,FALSE),20,-10))+IF($G105=Home!$E$7,15,IF(Home!$E$7="",0,-5))-ROW()/100000)))</f>
        <v/>
      </c>
      <c r="O105" s="5">
        <f>IF($D105="","",IF($N105&lt;=-500,"Not recommended right now",IF($E105="Waiting","Nothing else actionable right now — Waiting on: "&amp;IF($K105="","this item",$K105),TEXTJOIN(" • ",TRUE,IF($F105="High","High Priority",""),IF(AND($I105&lt;&gt;"",$I105&lt;TODAY()),"Overdue",""),IF(AND($I105&lt;&gt;"",$I105&gt;=TODAY(),$I105&lt;=TODAY()+7),"Due This Week",""),IF(AND($H105&lt;&gt;"",$M105&lt;=VLOOKUP(Home!$C$7,Lists!$N$2:$O$6,2,FALSE)),$H105&amp;" Task",""),IF($G105=Home!$E$7,"Fits Current Energy",""),"No Blockers"))))</f>
        <v/>
      </c>
      <c r="P105" s="5">
        <f>IF($D105="","",SWITCH('Task Finder'!$C$6,"High Priority",AND($F105="High",$E105&lt;&gt;"Done",$E105&lt;&gt;"Archive"),"Due This Week",AND($I105&lt;&gt;"",$I105&gt;=TODAY(),$I105&lt;=TODAY()+7,$E105&lt;&gt;"Done"),"Quick Wins (15 mins or less)",AND($M105&lt;=15,$E105&lt;&gt;"Done",$E105&lt;&gt;"Blocked"),"Deep Thinking",AND($G105="Deep Thinking",$E105&lt;&gt;"Done"),"Processing",AND($G105="Processing",$E105&lt;&gt;"Done"),"Blocked",$E105="Blocked","Waiting",$E105="Waiting","Recently Updated",AND($L105&lt;&gt;"",$L105&gt;=TODAY()-7),"Keyword",AND('Task Finder'!$C$7&lt;&gt;"",OR(ISNUMBER(SEARCH('Task Finder'!$C$7,$A105)),ISNUMBER(SEARCH('Task Finder'!$C$7,$B105)),ISNUMBER(SEARCH('Task Finder'!$C$7,$C105)),ISNUMBER(SEARCH('Task Finder'!$C$7,$D105)),ISNUMBER(SEARCH('Task Finder'!$C$7,$K105)))),TRUE))</f>
        <v/>
      </c>
    </row>
    <row r="106">
      <c r="A106" s="19" t="n"/>
      <c r="B106" s="19" t="n"/>
      <c r="C106" s="19" t="n"/>
      <c r="D106" s="19" t="n"/>
      <c r="E106" s="19" t="n"/>
      <c r="F106" s="19" t="n"/>
      <c r="G106" s="19" t="n"/>
      <c r="H106" s="19" t="n"/>
      <c r="I106" s="19" t="n"/>
      <c r="J106" s="19" t="n"/>
      <c r="K106" s="19" t="n"/>
      <c r="L106" s="35" t="n"/>
      <c r="M106" s="5">
        <f>IF($D106="","",IFERROR(VLOOKUP($H106,Lists!$N$2:$O$6,2,FALSE),0))</f>
        <v/>
      </c>
      <c r="N106" s="5">
        <f>IF($D106="","",IF(OR($E106="Blocked",$E106="Done",$E106="Archive"),-9999,IF(AND($E106="Waiting",SUMPRODUCT((($E$5:$E$500="Next")+($E$5:$E$500="In Progress")+($E$5:$E$500="Captured"))*($D$5:$D$500&lt;&gt;""))&gt;0),-500,VLOOKUP($F106,Lists!$L$2:$M$4,2,FALSE)+IF($E106="In Progress",10,0)+IF(AND($I106&lt;&gt;"",$I106&lt;TODAY()),25,0)+IF(AND($I106&lt;&gt;"",$I106&gt;=TODAY(),$I106&lt;=TODAY()+7),15,0)+IF($H106="",0,IF($M106&lt;=VLOOKUP(Home!$C$7,Lists!$N$2:$O$6,2,FALSE),20,-10))+IF($G106=Home!$E$7,15,IF(Home!$E$7="",0,-5))-ROW()/100000)))</f>
        <v/>
      </c>
      <c r="O106" s="5">
        <f>IF($D106="","",IF($N106&lt;=-500,"Not recommended right now",IF($E106="Waiting","Nothing else actionable right now — Waiting on: "&amp;IF($K106="","this item",$K106),TEXTJOIN(" • ",TRUE,IF($F106="High","High Priority",""),IF(AND($I106&lt;&gt;"",$I106&lt;TODAY()),"Overdue",""),IF(AND($I106&lt;&gt;"",$I106&gt;=TODAY(),$I106&lt;=TODAY()+7),"Due This Week",""),IF(AND($H106&lt;&gt;"",$M106&lt;=VLOOKUP(Home!$C$7,Lists!$N$2:$O$6,2,FALSE)),$H106&amp;" Task",""),IF($G106=Home!$E$7,"Fits Current Energy",""),"No Blockers"))))</f>
        <v/>
      </c>
      <c r="P106" s="5">
        <f>IF($D106="","",SWITCH('Task Finder'!$C$6,"High Priority",AND($F106="High",$E106&lt;&gt;"Done",$E106&lt;&gt;"Archive"),"Due This Week",AND($I106&lt;&gt;"",$I106&gt;=TODAY(),$I106&lt;=TODAY()+7,$E106&lt;&gt;"Done"),"Quick Wins (15 mins or less)",AND($M106&lt;=15,$E106&lt;&gt;"Done",$E106&lt;&gt;"Blocked"),"Deep Thinking",AND($G106="Deep Thinking",$E106&lt;&gt;"Done"),"Processing",AND($G106="Processing",$E106&lt;&gt;"Done"),"Blocked",$E106="Blocked","Waiting",$E106="Waiting","Recently Updated",AND($L106&lt;&gt;"",$L106&gt;=TODAY()-7),"Keyword",AND('Task Finder'!$C$7&lt;&gt;"",OR(ISNUMBER(SEARCH('Task Finder'!$C$7,$A106)),ISNUMBER(SEARCH('Task Finder'!$C$7,$B106)),ISNUMBER(SEARCH('Task Finder'!$C$7,$C106)),ISNUMBER(SEARCH('Task Finder'!$C$7,$D106)),ISNUMBER(SEARCH('Task Finder'!$C$7,$K106)))),TRUE))</f>
        <v/>
      </c>
    </row>
    <row r="107">
      <c r="A107" s="19" t="n"/>
      <c r="B107" s="19" t="n"/>
      <c r="C107" s="19" t="n"/>
      <c r="D107" s="19" t="n"/>
      <c r="E107" s="19" t="n"/>
      <c r="F107" s="19" t="n"/>
      <c r="G107" s="19" t="n"/>
      <c r="H107" s="19" t="n"/>
      <c r="I107" s="19" t="n"/>
      <c r="J107" s="19" t="n"/>
      <c r="K107" s="19" t="n"/>
      <c r="L107" s="35" t="n"/>
      <c r="M107" s="5">
        <f>IF($D107="","",IFERROR(VLOOKUP($H107,Lists!$N$2:$O$6,2,FALSE),0))</f>
        <v/>
      </c>
      <c r="N107" s="5">
        <f>IF($D107="","",IF(OR($E107="Blocked",$E107="Done",$E107="Archive"),-9999,IF(AND($E107="Waiting",SUMPRODUCT((($E$5:$E$500="Next")+($E$5:$E$500="In Progress")+($E$5:$E$500="Captured"))*($D$5:$D$500&lt;&gt;""))&gt;0),-500,VLOOKUP($F107,Lists!$L$2:$M$4,2,FALSE)+IF($E107="In Progress",10,0)+IF(AND($I107&lt;&gt;"",$I107&lt;TODAY()),25,0)+IF(AND($I107&lt;&gt;"",$I107&gt;=TODAY(),$I107&lt;=TODAY()+7),15,0)+IF($H107="",0,IF($M107&lt;=VLOOKUP(Home!$C$7,Lists!$N$2:$O$6,2,FALSE),20,-10))+IF($G107=Home!$E$7,15,IF(Home!$E$7="",0,-5))-ROW()/100000)))</f>
        <v/>
      </c>
      <c r="O107" s="5">
        <f>IF($D107="","",IF($N107&lt;=-500,"Not recommended right now",IF($E107="Waiting","Nothing else actionable right now — Waiting on: "&amp;IF($K107="","this item",$K107),TEXTJOIN(" • ",TRUE,IF($F107="High","High Priority",""),IF(AND($I107&lt;&gt;"",$I107&lt;TODAY()),"Overdue",""),IF(AND($I107&lt;&gt;"",$I107&gt;=TODAY(),$I107&lt;=TODAY()+7),"Due This Week",""),IF(AND($H107&lt;&gt;"",$M107&lt;=VLOOKUP(Home!$C$7,Lists!$N$2:$O$6,2,FALSE)),$H107&amp;" Task",""),IF($G107=Home!$E$7,"Fits Current Energy",""),"No Blockers"))))</f>
        <v/>
      </c>
      <c r="P107" s="5">
        <f>IF($D107="","",SWITCH('Task Finder'!$C$6,"High Priority",AND($F107="High",$E107&lt;&gt;"Done",$E107&lt;&gt;"Archive"),"Due This Week",AND($I107&lt;&gt;"",$I107&gt;=TODAY(),$I107&lt;=TODAY()+7,$E107&lt;&gt;"Done"),"Quick Wins (15 mins or less)",AND($M107&lt;=15,$E107&lt;&gt;"Done",$E107&lt;&gt;"Blocked"),"Deep Thinking",AND($G107="Deep Thinking",$E107&lt;&gt;"Done"),"Processing",AND($G107="Processing",$E107&lt;&gt;"Done"),"Blocked",$E107="Blocked","Waiting",$E107="Waiting","Recently Updated",AND($L107&lt;&gt;"",$L107&gt;=TODAY()-7),"Keyword",AND('Task Finder'!$C$7&lt;&gt;"",OR(ISNUMBER(SEARCH('Task Finder'!$C$7,$A107)),ISNUMBER(SEARCH('Task Finder'!$C$7,$B107)),ISNUMBER(SEARCH('Task Finder'!$C$7,$C107)),ISNUMBER(SEARCH('Task Finder'!$C$7,$D107)),ISNUMBER(SEARCH('Task Finder'!$C$7,$K107)))),TRUE))</f>
        <v/>
      </c>
    </row>
    <row r="108">
      <c r="A108" s="19" t="n"/>
      <c r="B108" s="19" t="n"/>
      <c r="C108" s="19" t="n"/>
      <c r="D108" s="19" t="n"/>
      <c r="E108" s="19" t="n"/>
      <c r="F108" s="19" t="n"/>
      <c r="G108" s="19" t="n"/>
      <c r="H108" s="19" t="n"/>
      <c r="I108" s="19" t="n"/>
      <c r="J108" s="19" t="n"/>
      <c r="K108" s="19" t="n"/>
      <c r="L108" s="35" t="n"/>
      <c r="M108" s="5">
        <f>IF($D108="","",IFERROR(VLOOKUP($H108,Lists!$N$2:$O$6,2,FALSE),0))</f>
        <v/>
      </c>
      <c r="N108" s="5">
        <f>IF($D108="","",IF(OR($E108="Blocked",$E108="Done",$E108="Archive"),-9999,IF(AND($E108="Waiting",SUMPRODUCT((($E$5:$E$500="Next")+($E$5:$E$500="In Progress")+($E$5:$E$500="Captured"))*($D$5:$D$500&lt;&gt;""))&gt;0),-500,VLOOKUP($F108,Lists!$L$2:$M$4,2,FALSE)+IF($E108="In Progress",10,0)+IF(AND($I108&lt;&gt;"",$I108&lt;TODAY()),25,0)+IF(AND($I108&lt;&gt;"",$I108&gt;=TODAY(),$I108&lt;=TODAY()+7),15,0)+IF($H108="",0,IF($M108&lt;=VLOOKUP(Home!$C$7,Lists!$N$2:$O$6,2,FALSE),20,-10))+IF($G108=Home!$E$7,15,IF(Home!$E$7="",0,-5))-ROW()/100000)))</f>
        <v/>
      </c>
      <c r="O108" s="5">
        <f>IF($D108="","",IF($N108&lt;=-500,"Not recommended right now",IF($E108="Waiting","Nothing else actionable right now — Waiting on: "&amp;IF($K108="","this item",$K108),TEXTJOIN(" • ",TRUE,IF($F108="High","High Priority",""),IF(AND($I108&lt;&gt;"",$I108&lt;TODAY()),"Overdue",""),IF(AND($I108&lt;&gt;"",$I108&gt;=TODAY(),$I108&lt;=TODAY()+7),"Due This Week",""),IF(AND($H108&lt;&gt;"",$M108&lt;=VLOOKUP(Home!$C$7,Lists!$N$2:$O$6,2,FALSE)),$H108&amp;" Task",""),IF($G108=Home!$E$7,"Fits Current Energy",""),"No Blockers"))))</f>
        <v/>
      </c>
      <c r="P108" s="5">
        <f>IF($D108="","",SWITCH('Task Finder'!$C$6,"High Priority",AND($F108="High",$E108&lt;&gt;"Done",$E108&lt;&gt;"Archive"),"Due This Week",AND($I108&lt;&gt;"",$I108&gt;=TODAY(),$I108&lt;=TODAY()+7,$E108&lt;&gt;"Done"),"Quick Wins (15 mins or less)",AND($M108&lt;=15,$E108&lt;&gt;"Done",$E108&lt;&gt;"Blocked"),"Deep Thinking",AND($G108="Deep Thinking",$E108&lt;&gt;"Done"),"Processing",AND($G108="Processing",$E108&lt;&gt;"Done"),"Blocked",$E108="Blocked","Waiting",$E108="Waiting","Recently Updated",AND($L108&lt;&gt;"",$L108&gt;=TODAY()-7),"Keyword",AND('Task Finder'!$C$7&lt;&gt;"",OR(ISNUMBER(SEARCH('Task Finder'!$C$7,$A108)),ISNUMBER(SEARCH('Task Finder'!$C$7,$B108)),ISNUMBER(SEARCH('Task Finder'!$C$7,$C108)),ISNUMBER(SEARCH('Task Finder'!$C$7,$D108)),ISNUMBER(SEARCH('Task Finder'!$C$7,$K108)))),TRUE))</f>
        <v/>
      </c>
    </row>
    <row r="109">
      <c r="A109" s="19" t="n"/>
      <c r="B109" s="19" t="n"/>
      <c r="C109" s="19" t="n"/>
      <c r="D109" s="19" t="n"/>
      <c r="E109" s="19" t="n"/>
      <c r="F109" s="19" t="n"/>
      <c r="G109" s="19" t="n"/>
      <c r="H109" s="19" t="n"/>
      <c r="I109" s="19" t="n"/>
      <c r="J109" s="19" t="n"/>
      <c r="K109" s="19" t="n"/>
      <c r="L109" s="35" t="n"/>
      <c r="M109" s="5">
        <f>IF($D109="","",IFERROR(VLOOKUP($H109,Lists!$N$2:$O$6,2,FALSE),0))</f>
        <v/>
      </c>
      <c r="N109" s="5">
        <f>IF($D109="","",IF(OR($E109="Blocked",$E109="Done",$E109="Archive"),-9999,IF(AND($E109="Waiting",SUMPRODUCT((($E$5:$E$500="Next")+($E$5:$E$500="In Progress")+($E$5:$E$500="Captured"))*($D$5:$D$500&lt;&gt;""))&gt;0),-500,VLOOKUP($F109,Lists!$L$2:$M$4,2,FALSE)+IF($E109="In Progress",10,0)+IF(AND($I109&lt;&gt;"",$I109&lt;TODAY()),25,0)+IF(AND($I109&lt;&gt;"",$I109&gt;=TODAY(),$I109&lt;=TODAY()+7),15,0)+IF($H109="",0,IF($M109&lt;=VLOOKUP(Home!$C$7,Lists!$N$2:$O$6,2,FALSE),20,-10))+IF($G109=Home!$E$7,15,IF(Home!$E$7="",0,-5))-ROW()/100000)))</f>
        <v/>
      </c>
      <c r="O109" s="5">
        <f>IF($D109="","",IF($N109&lt;=-500,"Not recommended right now",IF($E109="Waiting","Nothing else actionable right now — Waiting on: "&amp;IF($K109="","this item",$K109),TEXTJOIN(" • ",TRUE,IF($F109="High","High Priority",""),IF(AND($I109&lt;&gt;"",$I109&lt;TODAY()),"Overdue",""),IF(AND($I109&lt;&gt;"",$I109&gt;=TODAY(),$I109&lt;=TODAY()+7),"Due This Week",""),IF(AND($H109&lt;&gt;"",$M109&lt;=VLOOKUP(Home!$C$7,Lists!$N$2:$O$6,2,FALSE)),$H109&amp;" Task",""),IF($G109=Home!$E$7,"Fits Current Energy",""),"No Blockers"))))</f>
        <v/>
      </c>
      <c r="P109" s="5">
        <f>IF($D109="","",SWITCH('Task Finder'!$C$6,"High Priority",AND($F109="High",$E109&lt;&gt;"Done",$E109&lt;&gt;"Archive"),"Due This Week",AND($I109&lt;&gt;"",$I109&gt;=TODAY(),$I109&lt;=TODAY()+7,$E109&lt;&gt;"Done"),"Quick Wins (15 mins or less)",AND($M109&lt;=15,$E109&lt;&gt;"Done",$E109&lt;&gt;"Blocked"),"Deep Thinking",AND($G109="Deep Thinking",$E109&lt;&gt;"Done"),"Processing",AND($G109="Processing",$E109&lt;&gt;"Done"),"Blocked",$E109="Blocked","Waiting",$E109="Waiting","Recently Updated",AND($L109&lt;&gt;"",$L109&gt;=TODAY()-7),"Keyword",AND('Task Finder'!$C$7&lt;&gt;"",OR(ISNUMBER(SEARCH('Task Finder'!$C$7,$A109)),ISNUMBER(SEARCH('Task Finder'!$C$7,$B109)),ISNUMBER(SEARCH('Task Finder'!$C$7,$C109)),ISNUMBER(SEARCH('Task Finder'!$C$7,$D109)),ISNUMBER(SEARCH('Task Finder'!$C$7,$K109)))),TRUE))</f>
        <v/>
      </c>
    </row>
    <row r="110">
      <c r="A110" s="19" t="n"/>
      <c r="B110" s="19" t="n"/>
      <c r="C110" s="19" t="n"/>
      <c r="D110" s="19" t="n"/>
      <c r="E110" s="19" t="n"/>
      <c r="F110" s="19" t="n"/>
      <c r="G110" s="19" t="n"/>
      <c r="H110" s="19" t="n"/>
      <c r="I110" s="19" t="n"/>
      <c r="J110" s="19" t="n"/>
      <c r="K110" s="19" t="n"/>
      <c r="L110" s="35" t="n"/>
      <c r="M110" s="5">
        <f>IF($D110="","",IFERROR(VLOOKUP($H110,Lists!$N$2:$O$6,2,FALSE),0))</f>
        <v/>
      </c>
      <c r="N110" s="5">
        <f>IF($D110="","",IF(OR($E110="Blocked",$E110="Done",$E110="Archive"),-9999,IF(AND($E110="Waiting",SUMPRODUCT((($E$5:$E$500="Next")+($E$5:$E$500="In Progress")+($E$5:$E$500="Captured"))*($D$5:$D$500&lt;&gt;""))&gt;0),-500,VLOOKUP($F110,Lists!$L$2:$M$4,2,FALSE)+IF($E110="In Progress",10,0)+IF(AND($I110&lt;&gt;"",$I110&lt;TODAY()),25,0)+IF(AND($I110&lt;&gt;"",$I110&gt;=TODAY(),$I110&lt;=TODAY()+7),15,0)+IF($H110="",0,IF($M110&lt;=VLOOKUP(Home!$C$7,Lists!$N$2:$O$6,2,FALSE),20,-10))+IF($G110=Home!$E$7,15,IF(Home!$E$7="",0,-5))-ROW()/100000)))</f>
        <v/>
      </c>
      <c r="O110" s="5">
        <f>IF($D110="","",IF($N110&lt;=-500,"Not recommended right now",IF($E110="Waiting","Nothing else actionable right now — Waiting on: "&amp;IF($K110="","this item",$K110),TEXTJOIN(" • ",TRUE,IF($F110="High","High Priority",""),IF(AND($I110&lt;&gt;"",$I110&lt;TODAY()),"Overdue",""),IF(AND($I110&lt;&gt;"",$I110&gt;=TODAY(),$I110&lt;=TODAY()+7),"Due This Week",""),IF(AND($H110&lt;&gt;"",$M110&lt;=VLOOKUP(Home!$C$7,Lists!$N$2:$O$6,2,FALSE)),$H110&amp;" Task",""),IF($G110=Home!$E$7,"Fits Current Energy",""),"No Blockers"))))</f>
        <v/>
      </c>
      <c r="P110" s="5">
        <f>IF($D110="","",SWITCH('Task Finder'!$C$6,"High Priority",AND($F110="High",$E110&lt;&gt;"Done",$E110&lt;&gt;"Archive"),"Due This Week",AND($I110&lt;&gt;"",$I110&gt;=TODAY(),$I110&lt;=TODAY()+7,$E110&lt;&gt;"Done"),"Quick Wins (15 mins or less)",AND($M110&lt;=15,$E110&lt;&gt;"Done",$E110&lt;&gt;"Blocked"),"Deep Thinking",AND($G110="Deep Thinking",$E110&lt;&gt;"Done"),"Processing",AND($G110="Processing",$E110&lt;&gt;"Done"),"Blocked",$E110="Blocked","Waiting",$E110="Waiting","Recently Updated",AND($L110&lt;&gt;"",$L110&gt;=TODAY()-7),"Keyword",AND('Task Finder'!$C$7&lt;&gt;"",OR(ISNUMBER(SEARCH('Task Finder'!$C$7,$A110)),ISNUMBER(SEARCH('Task Finder'!$C$7,$B110)),ISNUMBER(SEARCH('Task Finder'!$C$7,$C110)),ISNUMBER(SEARCH('Task Finder'!$C$7,$D110)),ISNUMBER(SEARCH('Task Finder'!$C$7,$K110)))),TRUE))</f>
        <v/>
      </c>
    </row>
    <row r="111">
      <c r="A111" s="19" t="n"/>
      <c r="B111" s="19" t="n"/>
      <c r="C111" s="19" t="n"/>
      <c r="D111" s="19" t="n"/>
      <c r="E111" s="19" t="n"/>
      <c r="F111" s="19" t="n"/>
      <c r="G111" s="19" t="n"/>
      <c r="H111" s="19" t="n"/>
      <c r="I111" s="19" t="n"/>
      <c r="J111" s="19" t="n"/>
      <c r="K111" s="19" t="n"/>
      <c r="L111" s="35" t="n"/>
      <c r="M111" s="5">
        <f>IF($D111="","",IFERROR(VLOOKUP($H111,Lists!$N$2:$O$6,2,FALSE),0))</f>
        <v/>
      </c>
      <c r="N111" s="5">
        <f>IF($D111="","",IF(OR($E111="Blocked",$E111="Done",$E111="Archive"),-9999,IF(AND($E111="Waiting",SUMPRODUCT((($E$5:$E$500="Next")+($E$5:$E$500="In Progress")+($E$5:$E$500="Captured"))*($D$5:$D$500&lt;&gt;""))&gt;0),-500,VLOOKUP($F111,Lists!$L$2:$M$4,2,FALSE)+IF($E111="In Progress",10,0)+IF(AND($I111&lt;&gt;"",$I111&lt;TODAY()),25,0)+IF(AND($I111&lt;&gt;"",$I111&gt;=TODAY(),$I111&lt;=TODAY()+7),15,0)+IF($H111="",0,IF($M111&lt;=VLOOKUP(Home!$C$7,Lists!$N$2:$O$6,2,FALSE),20,-10))+IF($G111=Home!$E$7,15,IF(Home!$E$7="",0,-5))-ROW()/100000)))</f>
        <v/>
      </c>
      <c r="O111" s="5">
        <f>IF($D111="","",IF($N111&lt;=-500,"Not recommended right now",IF($E111="Waiting","Nothing else actionable right now — Waiting on: "&amp;IF($K111="","this item",$K111),TEXTJOIN(" • ",TRUE,IF($F111="High","High Priority",""),IF(AND($I111&lt;&gt;"",$I111&lt;TODAY()),"Overdue",""),IF(AND($I111&lt;&gt;"",$I111&gt;=TODAY(),$I111&lt;=TODAY()+7),"Due This Week",""),IF(AND($H111&lt;&gt;"",$M111&lt;=VLOOKUP(Home!$C$7,Lists!$N$2:$O$6,2,FALSE)),$H111&amp;" Task",""),IF($G111=Home!$E$7,"Fits Current Energy",""),"No Blockers"))))</f>
        <v/>
      </c>
      <c r="P111" s="5">
        <f>IF($D111="","",SWITCH('Task Finder'!$C$6,"High Priority",AND($F111="High",$E111&lt;&gt;"Done",$E111&lt;&gt;"Archive"),"Due This Week",AND($I111&lt;&gt;"",$I111&gt;=TODAY(),$I111&lt;=TODAY()+7,$E111&lt;&gt;"Done"),"Quick Wins (15 mins or less)",AND($M111&lt;=15,$E111&lt;&gt;"Done",$E111&lt;&gt;"Blocked"),"Deep Thinking",AND($G111="Deep Thinking",$E111&lt;&gt;"Done"),"Processing",AND($G111="Processing",$E111&lt;&gt;"Done"),"Blocked",$E111="Blocked","Waiting",$E111="Waiting","Recently Updated",AND($L111&lt;&gt;"",$L111&gt;=TODAY()-7),"Keyword",AND('Task Finder'!$C$7&lt;&gt;"",OR(ISNUMBER(SEARCH('Task Finder'!$C$7,$A111)),ISNUMBER(SEARCH('Task Finder'!$C$7,$B111)),ISNUMBER(SEARCH('Task Finder'!$C$7,$C111)),ISNUMBER(SEARCH('Task Finder'!$C$7,$D111)),ISNUMBER(SEARCH('Task Finder'!$C$7,$K111)))),TRUE))</f>
        <v/>
      </c>
    </row>
    <row r="112">
      <c r="A112" s="19" t="n"/>
      <c r="B112" s="19" t="n"/>
      <c r="C112" s="19" t="n"/>
      <c r="D112" s="19" t="n"/>
      <c r="E112" s="19" t="n"/>
      <c r="F112" s="19" t="n"/>
      <c r="G112" s="19" t="n"/>
      <c r="H112" s="19" t="n"/>
      <c r="I112" s="19" t="n"/>
      <c r="J112" s="19" t="n"/>
      <c r="K112" s="19" t="n"/>
      <c r="L112" s="35" t="n"/>
      <c r="M112" s="5">
        <f>IF($D112="","",IFERROR(VLOOKUP($H112,Lists!$N$2:$O$6,2,FALSE),0))</f>
        <v/>
      </c>
      <c r="N112" s="5">
        <f>IF($D112="","",IF(OR($E112="Blocked",$E112="Done",$E112="Archive"),-9999,IF(AND($E112="Waiting",SUMPRODUCT((($E$5:$E$500="Next")+($E$5:$E$500="In Progress")+($E$5:$E$500="Captured"))*($D$5:$D$500&lt;&gt;""))&gt;0),-500,VLOOKUP($F112,Lists!$L$2:$M$4,2,FALSE)+IF($E112="In Progress",10,0)+IF(AND($I112&lt;&gt;"",$I112&lt;TODAY()),25,0)+IF(AND($I112&lt;&gt;"",$I112&gt;=TODAY(),$I112&lt;=TODAY()+7),15,0)+IF($H112="",0,IF($M112&lt;=VLOOKUP(Home!$C$7,Lists!$N$2:$O$6,2,FALSE),20,-10))+IF($G112=Home!$E$7,15,IF(Home!$E$7="",0,-5))-ROW()/100000)))</f>
        <v/>
      </c>
      <c r="O112" s="5">
        <f>IF($D112="","",IF($N112&lt;=-500,"Not recommended right now",IF($E112="Waiting","Nothing else actionable right now — Waiting on: "&amp;IF($K112="","this item",$K112),TEXTJOIN(" • ",TRUE,IF($F112="High","High Priority",""),IF(AND($I112&lt;&gt;"",$I112&lt;TODAY()),"Overdue",""),IF(AND($I112&lt;&gt;"",$I112&gt;=TODAY(),$I112&lt;=TODAY()+7),"Due This Week",""),IF(AND($H112&lt;&gt;"",$M112&lt;=VLOOKUP(Home!$C$7,Lists!$N$2:$O$6,2,FALSE)),$H112&amp;" Task",""),IF($G112=Home!$E$7,"Fits Current Energy",""),"No Blockers"))))</f>
        <v/>
      </c>
      <c r="P112" s="5">
        <f>IF($D112="","",SWITCH('Task Finder'!$C$6,"High Priority",AND($F112="High",$E112&lt;&gt;"Done",$E112&lt;&gt;"Archive"),"Due This Week",AND($I112&lt;&gt;"",$I112&gt;=TODAY(),$I112&lt;=TODAY()+7,$E112&lt;&gt;"Done"),"Quick Wins (15 mins or less)",AND($M112&lt;=15,$E112&lt;&gt;"Done",$E112&lt;&gt;"Blocked"),"Deep Thinking",AND($G112="Deep Thinking",$E112&lt;&gt;"Done"),"Processing",AND($G112="Processing",$E112&lt;&gt;"Done"),"Blocked",$E112="Blocked","Waiting",$E112="Waiting","Recently Updated",AND($L112&lt;&gt;"",$L112&gt;=TODAY()-7),"Keyword",AND('Task Finder'!$C$7&lt;&gt;"",OR(ISNUMBER(SEARCH('Task Finder'!$C$7,$A112)),ISNUMBER(SEARCH('Task Finder'!$C$7,$B112)),ISNUMBER(SEARCH('Task Finder'!$C$7,$C112)),ISNUMBER(SEARCH('Task Finder'!$C$7,$D112)),ISNUMBER(SEARCH('Task Finder'!$C$7,$K112)))),TRUE))</f>
        <v/>
      </c>
    </row>
    <row r="113">
      <c r="A113" s="19" t="n"/>
      <c r="B113" s="19" t="n"/>
      <c r="C113" s="19" t="n"/>
      <c r="D113" s="19" t="n"/>
      <c r="E113" s="19" t="n"/>
      <c r="F113" s="19" t="n"/>
      <c r="G113" s="19" t="n"/>
      <c r="H113" s="19" t="n"/>
      <c r="I113" s="19" t="n"/>
      <c r="J113" s="19" t="n"/>
      <c r="K113" s="19" t="n"/>
      <c r="L113" s="35" t="n"/>
      <c r="M113" s="5">
        <f>IF($D113="","",IFERROR(VLOOKUP($H113,Lists!$N$2:$O$6,2,FALSE),0))</f>
        <v/>
      </c>
      <c r="N113" s="5">
        <f>IF($D113="","",IF(OR($E113="Blocked",$E113="Done",$E113="Archive"),-9999,IF(AND($E113="Waiting",SUMPRODUCT((($E$5:$E$500="Next")+($E$5:$E$500="In Progress")+($E$5:$E$500="Captured"))*($D$5:$D$500&lt;&gt;""))&gt;0),-500,VLOOKUP($F113,Lists!$L$2:$M$4,2,FALSE)+IF($E113="In Progress",10,0)+IF(AND($I113&lt;&gt;"",$I113&lt;TODAY()),25,0)+IF(AND($I113&lt;&gt;"",$I113&gt;=TODAY(),$I113&lt;=TODAY()+7),15,0)+IF($H113="",0,IF($M113&lt;=VLOOKUP(Home!$C$7,Lists!$N$2:$O$6,2,FALSE),20,-10))+IF($G113=Home!$E$7,15,IF(Home!$E$7="",0,-5))-ROW()/100000)))</f>
        <v/>
      </c>
      <c r="O113" s="5">
        <f>IF($D113="","",IF($N113&lt;=-500,"Not recommended right now",IF($E113="Waiting","Nothing else actionable right now — Waiting on: "&amp;IF($K113="","this item",$K113),TEXTJOIN(" • ",TRUE,IF($F113="High","High Priority",""),IF(AND($I113&lt;&gt;"",$I113&lt;TODAY()),"Overdue",""),IF(AND($I113&lt;&gt;"",$I113&gt;=TODAY(),$I113&lt;=TODAY()+7),"Due This Week",""),IF(AND($H113&lt;&gt;"",$M113&lt;=VLOOKUP(Home!$C$7,Lists!$N$2:$O$6,2,FALSE)),$H113&amp;" Task",""),IF($G113=Home!$E$7,"Fits Current Energy",""),"No Blockers"))))</f>
        <v/>
      </c>
      <c r="P113" s="5">
        <f>IF($D113="","",SWITCH('Task Finder'!$C$6,"High Priority",AND($F113="High",$E113&lt;&gt;"Done",$E113&lt;&gt;"Archive"),"Due This Week",AND($I113&lt;&gt;"",$I113&gt;=TODAY(),$I113&lt;=TODAY()+7,$E113&lt;&gt;"Done"),"Quick Wins (15 mins or less)",AND($M113&lt;=15,$E113&lt;&gt;"Done",$E113&lt;&gt;"Blocked"),"Deep Thinking",AND($G113="Deep Thinking",$E113&lt;&gt;"Done"),"Processing",AND($G113="Processing",$E113&lt;&gt;"Done"),"Blocked",$E113="Blocked","Waiting",$E113="Waiting","Recently Updated",AND($L113&lt;&gt;"",$L113&gt;=TODAY()-7),"Keyword",AND('Task Finder'!$C$7&lt;&gt;"",OR(ISNUMBER(SEARCH('Task Finder'!$C$7,$A113)),ISNUMBER(SEARCH('Task Finder'!$C$7,$B113)),ISNUMBER(SEARCH('Task Finder'!$C$7,$C113)),ISNUMBER(SEARCH('Task Finder'!$C$7,$D113)),ISNUMBER(SEARCH('Task Finder'!$C$7,$K113)))),TRUE))</f>
        <v/>
      </c>
    </row>
    <row r="114">
      <c r="A114" s="19" t="n"/>
      <c r="B114" s="19" t="n"/>
      <c r="C114" s="19" t="n"/>
      <c r="D114" s="19" t="n"/>
      <c r="E114" s="19" t="n"/>
      <c r="F114" s="19" t="n"/>
      <c r="G114" s="19" t="n"/>
      <c r="H114" s="19" t="n"/>
      <c r="I114" s="19" t="n"/>
      <c r="J114" s="19" t="n"/>
      <c r="K114" s="19" t="n"/>
      <c r="L114" s="35" t="n"/>
      <c r="M114" s="5">
        <f>IF($D114="","",IFERROR(VLOOKUP($H114,Lists!$N$2:$O$6,2,FALSE),0))</f>
        <v/>
      </c>
      <c r="N114" s="5">
        <f>IF($D114="","",IF(OR($E114="Blocked",$E114="Done",$E114="Archive"),-9999,IF(AND($E114="Waiting",SUMPRODUCT((($E$5:$E$500="Next")+($E$5:$E$500="In Progress")+($E$5:$E$500="Captured"))*($D$5:$D$500&lt;&gt;""))&gt;0),-500,VLOOKUP($F114,Lists!$L$2:$M$4,2,FALSE)+IF($E114="In Progress",10,0)+IF(AND($I114&lt;&gt;"",$I114&lt;TODAY()),25,0)+IF(AND($I114&lt;&gt;"",$I114&gt;=TODAY(),$I114&lt;=TODAY()+7),15,0)+IF($H114="",0,IF($M114&lt;=VLOOKUP(Home!$C$7,Lists!$N$2:$O$6,2,FALSE),20,-10))+IF($G114=Home!$E$7,15,IF(Home!$E$7="",0,-5))-ROW()/100000)))</f>
        <v/>
      </c>
      <c r="O114" s="5">
        <f>IF($D114="","",IF($N114&lt;=-500,"Not recommended right now",IF($E114="Waiting","Nothing else actionable right now — Waiting on: "&amp;IF($K114="","this item",$K114),TEXTJOIN(" • ",TRUE,IF($F114="High","High Priority",""),IF(AND($I114&lt;&gt;"",$I114&lt;TODAY()),"Overdue",""),IF(AND($I114&lt;&gt;"",$I114&gt;=TODAY(),$I114&lt;=TODAY()+7),"Due This Week",""),IF(AND($H114&lt;&gt;"",$M114&lt;=VLOOKUP(Home!$C$7,Lists!$N$2:$O$6,2,FALSE)),$H114&amp;" Task",""),IF($G114=Home!$E$7,"Fits Current Energy",""),"No Blockers"))))</f>
        <v/>
      </c>
      <c r="P114" s="5">
        <f>IF($D114="","",SWITCH('Task Finder'!$C$6,"High Priority",AND($F114="High",$E114&lt;&gt;"Done",$E114&lt;&gt;"Archive"),"Due This Week",AND($I114&lt;&gt;"",$I114&gt;=TODAY(),$I114&lt;=TODAY()+7,$E114&lt;&gt;"Done"),"Quick Wins (15 mins or less)",AND($M114&lt;=15,$E114&lt;&gt;"Done",$E114&lt;&gt;"Blocked"),"Deep Thinking",AND($G114="Deep Thinking",$E114&lt;&gt;"Done"),"Processing",AND($G114="Processing",$E114&lt;&gt;"Done"),"Blocked",$E114="Blocked","Waiting",$E114="Waiting","Recently Updated",AND($L114&lt;&gt;"",$L114&gt;=TODAY()-7),"Keyword",AND('Task Finder'!$C$7&lt;&gt;"",OR(ISNUMBER(SEARCH('Task Finder'!$C$7,$A114)),ISNUMBER(SEARCH('Task Finder'!$C$7,$B114)),ISNUMBER(SEARCH('Task Finder'!$C$7,$C114)),ISNUMBER(SEARCH('Task Finder'!$C$7,$D114)),ISNUMBER(SEARCH('Task Finder'!$C$7,$K114)))),TRUE))</f>
        <v/>
      </c>
    </row>
    <row r="115">
      <c r="A115" s="19" t="n"/>
      <c r="B115" s="19" t="n"/>
      <c r="C115" s="19" t="n"/>
      <c r="D115" s="19" t="n"/>
      <c r="E115" s="19" t="n"/>
      <c r="F115" s="19" t="n"/>
      <c r="G115" s="19" t="n"/>
      <c r="H115" s="19" t="n"/>
      <c r="I115" s="19" t="n"/>
      <c r="J115" s="19" t="n"/>
      <c r="K115" s="19" t="n"/>
      <c r="L115" s="35" t="n"/>
      <c r="M115" s="5">
        <f>IF($D115="","",IFERROR(VLOOKUP($H115,Lists!$N$2:$O$6,2,FALSE),0))</f>
        <v/>
      </c>
      <c r="N115" s="5">
        <f>IF($D115="","",IF(OR($E115="Blocked",$E115="Done",$E115="Archive"),-9999,IF(AND($E115="Waiting",SUMPRODUCT((($E$5:$E$500="Next")+($E$5:$E$500="In Progress")+($E$5:$E$500="Captured"))*($D$5:$D$500&lt;&gt;""))&gt;0),-500,VLOOKUP($F115,Lists!$L$2:$M$4,2,FALSE)+IF($E115="In Progress",10,0)+IF(AND($I115&lt;&gt;"",$I115&lt;TODAY()),25,0)+IF(AND($I115&lt;&gt;"",$I115&gt;=TODAY(),$I115&lt;=TODAY()+7),15,0)+IF($H115="",0,IF($M115&lt;=VLOOKUP(Home!$C$7,Lists!$N$2:$O$6,2,FALSE),20,-10))+IF($G115=Home!$E$7,15,IF(Home!$E$7="",0,-5))-ROW()/100000)))</f>
        <v/>
      </c>
      <c r="O115" s="5">
        <f>IF($D115="","",IF($N115&lt;=-500,"Not recommended right now",IF($E115="Waiting","Nothing else actionable right now — Waiting on: "&amp;IF($K115="","this item",$K115),TEXTJOIN(" • ",TRUE,IF($F115="High","High Priority",""),IF(AND($I115&lt;&gt;"",$I115&lt;TODAY()),"Overdue",""),IF(AND($I115&lt;&gt;"",$I115&gt;=TODAY(),$I115&lt;=TODAY()+7),"Due This Week",""),IF(AND($H115&lt;&gt;"",$M115&lt;=VLOOKUP(Home!$C$7,Lists!$N$2:$O$6,2,FALSE)),$H115&amp;" Task",""),IF($G115=Home!$E$7,"Fits Current Energy",""),"No Blockers"))))</f>
        <v/>
      </c>
      <c r="P115" s="5">
        <f>IF($D115="","",SWITCH('Task Finder'!$C$6,"High Priority",AND($F115="High",$E115&lt;&gt;"Done",$E115&lt;&gt;"Archive"),"Due This Week",AND($I115&lt;&gt;"",$I115&gt;=TODAY(),$I115&lt;=TODAY()+7,$E115&lt;&gt;"Done"),"Quick Wins (15 mins or less)",AND($M115&lt;=15,$E115&lt;&gt;"Done",$E115&lt;&gt;"Blocked"),"Deep Thinking",AND($G115="Deep Thinking",$E115&lt;&gt;"Done"),"Processing",AND($G115="Processing",$E115&lt;&gt;"Done"),"Blocked",$E115="Blocked","Waiting",$E115="Waiting","Recently Updated",AND($L115&lt;&gt;"",$L115&gt;=TODAY()-7),"Keyword",AND('Task Finder'!$C$7&lt;&gt;"",OR(ISNUMBER(SEARCH('Task Finder'!$C$7,$A115)),ISNUMBER(SEARCH('Task Finder'!$C$7,$B115)),ISNUMBER(SEARCH('Task Finder'!$C$7,$C115)),ISNUMBER(SEARCH('Task Finder'!$C$7,$D115)),ISNUMBER(SEARCH('Task Finder'!$C$7,$K115)))),TRUE))</f>
        <v/>
      </c>
    </row>
    <row r="116">
      <c r="A116" s="19" t="n"/>
      <c r="B116" s="19" t="n"/>
      <c r="C116" s="19" t="n"/>
      <c r="D116" s="19" t="n"/>
      <c r="E116" s="19" t="n"/>
      <c r="F116" s="19" t="n"/>
      <c r="G116" s="19" t="n"/>
      <c r="H116" s="19" t="n"/>
      <c r="I116" s="19" t="n"/>
      <c r="J116" s="19" t="n"/>
      <c r="K116" s="19" t="n"/>
      <c r="L116" s="35" t="n"/>
      <c r="M116" s="5">
        <f>IF($D116="","",IFERROR(VLOOKUP($H116,Lists!$N$2:$O$6,2,FALSE),0))</f>
        <v/>
      </c>
      <c r="N116" s="5">
        <f>IF($D116="","",IF(OR($E116="Blocked",$E116="Done",$E116="Archive"),-9999,IF(AND($E116="Waiting",SUMPRODUCT((($E$5:$E$500="Next")+($E$5:$E$500="In Progress")+($E$5:$E$500="Captured"))*($D$5:$D$500&lt;&gt;""))&gt;0),-500,VLOOKUP($F116,Lists!$L$2:$M$4,2,FALSE)+IF($E116="In Progress",10,0)+IF(AND($I116&lt;&gt;"",$I116&lt;TODAY()),25,0)+IF(AND($I116&lt;&gt;"",$I116&gt;=TODAY(),$I116&lt;=TODAY()+7),15,0)+IF($H116="",0,IF($M116&lt;=VLOOKUP(Home!$C$7,Lists!$N$2:$O$6,2,FALSE),20,-10))+IF($G116=Home!$E$7,15,IF(Home!$E$7="",0,-5))-ROW()/100000)))</f>
        <v/>
      </c>
      <c r="O116" s="5">
        <f>IF($D116="","",IF($N116&lt;=-500,"Not recommended right now",IF($E116="Waiting","Nothing else actionable right now — Waiting on: "&amp;IF($K116="","this item",$K116),TEXTJOIN(" • ",TRUE,IF($F116="High","High Priority",""),IF(AND($I116&lt;&gt;"",$I116&lt;TODAY()),"Overdue",""),IF(AND($I116&lt;&gt;"",$I116&gt;=TODAY(),$I116&lt;=TODAY()+7),"Due This Week",""),IF(AND($H116&lt;&gt;"",$M116&lt;=VLOOKUP(Home!$C$7,Lists!$N$2:$O$6,2,FALSE)),$H116&amp;" Task",""),IF($G116=Home!$E$7,"Fits Current Energy",""),"No Blockers"))))</f>
        <v/>
      </c>
      <c r="P116" s="5">
        <f>IF($D116="","",SWITCH('Task Finder'!$C$6,"High Priority",AND($F116="High",$E116&lt;&gt;"Done",$E116&lt;&gt;"Archive"),"Due This Week",AND($I116&lt;&gt;"",$I116&gt;=TODAY(),$I116&lt;=TODAY()+7,$E116&lt;&gt;"Done"),"Quick Wins (15 mins or less)",AND($M116&lt;=15,$E116&lt;&gt;"Done",$E116&lt;&gt;"Blocked"),"Deep Thinking",AND($G116="Deep Thinking",$E116&lt;&gt;"Done"),"Processing",AND($G116="Processing",$E116&lt;&gt;"Done"),"Blocked",$E116="Blocked","Waiting",$E116="Waiting","Recently Updated",AND($L116&lt;&gt;"",$L116&gt;=TODAY()-7),"Keyword",AND('Task Finder'!$C$7&lt;&gt;"",OR(ISNUMBER(SEARCH('Task Finder'!$C$7,$A116)),ISNUMBER(SEARCH('Task Finder'!$C$7,$B116)),ISNUMBER(SEARCH('Task Finder'!$C$7,$C116)),ISNUMBER(SEARCH('Task Finder'!$C$7,$D116)),ISNUMBER(SEARCH('Task Finder'!$C$7,$K116)))),TRUE))</f>
        <v/>
      </c>
    </row>
    <row r="117">
      <c r="A117" s="19" t="n"/>
      <c r="B117" s="19" t="n"/>
      <c r="C117" s="19" t="n"/>
      <c r="D117" s="19" t="n"/>
      <c r="E117" s="19" t="n"/>
      <c r="F117" s="19" t="n"/>
      <c r="G117" s="19" t="n"/>
      <c r="H117" s="19" t="n"/>
      <c r="I117" s="19" t="n"/>
      <c r="J117" s="19" t="n"/>
      <c r="K117" s="19" t="n"/>
      <c r="L117" s="35" t="n"/>
      <c r="M117" s="5">
        <f>IF($D117="","",IFERROR(VLOOKUP($H117,Lists!$N$2:$O$6,2,FALSE),0))</f>
        <v/>
      </c>
      <c r="N117" s="5">
        <f>IF($D117="","",IF(OR($E117="Blocked",$E117="Done",$E117="Archive"),-9999,IF(AND($E117="Waiting",SUMPRODUCT((($E$5:$E$500="Next")+($E$5:$E$500="In Progress")+($E$5:$E$500="Captured"))*($D$5:$D$500&lt;&gt;""))&gt;0),-500,VLOOKUP($F117,Lists!$L$2:$M$4,2,FALSE)+IF($E117="In Progress",10,0)+IF(AND($I117&lt;&gt;"",$I117&lt;TODAY()),25,0)+IF(AND($I117&lt;&gt;"",$I117&gt;=TODAY(),$I117&lt;=TODAY()+7),15,0)+IF($H117="",0,IF($M117&lt;=VLOOKUP(Home!$C$7,Lists!$N$2:$O$6,2,FALSE),20,-10))+IF($G117=Home!$E$7,15,IF(Home!$E$7="",0,-5))-ROW()/100000)))</f>
        <v/>
      </c>
      <c r="O117" s="5">
        <f>IF($D117="","",IF($N117&lt;=-500,"Not recommended right now",IF($E117="Waiting","Nothing else actionable right now — Waiting on: "&amp;IF($K117="","this item",$K117),TEXTJOIN(" • ",TRUE,IF($F117="High","High Priority",""),IF(AND($I117&lt;&gt;"",$I117&lt;TODAY()),"Overdue",""),IF(AND($I117&lt;&gt;"",$I117&gt;=TODAY(),$I117&lt;=TODAY()+7),"Due This Week",""),IF(AND($H117&lt;&gt;"",$M117&lt;=VLOOKUP(Home!$C$7,Lists!$N$2:$O$6,2,FALSE)),$H117&amp;" Task",""),IF($G117=Home!$E$7,"Fits Current Energy",""),"No Blockers"))))</f>
        <v/>
      </c>
      <c r="P117" s="5">
        <f>IF($D117="","",SWITCH('Task Finder'!$C$6,"High Priority",AND($F117="High",$E117&lt;&gt;"Done",$E117&lt;&gt;"Archive"),"Due This Week",AND($I117&lt;&gt;"",$I117&gt;=TODAY(),$I117&lt;=TODAY()+7,$E117&lt;&gt;"Done"),"Quick Wins (15 mins or less)",AND($M117&lt;=15,$E117&lt;&gt;"Done",$E117&lt;&gt;"Blocked"),"Deep Thinking",AND($G117="Deep Thinking",$E117&lt;&gt;"Done"),"Processing",AND($G117="Processing",$E117&lt;&gt;"Done"),"Blocked",$E117="Blocked","Waiting",$E117="Waiting","Recently Updated",AND($L117&lt;&gt;"",$L117&gt;=TODAY()-7),"Keyword",AND('Task Finder'!$C$7&lt;&gt;"",OR(ISNUMBER(SEARCH('Task Finder'!$C$7,$A117)),ISNUMBER(SEARCH('Task Finder'!$C$7,$B117)),ISNUMBER(SEARCH('Task Finder'!$C$7,$C117)),ISNUMBER(SEARCH('Task Finder'!$C$7,$D117)),ISNUMBER(SEARCH('Task Finder'!$C$7,$K117)))),TRUE))</f>
        <v/>
      </c>
    </row>
    <row r="118">
      <c r="A118" s="19" t="n"/>
      <c r="B118" s="19" t="n"/>
      <c r="C118" s="19" t="n"/>
      <c r="D118" s="19" t="n"/>
      <c r="E118" s="19" t="n"/>
      <c r="F118" s="19" t="n"/>
      <c r="G118" s="19" t="n"/>
      <c r="H118" s="19" t="n"/>
      <c r="I118" s="19" t="n"/>
      <c r="J118" s="19" t="n"/>
      <c r="K118" s="19" t="n"/>
      <c r="L118" s="35" t="n"/>
      <c r="M118" s="5">
        <f>IF($D118="","",IFERROR(VLOOKUP($H118,Lists!$N$2:$O$6,2,FALSE),0))</f>
        <v/>
      </c>
      <c r="N118" s="5">
        <f>IF($D118="","",IF(OR($E118="Blocked",$E118="Done",$E118="Archive"),-9999,IF(AND($E118="Waiting",SUMPRODUCT((($E$5:$E$500="Next")+($E$5:$E$500="In Progress")+($E$5:$E$500="Captured"))*($D$5:$D$500&lt;&gt;""))&gt;0),-500,VLOOKUP($F118,Lists!$L$2:$M$4,2,FALSE)+IF($E118="In Progress",10,0)+IF(AND($I118&lt;&gt;"",$I118&lt;TODAY()),25,0)+IF(AND($I118&lt;&gt;"",$I118&gt;=TODAY(),$I118&lt;=TODAY()+7),15,0)+IF($H118="",0,IF($M118&lt;=VLOOKUP(Home!$C$7,Lists!$N$2:$O$6,2,FALSE),20,-10))+IF($G118=Home!$E$7,15,IF(Home!$E$7="",0,-5))-ROW()/100000)))</f>
        <v/>
      </c>
      <c r="O118" s="5">
        <f>IF($D118="","",IF($N118&lt;=-500,"Not recommended right now",IF($E118="Waiting","Nothing else actionable right now — Waiting on: "&amp;IF($K118="","this item",$K118),TEXTJOIN(" • ",TRUE,IF($F118="High","High Priority",""),IF(AND($I118&lt;&gt;"",$I118&lt;TODAY()),"Overdue",""),IF(AND($I118&lt;&gt;"",$I118&gt;=TODAY(),$I118&lt;=TODAY()+7),"Due This Week",""),IF(AND($H118&lt;&gt;"",$M118&lt;=VLOOKUP(Home!$C$7,Lists!$N$2:$O$6,2,FALSE)),$H118&amp;" Task",""),IF($G118=Home!$E$7,"Fits Current Energy",""),"No Blockers"))))</f>
        <v/>
      </c>
      <c r="P118" s="5">
        <f>IF($D118="","",SWITCH('Task Finder'!$C$6,"High Priority",AND($F118="High",$E118&lt;&gt;"Done",$E118&lt;&gt;"Archive"),"Due This Week",AND($I118&lt;&gt;"",$I118&gt;=TODAY(),$I118&lt;=TODAY()+7,$E118&lt;&gt;"Done"),"Quick Wins (15 mins or less)",AND($M118&lt;=15,$E118&lt;&gt;"Done",$E118&lt;&gt;"Blocked"),"Deep Thinking",AND($G118="Deep Thinking",$E118&lt;&gt;"Done"),"Processing",AND($G118="Processing",$E118&lt;&gt;"Done"),"Blocked",$E118="Blocked","Waiting",$E118="Waiting","Recently Updated",AND($L118&lt;&gt;"",$L118&gt;=TODAY()-7),"Keyword",AND('Task Finder'!$C$7&lt;&gt;"",OR(ISNUMBER(SEARCH('Task Finder'!$C$7,$A118)),ISNUMBER(SEARCH('Task Finder'!$C$7,$B118)),ISNUMBER(SEARCH('Task Finder'!$C$7,$C118)),ISNUMBER(SEARCH('Task Finder'!$C$7,$D118)),ISNUMBER(SEARCH('Task Finder'!$C$7,$K118)))),TRUE))</f>
        <v/>
      </c>
    </row>
    <row r="119">
      <c r="A119" s="19" t="n"/>
      <c r="B119" s="19" t="n"/>
      <c r="C119" s="19" t="n"/>
      <c r="D119" s="19" t="n"/>
      <c r="E119" s="19" t="n"/>
      <c r="F119" s="19" t="n"/>
      <c r="G119" s="19" t="n"/>
      <c r="H119" s="19" t="n"/>
      <c r="I119" s="19" t="n"/>
      <c r="J119" s="19" t="n"/>
      <c r="K119" s="19" t="n"/>
      <c r="L119" s="35" t="n"/>
      <c r="M119" s="5">
        <f>IF($D119="","",IFERROR(VLOOKUP($H119,Lists!$N$2:$O$6,2,FALSE),0))</f>
        <v/>
      </c>
      <c r="N119" s="5">
        <f>IF($D119="","",IF(OR($E119="Blocked",$E119="Done",$E119="Archive"),-9999,IF(AND($E119="Waiting",SUMPRODUCT((($E$5:$E$500="Next")+($E$5:$E$500="In Progress")+($E$5:$E$500="Captured"))*($D$5:$D$500&lt;&gt;""))&gt;0),-500,VLOOKUP($F119,Lists!$L$2:$M$4,2,FALSE)+IF($E119="In Progress",10,0)+IF(AND($I119&lt;&gt;"",$I119&lt;TODAY()),25,0)+IF(AND($I119&lt;&gt;"",$I119&gt;=TODAY(),$I119&lt;=TODAY()+7),15,0)+IF($H119="",0,IF($M119&lt;=VLOOKUP(Home!$C$7,Lists!$N$2:$O$6,2,FALSE),20,-10))+IF($G119=Home!$E$7,15,IF(Home!$E$7="",0,-5))-ROW()/100000)))</f>
        <v/>
      </c>
      <c r="O119" s="5">
        <f>IF($D119="","",IF($N119&lt;=-500,"Not recommended right now",IF($E119="Waiting","Nothing else actionable right now — Waiting on: "&amp;IF($K119="","this item",$K119),TEXTJOIN(" • ",TRUE,IF($F119="High","High Priority",""),IF(AND($I119&lt;&gt;"",$I119&lt;TODAY()),"Overdue",""),IF(AND($I119&lt;&gt;"",$I119&gt;=TODAY(),$I119&lt;=TODAY()+7),"Due This Week",""),IF(AND($H119&lt;&gt;"",$M119&lt;=VLOOKUP(Home!$C$7,Lists!$N$2:$O$6,2,FALSE)),$H119&amp;" Task",""),IF($G119=Home!$E$7,"Fits Current Energy",""),"No Blockers"))))</f>
        <v/>
      </c>
      <c r="P119" s="5">
        <f>IF($D119="","",SWITCH('Task Finder'!$C$6,"High Priority",AND($F119="High",$E119&lt;&gt;"Done",$E119&lt;&gt;"Archive"),"Due This Week",AND($I119&lt;&gt;"",$I119&gt;=TODAY(),$I119&lt;=TODAY()+7,$E119&lt;&gt;"Done"),"Quick Wins (15 mins or less)",AND($M119&lt;=15,$E119&lt;&gt;"Done",$E119&lt;&gt;"Blocked"),"Deep Thinking",AND($G119="Deep Thinking",$E119&lt;&gt;"Done"),"Processing",AND($G119="Processing",$E119&lt;&gt;"Done"),"Blocked",$E119="Blocked","Waiting",$E119="Waiting","Recently Updated",AND($L119&lt;&gt;"",$L119&gt;=TODAY()-7),"Keyword",AND('Task Finder'!$C$7&lt;&gt;"",OR(ISNUMBER(SEARCH('Task Finder'!$C$7,$A119)),ISNUMBER(SEARCH('Task Finder'!$C$7,$B119)),ISNUMBER(SEARCH('Task Finder'!$C$7,$C119)),ISNUMBER(SEARCH('Task Finder'!$C$7,$D119)),ISNUMBER(SEARCH('Task Finder'!$C$7,$K119)))),TRUE))</f>
        <v/>
      </c>
    </row>
    <row r="120">
      <c r="A120" s="19" t="n"/>
      <c r="B120" s="19" t="n"/>
      <c r="C120" s="19" t="n"/>
      <c r="D120" s="19" t="n"/>
      <c r="E120" s="19" t="n"/>
      <c r="F120" s="19" t="n"/>
      <c r="G120" s="19" t="n"/>
      <c r="H120" s="19" t="n"/>
      <c r="I120" s="19" t="n"/>
      <c r="J120" s="19" t="n"/>
      <c r="K120" s="19" t="n"/>
      <c r="L120" s="35" t="n"/>
      <c r="M120" s="5">
        <f>IF($D120="","",IFERROR(VLOOKUP($H120,Lists!$N$2:$O$6,2,FALSE),0))</f>
        <v/>
      </c>
      <c r="N120" s="5">
        <f>IF($D120="","",IF(OR($E120="Blocked",$E120="Done",$E120="Archive"),-9999,IF(AND($E120="Waiting",SUMPRODUCT((($E$5:$E$500="Next")+($E$5:$E$500="In Progress")+($E$5:$E$500="Captured"))*($D$5:$D$500&lt;&gt;""))&gt;0),-500,VLOOKUP($F120,Lists!$L$2:$M$4,2,FALSE)+IF($E120="In Progress",10,0)+IF(AND($I120&lt;&gt;"",$I120&lt;TODAY()),25,0)+IF(AND($I120&lt;&gt;"",$I120&gt;=TODAY(),$I120&lt;=TODAY()+7),15,0)+IF($H120="",0,IF($M120&lt;=VLOOKUP(Home!$C$7,Lists!$N$2:$O$6,2,FALSE),20,-10))+IF($G120=Home!$E$7,15,IF(Home!$E$7="",0,-5))-ROW()/100000)))</f>
        <v/>
      </c>
      <c r="O120" s="5">
        <f>IF($D120="","",IF($N120&lt;=-500,"Not recommended right now",IF($E120="Waiting","Nothing else actionable right now — Waiting on: "&amp;IF($K120="","this item",$K120),TEXTJOIN(" • ",TRUE,IF($F120="High","High Priority",""),IF(AND($I120&lt;&gt;"",$I120&lt;TODAY()),"Overdue",""),IF(AND($I120&lt;&gt;"",$I120&gt;=TODAY(),$I120&lt;=TODAY()+7),"Due This Week",""),IF(AND($H120&lt;&gt;"",$M120&lt;=VLOOKUP(Home!$C$7,Lists!$N$2:$O$6,2,FALSE)),$H120&amp;" Task",""),IF($G120=Home!$E$7,"Fits Current Energy",""),"No Blockers"))))</f>
        <v/>
      </c>
      <c r="P120" s="5">
        <f>IF($D120="","",SWITCH('Task Finder'!$C$6,"High Priority",AND($F120="High",$E120&lt;&gt;"Done",$E120&lt;&gt;"Archive"),"Due This Week",AND($I120&lt;&gt;"",$I120&gt;=TODAY(),$I120&lt;=TODAY()+7,$E120&lt;&gt;"Done"),"Quick Wins (15 mins or less)",AND($M120&lt;=15,$E120&lt;&gt;"Done",$E120&lt;&gt;"Blocked"),"Deep Thinking",AND($G120="Deep Thinking",$E120&lt;&gt;"Done"),"Processing",AND($G120="Processing",$E120&lt;&gt;"Done"),"Blocked",$E120="Blocked","Waiting",$E120="Waiting","Recently Updated",AND($L120&lt;&gt;"",$L120&gt;=TODAY()-7),"Keyword",AND('Task Finder'!$C$7&lt;&gt;"",OR(ISNUMBER(SEARCH('Task Finder'!$C$7,$A120)),ISNUMBER(SEARCH('Task Finder'!$C$7,$B120)),ISNUMBER(SEARCH('Task Finder'!$C$7,$C120)),ISNUMBER(SEARCH('Task Finder'!$C$7,$D120)),ISNUMBER(SEARCH('Task Finder'!$C$7,$K120)))),TRUE))</f>
        <v/>
      </c>
    </row>
    <row r="121">
      <c r="A121" s="19" t="n"/>
      <c r="B121" s="19" t="n"/>
      <c r="C121" s="19" t="n"/>
      <c r="D121" s="19" t="n"/>
      <c r="E121" s="19" t="n"/>
      <c r="F121" s="19" t="n"/>
      <c r="G121" s="19" t="n"/>
      <c r="H121" s="19" t="n"/>
      <c r="I121" s="19" t="n"/>
      <c r="J121" s="19" t="n"/>
      <c r="K121" s="19" t="n"/>
      <c r="L121" s="35" t="n"/>
      <c r="M121" s="5">
        <f>IF($D121="","",IFERROR(VLOOKUP($H121,Lists!$N$2:$O$6,2,FALSE),0))</f>
        <v/>
      </c>
      <c r="N121" s="5">
        <f>IF($D121="","",IF(OR($E121="Blocked",$E121="Done",$E121="Archive"),-9999,IF(AND($E121="Waiting",SUMPRODUCT((($E$5:$E$500="Next")+($E$5:$E$500="In Progress")+($E$5:$E$500="Captured"))*($D$5:$D$500&lt;&gt;""))&gt;0),-500,VLOOKUP($F121,Lists!$L$2:$M$4,2,FALSE)+IF($E121="In Progress",10,0)+IF(AND($I121&lt;&gt;"",$I121&lt;TODAY()),25,0)+IF(AND($I121&lt;&gt;"",$I121&gt;=TODAY(),$I121&lt;=TODAY()+7),15,0)+IF($H121="",0,IF($M121&lt;=VLOOKUP(Home!$C$7,Lists!$N$2:$O$6,2,FALSE),20,-10))+IF($G121=Home!$E$7,15,IF(Home!$E$7="",0,-5))-ROW()/100000)))</f>
        <v/>
      </c>
      <c r="O121" s="5">
        <f>IF($D121="","",IF($N121&lt;=-500,"Not recommended right now",IF($E121="Waiting","Nothing else actionable right now — Waiting on: "&amp;IF($K121="","this item",$K121),TEXTJOIN(" • ",TRUE,IF($F121="High","High Priority",""),IF(AND($I121&lt;&gt;"",$I121&lt;TODAY()),"Overdue",""),IF(AND($I121&lt;&gt;"",$I121&gt;=TODAY(),$I121&lt;=TODAY()+7),"Due This Week",""),IF(AND($H121&lt;&gt;"",$M121&lt;=VLOOKUP(Home!$C$7,Lists!$N$2:$O$6,2,FALSE)),$H121&amp;" Task",""),IF($G121=Home!$E$7,"Fits Current Energy",""),"No Blockers"))))</f>
        <v/>
      </c>
      <c r="P121" s="5">
        <f>IF($D121="","",SWITCH('Task Finder'!$C$6,"High Priority",AND($F121="High",$E121&lt;&gt;"Done",$E121&lt;&gt;"Archive"),"Due This Week",AND($I121&lt;&gt;"",$I121&gt;=TODAY(),$I121&lt;=TODAY()+7,$E121&lt;&gt;"Done"),"Quick Wins (15 mins or less)",AND($M121&lt;=15,$E121&lt;&gt;"Done",$E121&lt;&gt;"Blocked"),"Deep Thinking",AND($G121="Deep Thinking",$E121&lt;&gt;"Done"),"Processing",AND($G121="Processing",$E121&lt;&gt;"Done"),"Blocked",$E121="Blocked","Waiting",$E121="Waiting","Recently Updated",AND($L121&lt;&gt;"",$L121&gt;=TODAY()-7),"Keyword",AND('Task Finder'!$C$7&lt;&gt;"",OR(ISNUMBER(SEARCH('Task Finder'!$C$7,$A121)),ISNUMBER(SEARCH('Task Finder'!$C$7,$B121)),ISNUMBER(SEARCH('Task Finder'!$C$7,$C121)),ISNUMBER(SEARCH('Task Finder'!$C$7,$D121)),ISNUMBER(SEARCH('Task Finder'!$C$7,$K121)))),TRUE))</f>
        <v/>
      </c>
    </row>
    <row r="122">
      <c r="A122" s="19" t="n"/>
      <c r="B122" s="19" t="n"/>
      <c r="C122" s="19" t="n"/>
      <c r="D122" s="19" t="n"/>
      <c r="E122" s="19" t="n"/>
      <c r="F122" s="19" t="n"/>
      <c r="G122" s="19" t="n"/>
      <c r="H122" s="19" t="n"/>
      <c r="I122" s="19" t="n"/>
      <c r="J122" s="19" t="n"/>
      <c r="K122" s="19" t="n"/>
      <c r="L122" s="35" t="n"/>
      <c r="M122" s="5">
        <f>IF($D122="","",IFERROR(VLOOKUP($H122,Lists!$N$2:$O$6,2,FALSE),0))</f>
        <v/>
      </c>
      <c r="N122" s="5">
        <f>IF($D122="","",IF(OR($E122="Blocked",$E122="Done",$E122="Archive"),-9999,IF(AND($E122="Waiting",SUMPRODUCT((($E$5:$E$500="Next")+($E$5:$E$500="In Progress")+($E$5:$E$500="Captured"))*($D$5:$D$500&lt;&gt;""))&gt;0),-500,VLOOKUP($F122,Lists!$L$2:$M$4,2,FALSE)+IF($E122="In Progress",10,0)+IF(AND($I122&lt;&gt;"",$I122&lt;TODAY()),25,0)+IF(AND($I122&lt;&gt;"",$I122&gt;=TODAY(),$I122&lt;=TODAY()+7),15,0)+IF($H122="",0,IF($M122&lt;=VLOOKUP(Home!$C$7,Lists!$N$2:$O$6,2,FALSE),20,-10))+IF($G122=Home!$E$7,15,IF(Home!$E$7="",0,-5))-ROW()/100000)))</f>
        <v/>
      </c>
      <c r="O122" s="5">
        <f>IF($D122="","",IF($N122&lt;=-500,"Not recommended right now",IF($E122="Waiting","Nothing else actionable right now — Waiting on: "&amp;IF($K122="","this item",$K122),TEXTJOIN(" • ",TRUE,IF($F122="High","High Priority",""),IF(AND($I122&lt;&gt;"",$I122&lt;TODAY()),"Overdue",""),IF(AND($I122&lt;&gt;"",$I122&gt;=TODAY(),$I122&lt;=TODAY()+7),"Due This Week",""),IF(AND($H122&lt;&gt;"",$M122&lt;=VLOOKUP(Home!$C$7,Lists!$N$2:$O$6,2,FALSE)),$H122&amp;" Task",""),IF($G122=Home!$E$7,"Fits Current Energy",""),"No Blockers"))))</f>
        <v/>
      </c>
      <c r="P122" s="5">
        <f>IF($D122="","",SWITCH('Task Finder'!$C$6,"High Priority",AND($F122="High",$E122&lt;&gt;"Done",$E122&lt;&gt;"Archive"),"Due This Week",AND($I122&lt;&gt;"",$I122&gt;=TODAY(),$I122&lt;=TODAY()+7,$E122&lt;&gt;"Done"),"Quick Wins (15 mins or less)",AND($M122&lt;=15,$E122&lt;&gt;"Done",$E122&lt;&gt;"Blocked"),"Deep Thinking",AND($G122="Deep Thinking",$E122&lt;&gt;"Done"),"Processing",AND($G122="Processing",$E122&lt;&gt;"Done"),"Blocked",$E122="Blocked","Waiting",$E122="Waiting","Recently Updated",AND($L122&lt;&gt;"",$L122&gt;=TODAY()-7),"Keyword",AND('Task Finder'!$C$7&lt;&gt;"",OR(ISNUMBER(SEARCH('Task Finder'!$C$7,$A122)),ISNUMBER(SEARCH('Task Finder'!$C$7,$B122)),ISNUMBER(SEARCH('Task Finder'!$C$7,$C122)),ISNUMBER(SEARCH('Task Finder'!$C$7,$D122)),ISNUMBER(SEARCH('Task Finder'!$C$7,$K122)))),TRUE))</f>
        <v/>
      </c>
    </row>
    <row r="123">
      <c r="A123" s="19" t="n"/>
      <c r="B123" s="19" t="n"/>
      <c r="C123" s="19" t="n"/>
      <c r="D123" s="19" t="n"/>
      <c r="E123" s="19" t="n"/>
      <c r="F123" s="19" t="n"/>
      <c r="G123" s="19" t="n"/>
      <c r="H123" s="19" t="n"/>
      <c r="I123" s="19" t="n"/>
      <c r="J123" s="19" t="n"/>
      <c r="K123" s="19" t="n"/>
      <c r="L123" s="35" t="n"/>
      <c r="M123" s="5">
        <f>IF($D123="","",IFERROR(VLOOKUP($H123,Lists!$N$2:$O$6,2,FALSE),0))</f>
        <v/>
      </c>
      <c r="N123" s="5">
        <f>IF($D123="","",IF(OR($E123="Blocked",$E123="Done",$E123="Archive"),-9999,IF(AND($E123="Waiting",SUMPRODUCT((($E$5:$E$500="Next")+($E$5:$E$500="In Progress")+($E$5:$E$500="Captured"))*($D$5:$D$500&lt;&gt;""))&gt;0),-500,VLOOKUP($F123,Lists!$L$2:$M$4,2,FALSE)+IF($E123="In Progress",10,0)+IF(AND($I123&lt;&gt;"",$I123&lt;TODAY()),25,0)+IF(AND($I123&lt;&gt;"",$I123&gt;=TODAY(),$I123&lt;=TODAY()+7),15,0)+IF($H123="",0,IF($M123&lt;=VLOOKUP(Home!$C$7,Lists!$N$2:$O$6,2,FALSE),20,-10))+IF($G123=Home!$E$7,15,IF(Home!$E$7="",0,-5))-ROW()/100000)))</f>
        <v/>
      </c>
      <c r="O123" s="5">
        <f>IF($D123="","",IF($N123&lt;=-500,"Not recommended right now",IF($E123="Waiting","Nothing else actionable right now — Waiting on: "&amp;IF($K123="","this item",$K123),TEXTJOIN(" • ",TRUE,IF($F123="High","High Priority",""),IF(AND($I123&lt;&gt;"",$I123&lt;TODAY()),"Overdue",""),IF(AND($I123&lt;&gt;"",$I123&gt;=TODAY(),$I123&lt;=TODAY()+7),"Due This Week",""),IF(AND($H123&lt;&gt;"",$M123&lt;=VLOOKUP(Home!$C$7,Lists!$N$2:$O$6,2,FALSE)),$H123&amp;" Task",""),IF($G123=Home!$E$7,"Fits Current Energy",""),"No Blockers"))))</f>
        <v/>
      </c>
      <c r="P123" s="5">
        <f>IF($D123="","",SWITCH('Task Finder'!$C$6,"High Priority",AND($F123="High",$E123&lt;&gt;"Done",$E123&lt;&gt;"Archive"),"Due This Week",AND($I123&lt;&gt;"",$I123&gt;=TODAY(),$I123&lt;=TODAY()+7,$E123&lt;&gt;"Done"),"Quick Wins (15 mins or less)",AND($M123&lt;=15,$E123&lt;&gt;"Done",$E123&lt;&gt;"Blocked"),"Deep Thinking",AND($G123="Deep Thinking",$E123&lt;&gt;"Done"),"Processing",AND($G123="Processing",$E123&lt;&gt;"Done"),"Blocked",$E123="Blocked","Waiting",$E123="Waiting","Recently Updated",AND($L123&lt;&gt;"",$L123&gt;=TODAY()-7),"Keyword",AND('Task Finder'!$C$7&lt;&gt;"",OR(ISNUMBER(SEARCH('Task Finder'!$C$7,$A123)),ISNUMBER(SEARCH('Task Finder'!$C$7,$B123)),ISNUMBER(SEARCH('Task Finder'!$C$7,$C123)),ISNUMBER(SEARCH('Task Finder'!$C$7,$D123)),ISNUMBER(SEARCH('Task Finder'!$C$7,$K123)))),TRUE))</f>
        <v/>
      </c>
    </row>
    <row r="124">
      <c r="A124" s="19" t="n"/>
      <c r="B124" s="19" t="n"/>
      <c r="C124" s="19" t="n"/>
      <c r="D124" s="19" t="n"/>
      <c r="E124" s="19" t="n"/>
      <c r="F124" s="19" t="n"/>
      <c r="G124" s="19" t="n"/>
      <c r="H124" s="19" t="n"/>
      <c r="I124" s="19" t="n"/>
      <c r="J124" s="19" t="n"/>
      <c r="K124" s="19" t="n"/>
      <c r="L124" s="35" t="n"/>
      <c r="M124" s="5">
        <f>IF($D124="","",IFERROR(VLOOKUP($H124,Lists!$N$2:$O$6,2,FALSE),0))</f>
        <v/>
      </c>
      <c r="N124" s="5">
        <f>IF($D124="","",IF(OR($E124="Blocked",$E124="Done",$E124="Archive"),-9999,IF(AND($E124="Waiting",SUMPRODUCT((($E$5:$E$500="Next")+($E$5:$E$500="In Progress")+($E$5:$E$500="Captured"))*($D$5:$D$500&lt;&gt;""))&gt;0),-500,VLOOKUP($F124,Lists!$L$2:$M$4,2,FALSE)+IF($E124="In Progress",10,0)+IF(AND($I124&lt;&gt;"",$I124&lt;TODAY()),25,0)+IF(AND($I124&lt;&gt;"",$I124&gt;=TODAY(),$I124&lt;=TODAY()+7),15,0)+IF($H124="",0,IF($M124&lt;=VLOOKUP(Home!$C$7,Lists!$N$2:$O$6,2,FALSE),20,-10))+IF($G124=Home!$E$7,15,IF(Home!$E$7="",0,-5))-ROW()/100000)))</f>
        <v/>
      </c>
      <c r="O124" s="5">
        <f>IF($D124="","",IF($N124&lt;=-500,"Not recommended right now",IF($E124="Waiting","Nothing else actionable right now — Waiting on: "&amp;IF($K124="","this item",$K124),TEXTJOIN(" • ",TRUE,IF($F124="High","High Priority",""),IF(AND($I124&lt;&gt;"",$I124&lt;TODAY()),"Overdue",""),IF(AND($I124&lt;&gt;"",$I124&gt;=TODAY(),$I124&lt;=TODAY()+7),"Due This Week",""),IF(AND($H124&lt;&gt;"",$M124&lt;=VLOOKUP(Home!$C$7,Lists!$N$2:$O$6,2,FALSE)),$H124&amp;" Task",""),IF($G124=Home!$E$7,"Fits Current Energy",""),"No Blockers"))))</f>
        <v/>
      </c>
      <c r="P124" s="5">
        <f>IF($D124="","",SWITCH('Task Finder'!$C$6,"High Priority",AND($F124="High",$E124&lt;&gt;"Done",$E124&lt;&gt;"Archive"),"Due This Week",AND($I124&lt;&gt;"",$I124&gt;=TODAY(),$I124&lt;=TODAY()+7,$E124&lt;&gt;"Done"),"Quick Wins (15 mins or less)",AND($M124&lt;=15,$E124&lt;&gt;"Done",$E124&lt;&gt;"Blocked"),"Deep Thinking",AND($G124="Deep Thinking",$E124&lt;&gt;"Done"),"Processing",AND($G124="Processing",$E124&lt;&gt;"Done"),"Blocked",$E124="Blocked","Waiting",$E124="Waiting","Recently Updated",AND($L124&lt;&gt;"",$L124&gt;=TODAY()-7),"Keyword",AND('Task Finder'!$C$7&lt;&gt;"",OR(ISNUMBER(SEARCH('Task Finder'!$C$7,$A124)),ISNUMBER(SEARCH('Task Finder'!$C$7,$B124)),ISNUMBER(SEARCH('Task Finder'!$C$7,$C124)),ISNUMBER(SEARCH('Task Finder'!$C$7,$D124)),ISNUMBER(SEARCH('Task Finder'!$C$7,$K124)))),TRUE))</f>
        <v/>
      </c>
    </row>
    <row r="125">
      <c r="A125" s="19" t="n"/>
      <c r="B125" s="19" t="n"/>
      <c r="C125" s="19" t="n"/>
      <c r="D125" s="19" t="n"/>
      <c r="E125" s="19" t="n"/>
      <c r="F125" s="19" t="n"/>
      <c r="G125" s="19" t="n"/>
      <c r="H125" s="19" t="n"/>
      <c r="I125" s="19" t="n"/>
      <c r="J125" s="19" t="n"/>
      <c r="K125" s="19" t="n"/>
      <c r="L125" s="35" t="n"/>
      <c r="M125" s="5">
        <f>IF($D125="","",IFERROR(VLOOKUP($H125,Lists!$N$2:$O$6,2,FALSE),0))</f>
        <v/>
      </c>
      <c r="N125" s="5">
        <f>IF($D125="","",IF(OR($E125="Blocked",$E125="Done",$E125="Archive"),-9999,IF(AND($E125="Waiting",SUMPRODUCT((($E$5:$E$500="Next")+($E$5:$E$500="In Progress")+($E$5:$E$500="Captured"))*($D$5:$D$500&lt;&gt;""))&gt;0),-500,VLOOKUP($F125,Lists!$L$2:$M$4,2,FALSE)+IF($E125="In Progress",10,0)+IF(AND($I125&lt;&gt;"",$I125&lt;TODAY()),25,0)+IF(AND($I125&lt;&gt;"",$I125&gt;=TODAY(),$I125&lt;=TODAY()+7),15,0)+IF($H125="",0,IF($M125&lt;=VLOOKUP(Home!$C$7,Lists!$N$2:$O$6,2,FALSE),20,-10))+IF($G125=Home!$E$7,15,IF(Home!$E$7="",0,-5))-ROW()/100000)))</f>
        <v/>
      </c>
      <c r="O125" s="5">
        <f>IF($D125="","",IF($N125&lt;=-500,"Not recommended right now",IF($E125="Waiting","Nothing else actionable right now — Waiting on: "&amp;IF($K125="","this item",$K125),TEXTJOIN(" • ",TRUE,IF($F125="High","High Priority",""),IF(AND($I125&lt;&gt;"",$I125&lt;TODAY()),"Overdue",""),IF(AND($I125&lt;&gt;"",$I125&gt;=TODAY(),$I125&lt;=TODAY()+7),"Due This Week",""),IF(AND($H125&lt;&gt;"",$M125&lt;=VLOOKUP(Home!$C$7,Lists!$N$2:$O$6,2,FALSE)),$H125&amp;" Task",""),IF($G125=Home!$E$7,"Fits Current Energy",""),"No Blockers"))))</f>
        <v/>
      </c>
      <c r="P125" s="5">
        <f>IF($D125="","",SWITCH('Task Finder'!$C$6,"High Priority",AND($F125="High",$E125&lt;&gt;"Done",$E125&lt;&gt;"Archive"),"Due This Week",AND($I125&lt;&gt;"",$I125&gt;=TODAY(),$I125&lt;=TODAY()+7,$E125&lt;&gt;"Done"),"Quick Wins (15 mins or less)",AND($M125&lt;=15,$E125&lt;&gt;"Done",$E125&lt;&gt;"Blocked"),"Deep Thinking",AND($G125="Deep Thinking",$E125&lt;&gt;"Done"),"Processing",AND($G125="Processing",$E125&lt;&gt;"Done"),"Blocked",$E125="Blocked","Waiting",$E125="Waiting","Recently Updated",AND($L125&lt;&gt;"",$L125&gt;=TODAY()-7),"Keyword",AND('Task Finder'!$C$7&lt;&gt;"",OR(ISNUMBER(SEARCH('Task Finder'!$C$7,$A125)),ISNUMBER(SEARCH('Task Finder'!$C$7,$B125)),ISNUMBER(SEARCH('Task Finder'!$C$7,$C125)),ISNUMBER(SEARCH('Task Finder'!$C$7,$D125)),ISNUMBER(SEARCH('Task Finder'!$C$7,$K125)))),TRUE))</f>
        <v/>
      </c>
    </row>
    <row r="126">
      <c r="A126" s="19" t="n"/>
      <c r="B126" s="19" t="n"/>
      <c r="C126" s="19" t="n"/>
      <c r="D126" s="19" t="n"/>
      <c r="E126" s="19" t="n"/>
      <c r="F126" s="19" t="n"/>
      <c r="G126" s="19" t="n"/>
      <c r="H126" s="19" t="n"/>
      <c r="I126" s="19" t="n"/>
      <c r="J126" s="19" t="n"/>
      <c r="K126" s="19" t="n"/>
      <c r="L126" s="35" t="n"/>
      <c r="M126" s="5">
        <f>IF($D126="","",IFERROR(VLOOKUP($H126,Lists!$N$2:$O$6,2,FALSE),0))</f>
        <v/>
      </c>
      <c r="N126" s="5">
        <f>IF($D126="","",IF(OR($E126="Blocked",$E126="Done",$E126="Archive"),-9999,IF(AND($E126="Waiting",SUMPRODUCT((($E$5:$E$500="Next")+($E$5:$E$500="In Progress")+($E$5:$E$500="Captured"))*($D$5:$D$500&lt;&gt;""))&gt;0),-500,VLOOKUP($F126,Lists!$L$2:$M$4,2,FALSE)+IF($E126="In Progress",10,0)+IF(AND($I126&lt;&gt;"",$I126&lt;TODAY()),25,0)+IF(AND($I126&lt;&gt;"",$I126&gt;=TODAY(),$I126&lt;=TODAY()+7),15,0)+IF($H126="",0,IF($M126&lt;=VLOOKUP(Home!$C$7,Lists!$N$2:$O$6,2,FALSE),20,-10))+IF($G126=Home!$E$7,15,IF(Home!$E$7="",0,-5))-ROW()/100000)))</f>
        <v/>
      </c>
      <c r="O126" s="5">
        <f>IF($D126="","",IF($N126&lt;=-500,"Not recommended right now",IF($E126="Waiting","Nothing else actionable right now — Waiting on: "&amp;IF($K126="","this item",$K126),TEXTJOIN(" • ",TRUE,IF($F126="High","High Priority",""),IF(AND($I126&lt;&gt;"",$I126&lt;TODAY()),"Overdue",""),IF(AND($I126&lt;&gt;"",$I126&gt;=TODAY(),$I126&lt;=TODAY()+7),"Due This Week",""),IF(AND($H126&lt;&gt;"",$M126&lt;=VLOOKUP(Home!$C$7,Lists!$N$2:$O$6,2,FALSE)),$H126&amp;" Task",""),IF($G126=Home!$E$7,"Fits Current Energy",""),"No Blockers"))))</f>
        <v/>
      </c>
      <c r="P126" s="5">
        <f>IF($D126="","",SWITCH('Task Finder'!$C$6,"High Priority",AND($F126="High",$E126&lt;&gt;"Done",$E126&lt;&gt;"Archive"),"Due This Week",AND($I126&lt;&gt;"",$I126&gt;=TODAY(),$I126&lt;=TODAY()+7,$E126&lt;&gt;"Done"),"Quick Wins (15 mins or less)",AND($M126&lt;=15,$E126&lt;&gt;"Done",$E126&lt;&gt;"Blocked"),"Deep Thinking",AND($G126="Deep Thinking",$E126&lt;&gt;"Done"),"Processing",AND($G126="Processing",$E126&lt;&gt;"Done"),"Blocked",$E126="Blocked","Waiting",$E126="Waiting","Recently Updated",AND($L126&lt;&gt;"",$L126&gt;=TODAY()-7),"Keyword",AND('Task Finder'!$C$7&lt;&gt;"",OR(ISNUMBER(SEARCH('Task Finder'!$C$7,$A126)),ISNUMBER(SEARCH('Task Finder'!$C$7,$B126)),ISNUMBER(SEARCH('Task Finder'!$C$7,$C126)),ISNUMBER(SEARCH('Task Finder'!$C$7,$D126)),ISNUMBER(SEARCH('Task Finder'!$C$7,$K126)))),TRUE))</f>
        <v/>
      </c>
    </row>
    <row r="127">
      <c r="A127" s="19" t="n"/>
      <c r="B127" s="19" t="n"/>
      <c r="C127" s="19" t="n"/>
      <c r="D127" s="19" t="n"/>
      <c r="E127" s="19" t="n"/>
      <c r="F127" s="19" t="n"/>
      <c r="G127" s="19" t="n"/>
      <c r="H127" s="19" t="n"/>
      <c r="I127" s="19" t="n"/>
      <c r="J127" s="19" t="n"/>
      <c r="K127" s="19" t="n"/>
      <c r="L127" s="35" t="n"/>
      <c r="M127" s="5">
        <f>IF($D127="","",IFERROR(VLOOKUP($H127,Lists!$N$2:$O$6,2,FALSE),0))</f>
        <v/>
      </c>
      <c r="N127" s="5">
        <f>IF($D127="","",IF(OR($E127="Blocked",$E127="Done",$E127="Archive"),-9999,IF(AND($E127="Waiting",SUMPRODUCT((($E$5:$E$500="Next")+($E$5:$E$500="In Progress")+($E$5:$E$500="Captured"))*($D$5:$D$500&lt;&gt;""))&gt;0),-500,VLOOKUP($F127,Lists!$L$2:$M$4,2,FALSE)+IF($E127="In Progress",10,0)+IF(AND($I127&lt;&gt;"",$I127&lt;TODAY()),25,0)+IF(AND($I127&lt;&gt;"",$I127&gt;=TODAY(),$I127&lt;=TODAY()+7),15,0)+IF($H127="",0,IF($M127&lt;=VLOOKUP(Home!$C$7,Lists!$N$2:$O$6,2,FALSE),20,-10))+IF($G127=Home!$E$7,15,IF(Home!$E$7="",0,-5))-ROW()/100000)))</f>
        <v/>
      </c>
      <c r="O127" s="5">
        <f>IF($D127="","",IF($N127&lt;=-500,"Not recommended right now",IF($E127="Waiting","Nothing else actionable right now — Waiting on: "&amp;IF($K127="","this item",$K127),TEXTJOIN(" • ",TRUE,IF($F127="High","High Priority",""),IF(AND($I127&lt;&gt;"",$I127&lt;TODAY()),"Overdue",""),IF(AND($I127&lt;&gt;"",$I127&gt;=TODAY(),$I127&lt;=TODAY()+7),"Due This Week",""),IF(AND($H127&lt;&gt;"",$M127&lt;=VLOOKUP(Home!$C$7,Lists!$N$2:$O$6,2,FALSE)),$H127&amp;" Task",""),IF($G127=Home!$E$7,"Fits Current Energy",""),"No Blockers"))))</f>
        <v/>
      </c>
      <c r="P127" s="5">
        <f>IF($D127="","",SWITCH('Task Finder'!$C$6,"High Priority",AND($F127="High",$E127&lt;&gt;"Done",$E127&lt;&gt;"Archive"),"Due This Week",AND($I127&lt;&gt;"",$I127&gt;=TODAY(),$I127&lt;=TODAY()+7,$E127&lt;&gt;"Done"),"Quick Wins (15 mins or less)",AND($M127&lt;=15,$E127&lt;&gt;"Done",$E127&lt;&gt;"Blocked"),"Deep Thinking",AND($G127="Deep Thinking",$E127&lt;&gt;"Done"),"Processing",AND($G127="Processing",$E127&lt;&gt;"Done"),"Blocked",$E127="Blocked","Waiting",$E127="Waiting","Recently Updated",AND($L127&lt;&gt;"",$L127&gt;=TODAY()-7),"Keyword",AND('Task Finder'!$C$7&lt;&gt;"",OR(ISNUMBER(SEARCH('Task Finder'!$C$7,$A127)),ISNUMBER(SEARCH('Task Finder'!$C$7,$B127)),ISNUMBER(SEARCH('Task Finder'!$C$7,$C127)),ISNUMBER(SEARCH('Task Finder'!$C$7,$D127)),ISNUMBER(SEARCH('Task Finder'!$C$7,$K127)))),TRUE))</f>
        <v/>
      </c>
    </row>
    <row r="128">
      <c r="A128" s="19" t="n"/>
      <c r="B128" s="19" t="n"/>
      <c r="C128" s="19" t="n"/>
      <c r="D128" s="19" t="n"/>
      <c r="E128" s="19" t="n"/>
      <c r="F128" s="19" t="n"/>
      <c r="G128" s="19" t="n"/>
      <c r="H128" s="19" t="n"/>
      <c r="I128" s="19" t="n"/>
      <c r="J128" s="19" t="n"/>
      <c r="K128" s="19" t="n"/>
      <c r="L128" s="35" t="n"/>
      <c r="M128" s="5">
        <f>IF($D128="","",IFERROR(VLOOKUP($H128,Lists!$N$2:$O$6,2,FALSE),0))</f>
        <v/>
      </c>
      <c r="N128" s="5">
        <f>IF($D128="","",IF(OR($E128="Blocked",$E128="Done",$E128="Archive"),-9999,IF(AND($E128="Waiting",SUMPRODUCT((($E$5:$E$500="Next")+($E$5:$E$500="In Progress")+($E$5:$E$500="Captured"))*($D$5:$D$500&lt;&gt;""))&gt;0),-500,VLOOKUP($F128,Lists!$L$2:$M$4,2,FALSE)+IF($E128="In Progress",10,0)+IF(AND($I128&lt;&gt;"",$I128&lt;TODAY()),25,0)+IF(AND($I128&lt;&gt;"",$I128&gt;=TODAY(),$I128&lt;=TODAY()+7),15,0)+IF($H128="",0,IF($M128&lt;=VLOOKUP(Home!$C$7,Lists!$N$2:$O$6,2,FALSE),20,-10))+IF($G128=Home!$E$7,15,IF(Home!$E$7="",0,-5))-ROW()/100000)))</f>
        <v/>
      </c>
      <c r="O128" s="5">
        <f>IF($D128="","",IF($N128&lt;=-500,"Not recommended right now",IF($E128="Waiting","Nothing else actionable right now — Waiting on: "&amp;IF($K128="","this item",$K128),TEXTJOIN(" • ",TRUE,IF($F128="High","High Priority",""),IF(AND($I128&lt;&gt;"",$I128&lt;TODAY()),"Overdue",""),IF(AND($I128&lt;&gt;"",$I128&gt;=TODAY(),$I128&lt;=TODAY()+7),"Due This Week",""),IF(AND($H128&lt;&gt;"",$M128&lt;=VLOOKUP(Home!$C$7,Lists!$N$2:$O$6,2,FALSE)),$H128&amp;" Task",""),IF($G128=Home!$E$7,"Fits Current Energy",""),"No Blockers"))))</f>
        <v/>
      </c>
      <c r="P128" s="5">
        <f>IF($D128="","",SWITCH('Task Finder'!$C$6,"High Priority",AND($F128="High",$E128&lt;&gt;"Done",$E128&lt;&gt;"Archive"),"Due This Week",AND($I128&lt;&gt;"",$I128&gt;=TODAY(),$I128&lt;=TODAY()+7,$E128&lt;&gt;"Done"),"Quick Wins (15 mins or less)",AND($M128&lt;=15,$E128&lt;&gt;"Done",$E128&lt;&gt;"Blocked"),"Deep Thinking",AND($G128="Deep Thinking",$E128&lt;&gt;"Done"),"Processing",AND($G128="Processing",$E128&lt;&gt;"Done"),"Blocked",$E128="Blocked","Waiting",$E128="Waiting","Recently Updated",AND($L128&lt;&gt;"",$L128&gt;=TODAY()-7),"Keyword",AND('Task Finder'!$C$7&lt;&gt;"",OR(ISNUMBER(SEARCH('Task Finder'!$C$7,$A128)),ISNUMBER(SEARCH('Task Finder'!$C$7,$B128)),ISNUMBER(SEARCH('Task Finder'!$C$7,$C128)),ISNUMBER(SEARCH('Task Finder'!$C$7,$D128)),ISNUMBER(SEARCH('Task Finder'!$C$7,$K128)))),TRUE))</f>
        <v/>
      </c>
    </row>
    <row r="129">
      <c r="A129" s="19" t="n"/>
      <c r="B129" s="19" t="n"/>
      <c r="C129" s="19" t="n"/>
      <c r="D129" s="19" t="n"/>
      <c r="E129" s="19" t="n"/>
      <c r="F129" s="19" t="n"/>
      <c r="G129" s="19" t="n"/>
      <c r="H129" s="19" t="n"/>
      <c r="I129" s="19" t="n"/>
      <c r="J129" s="19" t="n"/>
      <c r="K129" s="19" t="n"/>
      <c r="L129" s="35" t="n"/>
      <c r="M129" s="5">
        <f>IF($D129="","",IFERROR(VLOOKUP($H129,Lists!$N$2:$O$6,2,FALSE),0))</f>
        <v/>
      </c>
      <c r="N129" s="5">
        <f>IF($D129="","",IF(OR($E129="Blocked",$E129="Done",$E129="Archive"),-9999,IF(AND($E129="Waiting",SUMPRODUCT((($E$5:$E$500="Next")+($E$5:$E$500="In Progress")+($E$5:$E$500="Captured"))*($D$5:$D$500&lt;&gt;""))&gt;0),-500,VLOOKUP($F129,Lists!$L$2:$M$4,2,FALSE)+IF($E129="In Progress",10,0)+IF(AND($I129&lt;&gt;"",$I129&lt;TODAY()),25,0)+IF(AND($I129&lt;&gt;"",$I129&gt;=TODAY(),$I129&lt;=TODAY()+7),15,0)+IF($H129="",0,IF($M129&lt;=VLOOKUP(Home!$C$7,Lists!$N$2:$O$6,2,FALSE),20,-10))+IF($G129=Home!$E$7,15,IF(Home!$E$7="",0,-5))-ROW()/100000)))</f>
        <v/>
      </c>
      <c r="O129" s="5">
        <f>IF($D129="","",IF($N129&lt;=-500,"Not recommended right now",IF($E129="Waiting","Nothing else actionable right now — Waiting on: "&amp;IF($K129="","this item",$K129),TEXTJOIN(" • ",TRUE,IF($F129="High","High Priority",""),IF(AND($I129&lt;&gt;"",$I129&lt;TODAY()),"Overdue",""),IF(AND($I129&lt;&gt;"",$I129&gt;=TODAY(),$I129&lt;=TODAY()+7),"Due This Week",""),IF(AND($H129&lt;&gt;"",$M129&lt;=VLOOKUP(Home!$C$7,Lists!$N$2:$O$6,2,FALSE)),$H129&amp;" Task",""),IF($G129=Home!$E$7,"Fits Current Energy",""),"No Blockers"))))</f>
        <v/>
      </c>
      <c r="P129" s="5">
        <f>IF($D129="","",SWITCH('Task Finder'!$C$6,"High Priority",AND($F129="High",$E129&lt;&gt;"Done",$E129&lt;&gt;"Archive"),"Due This Week",AND($I129&lt;&gt;"",$I129&gt;=TODAY(),$I129&lt;=TODAY()+7,$E129&lt;&gt;"Done"),"Quick Wins (15 mins or less)",AND($M129&lt;=15,$E129&lt;&gt;"Done",$E129&lt;&gt;"Blocked"),"Deep Thinking",AND($G129="Deep Thinking",$E129&lt;&gt;"Done"),"Processing",AND($G129="Processing",$E129&lt;&gt;"Done"),"Blocked",$E129="Blocked","Waiting",$E129="Waiting","Recently Updated",AND($L129&lt;&gt;"",$L129&gt;=TODAY()-7),"Keyword",AND('Task Finder'!$C$7&lt;&gt;"",OR(ISNUMBER(SEARCH('Task Finder'!$C$7,$A129)),ISNUMBER(SEARCH('Task Finder'!$C$7,$B129)),ISNUMBER(SEARCH('Task Finder'!$C$7,$C129)),ISNUMBER(SEARCH('Task Finder'!$C$7,$D129)),ISNUMBER(SEARCH('Task Finder'!$C$7,$K129)))),TRUE))</f>
        <v/>
      </c>
    </row>
    <row r="130">
      <c r="A130" s="19" t="n"/>
      <c r="B130" s="19" t="n"/>
      <c r="C130" s="19" t="n"/>
      <c r="D130" s="19" t="n"/>
      <c r="E130" s="19" t="n"/>
      <c r="F130" s="19" t="n"/>
      <c r="G130" s="19" t="n"/>
      <c r="H130" s="19" t="n"/>
      <c r="I130" s="19" t="n"/>
      <c r="J130" s="19" t="n"/>
      <c r="K130" s="19" t="n"/>
      <c r="L130" s="35" t="n"/>
      <c r="M130" s="5">
        <f>IF($D130="","",IFERROR(VLOOKUP($H130,Lists!$N$2:$O$6,2,FALSE),0))</f>
        <v/>
      </c>
      <c r="N130" s="5">
        <f>IF($D130="","",IF(OR($E130="Blocked",$E130="Done",$E130="Archive"),-9999,IF(AND($E130="Waiting",SUMPRODUCT((($E$5:$E$500="Next")+($E$5:$E$500="In Progress")+($E$5:$E$500="Captured"))*($D$5:$D$500&lt;&gt;""))&gt;0),-500,VLOOKUP($F130,Lists!$L$2:$M$4,2,FALSE)+IF($E130="In Progress",10,0)+IF(AND($I130&lt;&gt;"",$I130&lt;TODAY()),25,0)+IF(AND($I130&lt;&gt;"",$I130&gt;=TODAY(),$I130&lt;=TODAY()+7),15,0)+IF($H130="",0,IF($M130&lt;=VLOOKUP(Home!$C$7,Lists!$N$2:$O$6,2,FALSE),20,-10))+IF($G130=Home!$E$7,15,IF(Home!$E$7="",0,-5))-ROW()/100000)))</f>
        <v/>
      </c>
      <c r="O130" s="5">
        <f>IF($D130="","",IF($N130&lt;=-500,"Not recommended right now",IF($E130="Waiting","Nothing else actionable right now — Waiting on: "&amp;IF($K130="","this item",$K130),TEXTJOIN(" • ",TRUE,IF($F130="High","High Priority",""),IF(AND($I130&lt;&gt;"",$I130&lt;TODAY()),"Overdue",""),IF(AND($I130&lt;&gt;"",$I130&gt;=TODAY(),$I130&lt;=TODAY()+7),"Due This Week",""),IF(AND($H130&lt;&gt;"",$M130&lt;=VLOOKUP(Home!$C$7,Lists!$N$2:$O$6,2,FALSE)),$H130&amp;" Task",""),IF($G130=Home!$E$7,"Fits Current Energy",""),"No Blockers"))))</f>
        <v/>
      </c>
      <c r="P130" s="5">
        <f>IF($D130="","",SWITCH('Task Finder'!$C$6,"High Priority",AND($F130="High",$E130&lt;&gt;"Done",$E130&lt;&gt;"Archive"),"Due This Week",AND($I130&lt;&gt;"",$I130&gt;=TODAY(),$I130&lt;=TODAY()+7,$E130&lt;&gt;"Done"),"Quick Wins (15 mins or less)",AND($M130&lt;=15,$E130&lt;&gt;"Done",$E130&lt;&gt;"Blocked"),"Deep Thinking",AND($G130="Deep Thinking",$E130&lt;&gt;"Done"),"Processing",AND($G130="Processing",$E130&lt;&gt;"Done"),"Blocked",$E130="Blocked","Waiting",$E130="Waiting","Recently Updated",AND($L130&lt;&gt;"",$L130&gt;=TODAY()-7),"Keyword",AND('Task Finder'!$C$7&lt;&gt;"",OR(ISNUMBER(SEARCH('Task Finder'!$C$7,$A130)),ISNUMBER(SEARCH('Task Finder'!$C$7,$B130)),ISNUMBER(SEARCH('Task Finder'!$C$7,$C130)),ISNUMBER(SEARCH('Task Finder'!$C$7,$D130)),ISNUMBER(SEARCH('Task Finder'!$C$7,$K130)))),TRUE))</f>
        <v/>
      </c>
    </row>
    <row r="131">
      <c r="A131" s="19" t="n"/>
      <c r="B131" s="19" t="n"/>
      <c r="C131" s="19" t="n"/>
      <c r="D131" s="19" t="n"/>
      <c r="E131" s="19" t="n"/>
      <c r="F131" s="19" t="n"/>
      <c r="G131" s="19" t="n"/>
      <c r="H131" s="19" t="n"/>
      <c r="I131" s="19" t="n"/>
      <c r="J131" s="19" t="n"/>
      <c r="K131" s="19" t="n"/>
      <c r="L131" s="35" t="n"/>
      <c r="M131" s="5">
        <f>IF($D131="","",IFERROR(VLOOKUP($H131,Lists!$N$2:$O$6,2,FALSE),0))</f>
        <v/>
      </c>
      <c r="N131" s="5">
        <f>IF($D131="","",IF(OR($E131="Blocked",$E131="Done",$E131="Archive"),-9999,IF(AND($E131="Waiting",SUMPRODUCT((($E$5:$E$500="Next")+($E$5:$E$500="In Progress")+($E$5:$E$500="Captured"))*($D$5:$D$500&lt;&gt;""))&gt;0),-500,VLOOKUP($F131,Lists!$L$2:$M$4,2,FALSE)+IF($E131="In Progress",10,0)+IF(AND($I131&lt;&gt;"",$I131&lt;TODAY()),25,0)+IF(AND($I131&lt;&gt;"",$I131&gt;=TODAY(),$I131&lt;=TODAY()+7),15,0)+IF($H131="",0,IF($M131&lt;=VLOOKUP(Home!$C$7,Lists!$N$2:$O$6,2,FALSE),20,-10))+IF($G131=Home!$E$7,15,IF(Home!$E$7="",0,-5))-ROW()/100000)))</f>
        <v/>
      </c>
      <c r="O131" s="5">
        <f>IF($D131="","",IF($N131&lt;=-500,"Not recommended right now",IF($E131="Waiting","Nothing else actionable right now — Waiting on: "&amp;IF($K131="","this item",$K131),TEXTJOIN(" • ",TRUE,IF($F131="High","High Priority",""),IF(AND($I131&lt;&gt;"",$I131&lt;TODAY()),"Overdue",""),IF(AND($I131&lt;&gt;"",$I131&gt;=TODAY(),$I131&lt;=TODAY()+7),"Due This Week",""),IF(AND($H131&lt;&gt;"",$M131&lt;=VLOOKUP(Home!$C$7,Lists!$N$2:$O$6,2,FALSE)),$H131&amp;" Task",""),IF($G131=Home!$E$7,"Fits Current Energy",""),"No Blockers"))))</f>
        <v/>
      </c>
      <c r="P131" s="5">
        <f>IF($D131="","",SWITCH('Task Finder'!$C$6,"High Priority",AND($F131="High",$E131&lt;&gt;"Done",$E131&lt;&gt;"Archive"),"Due This Week",AND($I131&lt;&gt;"",$I131&gt;=TODAY(),$I131&lt;=TODAY()+7,$E131&lt;&gt;"Done"),"Quick Wins (15 mins or less)",AND($M131&lt;=15,$E131&lt;&gt;"Done",$E131&lt;&gt;"Blocked"),"Deep Thinking",AND($G131="Deep Thinking",$E131&lt;&gt;"Done"),"Processing",AND($G131="Processing",$E131&lt;&gt;"Done"),"Blocked",$E131="Blocked","Waiting",$E131="Waiting","Recently Updated",AND($L131&lt;&gt;"",$L131&gt;=TODAY()-7),"Keyword",AND('Task Finder'!$C$7&lt;&gt;"",OR(ISNUMBER(SEARCH('Task Finder'!$C$7,$A131)),ISNUMBER(SEARCH('Task Finder'!$C$7,$B131)),ISNUMBER(SEARCH('Task Finder'!$C$7,$C131)),ISNUMBER(SEARCH('Task Finder'!$C$7,$D131)),ISNUMBER(SEARCH('Task Finder'!$C$7,$K131)))),TRUE))</f>
        <v/>
      </c>
    </row>
    <row r="132">
      <c r="A132" s="19" t="n"/>
      <c r="B132" s="19" t="n"/>
      <c r="C132" s="19" t="n"/>
      <c r="D132" s="19" t="n"/>
      <c r="E132" s="19" t="n"/>
      <c r="F132" s="19" t="n"/>
      <c r="G132" s="19" t="n"/>
      <c r="H132" s="19" t="n"/>
      <c r="I132" s="19" t="n"/>
      <c r="J132" s="19" t="n"/>
      <c r="K132" s="19" t="n"/>
      <c r="L132" s="35" t="n"/>
      <c r="M132" s="5">
        <f>IF($D132="","",IFERROR(VLOOKUP($H132,Lists!$N$2:$O$6,2,FALSE),0))</f>
        <v/>
      </c>
      <c r="N132" s="5">
        <f>IF($D132="","",IF(OR($E132="Blocked",$E132="Done",$E132="Archive"),-9999,IF(AND($E132="Waiting",SUMPRODUCT((($E$5:$E$500="Next")+($E$5:$E$500="In Progress")+($E$5:$E$500="Captured"))*($D$5:$D$500&lt;&gt;""))&gt;0),-500,VLOOKUP($F132,Lists!$L$2:$M$4,2,FALSE)+IF($E132="In Progress",10,0)+IF(AND($I132&lt;&gt;"",$I132&lt;TODAY()),25,0)+IF(AND($I132&lt;&gt;"",$I132&gt;=TODAY(),$I132&lt;=TODAY()+7),15,0)+IF($H132="",0,IF($M132&lt;=VLOOKUP(Home!$C$7,Lists!$N$2:$O$6,2,FALSE),20,-10))+IF($G132=Home!$E$7,15,IF(Home!$E$7="",0,-5))-ROW()/100000)))</f>
        <v/>
      </c>
      <c r="O132" s="5">
        <f>IF($D132="","",IF($N132&lt;=-500,"Not recommended right now",IF($E132="Waiting","Nothing else actionable right now — Waiting on: "&amp;IF($K132="","this item",$K132),TEXTJOIN(" • ",TRUE,IF($F132="High","High Priority",""),IF(AND($I132&lt;&gt;"",$I132&lt;TODAY()),"Overdue",""),IF(AND($I132&lt;&gt;"",$I132&gt;=TODAY(),$I132&lt;=TODAY()+7),"Due This Week",""),IF(AND($H132&lt;&gt;"",$M132&lt;=VLOOKUP(Home!$C$7,Lists!$N$2:$O$6,2,FALSE)),$H132&amp;" Task",""),IF($G132=Home!$E$7,"Fits Current Energy",""),"No Blockers"))))</f>
        <v/>
      </c>
      <c r="P132" s="5">
        <f>IF($D132="","",SWITCH('Task Finder'!$C$6,"High Priority",AND($F132="High",$E132&lt;&gt;"Done",$E132&lt;&gt;"Archive"),"Due This Week",AND($I132&lt;&gt;"",$I132&gt;=TODAY(),$I132&lt;=TODAY()+7,$E132&lt;&gt;"Done"),"Quick Wins (15 mins or less)",AND($M132&lt;=15,$E132&lt;&gt;"Done",$E132&lt;&gt;"Blocked"),"Deep Thinking",AND($G132="Deep Thinking",$E132&lt;&gt;"Done"),"Processing",AND($G132="Processing",$E132&lt;&gt;"Done"),"Blocked",$E132="Blocked","Waiting",$E132="Waiting","Recently Updated",AND($L132&lt;&gt;"",$L132&gt;=TODAY()-7),"Keyword",AND('Task Finder'!$C$7&lt;&gt;"",OR(ISNUMBER(SEARCH('Task Finder'!$C$7,$A132)),ISNUMBER(SEARCH('Task Finder'!$C$7,$B132)),ISNUMBER(SEARCH('Task Finder'!$C$7,$C132)),ISNUMBER(SEARCH('Task Finder'!$C$7,$D132)),ISNUMBER(SEARCH('Task Finder'!$C$7,$K132)))),TRUE))</f>
        <v/>
      </c>
    </row>
    <row r="133">
      <c r="A133" s="19" t="n"/>
      <c r="B133" s="19" t="n"/>
      <c r="C133" s="19" t="n"/>
      <c r="D133" s="19" t="n"/>
      <c r="E133" s="19" t="n"/>
      <c r="F133" s="19" t="n"/>
      <c r="G133" s="19" t="n"/>
      <c r="H133" s="19" t="n"/>
      <c r="I133" s="19" t="n"/>
      <c r="J133" s="19" t="n"/>
      <c r="K133" s="19" t="n"/>
      <c r="L133" s="35" t="n"/>
      <c r="M133" s="5">
        <f>IF($D133="","",IFERROR(VLOOKUP($H133,Lists!$N$2:$O$6,2,FALSE),0))</f>
        <v/>
      </c>
      <c r="N133" s="5">
        <f>IF($D133="","",IF(OR($E133="Blocked",$E133="Done",$E133="Archive"),-9999,IF(AND($E133="Waiting",SUMPRODUCT((($E$5:$E$500="Next")+($E$5:$E$500="In Progress")+($E$5:$E$500="Captured"))*($D$5:$D$500&lt;&gt;""))&gt;0),-500,VLOOKUP($F133,Lists!$L$2:$M$4,2,FALSE)+IF($E133="In Progress",10,0)+IF(AND($I133&lt;&gt;"",$I133&lt;TODAY()),25,0)+IF(AND($I133&lt;&gt;"",$I133&gt;=TODAY(),$I133&lt;=TODAY()+7),15,0)+IF($H133="",0,IF($M133&lt;=VLOOKUP(Home!$C$7,Lists!$N$2:$O$6,2,FALSE),20,-10))+IF($G133=Home!$E$7,15,IF(Home!$E$7="",0,-5))-ROW()/100000)))</f>
        <v/>
      </c>
      <c r="O133" s="5">
        <f>IF($D133="","",IF($N133&lt;=-500,"Not recommended right now",IF($E133="Waiting","Nothing else actionable right now — Waiting on: "&amp;IF($K133="","this item",$K133),TEXTJOIN(" • ",TRUE,IF($F133="High","High Priority",""),IF(AND($I133&lt;&gt;"",$I133&lt;TODAY()),"Overdue",""),IF(AND($I133&lt;&gt;"",$I133&gt;=TODAY(),$I133&lt;=TODAY()+7),"Due This Week",""),IF(AND($H133&lt;&gt;"",$M133&lt;=VLOOKUP(Home!$C$7,Lists!$N$2:$O$6,2,FALSE)),$H133&amp;" Task",""),IF($G133=Home!$E$7,"Fits Current Energy",""),"No Blockers"))))</f>
        <v/>
      </c>
      <c r="P133" s="5">
        <f>IF($D133="","",SWITCH('Task Finder'!$C$6,"High Priority",AND($F133="High",$E133&lt;&gt;"Done",$E133&lt;&gt;"Archive"),"Due This Week",AND($I133&lt;&gt;"",$I133&gt;=TODAY(),$I133&lt;=TODAY()+7,$E133&lt;&gt;"Done"),"Quick Wins (15 mins or less)",AND($M133&lt;=15,$E133&lt;&gt;"Done",$E133&lt;&gt;"Blocked"),"Deep Thinking",AND($G133="Deep Thinking",$E133&lt;&gt;"Done"),"Processing",AND($G133="Processing",$E133&lt;&gt;"Done"),"Blocked",$E133="Blocked","Waiting",$E133="Waiting","Recently Updated",AND($L133&lt;&gt;"",$L133&gt;=TODAY()-7),"Keyword",AND('Task Finder'!$C$7&lt;&gt;"",OR(ISNUMBER(SEARCH('Task Finder'!$C$7,$A133)),ISNUMBER(SEARCH('Task Finder'!$C$7,$B133)),ISNUMBER(SEARCH('Task Finder'!$C$7,$C133)),ISNUMBER(SEARCH('Task Finder'!$C$7,$D133)),ISNUMBER(SEARCH('Task Finder'!$C$7,$K133)))),TRUE))</f>
        <v/>
      </c>
    </row>
    <row r="134">
      <c r="A134" s="19" t="n"/>
      <c r="B134" s="19" t="n"/>
      <c r="C134" s="19" t="n"/>
      <c r="D134" s="19" t="n"/>
      <c r="E134" s="19" t="n"/>
      <c r="F134" s="19" t="n"/>
      <c r="G134" s="19" t="n"/>
      <c r="H134" s="19" t="n"/>
      <c r="I134" s="19" t="n"/>
      <c r="J134" s="19" t="n"/>
      <c r="K134" s="19" t="n"/>
      <c r="L134" s="35" t="n"/>
      <c r="M134" s="5">
        <f>IF($D134="","",IFERROR(VLOOKUP($H134,Lists!$N$2:$O$6,2,FALSE),0))</f>
        <v/>
      </c>
      <c r="N134" s="5">
        <f>IF($D134="","",IF(OR($E134="Blocked",$E134="Done",$E134="Archive"),-9999,IF(AND($E134="Waiting",SUMPRODUCT((($E$5:$E$500="Next")+($E$5:$E$500="In Progress")+($E$5:$E$500="Captured"))*($D$5:$D$500&lt;&gt;""))&gt;0),-500,VLOOKUP($F134,Lists!$L$2:$M$4,2,FALSE)+IF($E134="In Progress",10,0)+IF(AND($I134&lt;&gt;"",$I134&lt;TODAY()),25,0)+IF(AND($I134&lt;&gt;"",$I134&gt;=TODAY(),$I134&lt;=TODAY()+7),15,0)+IF($H134="",0,IF($M134&lt;=VLOOKUP(Home!$C$7,Lists!$N$2:$O$6,2,FALSE),20,-10))+IF($G134=Home!$E$7,15,IF(Home!$E$7="",0,-5))-ROW()/100000)))</f>
        <v/>
      </c>
      <c r="O134" s="5">
        <f>IF($D134="","",IF($N134&lt;=-500,"Not recommended right now",IF($E134="Waiting","Nothing else actionable right now — Waiting on: "&amp;IF($K134="","this item",$K134),TEXTJOIN(" • ",TRUE,IF($F134="High","High Priority",""),IF(AND($I134&lt;&gt;"",$I134&lt;TODAY()),"Overdue",""),IF(AND($I134&lt;&gt;"",$I134&gt;=TODAY(),$I134&lt;=TODAY()+7),"Due This Week",""),IF(AND($H134&lt;&gt;"",$M134&lt;=VLOOKUP(Home!$C$7,Lists!$N$2:$O$6,2,FALSE)),$H134&amp;" Task",""),IF($G134=Home!$E$7,"Fits Current Energy",""),"No Blockers"))))</f>
        <v/>
      </c>
      <c r="P134" s="5">
        <f>IF($D134="","",SWITCH('Task Finder'!$C$6,"High Priority",AND($F134="High",$E134&lt;&gt;"Done",$E134&lt;&gt;"Archive"),"Due This Week",AND($I134&lt;&gt;"",$I134&gt;=TODAY(),$I134&lt;=TODAY()+7,$E134&lt;&gt;"Done"),"Quick Wins (15 mins or less)",AND($M134&lt;=15,$E134&lt;&gt;"Done",$E134&lt;&gt;"Blocked"),"Deep Thinking",AND($G134="Deep Thinking",$E134&lt;&gt;"Done"),"Processing",AND($G134="Processing",$E134&lt;&gt;"Done"),"Blocked",$E134="Blocked","Waiting",$E134="Waiting","Recently Updated",AND($L134&lt;&gt;"",$L134&gt;=TODAY()-7),"Keyword",AND('Task Finder'!$C$7&lt;&gt;"",OR(ISNUMBER(SEARCH('Task Finder'!$C$7,$A134)),ISNUMBER(SEARCH('Task Finder'!$C$7,$B134)),ISNUMBER(SEARCH('Task Finder'!$C$7,$C134)),ISNUMBER(SEARCH('Task Finder'!$C$7,$D134)),ISNUMBER(SEARCH('Task Finder'!$C$7,$K134)))),TRUE))</f>
        <v/>
      </c>
    </row>
    <row r="135">
      <c r="A135" s="19" t="n"/>
      <c r="B135" s="19" t="n"/>
      <c r="C135" s="19" t="n"/>
      <c r="D135" s="19" t="n"/>
      <c r="E135" s="19" t="n"/>
      <c r="F135" s="19" t="n"/>
      <c r="G135" s="19" t="n"/>
      <c r="H135" s="19" t="n"/>
      <c r="I135" s="19" t="n"/>
      <c r="J135" s="19" t="n"/>
      <c r="K135" s="19" t="n"/>
      <c r="L135" s="35" t="n"/>
      <c r="M135" s="5">
        <f>IF($D135="","",IFERROR(VLOOKUP($H135,Lists!$N$2:$O$6,2,FALSE),0))</f>
        <v/>
      </c>
      <c r="N135" s="5">
        <f>IF($D135="","",IF(OR($E135="Blocked",$E135="Done",$E135="Archive"),-9999,IF(AND($E135="Waiting",SUMPRODUCT((($E$5:$E$500="Next")+($E$5:$E$500="In Progress")+($E$5:$E$500="Captured"))*($D$5:$D$500&lt;&gt;""))&gt;0),-500,VLOOKUP($F135,Lists!$L$2:$M$4,2,FALSE)+IF($E135="In Progress",10,0)+IF(AND($I135&lt;&gt;"",$I135&lt;TODAY()),25,0)+IF(AND($I135&lt;&gt;"",$I135&gt;=TODAY(),$I135&lt;=TODAY()+7),15,0)+IF($H135="",0,IF($M135&lt;=VLOOKUP(Home!$C$7,Lists!$N$2:$O$6,2,FALSE),20,-10))+IF($G135=Home!$E$7,15,IF(Home!$E$7="",0,-5))-ROW()/100000)))</f>
        <v/>
      </c>
      <c r="O135" s="5">
        <f>IF($D135="","",IF($N135&lt;=-500,"Not recommended right now",IF($E135="Waiting","Nothing else actionable right now — Waiting on: "&amp;IF($K135="","this item",$K135),TEXTJOIN(" • ",TRUE,IF($F135="High","High Priority",""),IF(AND($I135&lt;&gt;"",$I135&lt;TODAY()),"Overdue",""),IF(AND($I135&lt;&gt;"",$I135&gt;=TODAY(),$I135&lt;=TODAY()+7),"Due This Week",""),IF(AND($H135&lt;&gt;"",$M135&lt;=VLOOKUP(Home!$C$7,Lists!$N$2:$O$6,2,FALSE)),$H135&amp;" Task",""),IF($G135=Home!$E$7,"Fits Current Energy",""),"No Blockers"))))</f>
        <v/>
      </c>
      <c r="P135" s="5">
        <f>IF($D135="","",SWITCH('Task Finder'!$C$6,"High Priority",AND($F135="High",$E135&lt;&gt;"Done",$E135&lt;&gt;"Archive"),"Due This Week",AND($I135&lt;&gt;"",$I135&gt;=TODAY(),$I135&lt;=TODAY()+7,$E135&lt;&gt;"Done"),"Quick Wins (15 mins or less)",AND($M135&lt;=15,$E135&lt;&gt;"Done",$E135&lt;&gt;"Blocked"),"Deep Thinking",AND($G135="Deep Thinking",$E135&lt;&gt;"Done"),"Processing",AND($G135="Processing",$E135&lt;&gt;"Done"),"Blocked",$E135="Blocked","Waiting",$E135="Waiting","Recently Updated",AND($L135&lt;&gt;"",$L135&gt;=TODAY()-7),"Keyword",AND('Task Finder'!$C$7&lt;&gt;"",OR(ISNUMBER(SEARCH('Task Finder'!$C$7,$A135)),ISNUMBER(SEARCH('Task Finder'!$C$7,$B135)),ISNUMBER(SEARCH('Task Finder'!$C$7,$C135)),ISNUMBER(SEARCH('Task Finder'!$C$7,$D135)),ISNUMBER(SEARCH('Task Finder'!$C$7,$K135)))),TRUE))</f>
        <v/>
      </c>
    </row>
    <row r="136">
      <c r="A136" s="19" t="n"/>
      <c r="B136" s="19" t="n"/>
      <c r="C136" s="19" t="n"/>
      <c r="D136" s="19" t="n"/>
      <c r="E136" s="19" t="n"/>
      <c r="F136" s="19" t="n"/>
      <c r="G136" s="19" t="n"/>
      <c r="H136" s="19" t="n"/>
      <c r="I136" s="19" t="n"/>
      <c r="J136" s="19" t="n"/>
      <c r="K136" s="19" t="n"/>
      <c r="L136" s="35" t="n"/>
      <c r="M136" s="5">
        <f>IF($D136="","",IFERROR(VLOOKUP($H136,Lists!$N$2:$O$6,2,FALSE),0))</f>
        <v/>
      </c>
      <c r="N136" s="5">
        <f>IF($D136="","",IF(OR($E136="Blocked",$E136="Done",$E136="Archive"),-9999,IF(AND($E136="Waiting",SUMPRODUCT((($E$5:$E$500="Next")+($E$5:$E$500="In Progress")+($E$5:$E$500="Captured"))*($D$5:$D$500&lt;&gt;""))&gt;0),-500,VLOOKUP($F136,Lists!$L$2:$M$4,2,FALSE)+IF($E136="In Progress",10,0)+IF(AND($I136&lt;&gt;"",$I136&lt;TODAY()),25,0)+IF(AND($I136&lt;&gt;"",$I136&gt;=TODAY(),$I136&lt;=TODAY()+7),15,0)+IF($H136="",0,IF($M136&lt;=VLOOKUP(Home!$C$7,Lists!$N$2:$O$6,2,FALSE),20,-10))+IF($G136=Home!$E$7,15,IF(Home!$E$7="",0,-5))-ROW()/100000)))</f>
        <v/>
      </c>
      <c r="O136" s="5">
        <f>IF($D136="","",IF($N136&lt;=-500,"Not recommended right now",IF($E136="Waiting","Nothing else actionable right now — Waiting on: "&amp;IF($K136="","this item",$K136),TEXTJOIN(" • ",TRUE,IF($F136="High","High Priority",""),IF(AND($I136&lt;&gt;"",$I136&lt;TODAY()),"Overdue",""),IF(AND($I136&lt;&gt;"",$I136&gt;=TODAY(),$I136&lt;=TODAY()+7),"Due This Week",""),IF(AND($H136&lt;&gt;"",$M136&lt;=VLOOKUP(Home!$C$7,Lists!$N$2:$O$6,2,FALSE)),$H136&amp;" Task",""),IF($G136=Home!$E$7,"Fits Current Energy",""),"No Blockers"))))</f>
        <v/>
      </c>
      <c r="P136" s="5">
        <f>IF($D136="","",SWITCH('Task Finder'!$C$6,"High Priority",AND($F136="High",$E136&lt;&gt;"Done",$E136&lt;&gt;"Archive"),"Due This Week",AND($I136&lt;&gt;"",$I136&gt;=TODAY(),$I136&lt;=TODAY()+7,$E136&lt;&gt;"Done"),"Quick Wins (15 mins or less)",AND($M136&lt;=15,$E136&lt;&gt;"Done",$E136&lt;&gt;"Blocked"),"Deep Thinking",AND($G136="Deep Thinking",$E136&lt;&gt;"Done"),"Processing",AND($G136="Processing",$E136&lt;&gt;"Done"),"Blocked",$E136="Blocked","Waiting",$E136="Waiting","Recently Updated",AND($L136&lt;&gt;"",$L136&gt;=TODAY()-7),"Keyword",AND('Task Finder'!$C$7&lt;&gt;"",OR(ISNUMBER(SEARCH('Task Finder'!$C$7,$A136)),ISNUMBER(SEARCH('Task Finder'!$C$7,$B136)),ISNUMBER(SEARCH('Task Finder'!$C$7,$C136)),ISNUMBER(SEARCH('Task Finder'!$C$7,$D136)),ISNUMBER(SEARCH('Task Finder'!$C$7,$K136)))),TRUE))</f>
        <v/>
      </c>
    </row>
    <row r="137">
      <c r="A137" s="19" t="n"/>
      <c r="B137" s="19" t="n"/>
      <c r="C137" s="19" t="n"/>
      <c r="D137" s="19" t="n"/>
      <c r="E137" s="19" t="n"/>
      <c r="F137" s="19" t="n"/>
      <c r="G137" s="19" t="n"/>
      <c r="H137" s="19" t="n"/>
      <c r="I137" s="19" t="n"/>
      <c r="J137" s="19" t="n"/>
      <c r="K137" s="19" t="n"/>
      <c r="L137" s="35" t="n"/>
      <c r="M137" s="5">
        <f>IF($D137="","",IFERROR(VLOOKUP($H137,Lists!$N$2:$O$6,2,FALSE),0))</f>
        <v/>
      </c>
      <c r="N137" s="5">
        <f>IF($D137="","",IF(OR($E137="Blocked",$E137="Done",$E137="Archive"),-9999,IF(AND($E137="Waiting",SUMPRODUCT((($E$5:$E$500="Next")+($E$5:$E$500="In Progress")+($E$5:$E$500="Captured"))*($D$5:$D$500&lt;&gt;""))&gt;0),-500,VLOOKUP($F137,Lists!$L$2:$M$4,2,FALSE)+IF($E137="In Progress",10,0)+IF(AND($I137&lt;&gt;"",$I137&lt;TODAY()),25,0)+IF(AND($I137&lt;&gt;"",$I137&gt;=TODAY(),$I137&lt;=TODAY()+7),15,0)+IF($H137="",0,IF($M137&lt;=VLOOKUP(Home!$C$7,Lists!$N$2:$O$6,2,FALSE),20,-10))+IF($G137=Home!$E$7,15,IF(Home!$E$7="",0,-5))-ROW()/100000)))</f>
        <v/>
      </c>
      <c r="O137" s="5">
        <f>IF($D137="","",IF($N137&lt;=-500,"Not recommended right now",IF($E137="Waiting","Nothing else actionable right now — Waiting on: "&amp;IF($K137="","this item",$K137),TEXTJOIN(" • ",TRUE,IF($F137="High","High Priority",""),IF(AND($I137&lt;&gt;"",$I137&lt;TODAY()),"Overdue",""),IF(AND($I137&lt;&gt;"",$I137&gt;=TODAY(),$I137&lt;=TODAY()+7),"Due This Week",""),IF(AND($H137&lt;&gt;"",$M137&lt;=VLOOKUP(Home!$C$7,Lists!$N$2:$O$6,2,FALSE)),$H137&amp;" Task",""),IF($G137=Home!$E$7,"Fits Current Energy",""),"No Blockers"))))</f>
        <v/>
      </c>
      <c r="P137" s="5">
        <f>IF($D137="","",SWITCH('Task Finder'!$C$6,"High Priority",AND($F137="High",$E137&lt;&gt;"Done",$E137&lt;&gt;"Archive"),"Due This Week",AND($I137&lt;&gt;"",$I137&gt;=TODAY(),$I137&lt;=TODAY()+7,$E137&lt;&gt;"Done"),"Quick Wins (15 mins or less)",AND($M137&lt;=15,$E137&lt;&gt;"Done",$E137&lt;&gt;"Blocked"),"Deep Thinking",AND($G137="Deep Thinking",$E137&lt;&gt;"Done"),"Processing",AND($G137="Processing",$E137&lt;&gt;"Done"),"Blocked",$E137="Blocked","Waiting",$E137="Waiting","Recently Updated",AND($L137&lt;&gt;"",$L137&gt;=TODAY()-7),"Keyword",AND('Task Finder'!$C$7&lt;&gt;"",OR(ISNUMBER(SEARCH('Task Finder'!$C$7,$A137)),ISNUMBER(SEARCH('Task Finder'!$C$7,$B137)),ISNUMBER(SEARCH('Task Finder'!$C$7,$C137)),ISNUMBER(SEARCH('Task Finder'!$C$7,$D137)),ISNUMBER(SEARCH('Task Finder'!$C$7,$K137)))),TRUE))</f>
        <v/>
      </c>
    </row>
    <row r="138">
      <c r="A138" s="19" t="n"/>
      <c r="B138" s="19" t="n"/>
      <c r="C138" s="19" t="n"/>
      <c r="D138" s="19" t="n"/>
      <c r="E138" s="19" t="n"/>
      <c r="F138" s="19" t="n"/>
      <c r="G138" s="19" t="n"/>
      <c r="H138" s="19" t="n"/>
      <c r="I138" s="19" t="n"/>
      <c r="J138" s="19" t="n"/>
      <c r="K138" s="19" t="n"/>
      <c r="L138" s="35" t="n"/>
      <c r="M138" s="5">
        <f>IF($D138="","",IFERROR(VLOOKUP($H138,Lists!$N$2:$O$6,2,FALSE),0))</f>
        <v/>
      </c>
      <c r="N138" s="5">
        <f>IF($D138="","",IF(OR($E138="Blocked",$E138="Done",$E138="Archive"),-9999,IF(AND($E138="Waiting",SUMPRODUCT((($E$5:$E$500="Next")+($E$5:$E$500="In Progress")+($E$5:$E$500="Captured"))*($D$5:$D$500&lt;&gt;""))&gt;0),-500,VLOOKUP($F138,Lists!$L$2:$M$4,2,FALSE)+IF($E138="In Progress",10,0)+IF(AND($I138&lt;&gt;"",$I138&lt;TODAY()),25,0)+IF(AND($I138&lt;&gt;"",$I138&gt;=TODAY(),$I138&lt;=TODAY()+7),15,0)+IF($H138="",0,IF($M138&lt;=VLOOKUP(Home!$C$7,Lists!$N$2:$O$6,2,FALSE),20,-10))+IF($G138=Home!$E$7,15,IF(Home!$E$7="",0,-5))-ROW()/100000)))</f>
        <v/>
      </c>
      <c r="O138" s="5">
        <f>IF($D138="","",IF($N138&lt;=-500,"Not recommended right now",IF($E138="Waiting","Nothing else actionable right now — Waiting on: "&amp;IF($K138="","this item",$K138),TEXTJOIN(" • ",TRUE,IF($F138="High","High Priority",""),IF(AND($I138&lt;&gt;"",$I138&lt;TODAY()),"Overdue",""),IF(AND($I138&lt;&gt;"",$I138&gt;=TODAY(),$I138&lt;=TODAY()+7),"Due This Week",""),IF(AND($H138&lt;&gt;"",$M138&lt;=VLOOKUP(Home!$C$7,Lists!$N$2:$O$6,2,FALSE)),$H138&amp;" Task",""),IF($G138=Home!$E$7,"Fits Current Energy",""),"No Blockers"))))</f>
        <v/>
      </c>
      <c r="P138" s="5">
        <f>IF($D138="","",SWITCH('Task Finder'!$C$6,"High Priority",AND($F138="High",$E138&lt;&gt;"Done",$E138&lt;&gt;"Archive"),"Due This Week",AND($I138&lt;&gt;"",$I138&gt;=TODAY(),$I138&lt;=TODAY()+7,$E138&lt;&gt;"Done"),"Quick Wins (15 mins or less)",AND($M138&lt;=15,$E138&lt;&gt;"Done",$E138&lt;&gt;"Blocked"),"Deep Thinking",AND($G138="Deep Thinking",$E138&lt;&gt;"Done"),"Processing",AND($G138="Processing",$E138&lt;&gt;"Done"),"Blocked",$E138="Blocked","Waiting",$E138="Waiting","Recently Updated",AND($L138&lt;&gt;"",$L138&gt;=TODAY()-7),"Keyword",AND('Task Finder'!$C$7&lt;&gt;"",OR(ISNUMBER(SEARCH('Task Finder'!$C$7,$A138)),ISNUMBER(SEARCH('Task Finder'!$C$7,$B138)),ISNUMBER(SEARCH('Task Finder'!$C$7,$C138)),ISNUMBER(SEARCH('Task Finder'!$C$7,$D138)),ISNUMBER(SEARCH('Task Finder'!$C$7,$K138)))),TRUE))</f>
        <v/>
      </c>
    </row>
    <row r="139">
      <c r="A139" s="19" t="n"/>
      <c r="B139" s="19" t="n"/>
      <c r="C139" s="19" t="n"/>
      <c r="D139" s="19" t="n"/>
      <c r="E139" s="19" t="n"/>
      <c r="F139" s="19" t="n"/>
      <c r="G139" s="19" t="n"/>
      <c r="H139" s="19" t="n"/>
      <c r="I139" s="19" t="n"/>
      <c r="J139" s="19" t="n"/>
      <c r="K139" s="19" t="n"/>
      <c r="L139" s="35" t="n"/>
      <c r="M139" s="5">
        <f>IF($D139="","",IFERROR(VLOOKUP($H139,Lists!$N$2:$O$6,2,FALSE),0))</f>
        <v/>
      </c>
      <c r="N139" s="5">
        <f>IF($D139="","",IF(OR($E139="Blocked",$E139="Done",$E139="Archive"),-9999,IF(AND($E139="Waiting",SUMPRODUCT((($E$5:$E$500="Next")+($E$5:$E$500="In Progress")+($E$5:$E$500="Captured"))*($D$5:$D$500&lt;&gt;""))&gt;0),-500,VLOOKUP($F139,Lists!$L$2:$M$4,2,FALSE)+IF($E139="In Progress",10,0)+IF(AND($I139&lt;&gt;"",$I139&lt;TODAY()),25,0)+IF(AND($I139&lt;&gt;"",$I139&gt;=TODAY(),$I139&lt;=TODAY()+7),15,0)+IF($H139="",0,IF($M139&lt;=VLOOKUP(Home!$C$7,Lists!$N$2:$O$6,2,FALSE),20,-10))+IF($G139=Home!$E$7,15,IF(Home!$E$7="",0,-5))-ROW()/100000)))</f>
        <v/>
      </c>
      <c r="O139" s="5">
        <f>IF($D139="","",IF($N139&lt;=-500,"Not recommended right now",IF($E139="Waiting","Nothing else actionable right now — Waiting on: "&amp;IF($K139="","this item",$K139),TEXTJOIN(" • ",TRUE,IF($F139="High","High Priority",""),IF(AND($I139&lt;&gt;"",$I139&lt;TODAY()),"Overdue",""),IF(AND($I139&lt;&gt;"",$I139&gt;=TODAY(),$I139&lt;=TODAY()+7),"Due This Week",""),IF(AND($H139&lt;&gt;"",$M139&lt;=VLOOKUP(Home!$C$7,Lists!$N$2:$O$6,2,FALSE)),$H139&amp;" Task",""),IF($G139=Home!$E$7,"Fits Current Energy",""),"No Blockers"))))</f>
        <v/>
      </c>
      <c r="P139" s="5">
        <f>IF($D139="","",SWITCH('Task Finder'!$C$6,"High Priority",AND($F139="High",$E139&lt;&gt;"Done",$E139&lt;&gt;"Archive"),"Due This Week",AND($I139&lt;&gt;"",$I139&gt;=TODAY(),$I139&lt;=TODAY()+7,$E139&lt;&gt;"Done"),"Quick Wins (15 mins or less)",AND($M139&lt;=15,$E139&lt;&gt;"Done",$E139&lt;&gt;"Blocked"),"Deep Thinking",AND($G139="Deep Thinking",$E139&lt;&gt;"Done"),"Processing",AND($G139="Processing",$E139&lt;&gt;"Done"),"Blocked",$E139="Blocked","Waiting",$E139="Waiting","Recently Updated",AND($L139&lt;&gt;"",$L139&gt;=TODAY()-7),"Keyword",AND('Task Finder'!$C$7&lt;&gt;"",OR(ISNUMBER(SEARCH('Task Finder'!$C$7,$A139)),ISNUMBER(SEARCH('Task Finder'!$C$7,$B139)),ISNUMBER(SEARCH('Task Finder'!$C$7,$C139)),ISNUMBER(SEARCH('Task Finder'!$C$7,$D139)),ISNUMBER(SEARCH('Task Finder'!$C$7,$K139)))),TRUE))</f>
        <v/>
      </c>
    </row>
    <row r="140">
      <c r="A140" s="19" t="n"/>
      <c r="B140" s="19" t="n"/>
      <c r="C140" s="19" t="n"/>
      <c r="D140" s="19" t="n"/>
      <c r="E140" s="19" t="n"/>
      <c r="F140" s="19" t="n"/>
      <c r="G140" s="19" t="n"/>
      <c r="H140" s="19" t="n"/>
      <c r="I140" s="19" t="n"/>
      <c r="J140" s="19" t="n"/>
      <c r="K140" s="19" t="n"/>
      <c r="L140" s="35" t="n"/>
      <c r="M140" s="5">
        <f>IF($D140="","",IFERROR(VLOOKUP($H140,Lists!$N$2:$O$6,2,FALSE),0))</f>
        <v/>
      </c>
      <c r="N140" s="5">
        <f>IF($D140="","",IF(OR($E140="Blocked",$E140="Done",$E140="Archive"),-9999,IF(AND($E140="Waiting",SUMPRODUCT((($E$5:$E$500="Next")+($E$5:$E$500="In Progress")+($E$5:$E$500="Captured"))*($D$5:$D$500&lt;&gt;""))&gt;0),-500,VLOOKUP($F140,Lists!$L$2:$M$4,2,FALSE)+IF($E140="In Progress",10,0)+IF(AND($I140&lt;&gt;"",$I140&lt;TODAY()),25,0)+IF(AND($I140&lt;&gt;"",$I140&gt;=TODAY(),$I140&lt;=TODAY()+7),15,0)+IF($H140="",0,IF($M140&lt;=VLOOKUP(Home!$C$7,Lists!$N$2:$O$6,2,FALSE),20,-10))+IF($G140=Home!$E$7,15,IF(Home!$E$7="",0,-5))-ROW()/100000)))</f>
        <v/>
      </c>
      <c r="O140" s="5">
        <f>IF($D140="","",IF($N140&lt;=-500,"Not recommended right now",IF($E140="Waiting","Nothing else actionable right now — Waiting on: "&amp;IF($K140="","this item",$K140),TEXTJOIN(" • ",TRUE,IF($F140="High","High Priority",""),IF(AND($I140&lt;&gt;"",$I140&lt;TODAY()),"Overdue",""),IF(AND($I140&lt;&gt;"",$I140&gt;=TODAY(),$I140&lt;=TODAY()+7),"Due This Week",""),IF(AND($H140&lt;&gt;"",$M140&lt;=VLOOKUP(Home!$C$7,Lists!$N$2:$O$6,2,FALSE)),$H140&amp;" Task",""),IF($G140=Home!$E$7,"Fits Current Energy",""),"No Blockers"))))</f>
        <v/>
      </c>
      <c r="P140" s="5">
        <f>IF($D140="","",SWITCH('Task Finder'!$C$6,"High Priority",AND($F140="High",$E140&lt;&gt;"Done",$E140&lt;&gt;"Archive"),"Due This Week",AND($I140&lt;&gt;"",$I140&gt;=TODAY(),$I140&lt;=TODAY()+7,$E140&lt;&gt;"Done"),"Quick Wins (15 mins or less)",AND($M140&lt;=15,$E140&lt;&gt;"Done",$E140&lt;&gt;"Blocked"),"Deep Thinking",AND($G140="Deep Thinking",$E140&lt;&gt;"Done"),"Processing",AND($G140="Processing",$E140&lt;&gt;"Done"),"Blocked",$E140="Blocked","Waiting",$E140="Waiting","Recently Updated",AND($L140&lt;&gt;"",$L140&gt;=TODAY()-7),"Keyword",AND('Task Finder'!$C$7&lt;&gt;"",OR(ISNUMBER(SEARCH('Task Finder'!$C$7,$A140)),ISNUMBER(SEARCH('Task Finder'!$C$7,$B140)),ISNUMBER(SEARCH('Task Finder'!$C$7,$C140)),ISNUMBER(SEARCH('Task Finder'!$C$7,$D140)),ISNUMBER(SEARCH('Task Finder'!$C$7,$K140)))),TRUE))</f>
        <v/>
      </c>
    </row>
    <row r="141">
      <c r="A141" s="19" t="n"/>
      <c r="B141" s="19" t="n"/>
      <c r="C141" s="19" t="n"/>
      <c r="D141" s="19" t="n"/>
      <c r="E141" s="19" t="n"/>
      <c r="F141" s="19" t="n"/>
      <c r="G141" s="19" t="n"/>
      <c r="H141" s="19" t="n"/>
      <c r="I141" s="19" t="n"/>
      <c r="J141" s="19" t="n"/>
      <c r="K141" s="19" t="n"/>
      <c r="L141" s="35" t="n"/>
      <c r="M141" s="5">
        <f>IF($D141="","",IFERROR(VLOOKUP($H141,Lists!$N$2:$O$6,2,FALSE),0))</f>
        <v/>
      </c>
      <c r="N141" s="5">
        <f>IF($D141="","",IF(OR($E141="Blocked",$E141="Done",$E141="Archive"),-9999,IF(AND($E141="Waiting",SUMPRODUCT((($E$5:$E$500="Next")+($E$5:$E$500="In Progress")+($E$5:$E$500="Captured"))*($D$5:$D$500&lt;&gt;""))&gt;0),-500,VLOOKUP($F141,Lists!$L$2:$M$4,2,FALSE)+IF($E141="In Progress",10,0)+IF(AND($I141&lt;&gt;"",$I141&lt;TODAY()),25,0)+IF(AND($I141&lt;&gt;"",$I141&gt;=TODAY(),$I141&lt;=TODAY()+7),15,0)+IF($H141="",0,IF($M141&lt;=VLOOKUP(Home!$C$7,Lists!$N$2:$O$6,2,FALSE),20,-10))+IF($G141=Home!$E$7,15,IF(Home!$E$7="",0,-5))-ROW()/100000)))</f>
        <v/>
      </c>
      <c r="O141" s="5">
        <f>IF($D141="","",IF($N141&lt;=-500,"Not recommended right now",IF($E141="Waiting","Nothing else actionable right now — Waiting on: "&amp;IF($K141="","this item",$K141),TEXTJOIN(" • ",TRUE,IF($F141="High","High Priority",""),IF(AND($I141&lt;&gt;"",$I141&lt;TODAY()),"Overdue",""),IF(AND($I141&lt;&gt;"",$I141&gt;=TODAY(),$I141&lt;=TODAY()+7),"Due This Week",""),IF(AND($H141&lt;&gt;"",$M141&lt;=VLOOKUP(Home!$C$7,Lists!$N$2:$O$6,2,FALSE)),$H141&amp;" Task",""),IF($G141=Home!$E$7,"Fits Current Energy",""),"No Blockers"))))</f>
        <v/>
      </c>
      <c r="P141" s="5">
        <f>IF($D141="","",SWITCH('Task Finder'!$C$6,"High Priority",AND($F141="High",$E141&lt;&gt;"Done",$E141&lt;&gt;"Archive"),"Due This Week",AND($I141&lt;&gt;"",$I141&gt;=TODAY(),$I141&lt;=TODAY()+7,$E141&lt;&gt;"Done"),"Quick Wins (15 mins or less)",AND($M141&lt;=15,$E141&lt;&gt;"Done",$E141&lt;&gt;"Blocked"),"Deep Thinking",AND($G141="Deep Thinking",$E141&lt;&gt;"Done"),"Processing",AND($G141="Processing",$E141&lt;&gt;"Done"),"Blocked",$E141="Blocked","Waiting",$E141="Waiting","Recently Updated",AND($L141&lt;&gt;"",$L141&gt;=TODAY()-7),"Keyword",AND('Task Finder'!$C$7&lt;&gt;"",OR(ISNUMBER(SEARCH('Task Finder'!$C$7,$A141)),ISNUMBER(SEARCH('Task Finder'!$C$7,$B141)),ISNUMBER(SEARCH('Task Finder'!$C$7,$C141)),ISNUMBER(SEARCH('Task Finder'!$C$7,$D141)),ISNUMBER(SEARCH('Task Finder'!$C$7,$K141)))),TRUE))</f>
        <v/>
      </c>
    </row>
    <row r="142">
      <c r="A142" s="19" t="n"/>
      <c r="B142" s="19" t="n"/>
      <c r="C142" s="19" t="n"/>
      <c r="D142" s="19" t="n"/>
      <c r="E142" s="19" t="n"/>
      <c r="F142" s="19" t="n"/>
      <c r="G142" s="19" t="n"/>
      <c r="H142" s="19" t="n"/>
      <c r="I142" s="19" t="n"/>
      <c r="J142" s="19" t="n"/>
      <c r="K142" s="19" t="n"/>
      <c r="L142" s="35" t="n"/>
      <c r="M142" s="5">
        <f>IF($D142="","",IFERROR(VLOOKUP($H142,Lists!$N$2:$O$6,2,FALSE),0))</f>
        <v/>
      </c>
      <c r="N142" s="5">
        <f>IF($D142="","",IF(OR($E142="Blocked",$E142="Done",$E142="Archive"),-9999,IF(AND($E142="Waiting",SUMPRODUCT((($E$5:$E$500="Next")+($E$5:$E$500="In Progress")+($E$5:$E$500="Captured"))*($D$5:$D$500&lt;&gt;""))&gt;0),-500,VLOOKUP($F142,Lists!$L$2:$M$4,2,FALSE)+IF($E142="In Progress",10,0)+IF(AND($I142&lt;&gt;"",$I142&lt;TODAY()),25,0)+IF(AND($I142&lt;&gt;"",$I142&gt;=TODAY(),$I142&lt;=TODAY()+7),15,0)+IF($H142="",0,IF($M142&lt;=VLOOKUP(Home!$C$7,Lists!$N$2:$O$6,2,FALSE),20,-10))+IF($G142=Home!$E$7,15,IF(Home!$E$7="",0,-5))-ROW()/100000)))</f>
        <v/>
      </c>
      <c r="O142" s="5">
        <f>IF($D142="","",IF($N142&lt;=-500,"Not recommended right now",IF($E142="Waiting","Nothing else actionable right now — Waiting on: "&amp;IF($K142="","this item",$K142),TEXTJOIN(" • ",TRUE,IF($F142="High","High Priority",""),IF(AND($I142&lt;&gt;"",$I142&lt;TODAY()),"Overdue",""),IF(AND($I142&lt;&gt;"",$I142&gt;=TODAY(),$I142&lt;=TODAY()+7),"Due This Week",""),IF(AND($H142&lt;&gt;"",$M142&lt;=VLOOKUP(Home!$C$7,Lists!$N$2:$O$6,2,FALSE)),$H142&amp;" Task",""),IF($G142=Home!$E$7,"Fits Current Energy",""),"No Blockers"))))</f>
        <v/>
      </c>
      <c r="P142" s="5">
        <f>IF($D142="","",SWITCH('Task Finder'!$C$6,"High Priority",AND($F142="High",$E142&lt;&gt;"Done",$E142&lt;&gt;"Archive"),"Due This Week",AND($I142&lt;&gt;"",$I142&gt;=TODAY(),$I142&lt;=TODAY()+7,$E142&lt;&gt;"Done"),"Quick Wins (15 mins or less)",AND($M142&lt;=15,$E142&lt;&gt;"Done",$E142&lt;&gt;"Blocked"),"Deep Thinking",AND($G142="Deep Thinking",$E142&lt;&gt;"Done"),"Processing",AND($G142="Processing",$E142&lt;&gt;"Done"),"Blocked",$E142="Blocked","Waiting",$E142="Waiting","Recently Updated",AND($L142&lt;&gt;"",$L142&gt;=TODAY()-7),"Keyword",AND('Task Finder'!$C$7&lt;&gt;"",OR(ISNUMBER(SEARCH('Task Finder'!$C$7,$A142)),ISNUMBER(SEARCH('Task Finder'!$C$7,$B142)),ISNUMBER(SEARCH('Task Finder'!$C$7,$C142)),ISNUMBER(SEARCH('Task Finder'!$C$7,$D142)),ISNUMBER(SEARCH('Task Finder'!$C$7,$K142)))),TRUE))</f>
        <v/>
      </c>
    </row>
    <row r="143">
      <c r="A143" s="19" t="n"/>
      <c r="B143" s="19" t="n"/>
      <c r="C143" s="19" t="n"/>
      <c r="D143" s="19" t="n"/>
      <c r="E143" s="19" t="n"/>
      <c r="F143" s="19" t="n"/>
      <c r="G143" s="19" t="n"/>
      <c r="H143" s="19" t="n"/>
      <c r="I143" s="19" t="n"/>
      <c r="J143" s="19" t="n"/>
      <c r="K143" s="19" t="n"/>
      <c r="L143" s="35" t="n"/>
      <c r="M143" s="5">
        <f>IF($D143="","",IFERROR(VLOOKUP($H143,Lists!$N$2:$O$6,2,FALSE),0))</f>
        <v/>
      </c>
      <c r="N143" s="5">
        <f>IF($D143="","",IF(OR($E143="Blocked",$E143="Done",$E143="Archive"),-9999,IF(AND($E143="Waiting",SUMPRODUCT((($E$5:$E$500="Next")+($E$5:$E$500="In Progress")+($E$5:$E$500="Captured"))*($D$5:$D$500&lt;&gt;""))&gt;0),-500,VLOOKUP($F143,Lists!$L$2:$M$4,2,FALSE)+IF($E143="In Progress",10,0)+IF(AND($I143&lt;&gt;"",$I143&lt;TODAY()),25,0)+IF(AND($I143&lt;&gt;"",$I143&gt;=TODAY(),$I143&lt;=TODAY()+7),15,0)+IF($H143="",0,IF($M143&lt;=VLOOKUP(Home!$C$7,Lists!$N$2:$O$6,2,FALSE),20,-10))+IF($G143=Home!$E$7,15,IF(Home!$E$7="",0,-5))-ROW()/100000)))</f>
        <v/>
      </c>
      <c r="O143" s="5">
        <f>IF($D143="","",IF($N143&lt;=-500,"Not recommended right now",IF($E143="Waiting","Nothing else actionable right now — Waiting on: "&amp;IF($K143="","this item",$K143),TEXTJOIN(" • ",TRUE,IF($F143="High","High Priority",""),IF(AND($I143&lt;&gt;"",$I143&lt;TODAY()),"Overdue",""),IF(AND($I143&lt;&gt;"",$I143&gt;=TODAY(),$I143&lt;=TODAY()+7),"Due This Week",""),IF(AND($H143&lt;&gt;"",$M143&lt;=VLOOKUP(Home!$C$7,Lists!$N$2:$O$6,2,FALSE)),$H143&amp;" Task",""),IF($G143=Home!$E$7,"Fits Current Energy",""),"No Blockers"))))</f>
        <v/>
      </c>
      <c r="P143" s="5">
        <f>IF($D143="","",SWITCH('Task Finder'!$C$6,"High Priority",AND($F143="High",$E143&lt;&gt;"Done",$E143&lt;&gt;"Archive"),"Due This Week",AND($I143&lt;&gt;"",$I143&gt;=TODAY(),$I143&lt;=TODAY()+7,$E143&lt;&gt;"Done"),"Quick Wins (15 mins or less)",AND($M143&lt;=15,$E143&lt;&gt;"Done",$E143&lt;&gt;"Blocked"),"Deep Thinking",AND($G143="Deep Thinking",$E143&lt;&gt;"Done"),"Processing",AND($G143="Processing",$E143&lt;&gt;"Done"),"Blocked",$E143="Blocked","Waiting",$E143="Waiting","Recently Updated",AND($L143&lt;&gt;"",$L143&gt;=TODAY()-7),"Keyword",AND('Task Finder'!$C$7&lt;&gt;"",OR(ISNUMBER(SEARCH('Task Finder'!$C$7,$A143)),ISNUMBER(SEARCH('Task Finder'!$C$7,$B143)),ISNUMBER(SEARCH('Task Finder'!$C$7,$C143)),ISNUMBER(SEARCH('Task Finder'!$C$7,$D143)),ISNUMBER(SEARCH('Task Finder'!$C$7,$K143)))),TRUE))</f>
        <v/>
      </c>
    </row>
    <row r="144">
      <c r="A144" s="19" t="n"/>
      <c r="B144" s="19" t="n"/>
      <c r="C144" s="19" t="n"/>
      <c r="D144" s="19" t="n"/>
      <c r="E144" s="19" t="n"/>
      <c r="F144" s="19" t="n"/>
      <c r="G144" s="19" t="n"/>
      <c r="H144" s="19" t="n"/>
      <c r="I144" s="19" t="n"/>
      <c r="J144" s="19" t="n"/>
      <c r="K144" s="19" t="n"/>
      <c r="L144" s="35" t="n"/>
      <c r="M144" s="5">
        <f>IF($D144="","",IFERROR(VLOOKUP($H144,Lists!$N$2:$O$6,2,FALSE),0))</f>
        <v/>
      </c>
      <c r="N144" s="5">
        <f>IF($D144="","",IF(OR($E144="Blocked",$E144="Done",$E144="Archive"),-9999,IF(AND($E144="Waiting",SUMPRODUCT((($E$5:$E$500="Next")+($E$5:$E$500="In Progress")+($E$5:$E$500="Captured"))*($D$5:$D$500&lt;&gt;""))&gt;0),-500,VLOOKUP($F144,Lists!$L$2:$M$4,2,FALSE)+IF($E144="In Progress",10,0)+IF(AND($I144&lt;&gt;"",$I144&lt;TODAY()),25,0)+IF(AND($I144&lt;&gt;"",$I144&gt;=TODAY(),$I144&lt;=TODAY()+7),15,0)+IF($H144="",0,IF($M144&lt;=VLOOKUP(Home!$C$7,Lists!$N$2:$O$6,2,FALSE),20,-10))+IF($G144=Home!$E$7,15,IF(Home!$E$7="",0,-5))-ROW()/100000)))</f>
        <v/>
      </c>
      <c r="O144" s="5">
        <f>IF($D144="","",IF($N144&lt;=-500,"Not recommended right now",IF($E144="Waiting","Nothing else actionable right now — Waiting on: "&amp;IF($K144="","this item",$K144),TEXTJOIN(" • ",TRUE,IF($F144="High","High Priority",""),IF(AND($I144&lt;&gt;"",$I144&lt;TODAY()),"Overdue",""),IF(AND($I144&lt;&gt;"",$I144&gt;=TODAY(),$I144&lt;=TODAY()+7),"Due This Week",""),IF(AND($H144&lt;&gt;"",$M144&lt;=VLOOKUP(Home!$C$7,Lists!$N$2:$O$6,2,FALSE)),$H144&amp;" Task",""),IF($G144=Home!$E$7,"Fits Current Energy",""),"No Blockers"))))</f>
        <v/>
      </c>
      <c r="P144" s="5">
        <f>IF($D144="","",SWITCH('Task Finder'!$C$6,"High Priority",AND($F144="High",$E144&lt;&gt;"Done",$E144&lt;&gt;"Archive"),"Due This Week",AND($I144&lt;&gt;"",$I144&gt;=TODAY(),$I144&lt;=TODAY()+7,$E144&lt;&gt;"Done"),"Quick Wins (15 mins or less)",AND($M144&lt;=15,$E144&lt;&gt;"Done",$E144&lt;&gt;"Blocked"),"Deep Thinking",AND($G144="Deep Thinking",$E144&lt;&gt;"Done"),"Processing",AND($G144="Processing",$E144&lt;&gt;"Done"),"Blocked",$E144="Blocked","Waiting",$E144="Waiting","Recently Updated",AND($L144&lt;&gt;"",$L144&gt;=TODAY()-7),"Keyword",AND('Task Finder'!$C$7&lt;&gt;"",OR(ISNUMBER(SEARCH('Task Finder'!$C$7,$A144)),ISNUMBER(SEARCH('Task Finder'!$C$7,$B144)),ISNUMBER(SEARCH('Task Finder'!$C$7,$C144)),ISNUMBER(SEARCH('Task Finder'!$C$7,$D144)),ISNUMBER(SEARCH('Task Finder'!$C$7,$K144)))),TRUE))</f>
        <v/>
      </c>
    </row>
    <row r="145">
      <c r="A145" s="19" t="n"/>
      <c r="B145" s="19" t="n"/>
      <c r="C145" s="19" t="n"/>
      <c r="D145" s="19" t="n"/>
      <c r="E145" s="19" t="n"/>
      <c r="F145" s="19" t="n"/>
      <c r="G145" s="19" t="n"/>
      <c r="H145" s="19" t="n"/>
      <c r="I145" s="19" t="n"/>
      <c r="J145" s="19" t="n"/>
      <c r="K145" s="19" t="n"/>
      <c r="L145" s="35" t="n"/>
      <c r="M145" s="5">
        <f>IF($D145="","",IFERROR(VLOOKUP($H145,Lists!$N$2:$O$6,2,FALSE),0))</f>
        <v/>
      </c>
      <c r="N145" s="5">
        <f>IF($D145="","",IF(OR($E145="Blocked",$E145="Done",$E145="Archive"),-9999,IF(AND($E145="Waiting",SUMPRODUCT((($E$5:$E$500="Next")+($E$5:$E$500="In Progress")+($E$5:$E$500="Captured"))*($D$5:$D$500&lt;&gt;""))&gt;0),-500,VLOOKUP($F145,Lists!$L$2:$M$4,2,FALSE)+IF($E145="In Progress",10,0)+IF(AND($I145&lt;&gt;"",$I145&lt;TODAY()),25,0)+IF(AND($I145&lt;&gt;"",$I145&gt;=TODAY(),$I145&lt;=TODAY()+7),15,0)+IF($H145="",0,IF($M145&lt;=VLOOKUP(Home!$C$7,Lists!$N$2:$O$6,2,FALSE),20,-10))+IF($G145=Home!$E$7,15,IF(Home!$E$7="",0,-5))-ROW()/100000)))</f>
        <v/>
      </c>
      <c r="O145" s="5">
        <f>IF($D145="","",IF($N145&lt;=-500,"Not recommended right now",IF($E145="Waiting","Nothing else actionable right now — Waiting on: "&amp;IF($K145="","this item",$K145),TEXTJOIN(" • ",TRUE,IF($F145="High","High Priority",""),IF(AND($I145&lt;&gt;"",$I145&lt;TODAY()),"Overdue",""),IF(AND($I145&lt;&gt;"",$I145&gt;=TODAY(),$I145&lt;=TODAY()+7),"Due This Week",""),IF(AND($H145&lt;&gt;"",$M145&lt;=VLOOKUP(Home!$C$7,Lists!$N$2:$O$6,2,FALSE)),$H145&amp;" Task",""),IF($G145=Home!$E$7,"Fits Current Energy",""),"No Blockers"))))</f>
        <v/>
      </c>
      <c r="P145" s="5">
        <f>IF($D145="","",SWITCH('Task Finder'!$C$6,"High Priority",AND($F145="High",$E145&lt;&gt;"Done",$E145&lt;&gt;"Archive"),"Due This Week",AND($I145&lt;&gt;"",$I145&gt;=TODAY(),$I145&lt;=TODAY()+7,$E145&lt;&gt;"Done"),"Quick Wins (15 mins or less)",AND($M145&lt;=15,$E145&lt;&gt;"Done",$E145&lt;&gt;"Blocked"),"Deep Thinking",AND($G145="Deep Thinking",$E145&lt;&gt;"Done"),"Processing",AND($G145="Processing",$E145&lt;&gt;"Done"),"Blocked",$E145="Blocked","Waiting",$E145="Waiting","Recently Updated",AND($L145&lt;&gt;"",$L145&gt;=TODAY()-7),"Keyword",AND('Task Finder'!$C$7&lt;&gt;"",OR(ISNUMBER(SEARCH('Task Finder'!$C$7,$A145)),ISNUMBER(SEARCH('Task Finder'!$C$7,$B145)),ISNUMBER(SEARCH('Task Finder'!$C$7,$C145)),ISNUMBER(SEARCH('Task Finder'!$C$7,$D145)),ISNUMBER(SEARCH('Task Finder'!$C$7,$K145)))),TRUE))</f>
        <v/>
      </c>
    </row>
    <row r="146">
      <c r="A146" s="19" t="n"/>
      <c r="B146" s="19" t="n"/>
      <c r="C146" s="19" t="n"/>
      <c r="D146" s="19" t="n"/>
      <c r="E146" s="19" t="n"/>
      <c r="F146" s="19" t="n"/>
      <c r="G146" s="19" t="n"/>
      <c r="H146" s="19" t="n"/>
      <c r="I146" s="19" t="n"/>
      <c r="J146" s="19" t="n"/>
      <c r="K146" s="19" t="n"/>
      <c r="L146" s="35" t="n"/>
      <c r="M146" s="5">
        <f>IF($D146="","",IFERROR(VLOOKUP($H146,Lists!$N$2:$O$6,2,FALSE),0))</f>
        <v/>
      </c>
      <c r="N146" s="5">
        <f>IF($D146="","",IF(OR($E146="Blocked",$E146="Done",$E146="Archive"),-9999,IF(AND($E146="Waiting",SUMPRODUCT((($E$5:$E$500="Next")+($E$5:$E$500="In Progress")+($E$5:$E$500="Captured"))*($D$5:$D$500&lt;&gt;""))&gt;0),-500,VLOOKUP($F146,Lists!$L$2:$M$4,2,FALSE)+IF($E146="In Progress",10,0)+IF(AND($I146&lt;&gt;"",$I146&lt;TODAY()),25,0)+IF(AND($I146&lt;&gt;"",$I146&gt;=TODAY(),$I146&lt;=TODAY()+7),15,0)+IF($H146="",0,IF($M146&lt;=VLOOKUP(Home!$C$7,Lists!$N$2:$O$6,2,FALSE),20,-10))+IF($G146=Home!$E$7,15,IF(Home!$E$7="",0,-5))-ROW()/100000)))</f>
        <v/>
      </c>
      <c r="O146" s="5">
        <f>IF($D146="","",IF($N146&lt;=-500,"Not recommended right now",IF($E146="Waiting","Nothing else actionable right now — Waiting on: "&amp;IF($K146="","this item",$K146),TEXTJOIN(" • ",TRUE,IF($F146="High","High Priority",""),IF(AND($I146&lt;&gt;"",$I146&lt;TODAY()),"Overdue",""),IF(AND($I146&lt;&gt;"",$I146&gt;=TODAY(),$I146&lt;=TODAY()+7),"Due This Week",""),IF(AND($H146&lt;&gt;"",$M146&lt;=VLOOKUP(Home!$C$7,Lists!$N$2:$O$6,2,FALSE)),$H146&amp;" Task",""),IF($G146=Home!$E$7,"Fits Current Energy",""),"No Blockers"))))</f>
        <v/>
      </c>
      <c r="P146" s="5">
        <f>IF($D146="","",SWITCH('Task Finder'!$C$6,"High Priority",AND($F146="High",$E146&lt;&gt;"Done",$E146&lt;&gt;"Archive"),"Due This Week",AND($I146&lt;&gt;"",$I146&gt;=TODAY(),$I146&lt;=TODAY()+7,$E146&lt;&gt;"Done"),"Quick Wins (15 mins or less)",AND($M146&lt;=15,$E146&lt;&gt;"Done",$E146&lt;&gt;"Blocked"),"Deep Thinking",AND($G146="Deep Thinking",$E146&lt;&gt;"Done"),"Processing",AND($G146="Processing",$E146&lt;&gt;"Done"),"Blocked",$E146="Blocked","Waiting",$E146="Waiting","Recently Updated",AND($L146&lt;&gt;"",$L146&gt;=TODAY()-7),"Keyword",AND('Task Finder'!$C$7&lt;&gt;"",OR(ISNUMBER(SEARCH('Task Finder'!$C$7,$A146)),ISNUMBER(SEARCH('Task Finder'!$C$7,$B146)),ISNUMBER(SEARCH('Task Finder'!$C$7,$C146)),ISNUMBER(SEARCH('Task Finder'!$C$7,$D146)),ISNUMBER(SEARCH('Task Finder'!$C$7,$K146)))),TRUE))</f>
        <v/>
      </c>
    </row>
    <row r="147">
      <c r="A147" s="19" t="n"/>
      <c r="B147" s="19" t="n"/>
      <c r="C147" s="19" t="n"/>
      <c r="D147" s="19" t="n"/>
      <c r="E147" s="19" t="n"/>
      <c r="F147" s="19" t="n"/>
      <c r="G147" s="19" t="n"/>
      <c r="H147" s="19" t="n"/>
      <c r="I147" s="19" t="n"/>
      <c r="J147" s="19" t="n"/>
      <c r="K147" s="19" t="n"/>
      <c r="L147" s="35" t="n"/>
      <c r="M147" s="5">
        <f>IF($D147="","",IFERROR(VLOOKUP($H147,Lists!$N$2:$O$6,2,FALSE),0))</f>
        <v/>
      </c>
      <c r="N147" s="5">
        <f>IF($D147="","",IF(OR($E147="Blocked",$E147="Done",$E147="Archive"),-9999,IF(AND($E147="Waiting",SUMPRODUCT((($E$5:$E$500="Next")+($E$5:$E$500="In Progress")+($E$5:$E$500="Captured"))*($D$5:$D$500&lt;&gt;""))&gt;0),-500,VLOOKUP($F147,Lists!$L$2:$M$4,2,FALSE)+IF($E147="In Progress",10,0)+IF(AND($I147&lt;&gt;"",$I147&lt;TODAY()),25,0)+IF(AND($I147&lt;&gt;"",$I147&gt;=TODAY(),$I147&lt;=TODAY()+7),15,0)+IF($H147="",0,IF($M147&lt;=VLOOKUP(Home!$C$7,Lists!$N$2:$O$6,2,FALSE),20,-10))+IF($G147=Home!$E$7,15,IF(Home!$E$7="",0,-5))-ROW()/100000)))</f>
        <v/>
      </c>
      <c r="O147" s="5">
        <f>IF($D147="","",IF($N147&lt;=-500,"Not recommended right now",IF($E147="Waiting","Nothing else actionable right now — Waiting on: "&amp;IF($K147="","this item",$K147),TEXTJOIN(" • ",TRUE,IF($F147="High","High Priority",""),IF(AND($I147&lt;&gt;"",$I147&lt;TODAY()),"Overdue",""),IF(AND($I147&lt;&gt;"",$I147&gt;=TODAY(),$I147&lt;=TODAY()+7),"Due This Week",""),IF(AND($H147&lt;&gt;"",$M147&lt;=VLOOKUP(Home!$C$7,Lists!$N$2:$O$6,2,FALSE)),$H147&amp;" Task",""),IF($G147=Home!$E$7,"Fits Current Energy",""),"No Blockers"))))</f>
        <v/>
      </c>
      <c r="P147" s="5">
        <f>IF($D147="","",SWITCH('Task Finder'!$C$6,"High Priority",AND($F147="High",$E147&lt;&gt;"Done",$E147&lt;&gt;"Archive"),"Due This Week",AND($I147&lt;&gt;"",$I147&gt;=TODAY(),$I147&lt;=TODAY()+7,$E147&lt;&gt;"Done"),"Quick Wins (15 mins or less)",AND($M147&lt;=15,$E147&lt;&gt;"Done",$E147&lt;&gt;"Blocked"),"Deep Thinking",AND($G147="Deep Thinking",$E147&lt;&gt;"Done"),"Processing",AND($G147="Processing",$E147&lt;&gt;"Done"),"Blocked",$E147="Blocked","Waiting",$E147="Waiting","Recently Updated",AND($L147&lt;&gt;"",$L147&gt;=TODAY()-7),"Keyword",AND('Task Finder'!$C$7&lt;&gt;"",OR(ISNUMBER(SEARCH('Task Finder'!$C$7,$A147)),ISNUMBER(SEARCH('Task Finder'!$C$7,$B147)),ISNUMBER(SEARCH('Task Finder'!$C$7,$C147)),ISNUMBER(SEARCH('Task Finder'!$C$7,$D147)),ISNUMBER(SEARCH('Task Finder'!$C$7,$K147)))),TRUE))</f>
        <v/>
      </c>
    </row>
    <row r="148">
      <c r="A148" s="19" t="n"/>
      <c r="B148" s="19" t="n"/>
      <c r="C148" s="19" t="n"/>
      <c r="D148" s="19" t="n"/>
      <c r="E148" s="19" t="n"/>
      <c r="F148" s="19" t="n"/>
      <c r="G148" s="19" t="n"/>
      <c r="H148" s="19" t="n"/>
      <c r="I148" s="19" t="n"/>
      <c r="J148" s="19" t="n"/>
      <c r="K148" s="19" t="n"/>
      <c r="L148" s="35" t="n"/>
      <c r="M148" s="5">
        <f>IF($D148="","",IFERROR(VLOOKUP($H148,Lists!$N$2:$O$6,2,FALSE),0))</f>
        <v/>
      </c>
      <c r="N148" s="5">
        <f>IF($D148="","",IF(OR($E148="Blocked",$E148="Done",$E148="Archive"),-9999,IF(AND($E148="Waiting",SUMPRODUCT((($E$5:$E$500="Next")+($E$5:$E$500="In Progress")+($E$5:$E$500="Captured"))*($D$5:$D$500&lt;&gt;""))&gt;0),-500,VLOOKUP($F148,Lists!$L$2:$M$4,2,FALSE)+IF($E148="In Progress",10,0)+IF(AND($I148&lt;&gt;"",$I148&lt;TODAY()),25,0)+IF(AND($I148&lt;&gt;"",$I148&gt;=TODAY(),$I148&lt;=TODAY()+7),15,0)+IF($H148="",0,IF($M148&lt;=VLOOKUP(Home!$C$7,Lists!$N$2:$O$6,2,FALSE),20,-10))+IF($G148=Home!$E$7,15,IF(Home!$E$7="",0,-5))-ROW()/100000)))</f>
        <v/>
      </c>
      <c r="O148" s="5">
        <f>IF($D148="","",IF($N148&lt;=-500,"Not recommended right now",IF($E148="Waiting","Nothing else actionable right now — Waiting on: "&amp;IF($K148="","this item",$K148),TEXTJOIN(" • ",TRUE,IF($F148="High","High Priority",""),IF(AND($I148&lt;&gt;"",$I148&lt;TODAY()),"Overdue",""),IF(AND($I148&lt;&gt;"",$I148&gt;=TODAY(),$I148&lt;=TODAY()+7),"Due This Week",""),IF(AND($H148&lt;&gt;"",$M148&lt;=VLOOKUP(Home!$C$7,Lists!$N$2:$O$6,2,FALSE)),$H148&amp;" Task",""),IF($G148=Home!$E$7,"Fits Current Energy",""),"No Blockers"))))</f>
        <v/>
      </c>
      <c r="P148" s="5">
        <f>IF($D148="","",SWITCH('Task Finder'!$C$6,"High Priority",AND($F148="High",$E148&lt;&gt;"Done",$E148&lt;&gt;"Archive"),"Due This Week",AND($I148&lt;&gt;"",$I148&gt;=TODAY(),$I148&lt;=TODAY()+7,$E148&lt;&gt;"Done"),"Quick Wins (15 mins or less)",AND($M148&lt;=15,$E148&lt;&gt;"Done",$E148&lt;&gt;"Blocked"),"Deep Thinking",AND($G148="Deep Thinking",$E148&lt;&gt;"Done"),"Processing",AND($G148="Processing",$E148&lt;&gt;"Done"),"Blocked",$E148="Blocked","Waiting",$E148="Waiting","Recently Updated",AND($L148&lt;&gt;"",$L148&gt;=TODAY()-7),"Keyword",AND('Task Finder'!$C$7&lt;&gt;"",OR(ISNUMBER(SEARCH('Task Finder'!$C$7,$A148)),ISNUMBER(SEARCH('Task Finder'!$C$7,$B148)),ISNUMBER(SEARCH('Task Finder'!$C$7,$C148)),ISNUMBER(SEARCH('Task Finder'!$C$7,$D148)),ISNUMBER(SEARCH('Task Finder'!$C$7,$K148)))),TRUE))</f>
        <v/>
      </c>
    </row>
    <row r="149">
      <c r="A149" s="19" t="n"/>
      <c r="B149" s="19" t="n"/>
      <c r="C149" s="19" t="n"/>
      <c r="D149" s="19" t="n"/>
      <c r="E149" s="19" t="n"/>
      <c r="F149" s="19" t="n"/>
      <c r="G149" s="19" t="n"/>
      <c r="H149" s="19" t="n"/>
      <c r="I149" s="19" t="n"/>
      <c r="J149" s="19" t="n"/>
      <c r="K149" s="19" t="n"/>
      <c r="L149" s="35" t="n"/>
      <c r="M149" s="5">
        <f>IF($D149="","",IFERROR(VLOOKUP($H149,Lists!$N$2:$O$6,2,FALSE),0))</f>
        <v/>
      </c>
      <c r="N149" s="5">
        <f>IF($D149="","",IF(OR($E149="Blocked",$E149="Done",$E149="Archive"),-9999,IF(AND($E149="Waiting",SUMPRODUCT((($E$5:$E$500="Next")+($E$5:$E$500="In Progress")+($E$5:$E$500="Captured"))*($D$5:$D$500&lt;&gt;""))&gt;0),-500,VLOOKUP($F149,Lists!$L$2:$M$4,2,FALSE)+IF($E149="In Progress",10,0)+IF(AND($I149&lt;&gt;"",$I149&lt;TODAY()),25,0)+IF(AND($I149&lt;&gt;"",$I149&gt;=TODAY(),$I149&lt;=TODAY()+7),15,0)+IF($H149="",0,IF($M149&lt;=VLOOKUP(Home!$C$7,Lists!$N$2:$O$6,2,FALSE),20,-10))+IF($G149=Home!$E$7,15,IF(Home!$E$7="",0,-5))-ROW()/100000)))</f>
        <v/>
      </c>
      <c r="O149" s="5">
        <f>IF($D149="","",IF($N149&lt;=-500,"Not recommended right now",IF($E149="Waiting","Nothing else actionable right now — Waiting on: "&amp;IF($K149="","this item",$K149),TEXTJOIN(" • ",TRUE,IF($F149="High","High Priority",""),IF(AND($I149&lt;&gt;"",$I149&lt;TODAY()),"Overdue",""),IF(AND($I149&lt;&gt;"",$I149&gt;=TODAY(),$I149&lt;=TODAY()+7),"Due This Week",""),IF(AND($H149&lt;&gt;"",$M149&lt;=VLOOKUP(Home!$C$7,Lists!$N$2:$O$6,2,FALSE)),$H149&amp;" Task",""),IF($G149=Home!$E$7,"Fits Current Energy",""),"No Blockers"))))</f>
        <v/>
      </c>
      <c r="P149" s="5">
        <f>IF($D149="","",SWITCH('Task Finder'!$C$6,"High Priority",AND($F149="High",$E149&lt;&gt;"Done",$E149&lt;&gt;"Archive"),"Due This Week",AND($I149&lt;&gt;"",$I149&gt;=TODAY(),$I149&lt;=TODAY()+7,$E149&lt;&gt;"Done"),"Quick Wins (15 mins or less)",AND($M149&lt;=15,$E149&lt;&gt;"Done",$E149&lt;&gt;"Blocked"),"Deep Thinking",AND($G149="Deep Thinking",$E149&lt;&gt;"Done"),"Processing",AND($G149="Processing",$E149&lt;&gt;"Done"),"Blocked",$E149="Blocked","Waiting",$E149="Waiting","Recently Updated",AND($L149&lt;&gt;"",$L149&gt;=TODAY()-7),"Keyword",AND('Task Finder'!$C$7&lt;&gt;"",OR(ISNUMBER(SEARCH('Task Finder'!$C$7,$A149)),ISNUMBER(SEARCH('Task Finder'!$C$7,$B149)),ISNUMBER(SEARCH('Task Finder'!$C$7,$C149)),ISNUMBER(SEARCH('Task Finder'!$C$7,$D149)),ISNUMBER(SEARCH('Task Finder'!$C$7,$K149)))),TRUE))</f>
        <v/>
      </c>
    </row>
    <row r="150">
      <c r="A150" s="19" t="n"/>
      <c r="B150" s="19" t="n"/>
      <c r="C150" s="19" t="n"/>
      <c r="D150" s="19" t="n"/>
      <c r="E150" s="19" t="n"/>
      <c r="F150" s="19" t="n"/>
      <c r="G150" s="19" t="n"/>
      <c r="H150" s="19" t="n"/>
      <c r="I150" s="19" t="n"/>
      <c r="J150" s="19" t="n"/>
      <c r="K150" s="19" t="n"/>
      <c r="L150" s="35" t="n"/>
      <c r="M150" s="5">
        <f>IF($D150="","",IFERROR(VLOOKUP($H150,Lists!$N$2:$O$6,2,FALSE),0))</f>
        <v/>
      </c>
      <c r="N150" s="5">
        <f>IF($D150="","",IF(OR($E150="Blocked",$E150="Done",$E150="Archive"),-9999,IF(AND($E150="Waiting",SUMPRODUCT((($E$5:$E$500="Next")+($E$5:$E$500="In Progress")+($E$5:$E$500="Captured"))*($D$5:$D$500&lt;&gt;""))&gt;0),-500,VLOOKUP($F150,Lists!$L$2:$M$4,2,FALSE)+IF($E150="In Progress",10,0)+IF(AND($I150&lt;&gt;"",$I150&lt;TODAY()),25,0)+IF(AND($I150&lt;&gt;"",$I150&gt;=TODAY(),$I150&lt;=TODAY()+7),15,0)+IF($H150="",0,IF($M150&lt;=VLOOKUP(Home!$C$7,Lists!$N$2:$O$6,2,FALSE),20,-10))+IF($G150=Home!$E$7,15,IF(Home!$E$7="",0,-5))-ROW()/100000)))</f>
        <v/>
      </c>
      <c r="O150" s="5">
        <f>IF($D150="","",IF($N150&lt;=-500,"Not recommended right now",IF($E150="Waiting","Nothing else actionable right now — Waiting on: "&amp;IF($K150="","this item",$K150),TEXTJOIN(" • ",TRUE,IF($F150="High","High Priority",""),IF(AND($I150&lt;&gt;"",$I150&lt;TODAY()),"Overdue",""),IF(AND($I150&lt;&gt;"",$I150&gt;=TODAY(),$I150&lt;=TODAY()+7),"Due This Week",""),IF(AND($H150&lt;&gt;"",$M150&lt;=VLOOKUP(Home!$C$7,Lists!$N$2:$O$6,2,FALSE)),$H150&amp;" Task",""),IF($G150=Home!$E$7,"Fits Current Energy",""),"No Blockers"))))</f>
        <v/>
      </c>
      <c r="P150" s="5">
        <f>IF($D150="","",SWITCH('Task Finder'!$C$6,"High Priority",AND($F150="High",$E150&lt;&gt;"Done",$E150&lt;&gt;"Archive"),"Due This Week",AND($I150&lt;&gt;"",$I150&gt;=TODAY(),$I150&lt;=TODAY()+7,$E150&lt;&gt;"Done"),"Quick Wins (15 mins or less)",AND($M150&lt;=15,$E150&lt;&gt;"Done",$E150&lt;&gt;"Blocked"),"Deep Thinking",AND($G150="Deep Thinking",$E150&lt;&gt;"Done"),"Processing",AND($G150="Processing",$E150&lt;&gt;"Done"),"Blocked",$E150="Blocked","Waiting",$E150="Waiting","Recently Updated",AND($L150&lt;&gt;"",$L150&gt;=TODAY()-7),"Keyword",AND('Task Finder'!$C$7&lt;&gt;"",OR(ISNUMBER(SEARCH('Task Finder'!$C$7,$A150)),ISNUMBER(SEARCH('Task Finder'!$C$7,$B150)),ISNUMBER(SEARCH('Task Finder'!$C$7,$C150)),ISNUMBER(SEARCH('Task Finder'!$C$7,$D150)),ISNUMBER(SEARCH('Task Finder'!$C$7,$K150)))),TRUE))</f>
        <v/>
      </c>
    </row>
    <row r="151">
      <c r="A151" s="19" t="n"/>
      <c r="B151" s="19" t="n"/>
      <c r="C151" s="19" t="n"/>
      <c r="D151" s="19" t="n"/>
      <c r="E151" s="19" t="n"/>
      <c r="F151" s="19" t="n"/>
      <c r="G151" s="19" t="n"/>
      <c r="H151" s="19" t="n"/>
      <c r="I151" s="19" t="n"/>
      <c r="J151" s="19" t="n"/>
      <c r="K151" s="19" t="n"/>
      <c r="L151" s="35" t="n"/>
      <c r="M151" s="5">
        <f>IF($D151="","",IFERROR(VLOOKUP($H151,Lists!$N$2:$O$6,2,FALSE),0))</f>
        <v/>
      </c>
      <c r="N151" s="5">
        <f>IF($D151="","",IF(OR($E151="Blocked",$E151="Done",$E151="Archive"),-9999,IF(AND($E151="Waiting",SUMPRODUCT((($E$5:$E$500="Next")+($E$5:$E$500="In Progress")+($E$5:$E$500="Captured"))*($D$5:$D$500&lt;&gt;""))&gt;0),-500,VLOOKUP($F151,Lists!$L$2:$M$4,2,FALSE)+IF($E151="In Progress",10,0)+IF(AND($I151&lt;&gt;"",$I151&lt;TODAY()),25,0)+IF(AND($I151&lt;&gt;"",$I151&gt;=TODAY(),$I151&lt;=TODAY()+7),15,0)+IF($H151="",0,IF($M151&lt;=VLOOKUP(Home!$C$7,Lists!$N$2:$O$6,2,FALSE),20,-10))+IF($G151=Home!$E$7,15,IF(Home!$E$7="",0,-5))-ROW()/100000)))</f>
        <v/>
      </c>
      <c r="O151" s="5">
        <f>IF($D151="","",IF($N151&lt;=-500,"Not recommended right now",IF($E151="Waiting","Nothing else actionable right now — Waiting on: "&amp;IF($K151="","this item",$K151),TEXTJOIN(" • ",TRUE,IF($F151="High","High Priority",""),IF(AND($I151&lt;&gt;"",$I151&lt;TODAY()),"Overdue",""),IF(AND($I151&lt;&gt;"",$I151&gt;=TODAY(),$I151&lt;=TODAY()+7),"Due This Week",""),IF(AND($H151&lt;&gt;"",$M151&lt;=VLOOKUP(Home!$C$7,Lists!$N$2:$O$6,2,FALSE)),$H151&amp;" Task",""),IF($G151=Home!$E$7,"Fits Current Energy",""),"No Blockers"))))</f>
        <v/>
      </c>
      <c r="P151" s="5">
        <f>IF($D151="","",SWITCH('Task Finder'!$C$6,"High Priority",AND($F151="High",$E151&lt;&gt;"Done",$E151&lt;&gt;"Archive"),"Due This Week",AND($I151&lt;&gt;"",$I151&gt;=TODAY(),$I151&lt;=TODAY()+7,$E151&lt;&gt;"Done"),"Quick Wins (15 mins or less)",AND($M151&lt;=15,$E151&lt;&gt;"Done",$E151&lt;&gt;"Blocked"),"Deep Thinking",AND($G151="Deep Thinking",$E151&lt;&gt;"Done"),"Processing",AND($G151="Processing",$E151&lt;&gt;"Done"),"Blocked",$E151="Blocked","Waiting",$E151="Waiting","Recently Updated",AND($L151&lt;&gt;"",$L151&gt;=TODAY()-7),"Keyword",AND('Task Finder'!$C$7&lt;&gt;"",OR(ISNUMBER(SEARCH('Task Finder'!$C$7,$A151)),ISNUMBER(SEARCH('Task Finder'!$C$7,$B151)),ISNUMBER(SEARCH('Task Finder'!$C$7,$C151)),ISNUMBER(SEARCH('Task Finder'!$C$7,$D151)),ISNUMBER(SEARCH('Task Finder'!$C$7,$K151)))),TRUE))</f>
        <v/>
      </c>
    </row>
    <row r="152">
      <c r="A152" s="19" t="n"/>
      <c r="B152" s="19" t="n"/>
      <c r="C152" s="19" t="n"/>
      <c r="D152" s="19" t="n"/>
      <c r="E152" s="19" t="n"/>
      <c r="F152" s="19" t="n"/>
      <c r="G152" s="19" t="n"/>
      <c r="H152" s="19" t="n"/>
      <c r="I152" s="19" t="n"/>
      <c r="J152" s="19" t="n"/>
      <c r="K152" s="19" t="n"/>
      <c r="L152" s="35" t="n"/>
      <c r="M152" s="5">
        <f>IF($D152="","",IFERROR(VLOOKUP($H152,Lists!$N$2:$O$6,2,FALSE),0))</f>
        <v/>
      </c>
      <c r="N152" s="5">
        <f>IF($D152="","",IF(OR($E152="Blocked",$E152="Done",$E152="Archive"),-9999,IF(AND($E152="Waiting",SUMPRODUCT((($E$5:$E$500="Next")+($E$5:$E$500="In Progress")+($E$5:$E$500="Captured"))*($D$5:$D$500&lt;&gt;""))&gt;0),-500,VLOOKUP($F152,Lists!$L$2:$M$4,2,FALSE)+IF($E152="In Progress",10,0)+IF(AND($I152&lt;&gt;"",$I152&lt;TODAY()),25,0)+IF(AND($I152&lt;&gt;"",$I152&gt;=TODAY(),$I152&lt;=TODAY()+7),15,0)+IF($H152="",0,IF($M152&lt;=VLOOKUP(Home!$C$7,Lists!$N$2:$O$6,2,FALSE),20,-10))+IF($G152=Home!$E$7,15,IF(Home!$E$7="",0,-5))-ROW()/100000)))</f>
        <v/>
      </c>
      <c r="O152" s="5">
        <f>IF($D152="","",IF($N152&lt;=-500,"Not recommended right now",IF($E152="Waiting","Nothing else actionable right now — Waiting on: "&amp;IF($K152="","this item",$K152),TEXTJOIN(" • ",TRUE,IF($F152="High","High Priority",""),IF(AND($I152&lt;&gt;"",$I152&lt;TODAY()),"Overdue",""),IF(AND($I152&lt;&gt;"",$I152&gt;=TODAY(),$I152&lt;=TODAY()+7),"Due This Week",""),IF(AND($H152&lt;&gt;"",$M152&lt;=VLOOKUP(Home!$C$7,Lists!$N$2:$O$6,2,FALSE)),$H152&amp;" Task",""),IF($G152=Home!$E$7,"Fits Current Energy",""),"No Blockers"))))</f>
        <v/>
      </c>
      <c r="P152" s="5">
        <f>IF($D152="","",SWITCH('Task Finder'!$C$6,"High Priority",AND($F152="High",$E152&lt;&gt;"Done",$E152&lt;&gt;"Archive"),"Due This Week",AND($I152&lt;&gt;"",$I152&gt;=TODAY(),$I152&lt;=TODAY()+7,$E152&lt;&gt;"Done"),"Quick Wins (15 mins or less)",AND($M152&lt;=15,$E152&lt;&gt;"Done",$E152&lt;&gt;"Blocked"),"Deep Thinking",AND($G152="Deep Thinking",$E152&lt;&gt;"Done"),"Processing",AND($G152="Processing",$E152&lt;&gt;"Done"),"Blocked",$E152="Blocked","Waiting",$E152="Waiting","Recently Updated",AND($L152&lt;&gt;"",$L152&gt;=TODAY()-7),"Keyword",AND('Task Finder'!$C$7&lt;&gt;"",OR(ISNUMBER(SEARCH('Task Finder'!$C$7,$A152)),ISNUMBER(SEARCH('Task Finder'!$C$7,$B152)),ISNUMBER(SEARCH('Task Finder'!$C$7,$C152)),ISNUMBER(SEARCH('Task Finder'!$C$7,$D152)),ISNUMBER(SEARCH('Task Finder'!$C$7,$K152)))),TRUE))</f>
        <v/>
      </c>
    </row>
    <row r="153">
      <c r="A153" s="19" t="n"/>
      <c r="B153" s="19" t="n"/>
      <c r="C153" s="19" t="n"/>
      <c r="D153" s="19" t="n"/>
      <c r="E153" s="19" t="n"/>
      <c r="F153" s="19" t="n"/>
      <c r="G153" s="19" t="n"/>
      <c r="H153" s="19" t="n"/>
      <c r="I153" s="19" t="n"/>
      <c r="J153" s="19" t="n"/>
      <c r="K153" s="19" t="n"/>
      <c r="L153" s="35" t="n"/>
      <c r="M153" s="5">
        <f>IF($D153="","",IFERROR(VLOOKUP($H153,Lists!$N$2:$O$6,2,FALSE),0))</f>
        <v/>
      </c>
      <c r="N153" s="5">
        <f>IF($D153="","",IF(OR($E153="Blocked",$E153="Done",$E153="Archive"),-9999,IF(AND($E153="Waiting",SUMPRODUCT((($E$5:$E$500="Next")+($E$5:$E$500="In Progress")+($E$5:$E$500="Captured"))*($D$5:$D$500&lt;&gt;""))&gt;0),-500,VLOOKUP($F153,Lists!$L$2:$M$4,2,FALSE)+IF($E153="In Progress",10,0)+IF(AND($I153&lt;&gt;"",$I153&lt;TODAY()),25,0)+IF(AND($I153&lt;&gt;"",$I153&gt;=TODAY(),$I153&lt;=TODAY()+7),15,0)+IF($H153="",0,IF($M153&lt;=VLOOKUP(Home!$C$7,Lists!$N$2:$O$6,2,FALSE),20,-10))+IF($G153=Home!$E$7,15,IF(Home!$E$7="",0,-5))-ROW()/100000)))</f>
        <v/>
      </c>
      <c r="O153" s="5">
        <f>IF($D153="","",IF($N153&lt;=-500,"Not recommended right now",IF($E153="Waiting","Nothing else actionable right now — Waiting on: "&amp;IF($K153="","this item",$K153),TEXTJOIN(" • ",TRUE,IF($F153="High","High Priority",""),IF(AND($I153&lt;&gt;"",$I153&lt;TODAY()),"Overdue",""),IF(AND($I153&lt;&gt;"",$I153&gt;=TODAY(),$I153&lt;=TODAY()+7),"Due This Week",""),IF(AND($H153&lt;&gt;"",$M153&lt;=VLOOKUP(Home!$C$7,Lists!$N$2:$O$6,2,FALSE)),$H153&amp;" Task",""),IF($G153=Home!$E$7,"Fits Current Energy",""),"No Blockers"))))</f>
        <v/>
      </c>
      <c r="P153" s="5">
        <f>IF($D153="","",SWITCH('Task Finder'!$C$6,"High Priority",AND($F153="High",$E153&lt;&gt;"Done",$E153&lt;&gt;"Archive"),"Due This Week",AND($I153&lt;&gt;"",$I153&gt;=TODAY(),$I153&lt;=TODAY()+7,$E153&lt;&gt;"Done"),"Quick Wins (15 mins or less)",AND($M153&lt;=15,$E153&lt;&gt;"Done",$E153&lt;&gt;"Blocked"),"Deep Thinking",AND($G153="Deep Thinking",$E153&lt;&gt;"Done"),"Processing",AND($G153="Processing",$E153&lt;&gt;"Done"),"Blocked",$E153="Blocked","Waiting",$E153="Waiting","Recently Updated",AND($L153&lt;&gt;"",$L153&gt;=TODAY()-7),"Keyword",AND('Task Finder'!$C$7&lt;&gt;"",OR(ISNUMBER(SEARCH('Task Finder'!$C$7,$A153)),ISNUMBER(SEARCH('Task Finder'!$C$7,$B153)),ISNUMBER(SEARCH('Task Finder'!$C$7,$C153)),ISNUMBER(SEARCH('Task Finder'!$C$7,$D153)),ISNUMBER(SEARCH('Task Finder'!$C$7,$K153)))),TRUE))</f>
        <v/>
      </c>
    </row>
    <row r="154">
      <c r="A154" s="19" t="n"/>
      <c r="B154" s="19" t="n"/>
      <c r="C154" s="19" t="n"/>
      <c r="D154" s="19" t="n"/>
      <c r="E154" s="19" t="n"/>
      <c r="F154" s="19" t="n"/>
      <c r="G154" s="19" t="n"/>
      <c r="H154" s="19" t="n"/>
      <c r="I154" s="19" t="n"/>
      <c r="J154" s="19" t="n"/>
      <c r="K154" s="19" t="n"/>
      <c r="L154" s="35" t="n"/>
      <c r="M154" s="5">
        <f>IF($D154="","",IFERROR(VLOOKUP($H154,Lists!$N$2:$O$6,2,FALSE),0))</f>
        <v/>
      </c>
      <c r="N154" s="5">
        <f>IF($D154="","",IF(OR($E154="Blocked",$E154="Done",$E154="Archive"),-9999,IF(AND($E154="Waiting",SUMPRODUCT((($E$5:$E$500="Next")+($E$5:$E$500="In Progress")+($E$5:$E$500="Captured"))*($D$5:$D$500&lt;&gt;""))&gt;0),-500,VLOOKUP($F154,Lists!$L$2:$M$4,2,FALSE)+IF($E154="In Progress",10,0)+IF(AND($I154&lt;&gt;"",$I154&lt;TODAY()),25,0)+IF(AND($I154&lt;&gt;"",$I154&gt;=TODAY(),$I154&lt;=TODAY()+7),15,0)+IF($H154="",0,IF($M154&lt;=VLOOKUP(Home!$C$7,Lists!$N$2:$O$6,2,FALSE),20,-10))+IF($G154=Home!$E$7,15,IF(Home!$E$7="",0,-5))-ROW()/100000)))</f>
        <v/>
      </c>
      <c r="O154" s="5">
        <f>IF($D154="","",IF($N154&lt;=-500,"Not recommended right now",IF($E154="Waiting","Nothing else actionable right now — Waiting on: "&amp;IF($K154="","this item",$K154),TEXTJOIN(" • ",TRUE,IF($F154="High","High Priority",""),IF(AND($I154&lt;&gt;"",$I154&lt;TODAY()),"Overdue",""),IF(AND($I154&lt;&gt;"",$I154&gt;=TODAY(),$I154&lt;=TODAY()+7),"Due This Week",""),IF(AND($H154&lt;&gt;"",$M154&lt;=VLOOKUP(Home!$C$7,Lists!$N$2:$O$6,2,FALSE)),$H154&amp;" Task",""),IF($G154=Home!$E$7,"Fits Current Energy",""),"No Blockers"))))</f>
        <v/>
      </c>
      <c r="P154" s="5">
        <f>IF($D154="","",SWITCH('Task Finder'!$C$6,"High Priority",AND($F154="High",$E154&lt;&gt;"Done",$E154&lt;&gt;"Archive"),"Due This Week",AND($I154&lt;&gt;"",$I154&gt;=TODAY(),$I154&lt;=TODAY()+7,$E154&lt;&gt;"Done"),"Quick Wins (15 mins or less)",AND($M154&lt;=15,$E154&lt;&gt;"Done",$E154&lt;&gt;"Blocked"),"Deep Thinking",AND($G154="Deep Thinking",$E154&lt;&gt;"Done"),"Processing",AND($G154="Processing",$E154&lt;&gt;"Done"),"Blocked",$E154="Blocked","Waiting",$E154="Waiting","Recently Updated",AND($L154&lt;&gt;"",$L154&gt;=TODAY()-7),"Keyword",AND('Task Finder'!$C$7&lt;&gt;"",OR(ISNUMBER(SEARCH('Task Finder'!$C$7,$A154)),ISNUMBER(SEARCH('Task Finder'!$C$7,$B154)),ISNUMBER(SEARCH('Task Finder'!$C$7,$C154)),ISNUMBER(SEARCH('Task Finder'!$C$7,$D154)),ISNUMBER(SEARCH('Task Finder'!$C$7,$K154)))),TRUE))</f>
        <v/>
      </c>
    </row>
    <row r="155">
      <c r="A155" s="19" t="n"/>
      <c r="B155" s="19" t="n"/>
      <c r="C155" s="19" t="n"/>
      <c r="D155" s="19" t="n"/>
      <c r="E155" s="19" t="n"/>
      <c r="F155" s="19" t="n"/>
      <c r="G155" s="19" t="n"/>
      <c r="H155" s="19" t="n"/>
      <c r="I155" s="19" t="n"/>
      <c r="J155" s="19" t="n"/>
      <c r="K155" s="19" t="n"/>
      <c r="L155" s="35" t="n"/>
      <c r="M155" s="5">
        <f>IF($D155="","",IFERROR(VLOOKUP($H155,Lists!$N$2:$O$6,2,FALSE),0))</f>
        <v/>
      </c>
      <c r="N155" s="5">
        <f>IF($D155="","",IF(OR($E155="Blocked",$E155="Done",$E155="Archive"),-9999,IF(AND($E155="Waiting",SUMPRODUCT((($E$5:$E$500="Next")+($E$5:$E$500="In Progress")+($E$5:$E$500="Captured"))*($D$5:$D$500&lt;&gt;""))&gt;0),-500,VLOOKUP($F155,Lists!$L$2:$M$4,2,FALSE)+IF($E155="In Progress",10,0)+IF(AND($I155&lt;&gt;"",$I155&lt;TODAY()),25,0)+IF(AND($I155&lt;&gt;"",$I155&gt;=TODAY(),$I155&lt;=TODAY()+7),15,0)+IF($H155="",0,IF($M155&lt;=VLOOKUP(Home!$C$7,Lists!$N$2:$O$6,2,FALSE),20,-10))+IF($G155=Home!$E$7,15,IF(Home!$E$7="",0,-5))-ROW()/100000)))</f>
        <v/>
      </c>
      <c r="O155" s="5">
        <f>IF($D155="","",IF($N155&lt;=-500,"Not recommended right now",IF($E155="Waiting","Nothing else actionable right now — Waiting on: "&amp;IF($K155="","this item",$K155),TEXTJOIN(" • ",TRUE,IF($F155="High","High Priority",""),IF(AND($I155&lt;&gt;"",$I155&lt;TODAY()),"Overdue",""),IF(AND($I155&lt;&gt;"",$I155&gt;=TODAY(),$I155&lt;=TODAY()+7),"Due This Week",""),IF(AND($H155&lt;&gt;"",$M155&lt;=VLOOKUP(Home!$C$7,Lists!$N$2:$O$6,2,FALSE)),$H155&amp;" Task",""),IF($G155=Home!$E$7,"Fits Current Energy",""),"No Blockers"))))</f>
        <v/>
      </c>
      <c r="P155" s="5">
        <f>IF($D155="","",SWITCH('Task Finder'!$C$6,"High Priority",AND($F155="High",$E155&lt;&gt;"Done",$E155&lt;&gt;"Archive"),"Due This Week",AND($I155&lt;&gt;"",$I155&gt;=TODAY(),$I155&lt;=TODAY()+7,$E155&lt;&gt;"Done"),"Quick Wins (15 mins or less)",AND($M155&lt;=15,$E155&lt;&gt;"Done",$E155&lt;&gt;"Blocked"),"Deep Thinking",AND($G155="Deep Thinking",$E155&lt;&gt;"Done"),"Processing",AND($G155="Processing",$E155&lt;&gt;"Done"),"Blocked",$E155="Blocked","Waiting",$E155="Waiting","Recently Updated",AND($L155&lt;&gt;"",$L155&gt;=TODAY()-7),"Keyword",AND('Task Finder'!$C$7&lt;&gt;"",OR(ISNUMBER(SEARCH('Task Finder'!$C$7,$A155)),ISNUMBER(SEARCH('Task Finder'!$C$7,$B155)),ISNUMBER(SEARCH('Task Finder'!$C$7,$C155)),ISNUMBER(SEARCH('Task Finder'!$C$7,$D155)),ISNUMBER(SEARCH('Task Finder'!$C$7,$K155)))),TRUE))</f>
        <v/>
      </c>
    </row>
    <row r="156">
      <c r="A156" s="19" t="n"/>
      <c r="B156" s="19" t="n"/>
      <c r="C156" s="19" t="n"/>
      <c r="D156" s="19" t="n"/>
      <c r="E156" s="19" t="n"/>
      <c r="F156" s="19" t="n"/>
      <c r="G156" s="19" t="n"/>
      <c r="H156" s="19" t="n"/>
      <c r="I156" s="19" t="n"/>
      <c r="J156" s="19" t="n"/>
      <c r="K156" s="19" t="n"/>
      <c r="L156" s="35" t="n"/>
      <c r="M156" s="5">
        <f>IF($D156="","",IFERROR(VLOOKUP($H156,Lists!$N$2:$O$6,2,FALSE),0))</f>
        <v/>
      </c>
      <c r="N156" s="5">
        <f>IF($D156="","",IF(OR($E156="Blocked",$E156="Done",$E156="Archive"),-9999,IF(AND($E156="Waiting",SUMPRODUCT((($E$5:$E$500="Next")+($E$5:$E$500="In Progress")+($E$5:$E$500="Captured"))*($D$5:$D$500&lt;&gt;""))&gt;0),-500,VLOOKUP($F156,Lists!$L$2:$M$4,2,FALSE)+IF($E156="In Progress",10,0)+IF(AND($I156&lt;&gt;"",$I156&lt;TODAY()),25,0)+IF(AND($I156&lt;&gt;"",$I156&gt;=TODAY(),$I156&lt;=TODAY()+7),15,0)+IF($H156="",0,IF($M156&lt;=VLOOKUP(Home!$C$7,Lists!$N$2:$O$6,2,FALSE),20,-10))+IF($G156=Home!$E$7,15,IF(Home!$E$7="",0,-5))-ROW()/100000)))</f>
        <v/>
      </c>
      <c r="O156" s="5">
        <f>IF($D156="","",IF($N156&lt;=-500,"Not recommended right now",IF($E156="Waiting","Nothing else actionable right now — Waiting on: "&amp;IF($K156="","this item",$K156),TEXTJOIN(" • ",TRUE,IF($F156="High","High Priority",""),IF(AND($I156&lt;&gt;"",$I156&lt;TODAY()),"Overdue",""),IF(AND($I156&lt;&gt;"",$I156&gt;=TODAY(),$I156&lt;=TODAY()+7),"Due This Week",""),IF(AND($H156&lt;&gt;"",$M156&lt;=VLOOKUP(Home!$C$7,Lists!$N$2:$O$6,2,FALSE)),$H156&amp;" Task",""),IF($G156=Home!$E$7,"Fits Current Energy",""),"No Blockers"))))</f>
        <v/>
      </c>
      <c r="P156" s="5">
        <f>IF($D156="","",SWITCH('Task Finder'!$C$6,"High Priority",AND($F156="High",$E156&lt;&gt;"Done",$E156&lt;&gt;"Archive"),"Due This Week",AND($I156&lt;&gt;"",$I156&gt;=TODAY(),$I156&lt;=TODAY()+7,$E156&lt;&gt;"Done"),"Quick Wins (15 mins or less)",AND($M156&lt;=15,$E156&lt;&gt;"Done",$E156&lt;&gt;"Blocked"),"Deep Thinking",AND($G156="Deep Thinking",$E156&lt;&gt;"Done"),"Processing",AND($G156="Processing",$E156&lt;&gt;"Done"),"Blocked",$E156="Blocked","Waiting",$E156="Waiting","Recently Updated",AND($L156&lt;&gt;"",$L156&gt;=TODAY()-7),"Keyword",AND('Task Finder'!$C$7&lt;&gt;"",OR(ISNUMBER(SEARCH('Task Finder'!$C$7,$A156)),ISNUMBER(SEARCH('Task Finder'!$C$7,$B156)),ISNUMBER(SEARCH('Task Finder'!$C$7,$C156)),ISNUMBER(SEARCH('Task Finder'!$C$7,$D156)),ISNUMBER(SEARCH('Task Finder'!$C$7,$K156)))),TRUE))</f>
        <v/>
      </c>
    </row>
    <row r="157">
      <c r="A157" s="19" t="n"/>
      <c r="B157" s="19" t="n"/>
      <c r="C157" s="19" t="n"/>
      <c r="D157" s="19" t="n"/>
      <c r="E157" s="19" t="n"/>
      <c r="F157" s="19" t="n"/>
      <c r="G157" s="19" t="n"/>
      <c r="H157" s="19" t="n"/>
      <c r="I157" s="19" t="n"/>
      <c r="J157" s="19" t="n"/>
      <c r="K157" s="19" t="n"/>
      <c r="L157" s="35" t="n"/>
      <c r="M157" s="5">
        <f>IF($D157="","",IFERROR(VLOOKUP($H157,Lists!$N$2:$O$6,2,FALSE),0))</f>
        <v/>
      </c>
      <c r="N157" s="5">
        <f>IF($D157="","",IF(OR($E157="Blocked",$E157="Done",$E157="Archive"),-9999,IF(AND($E157="Waiting",SUMPRODUCT((($E$5:$E$500="Next")+($E$5:$E$500="In Progress")+($E$5:$E$500="Captured"))*($D$5:$D$500&lt;&gt;""))&gt;0),-500,VLOOKUP($F157,Lists!$L$2:$M$4,2,FALSE)+IF($E157="In Progress",10,0)+IF(AND($I157&lt;&gt;"",$I157&lt;TODAY()),25,0)+IF(AND($I157&lt;&gt;"",$I157&gt;=TODAY(),$I157&lt;=TODAY()+7),15,0)+IF($H157="",0,IF($M157&lt;=VLOOKUP(Home!$C$7,Lists!$N$2:$O$6,2,FALSE),20,-10))+IF($G157=Home!$E$7,15,IF(Home!$E$7="",0,-5))-ROW()/100000)))</f>
        <v/>
      </c>
      <c r="O157" s="5">
        <f>IF($D157="","",IF($N157&lt;=-500,"Not recommended right now",IF($E157="Waiting","Nothing else actionable right now — Waiting on: "&amp;IF($K157="","this item",$K157),TEXTJOIN(" • ",TRUE,IF($F157="High","High Priority",""),IF(AND($I157&lt;&gt;"",$I157&lt;TODAY()),"Overdue",""),IF(AND($I157&lt;&gt;"",$I157&gt;=TODAY(),$I157&lt;=TODAY()+7),"Due This Week",""),IF(AND($H157&lt;&gt;"",$M157&lt;=VLOOKUP(Home!$C$7,Lists!$N$2:$O$6,2,FALSE)),$H157&amp;" Task",""),IF($G157=Home!$E$7,"Fits Current Energy",""),"No Blockers"))))</f>
        <v/>
      </c>
      <c r="P157" s="5">
        <f>IF($D157="","",SWITCH('Task Finder'!$C$6,"High Priority",AND($F157="High",$E157&lt;&gt;"Done",$E157&lt;&gt;"Archive"),"Due This Week",AND($I157&lt;&gt;"",$I157&gt;=TODAY(),$I157&lt;=TODAY()+7,$E157&lt;&gt;"Done"),"Quick Wins (15 mins or less)",AND($M157&lt;=15,$E157&lt;&gt;"Done",$E157&lt;&gt;"Blocked"),"Deep Thinking",AND($G157="Deep Thinking",$E157&lt;&gt;"Done"),"Processing",AND($G157="Processing",$E157&lt;&gt;"Done"),"Blocked",$E157="Blocked","Waiting",$E157="Waiting","Recently Updated",AND($L157&lt;&gt;"",$L157&gt;=TODAY()-7),"Keyword",AND('Task Finder'!$C$7&lt;&gt;"",OR(ISNUMBER(SEARCH('Task Finder'!$C$7,$A157)),ISNUMBER(SEARCH('Task Finder'!$C$7,$B157)),ISNUMBER(SEARCH('Task Finder'!$C$7,$C157)),ISNUMBER(SEARCH('Task Finder'!$C$7,$D157)),ISNUMBER(SEARCH('Task Finder'!$C$7,$K157)))),TRUE))</f>
        <v/>
      </c>
    </row>
    <row r="158">
      <c r="A158" s="19" t="n"/>
      <c r="B158" s="19" t="n"/>
      <c r="C158" s="19" t="n"/>
      <c r="D158" s="19" t="n"/>
      <c r="E158" s="19" t="n"/>
      <c r="F158" s="19" t="n"/>
      <c r="G158" s="19" t="n"/>
      <c r="H158" s="19" t="n"/>
      <c r="I158" s="19" t="n"/>
      <c r="J158" s="19" t="n"/>
      <c r="K158" s="19" t="n"/>
      <c r="L158" s="35" t="n"/>
      <c r="M158" s="5">
        <f>IF($D158="","",IFERROR(VLOOKUP($H158,Lists!$N$2:$O$6,2,FALSE),0))</f>
        <v/>
      </c>
      <c r="N158" s="5">
        <f>IF($D158="","",IF(OR($E158="Blocked",$E158="Done",$E158="Archive"),-9999,IF(AND($E158="Waiting",SUMPRODUCT((($E$5:$E$500="Next")+($E$5:$E$500="In Progress")+($E$5:$E$500="Captured"))*($D$5:$D$500&lt;&gt;""))&gt;0),-500,VLOOKUP($F158,Lists!$L$2:$M$4,2,FALSE)+IF($E158="In Progress",10,0)+IF(AND($I158&lt;&gt;"",$I158&lt;TODAY()),25,0)+IF(AND($I158&lt;&gt;"",$I158&gt;=TODAY(),$I158&lt;=TODAY()+7),15,0)+IF($H158="",0,IF($M158&lt;=VLOOKUP(Home!$C$7,Lists!$N$2:$O$6,2,FALSE),20,-10))+IF($G158=Home!$E$7,15,IF(Home!$E$7="",0,-5))-ROW()/100000)))</f>
        <v/>
      </c>
      <c r="O158" s="5">
        <f>IF($D158="","",IF($N158&lt;=-500,"Not recommended right now",IF($E158="Waiting","Nothing else actionable right now — Waiting on: "&amp;IF($K158="","this item",$K158),TEXTJOIN(" • ",TRUE,IF($F158="High","High Priority",""),IF(AND($I158&lt;&gt;"",$I158&lt;TODAY()),"Overdue",""),IF(AND($I158&lt;&gt;"",$I158&gt;=TODAY(),$I158&lt;=TODAY()+7),"Due This Week",""),IF(AND($H158&lt;&gt;"",$M158&lt;=VLOOKUP(Home!$C$7,Lists!$N$2:$O$6,2,FALSE)),$H158&amp;" Task",""),IF($G158=Home!$E$7,"Fits Current Energy",""),"No Blockers"))))</f>
        <v/>
      </c>
      <c r="P158" s="5">
        <f>IF($D158="","",SWITCH('Task Finder'!$C$6,"High Priority",AND($F158="High",$E158&lt;&gt;"Done",$E158&lt;&gt;"Archive"),"Due This Week",AND($I158&lt;&gt;"",$I158&gt;=TODAY(),$I158&lt;=TODAY()+7,$E158&lt;&gt;"Done"),"Quick Wins (15 mins or less)",AND($M158&lt;=15,$E158&lt;&gt;"Done",$E158&lt;&gt;"Blocked"),"Deep Thinking",AND($G158="Deep Thinking",$E158&lt;&gt;"Done"),"Processing",AND($G158="Processing",$E158&lt;&gt;"Done"),"Blocked",$E158="Blocked","Waiting",$E158="Waiting","Recently Updated",AND($L158&lt;&gt;"",$L158&gt;=TODAY()-7),"Keyword",AND('Task Finder'!$C$7&lt;&gt;"",OR(ISNUMBER(SEARCH('Task Finder'!$C$7,$A158)),ISNUMBER(SEARCH('Task Finder'!$C$7,$B158)),ISNUMBER(SEARCH('Task Finder'!$C$7,$C158)),ISNUMBER(SEARCH('Task Finder'!$C$7,$D158)),ISNUMBER(SEARCH('Task Finder'!$C$7,$K158)))),TRUE))</f>
        <v/>
      </c>
    </row>
    <row r="159">
      <c r="A159" s="19" t="n"/>
      <c r="B159" s="19" t="n"/>
      <c r="C159" s="19" t="n"/>
      <c r="D159" s="19" t="n"/>
      <c r="E159" s="19" t="n"/>
      <c r="F159" s="19" t="n"/>
      <c r="G159" s="19" t="n"/>
      <c r="H159" s="19" t="n"/>
      <c r="I159" s="19" t="n"/>
      <c r="J159" s="19" t="n"/>
      <c r="K159" s="19" t="n"/>
      <c r="L159" s="35" t="n"/>
      <c r="M159" s="5">
        <f>IF($D159="","",IFERROR(VLOOKUP($H159,Lists!$N$2:$O$6,2,FALSE),0))</f>
        <v/>
      </c>
      <c r="N159" s="5">
        <f>IF($D159="","",IF(OR($E159="Blocked",$E159="Done",$E159="Archive"),-9999,IF(AND($E159="Waiting",SUMPRODUCT((($E$5:$E$500="Next")+($E$5:$E$500="In Progress")+($E$5:$E$500="Captured"))*($D$5:$D$500&lt;&gt;""))&gt;0),-500,VLOOKUP($F159,Lists!$L$2:$M$4,2,FALSE)+IF($E159="In Progress",10,0)+IF(AND($I159&lt;&gt;"",$I159&lt;TODAY()),25,0)+IF(AND($I159&lt;&gt;"",$I159&gt;=TODAY(),$I159&lt;=TODAY()+7),15,0)+IF($H159="",0,IF($M159&lt;=VLOOKUP(Home!$C$7,Lists!$N$2:$O$6,2,FALSE),20,-10))+IF($G159=Home!$E$7,15,IF(Home!$E$7="",0,-5))-ROW()/100000)))</f>
        <v/>
      </c>
      <c r="O159" s="5">
        <f>IF($D159="","",IF($N159&lt;=-500,"Not recommended right now",IF($E159="Waiting","Nothing else actionable right now — Waiting on: "&amp;IF($K159="","this item",$K159),TEXTJOIN(" • ",TRUE,IF($F159="High","High Priority",""),IF(AND($I159&lt;&gt;"",$I159&lt;TODAY()),"Overdue",""),IF(AND($I159&lt;&gt;"",$I159&gt;=TODAY(),$I159&lt;=TODAY()+7),"Due This Week",""),IF(AND($H159&lt;&gt;"",$M159&lt;=VLOOKUP(Home!$C$7,Lists!$N$2:$O$6,2,FALSE)),$H159&amp;" Task",""),IF($G159=Home!$E$7,"Fits Current Energy",""),"No Blockers"))))</f>
        <v/>
      </c>
      <c r="P159" s="5">
        <f>IF($D159="","",SWITCH('Task Finder'!$C$6,"High Priority",AND($F159="High",$E159&lt;&gt;"Done",$E159&lt;&gt;"Archive"),"Due This Week",AND($I159&lt;&gt;"",$I159&gt;=TODAY(),$I159&lt;=TODAY()+7,$E159&lt;&gt;"Done"),"Quick Wins (15 mins or less)",AND($M159&lt;=15,$E159&lt;&gt;"Done",$E159&lt;&gt;"Blocked"),"Deep Thinking",AND($G159="Deep Thinking",$E159&lt;&gt;"Done"),"Processing",AND($G159="Processing",$E159&lt;&gt;"Done"),"Blocked",$E159="Blocked","Waiting",$E159="Waiting","Recently Updated",AND($L159&lt;&gt;"",$L159&gt;=TODAY()-7),"Keyword",AND('Task Finder'!$C$7&lt;&gt;"",OR(ISNUMBER(SEARCH('Task Finder'!$C$7,$A159)),ISNUMBER(SEARCH('Task Finder'!$C$7,$B159)),ISNUMBER(SEARCH('Task Finder'!$C$7,$C159)),ISNUMBER(SEARCH('Task Finder'!$C$7,$D159)),ISNUMBER(SEARCH('Task Finder'!$C$7,$K159)))),TRUE))</f>
        <v/>
      </c>
    </row>
    <row r="160">
      <c r="A160" s="19" t="n"/>
      <c r="B160" s="19" t="n"/>
      <c r="C160" s="19" t="n"/>
      <c r="D160" s="19" t="n"/>
      <c r="E160" s="19" t="n"/>
      <c r="F160" s="19" t="n"/>
      <c r="G160" s="19" t="n"/>
      <c r="H160" s="19" t="n"/>
      <c r="I160" s="19" t="n"/>
      <c r="J160" s="19" t="n"/>
      <c r="K160" s="19" t="n"/>
      <c r="L160" s="35" t="n"/>
      <c r="M160" s="5">
        <f>IF($D160="","",IFERROR(VLOOKUP($H160,Lists!$N$2:$O$6,2,FALSE),0))</f>
        <v/>
      </c>
      <c r="N160" s="5">
        <f>IF($D160="","",IF(OR($E160="Blocked",$E160="Done",$E160="Archive"),-9999,IF(AND($E160="Waiting",SUMPRODUCT((($E$5:$E$500="Next")+($E$5:$E$500="In Progress")+($E$5:$E$500="Captured"))*($D$5:$D$500&lt;&gt;""))&gt;0),-500,VLOOKUP($F160,Lists!$L$2:$M$4,2,FALSE)+IF($E160="In Progress",10,0)+IF(AND($I160&lt;&gt;"",$I160&lt;TODAY()),25,0)+IF(AND($I160&lt;&gt;"",$I160&gt;=TODAY(),$I160&lt;=TODAY()+7),15,0)+IF($H160="",0,IF($M160&lt;=VLOOKUP(Home!$C$7,Lists!$N$2:$O$6,2,FALSE),20,-10))+IF($G160=Home!$E$7,15,IF(Home!$E$7="",0,-5))-ROW()/100000)))</f>
        <v/>
      </c>
      <c r="O160" s="5">
        <f>IF($D160="","",IF($N160&lt;=-500,"Not recommended right now",IF($E160="Waiting","Nothing else actionable right now — Waiting on: "&amp;IF($K160="","this item",$K160),TEXTJOIN(" • ",TRUE,IF($F160="High","High Priority",""),IF(AND($I160&lt;&gt;"",$I160&lt;TODAY()),"Overdue",""),IF(AND($I160&lt;&gt;"",$I160&gt;=TODAY(),$I160&lt;=TODAY()+7),"Due This Week",""),IF(AND($H160&lt;&gt;"",$M160&lt;=VLOOKUP(Home!$C$7,Lists!$N$2:$O$6,2,FALSE)),$H160&amp;" Task",""),IF($G160=Home!$E$7,"Fits Current Energy",""),"No Blockers"))))</f>
        <v/>
      </c>
      <c r="P160" s="5">
        <f>IF($D160="","",SWITCH('Task Finder'!$C$6,"High Priority",AND($F160="High",$E160&lt;&gt;"Done",$E160&lt;&gt;"Archive"),"Due This Week",AND($I160&lt;&gt;"",$I160&gt;=TODAY(),$I160&lt;=TODAY()+7,$E160&lt;&gt;"Done"),"Quick Wins (15 mins or less)",AND($M160&lt;=15,$E160&lt;&gt;"Done",$E160&lt;&gt;"Blocked"),"Deep Thinking",AND($G160="Deep Thinking",$E160&lt;&gt;"Done"),"Processing",AND($G160="Processing",$E160&lt;&gt;"Done"),"Blocked",$E160="Blocked","Waiting",$E160="Waiting","Recently Updated",AND($L160&lt;&gt;"",$L160&gt;=TODAY()-7),"Keyword",AND('Task Finder'!$C$7&lt;&gt;"",OR(ISNUMBER(SEARCH('Task Finder'!$C$7,$A160)),ISNUMBER(SEARCH('Task Finder'!$C$7,$B160)),ISNUMBER(SEARCH('Task Finder'!$C$7,$C160)),ISNUMBER(SEARCH('Task Finder'!$C$7,$D160)),ISNUMBER(SEARCH('Task Finder'!$C$7,$K160)))),TRUE))</f>
        <v/>
      </c>
    </row>
    <row r="161">
      <c r="A161" s="19" t="n"/>
      <c r="B161" s="19" t="n"/>
      <c r="C161" s="19" t="n"/>
      <c r="D161" s="19" t="n"/>
      <c r="E161" s="19" t="n"/>
      <c r="F161" s="19" t="n"/>
      <c r="G161" s="19" t="n"/>
      <c r="H161" s="19" t="n"/>
      <c r="I161" s="19" t="n"/>
      <c r="J161" s="19" t="n"/>
      <c r="K161" s="19" t="n"/>
      <c r="L161" s="35" t="n"/>
      <c r="M161" s="5">
        <f>IF($D161="","",IFERROR(VLOOKUP($H161,Lists!$N$2:$O$6,2,FALSE),0))</f>
        <v/>
      </c>
      <c r="N161" s="5">
        <f>IF($D161="","",IF(OR($E161="Blocked",$E161="Done",$E161="Archive"),-9999,IF(AND($E161="Waiting",SUMPRODUCT((($E$5:$E$500="Next")+($E$5:$E$500="In Progress")+($E$5:$E$500="Captured"))*($D$5:$D$500&lt;&gt;""))&gt;0),-500,VLOOKUP($F161,Lists!$L$2:$M$4,2,FALSE)+IF($E161="In Progress",10,0)+IF(AND($I161&lt;&gt;"",$I161&lt;TODAY()),25,0)+IF(AND($I161&lt;&gt;"",$I161&gt;=TODAY(),$I161&lt;=TODAY()+7),15,0)+IF($H161="",0,IF($M161&lt;=VLOOKUP(Home!$C$7,Lists!$N$2:$O$6,2,FALSE),20,-10))+IF($G161=Home!$E$7,15,IF(Home!$E$7="",0,-5))-ROW()/100000)))</f>
        <v/>
      </c>
      <c r="O161" s="5">
        <f>IF($D161="","",IF($N161&lt;=-500,"Not recommended right now",IF($E161="Waiting","Nothing else actionable right now — Waiting on: "&amp;IF($K161="","this item",$K161),TEXTJOIN(" • ",TRUE,IF($F161="High","High Priority",""),IF(AND($I161&lt;&gt;"",$I161&lt;TODAY()),"Overdue",""),IF(AND($I161&lt;&gt;"",$I161&gt;=TODAY(),$I161&lt;=TODAY()+7),"Due This Week",""),IF(AND($H161&lt;&gt;"",$M161&lt;=VLOOKUP(Home!$C$7,Lists!$N$2:$O$6,2,FALSE)),$H161&amp;" Task",""),IF($G161=Home!$E$7,"Fits Current Energy",""),"No Blockers"))))</f>
        <v/>
      </c>
      <c r="P161" s="5">
        <f>IF($D161="","",SWITCH('Task Finder'!$C$6,"High Priority",AND($F161="High",$E161&lt;&gt;"Done",$E161&lt;&gt;"Archive"),"Due This Week",AND($I161&lt;&gt;"",$I161&gt;=TODAY(),$I161&lt;=TODAY()+7,$E161&lt;&gt;"Done"),"Quick Wins (15 mins or less)",AND($M161&lt;=15,$E161&lt;&gt;"Done",$E161&lt;&gt;"Blocked"),"Deep Thinking",AND($G161="Deep Thinking",$E161&lt;&gt;"Done"),"Processing",AND($G161="Processing",$E161&lt;&gt;"Done"),"Blocked",$E161="Blocked","Waiting",$E161="Waiting","Recently Updated",AND($L161&lt;&gt;"",$L161&gt;=TODAY()-7),"Keyword",AND('Task Finder'!$C$7&lt;&gt;"",OR(ISNUMBER(SEARCH('Task Finder'!$C$7,$A161)),ISNUMBER(SEARCH('Task Finder'!$C$7,$B161)),ISNUMBER(SEARCH('Task Finder'!$C$7,$C161)),ISNUMBER(SEARCH('Task Finder'!$C$7,$D161)),ISNUMBER(SEARCH('Task Finder'!$C$7,$K161)))),TRUE))</f>
        <v/>
      </c>
    </row>
    <row r="162">
      <c r="A162" s="19" t="n"/>
      <c r="B162" s="19" t="n"/>
      <c r="C162" s="19" t="n"/>
      <c r="D162" s="19" t="n"/>
      <c r="E162" s="19" t="n"/>
      <c r="F162" s="19" t="n"/>
      <c r="G162" s="19" t="n"/>
      <c r="H162" s="19" t="n"/>
      <c r="I162" s="19" t="n"/>
      <c r="J162" s="19" t="n"/>
      <c r="K162" s="19" t="n"/>
      <c r="L162" s="35" t="n"/>
      <c r="M162" s="5">
        <f>IF($D162="","",IFERROR(VLOOKUP($H162,Lists!$N$2:$O$6,2,FALSE),0))</f>
        <v/>
      </c>
      <c r="N162" s="5">
        <f>IF($D162="","",IF(OR($E162="Blocked",$E162="Done",$E162="Archive"),-9999,IF(AND($E162="Waiting",SUMPRODUCT((($E$5:$E$500="Next")+($E$5:$E$500="In Progress")+($E$5:$E$500="Captured"))*($D$5:$D$500&lt;&gt;""))&gt;0),-500,VLOOKUP($F162,Lists!$L$2:$M$4,2,FALSE)+IF($E162="In Progress",10,0)+IF(AND($I162&lt;&gt;"",$I162&lt;TODAY()),25,0)+IF(AND($I162&lt;&gt;"",$I162&gt;=TODAY(),$I162&lt;=TODAY()+7),15,0)+IF($H162="",0,IF($M162&lt;=VLOOKUP(Home!$C$7,Lists!$N$2:$O$6,2,FALSE),20,-10))+IF($G162=Home!$E$7,15,IF(Home!$E$7="",0,-5))-ROW()/100000)))</f>
        <v/>
      </c>
      <c r="O162" s="5">
        <f>IF($D162="","",IF($N162&lt;=-500,"Not recommended right now",IF($E162="Waiting","Nothing else actionable right now — Waiting on: "&amp;IF($K162="","this item",$K162),TEXTJOIN(" • ",TRUE,IF($F162="High","High Priority",""),IF(AND($I162&lt;&gt;"",$I162&lt;TODAY()),"Overdue",""),IF(AND($I162&lt;&gt;"",$I162&gt;=TODAY(),$I162&lt;=TODAY()+7),"Due This Week",""),IF(AND($H162&lt;&gt;"",$M162&lt;=VLOOKUP(Home!$C$7,Lists!$N$2:$O$6,2,FALSE)),$H162&amp;" Task",""),IF($G162=Home!$E$7,"Fits Current Energy",""),"No Blockers"))))</f>
        <v/>
      </c>
      <c r="P162" s="5">
        <f>IF($D162="","",SWITCH('Task Finder'!$C$6,"High Priority",AND($F162="High",$E162&lt;&gt;"Done",$E162&lt;&gt;"Archive"),"Due This Week",AND($I162&lt;&gt;"",$I162&gt;=TODAY(),$I162&lt;=TODAY()+7,$E162&lt;&gt;"Done"),"Quick Wins (15 mins or less)",AND($M162&lt;=15,$E162&lt;&gt;"Done",$E162&lt;&gt;"Blocked"),"Deep Thinking",AND($G162="Deep Thinking",$E162&lt;&gt;"Done"),"Processing",AND($G162="Processing",$E162&lt;&gt;"Done"),"Blocked",$E162="Blocked","Waiting",$E162="Waiting","Recently Updated",AND($L162&lt;&gt;"",$L162&gt;=TODAY()-7),"Keyword",AND('Task Finder'!$C$7&lt;&gt;"",OR(ISNUMBER(SEARCH('Task Finder'!$C$7,$A162)),ISNUMBER(SEARCH('Task Finder'!$C$7,$B162)),ISNUMBER(SEARCH('Task Finder'!$C$7,$C162)),ISNUMBER(SEARCH('Task Finder'!$C$7,$D162)),ISNUMBER(SEARCH('Task Finder'!$C$7,$K162)))),TRUE))</f>
        <v/>
      </c>
    </row>
    <row r="163">
      <c r="A163" s="19" t="n"/>
      <c r="B163" s="19" t="n"/>
      <c r="C163" s="19" t="n"/>
      <c r="D163" s="19" t="n"/>
      <c r="E163" s="19" t="n"/>
      <c r="F163" s="19" t="n"/>
      <c r="G163" s="19" t="n"/>
      <c r="H163" s="19" t="n"/>
      <c r="I163" s="19" t="n"/>
      <c r="J163" s="19" t="n"/>
      <c r="K163" s="19" t="n"/>
      <c r="L163" s="35" t="n"/>
      <c r="M163" s="5">
        <f>IF($D163="","",IFERROR(VLOOKUP($H163,Lists!$N$2:$O$6,2,FALSE),0))</f>
        <v/>
      </c>
      <c r="N163" s="5">
        <f>IF($D163="","",IF(OR($E163="Blocked",$E163="Done",$E163="Archive"),-9999,IF(AND($E163="Waiting",SUMPRODUCT((($E$5:$E$500="Next")+($E$5:$E$500="In Progress")+($E$5:$E$500="Captured"))*($D$5:$D$500&lt;&gt;""))&gt;0),-500,VLOOKUP($F163,Lists!$L$2:$M$4,2,FALSE)+IF($E163="In Progress",10,0)+IF(AND($I163&lt;&gt;"",$I163&lt;TODAY()),25,0)+IF(AND($I163&lt;&gt;"",$I163&gt;=TODAY(),$I163&lt;=TODAY()+7),15,0)+IF($H163="",0,IF($M163&lt;=VLOOKUP(Home!$C$7,Lists!$N$2:$O$6,2,FALSE),20,-10))+IF($G163=Home!$E$7,15,IF(Home!$E$7="",0,-5))-ROW()/100000)))</f>
        <v/>
      </c>
      <c r="O163" s="5">
        <f>IF($D163="","",IF($N163&lt;=-500,"Not recommended right now",IF($E163="Waiting","Nothing else actionable right now — Waiting on: "&amp;IF($K163="","this item",$K163),TEXTJOIN(" • ",TRUE,IF($F163="High","High Priority",""),IF(AND($I163&lt;&gt;"",$I163&lt;TODAY()),"Overdue",""),IF(AND($I163&lt;&gt;"",$I163&gt;=TODAY(),$I163&lt;=TODAY()+7),"Due This Week",""),IF(AND($H163&lt;&gt;"",$M163&lt;=VLOOKUP(Home!$C$7,Lists!$N$2:$O$6,2,FALSE)),$H163&amp;" Task",""),IF($G163=Home!$E$7,"Fits Current Energy",""),"No Blockers"))))</f>
        <v/>
      </c>
      <c r="P163" s="5">
        <f>IF($D163="","",SWITCH('Task Finder'!$C$6,"High Priority",AND($F163="High",$E163&lt;&gt;"Done",$E163&lt;&gt;"Archive"),"Due This Week",AND($I163&lt;&gt;"",$I163&gt;=TODAY(),$I163&lt;=TODAY()+7,$E163&lt;&gt;"Done"),"Quick Wins (15 mins or less)",AND($M163&lt;=15,$E163&lt;&gt;"Done",$E163&lt;&gt;"Blocked"),"Deep Thinking",AND($G163="Deep Thinking",$E163&lt;&gt;"Done"),"Processing",AND($G163="Processing",$E163&lt;&gt;"Done"),"Blocked",$E163="Blocked","Waiting",$E163="Waiting","Recently Updated",AND($L163&lt;&gt;"",$L163&gt;=TODAY()-7),"Keyword",AND('Task Finder'!$C$7&lt;&gt;"",OR(ISNUMBER(SEARCH('Task Finder'!$C$7,$A163)),ISNUMBER(SEARCH('Task Finder'!$C$7,$B163)),ISNUMBER(SEARCH('Task Finder'!$C$7,$C163)),ISNUMBER(SEARCH('Task Finder'!$C$7,$D163)),ISNUMBER(SEARCH('Task Finder'!$C$7,$K163)))),TRUE))</f>
        <v/>
      </c>
    </row>
    <row r="164">
      <c r="A164" s="19" t="n"/>
      <c r="B164" s="19" t="n"/>
      <c r="C164" s="19" t="n"/>
      <c r="D164" s="19" t="n"/>
      <c r="E164" s="19" t="n"/>
      <c r="F164" s="19" t="n"/>
      <c r="G164" s="19" t="n"/>
      <c r="H164" s="19" t="n"/>
      <c r="I164" s="19" t="n"/>
      <c r="J164" s="19" t="n"/>
      <c r="K164" s="19" t="n"/>
      <c r="L164" s="35" t="n"/>
      <c r="M164" s="5">
        <f>IF($D164="","",IFERROR(VLOOKUP($H164,Lists!$N$2:$O$6,2,FALSE),0))</f>
        <v/>
      </c>
      <c r="N164" s="5">
        <f>IF($D164="","",IF(OR($E164="Blocked",$E164="Done",$E164="Archive"),-9999,IF(AND($E164="Waiting",SUMPRODUCT((($E$5:$E$500="Next")+($E$5:$E$500="In Progress")+($E$5:$E$500="Captured"))*($D$5:$D$500&lt;&gt;""))&gt;0),-500,VLOOKUP($F164,Lists!$L$2:$M$4,2,FALSE)+IF($E164="In Progress",10,0)+IF(AND($I164&lt;&gt;"",$I164&lt;TODAY()),25,0)+IF(AND($I164&lt;&gt;"",$I164&gt;=TODAY(),$I164&lt;=TODAY()+7),15,0)+IF($H164="",0,IF($M164&lt;=VLOOKUP(Home!$C$7,Lists!$N$2:$O$6,2,FALSE),20,-10))+IF($G164=Home!$E$7,15,IF(Home!$E$7="",0,-5))-ROW()/100000)))</f>
        <v/>
      </c>
      <c r="O164" s="5">
        <f>IF($D164="","",IF($N164&lt;=-500,"Not recommended right now",IF($E164="Waiting","Nothing else actionable right now — Waiting on: "&amp;IF($K164="","this item",$K164),TEXTJOIN(" • ",TRUE,IF($F164="High","High Priority",""),IF(AND($I164&lt;&gt;"",$I164&lt;TODAY()),"Overdue",""),IF(AND($I164&lt;&gt;"",$I164&gt;=TODAY(),$I164&lt;=TODAY()+7),"Due This Week",""),IF(AND($H164&lt;&gt;"",$M164&lt;=VLOOKUP(Home!$C$7,Lists!$N$2:$O$6,2,FALSE)),$H164&amp;" Task",""),IF($G164=Home!$E$7,"Fits Current Energy",""),"No Blockers"))))</f>
        <v/>
      </c>
      <c r="P164" s="5">
        <f>IF($D164="","",SWITCH('Task Finder'!$C$6,"High Priority",AND($F164="High",$E164&lt;&gt;"Done",$E164&lt;&gt;"Archive"),"Due This Week",AND($I164&lt;&gt;"",$I164&gt;=TODAY(),$I164&lt;=TODAY()+7,$E164&lt;&gt;"Done"),"Quick Wins (15 mins or less)",AND($M164&lt;=15,$E164&lt;&gt;"Done",$E164&lt;&gt;"Blocked"),"Deep Thinking",AND($G164="Deep Thinking",$E164&lt;&gt;"Done"),"Processing",AND($G164="Processing",$E164&lt;&gt;"Done"),"Blocked",$E164="Blocked","Waiting",$E164="Waiting","Recently Updated",AND($L164&lt;&gt;"",$L164&gt;=TODAY()-7),"Keyword",AND('Task Finder'!$C$7&lt;&gt;"",OR(ISNUMBER(SEARCH('Task Finder'!$C$7,$A164)),ISNUMBER(SEARCH('Task Finder'!$C$7,$B164)),ISNUMBER(SEARCH('Task Finder'!$C$7,$C164)),ISNUMBER(SEARCH('Task Finder'!$C$7,$D164)),ISNUMBER(SEARCH('Task Finder'!$C$7,$K164)))),TRUE))</f>
        <v/>
      </c>
    </row>
    <row r="165">
      <c r="A165" s="19" t="n"/>
      <c r="B165" s="19" t="n"/>
      <c r="C165" s="19" t="n"/>
      <c r="D165" s="19" t="n"/>
      <c r="E165" s="19" t="n"/>
      <c r="F165" s="19" t="n"/>
      <c r="G165" s="19" t="n"/>
      <c r="H165" s="19" t="n"/>
      <c r="I165" s="19" t="n"/>
      <c r="J165" s="19" t="n"/>
      <c r="K165" s="19" t="n"/>
      <c r="L165" s="35" t="n"/>
      <c r="M165" s="5">
        <f>IF($D165="","",IFERROR(VLOOKUP($H165,Lists!$N$2:$O$6,2,FALSE),0))</f>
        <v/>
      </c>
      <c r="N165" s="5">
        <f>IF($D165="","",IF(OR($E165="Blocked",$E165="Done",$E165="Archive"),-9999,IF(AND($E165="Waiting",SUMPRODUCT((($E$5:$E$500="Next")+($E$5:$E$500="In Progress")+($E$5:$E$500="Captured"))*($D$5:$D$500&lt;&gt;""))&gt;0),-500,VLOOKUP($F165,Lists!$L$2:$M$4,2,FALSE)+IF($E165="In Progress",10,0)+IF(AND($I165&lt;&gt;"",$I165&lt;TODAY()),25,0)+IF(AND($I165&lt;&gt;"",$I165&gt;=TODAY(),$I165&lt;=TODAY()+7),15,0)+IF($H165="",0,IF($M165&lt;=VLOOKUP(Home!$C$7,Lists!$N$2:$O$6,2,FALSE),20,-10))+IF($G165=Home!$E$7,15,IF(Home!$E$7="",0,-5))-ROW()/100000)))</f>
        <v/>
      </c>
      <c r="O165" s="5">
        <f>IF($D165="","",IF($N165&lt;=-500,"Not recommended right now",IF($E165="Waiting","Nothing else actionable right now — Waiting on: "&amp;IF($K165="","this item",$K165),TEXTJOIN(" • ",TRUE,IF($F165="High","High Priority",""),IF(AND($I165&lt;&gt;"",$I165&lt;TODAY()),"Overdue",""),IF(AND($I165&lt;&gt;"",$I165&gt;=TODAY(),$I165&lt;=TODAY()+7),"Due This Week",""),IF(AND($H165&lt;&gt;"",$M165&lt;=VLOOKUP(Home!$C$7,Lists!$N$2:$O$6,2,FALSE)),$H165&amp;" Task",""),IF($G165=Home!$E$7,"Fits Current Energy",""),"No Blockers"))))</f>
        <v/>
      </c>
      <c r="P165" s="5">
        <f>IF($D165="","",SWITCH('Task Finder'!$C$6,"High Priority",AND($F165="High",$E165&lt;&gt;"Done",$E165&lt;&gt;"Archive"),"Due This Week",AND($I165&lt;&gt;"",$I165&gt;=TODAY(),$I165&lt;=TODAY()+7,$E165&lt;&gt;"Done"),"Quick Wins (15 mins or less)",AND($M165&lt;=15,$E165&lt;&gt;"Done",$E165&lt;&gt;"Blocked"),"Deep Thinking",AND($G165="Deep Thinking",$E165&lt;&gt;"Done"),"Processing",AND($G165="Processing",$E165&lt;&gt;"Done"),"Blocked",$E165="Blocked","Waiting",$E165="Waiting","Recently Updated",AND($L165&lt;&gt;"",$L165&gt;=TODAY()-7),"Keyword",AND('Task Finder'!$C$7&lt;&gt;"",OR(ISNUMBER(SEARCH('Task Finder'!$C$7,$A165)),ISNUMBER(SEARCH('Task Finder'!$C$7,$B165)),ISNUMBER(SEARCH('Task Finder'!$C$7,$C165)),ISNUMBER(SEARCH('Task Finder'!$C$7,$D165)),ISNUMBER(SEARCH('Task Finder'!$C$7,$K165)))),TRUE))</f>
        <v/>
      </c>
    </row>
    <row r="166">
      <c r="A166" s="19" t="n"/>
      <c r="B166" s="19" t="n"/>
      <c r="C166" s="19" t="n"/>
      <c r="D166" s="19" t="n"/>
      <c r="E166" s="19" t="n"/>
      <c r="F166" s="19" t="n"/>
      <c r="G166" s="19" t="n"/>
      <c r="H166" s="19" t="n"/>
      <c r="I166" s="19" t="n"/>
      <c r="J166" s="19" t="n"/>
      <c r="K166" s="19" t="n"/>
      <c r="L166" s="35" t="n"/>
      <c r="M166" s="5">
        <f>IF($D166="","",IFERROR(VLOOKUP($H166,Lists!$N$2:$O$6,2,FALSE),0))</f>
        <v/>
      </c>
      <c r="N166" s="5">
        <f>IF($D166="","",IF(OR($E166="Blocked",$E166="Done",$E166="Archive"),-9999,IF(AND($E166="Waiting",SUMPRODUCT((($E$5:$E$500="Next")+($E$5:$E$500="In Progress")+($E$5:$E$500="Captured"))*($D$5:$D$500&lt;&gt;""))&gt;0),-500,VLOOKUP($F166,Lists!$L$2:$M$4,2,FALSE)+IF($E166="In Progress",10,0)+IF(AND($I166&lt;&gt;"",$I166&lt;TODAY()),25,0)+IF(AND($I166&lt;&gt;"",$I166&gt;=TODAY(),$I166&lt;=TODAY()+7),15,0)+IF($H166="",0,IF($M166&lt;=VLOOKUP(Home!$C$7,Lists!$N$2:$O$6,2,FALSE),20,-10))+IF($G166=Home!$E$7,15,IF(Home!$E$7="",0,-5))-ROW()/100000)))</f>
        <v/>
      </c>
      <c r="O166" s="5">
        <f>IF($D166="","",IF($N166&lt;=-500,"Not recommended right now",IF($E166="Waiting","Nothing else actionable right now — Waiting on: "&amp;IF($K166="","this item",$K166),TEXTJOIN(" • ",TRUE,IF($F166="High","High Priority",""),IF(AND($I166&lt;&gt;"",$I166&lt;TODAY()),"Overdue",""),IF(AND($I166&lt;&gt;"",$I166&gt;=TODAY(),$I166&lt;=TODAY()+7),"Due This Week",""),IF(AND($H166&lt;&gt;"",$M166&lt;=VLOOKUP(Home!$C$7,Lists!$N$2:$O$6,2,FALSE)),$H166&amp;" Task",""),IF($G166=Home!$E$7,"Fits Current Energy",""),"No Blockers"))))</f>
        <v/>
      </c>
      <c r="P166" s="5">
        <f>IF($D166="","",SWITCH('Task Finder'!$C$6,"High Priority",AND($F166="High",$E166&lt;&gt;"Done",$E166&lt;&gt;"Archive"),"Due This Week",AND($I166&lt;&gt;"",$I166&gt;=TODAY(),$I166&lt;=TODAY()+7,$E166&lt;&gt;"Done"),"Quick Wins (15 mins or less)",AND($M166&lt;=15,$E166&lt;&gt;"Done",$E166&lt;&gt;"Blocked"),"Deep Thinking",AND($G166="Deep Thinking",$E166&lt;&gt;"Done"),"Processing",AND($G166="Processing",$E166&lt;&gt;"Done"),"Blocked",$E166="Blocked","Waiting",$E166="Waiting","Recently Updated",AND($L166&lt;&gt;"",$L166&gt;=TODAY()-7),"Keyword",AND('Task Finder'!$C$7&lt;&gt;"",OR(ISNUMBER(SEARCH('Task Finder'!$C$7,$A166)),ISNUMBER(SEARCH('Task Finder'!$C$7,$B166)),ISNUMBER(SEARCH('Task Finder'!$C$7,$C166)),ISNUMBER(SEARCH('Task Finder'!$C$7,$D166)),ISNUMBER(SEARCH('Task Finder'!$C$7,$K166)))),TRUE))</f>
        <v/>
      </c>
    </row>
    <row r="167">
      <c r="A167" s="19" t="n"/>
      <c r="B167" s="19" t="n"/>
      <c r="C167" s="19" t="n"/>
      <c r="D167" s="19" t="n"/>
      <c r="E167" s="19" t="n"/>
      <c r="F167" s="19" t="n"/>
      <c r="G167" s="19" t="n"/>
      <c r="H167" s="19" t="n"/>
      <c r="I167" s="19" t="n"/>
      <c r="J167" s="19" t="n"/>
      <c r="K167" s="19" t="n"/>
      <c r="L167" s="35" t="n"/>
      <c r="M167" s="5">
        <f>IF($D167="","",IFERROR(VLOOKUP($H167,Lists!$N$2:$O$6,2,FALSE),0))</f>
        <v/>
      </c>
      <c r="N167" s="5">
        <f>IF($D167="","",IF(OR($E167="Blocked",$E167="Done",$E167="Archive"),-9999,IF(AND($E167="Waiting",SUMPRODUCT((($E$5:$E$500="Next")+($E$5:$E$500="In Progress")+($E$5:$E$500="Captured"))*($D$5:$D$500&lt;&gt;""))&gt;0),-500,VLOOKUP($F167,Lists!$L$2:$M$4,2,FALSE)+IF($E167="In Progress",10,0)+IF(AND($I167&lt;&gt;"",$I167&lt;TODAY()),25,0)+IF(AND($I167&lt;&gt;"",$I167&gt;=TODAY(),$I167&lt;=TODAY()+7),15,0)+IF($H167="",0,IF($M167&lt;=VLOOKUP(Home!$C$7,Lists!$N$2:$O$6,2,FALSE),20,-10))+IF($G167=Home!$E$7,15,IF(Home!$E$7="",0,-5))-ROW()/100000)))</f>
        <v/>
      </c>
      <c r="O167" s="5">
        <f>IF($D167="","",IF($N167&lt;=-500,"Not recommended right now",IF($E167="Waiting","Nothing else actionable right now — Waiting on: "&amp;IF($K167="","this item",$K167),TEXTJOIN(" • ",TRUE,IF($F167="High","High Priority",""),IF(AND($I167&lt;&gt;"",$I167&lt;TODAY()),"Overdue",""),IF(AND($I167&lt;&gt;"",$I167&gt;=TODAY(),$I167&lt;=TODAY()+7),"Due This Week",""),IF(AND($H167&lt;&gt;"",$M167&lt;=VLOOKUP(Home!$C$7,Lists!$N$2:$O$6,2,FALSE)),$H167&amp;" Task",""),IF($G167=Home!$E$7,"Fits Current Energy",""),"No Blockers"))))</f>
        <v/>
      </c>
      <c r="P167" s="5">
        <f>IF($D167="","",SWITCH('Task Finder'!$C$6,"High Priority",AND($F167="High",$E167&lt;&gt;"Done",$E167&lt;&gt;"Archive"),"Due This Week",AND($I167&lt;&gt;"",$I167&gt;=TODAY(),$I167&lt;=TODAY()+7,$E167&lt;&gt;"Done"),"Quick Wins (15 mins or less)",AND($M167&lt;=15,$E167&lt;&gt;"Done",$E167&lt;&gt;"Blocked"),"Deep Thinking",AND($G167="Deep Thinking",$E167&lt;&gt;"Done"),"Processing",AND($G167="Processing",$E167&lt;&gt;"Done"),"Blocked",$E167="Blocked","Waiting",$E167="Waiting","Recently Updated",AND($L167&lt;&gt;"",$L167&gt;=TODAY()-7),"Keyword",AND('Task Finder'!$C$7&lt;&gt;"",OR(ISNUMBER(SEARCH('Task Finder'!$C$7,$A167)),ISNUMBER(SEARCH('Task Finder'!$C$7,$B167)),ISNUMBER(SEARCH('Task Finder'!$C$7,$C167)),ISNUMBER(SEARCH('Task Finder'!$C$7,$D167)),ISNUMBER(SEARCH('Task Finder'!$C$7,$K167)))),TRUE))</f>
        <v/>
      </c>
    </row>
    <row r="168">
      <c r="A168" s="19" t="n"/>
      <c r="B168" s="19" t="n"/>
      <c r="C168" s="19" t="n"/>
      <c r="D168" s="19" t="n"/>
      <c r="E168" s="19" t="n"/>
      <c r="F168" s="19" t="n"/>
      <c r="G168" s="19" t="n"/>
      <c r="H168" s="19" t="n"/>
      <c r="I168" s="19" t="n"/>
      <c r="J168" s="19" t="n"/>
      <c r="K168" s="19" t="n"/>
      <c r="L168" s="35" t="n"/>
      <c r="M168" s="5">
        <f>IF($D168="","",IFERROR(VLOOKUP($H168,Lists!$N$2:$O$6,2,FALSE),0))</f>
        <v/>
      </c>
      <c r="N168" s="5">
        <f>IF($D168="","",IF(OR($E168="Blocked",$E168="Done",$E168="Archive"),-9999,IF(AND($E168="Waiting",SUMPRODUCT((($E$5:$E$500="Next")+($E$5:$E$500="In Progress")+($E$5:$E$500="Captured"))*($D$5:$D$500&lt;&gt;""))&gt;0),-500,VLOOKUP($F168,Lists!$L$2:$M$4,2,FALSE)+IF($E168="In Progress",10,0)+IF(AND($I168&lt;&gt;"",$I168&lt;TODAY()),25,0)+IF(AND($I168&lt;&gt;"",$I168&gt;=TODAY(),$I168&lt;=TODAY()+7),15,0)+IF($H168="",0,IF($M168&lt;=VLOOKUP(Home!$C$7,Lists!$N$2:$O$6,2,FALSE),20,-10))+IF($G168=Home!$E$7,15,IF(Home!$E$7="",0,-5))-ROW()/100000)))</f>
        <v/>
      </c>
      <c r="O168" s="5">
        <f>IF($D168="","",IF($N168&lt;=-500,"Not recommended right now",IF($E168="Waiting","Nothing else actionable right now — Waiting on: "&amp;IF($K168="","this item",$K168),TEXTJOIN(" • ",TRUE,IF($F168="High","High Priority",""),IF(AND($I168&lt;&gt;"",$I168&lt;TODAY()),"Overdue",""),IF(AND($I168&lt;&gt;"",$I168&gt;=TODAY(),$I168&lt;=TODAY()+7),"Due This Week",""),IF(AND($H168&lt;&gt;"",$M168&lt;=VLOOKUP(Home!$C$7,Lists!$N$2:$O$6,2,FALSE)),$H168&amp;" Task",""),IF($G168=Home!$E$7,"Fits Current Energy",""),"No Blockers"))))</f>
        <v/>
      </c>
      <c r="P168" s="5">
        <f>IF($D168="","",SWITCH('Task Finder'!$C$6,"High Priority",AND($F168="High",$E168&lt;&gt;"Done",$E168&lt;&gt;"Archive"),"Due This Week",AND($I168&lt;&gt;"",$I168&gt;=TODAY(),$I168&lt;=TODAY()+7,$E168&lt;&gt;"Done"),"Quick Wins (15 mins or less)",AND($M168&lt;=15,$E168&lt;&gt;"Done",$E168&lt;&gt;"Blocked"),"Deep Thinking",AND($G168="Deep Thinking",$E168&lt;&gt;"Done"),"Processing",AND($G168="Processing",$E168&lt;&gt;"Done"),"Blocked",$E168="Blocked","Waiting",$E168="Waiting","Recently Updated",AND($L168&lt;&gt;"",$L168&gt;=TODAY()-7),"Keyword",AND('Task Finder'!$C$7&lt;&gt;"",OR(ISNUMBER(SEARCH('Task Finder'!$C$7,$A168)),ISNUMBER(SEARCH('Task Finder'!$C$7,$B168)),ISNUMBER(SEARCH('Task Finder'!$C$7,$C168)),ISNUMBER(SEARCH('Task Finder'!$C$7,$D168)),ISNUMBER(SEARCH('Task Finder'!$C$7,$K168)))),TRUE))</f>
        <v/>
      </c>
    </row>
    <row r="169">
      <c r="A169" s="19" t="n"/>
      <c r="B169" s="19" t="n"/>
      <c r="C169" s="19" t="n"/>
      <c r="D169" s="19" t="n"/>
      <c r="E169" s="19" t="n"/>
      <c r="F169" s="19" t="n"/>
      <c r="G169" s="19" t="n"/>
      <c r="H169" s="19" t="n"/>
      <c r="I169" s="19" t="n"/>
      <c r="J169" s="19" t="n"/>
      <c r="K169" s="19" t="n"/>
      <c r="L169" s="35" t="n"/>
      <c r="M169" s="5">
        <f>IF($D169="","",IFERROR(VLOOKUP($H169,Lists!$N$2:$O$6,2,FALSE),0))</f>
        <v/>
      </c>
      <c r="N169" s="5">
        <f>IF($D169="","",IF(OR($E169="Blocked",$E169="Done",$E169="Archive"),-9999,IF(AND($E169="Waiting",SUMPRODUCT((($E$5:$E$500="Next")+($E$5:$E$500="In Progress")+($E$5:$E$500="Captured"))*($D$5:$D$500&lt;&gt;""))&gt;0),-500,VLOOKUP($F169,Lists!$L$2:$M$4,2,FALSE)+IF($E169="In Progress",10,0)+IF(AND($I169&lt;&gt;"",$I169&lt;TODAY()),25,0)+IF(AND($I169&lt;&gt;"",$I169&gt;=TODAY(),$I169&lt;=TODAY()+7),15,0)+IF($H169="",0,IF($M169&lt;=VLOOKUP(Home!$C$7,Lists!$N$2:$O$6,2,FALSE),20,-10))+IF($G169=Home!$E$7,15,IF(Home!$E$7="",0,-5))-ROW()/100000)))</f>
        <v/>
      </c>
      <c r="O169" s="5">
        <f>IF($D169="","",IF($N169&lt;=-500,"Not recommended right now",IF($E169="Waiting","Nothing else actionable right now — Waiting on: "&amp;IF($K169="","this item",$K169),TEXTJOIN(" • ",TRUE,IF($F169="High","High Priority",""),IF(AND($I169&lt;&gt;"",$I169&lt;TODAY()),"Overdue",""),IF(AND($I169&lt;&gt;"",$I169&gt;=TODAY(),$I169&lt;=TODAY()+7),"Due This Week",""),IF(AND($H169&lt;&gt;"",$M169&lt;=VLOOKUP(Home!$C$7,Lists!$N$2:$O$6,2,FALSE)),$H169&amp;" Task",""),IF($G169=Home!$E$7,"Fits Current Energy",""),"No Blockers"))))</f>
        <v/>
      </c>
      <c r="P169" s="5">
        <f>IF($D169="","",SWITCH('Task Finder'!$C$6,"High Priority",AND($F169="High",$E169&lt;&gt;"Done",$E169&lt;&gt;"Archive"),"Due This Week",AND($I169&lt;&gt;"",$I169&gt;=TODAY(),$I169&lt;=TODAY()+7,$E169&lt;&gt;"Done"),"Quick Wins (15 mins or less)",AND($M169&lt;=15,$E169&lt;&gt;"Done",$E169&lt;&gt;"Blocked"),"Deep Thinking",AND($G169="Deep Thinking",$E169&lt;&gt;"Done"),"Processing",AND($G169="Processing",$E169&lt;&gt;"Done"),"Blocked",$E169="Blocked","Waiting",$E169="Waiting","Recently Updated",AND($L169&lt;&gt;"",$L169&gt;=TODAY()-7),"Keyword",AND('Task Finder'!$C$7&lt;&gt;"",OR(ISNUMBER(SEARCH('Task Finder'!$C$7,$A169)),ISNUMBER(SEARCH('Task Finder'!$C$7,$B169)),ISNUMBER(SEARCH('Task Finder'!$C$7,$C169)),ISNUMBER(SEARCH('Task Finder'!$C$7,$D169)),ISNUMBER(SEARCH('Task Finder'!$C$7,$K169)))),TRUE))</f>
        <v/>
      </c>
    </row>
    <row r="170">
      <c r="A170" s="19" t="n"/>
      <c r="B170" s="19" t="n"/>
      <c r="C170" s="19" t="n"/>
      <c r="D170" s="19" t="n"/>
      <c r="E170" s="19" t="n"/>
      <c r="F170" s="19" t="n"/>
      <c r="G170" s="19" t="n"/>
      <c r="H170" s="19" t="n"/>
      <c r="I170" s="19" t="n"/>
      <c r="J170" s="19" t="n"/>
      <c r="K170" s="19" t="n"/>
      <c r="L170" s="35" t="n"/>
      <c r="M170" s="5">
        <f>IF($D170="","",IFERROR(VLOOKUP($H170,Lists!$N$2:$O$6,2,FALSE),0))</f>
        <v/>
      </c>
      <c r="N170" s="5">
        <f>IF($D170="","",IF(OR($E170="Blocked",$E170="Done",$E170="Archive"),-9999,IF(AND($E170="Waiting",SUMPRODUCT((($E$5:$E$500="Next")+($E$5:$E$500="In Progress")+($E$5:$E$500="Captured"))*($D$5:$D$500&lt;&gt;""))&gt;0),-500,VLOOKUP($F170,Lists!$L$2:$M$4,2,FALSE)+IF($E170="In Progress",10,0)+IF(AND($I170&lt;&gt;"",$I170&lt;TODAY()),25,0)+IF(AND($I170&lt;&gt;"",$I170&gt;=TODAY(),$I170&lt;=TODAY()+7),15,0)+IF($H170="",0,IF($M170&lt;=VLOOKUP(Home!$C$7,Lists!$N$2:$O$6,2,FALSE),20,-10))+IF($G170=Home!$E$7,15,IF(Home!$E$7="",0,-5))-ROW()/100000)))</f>
        <v/>
      </c>
      <c r="O170" s="5">
        <f>IF($D170="","",IF($N170&lt;=-500,"Not recommended right now",IF($E170="Waiting","Nothing else actionable right now — Waiting on: "&amp;IF($K170="","this item",$K170),TEXTJOIN(" • ",TRUE,IF($F170="High","High Priority",""),IF(AND($I170&lt;&gt;"",$I170&lt;TODAY()),"Overdue",""),IF(AND($I170&lt;&gt;"",$I170&gt;=TODAY(),$I170&lt;=TODAY()+7),"Due This Week",""),IF(AND($H170&lt;&gt;"",$M170&lt;=VLOOKUP(Home!$C$7,Lists!$N$2:$O$6,2,FALSE)),$H170&amp;" Task",""),IF($G170=Home!$E$7,"Fits Current Energy",""),"No Blockers"))))</f>
        <v/>
      </c>
      <c r="P170" s="5">
        <f>IF($D170="","",SWITCH('Task Finder'!$C$6,"High Priority",AND($F170="High",$E170&lt;&gt;"Done",$E170&lt;&gt;"Archive"),"Due This Week",AND($I170&lt;&gt;"",$I170&gt;=TODAY(),$I170&lt;=TODAY()+7,$E170&lt;&gt;"Done"),"Quick Wins (15 mins or less)",AND($M170&lt;=15,$E170&lt;&gt;"Done",$E170&lt;&gt;"Blocked"),"Deep Thinking",AND($G170="Deep Thinking",$E170&lt;&gt;"Done"),"Processing",AND($G170="Processing",$E170&lt;&gt;"Done"),"Blocked",$E170="Blocked","Waiting",$E170="Waiting","Recently Updated",AND($L170&lt;&gt;"",$L170&gt;=TODAY()-7),"Keyword",AND('Task Finder'!$C$7&lt;&gt;"",OR(ISNUMBER(SEARCH('Task Finder'!$C$7,$A170)),ISNUMBER(SEARCH('Task Finder'!$C$7,$B170)),ISNUMBER(SEARCH('Task Finder'!$C$7,$C170)),ISNUMBER(SEARCH('Task Finder'!$C$7,$D170)),ISNUMBER(SEARCH('Task Finder'!$C$7,$K170)))),TRUE))</f>
        <v/>
      </c>
    </row>
    <row r="171">
      <c r="A171" s="19" t="n"/>
      <c r="B171" s="19" t="n"/>
      <c r="C171" s="19" t="n"/>
      <c r="D171" s="19" t="n"/>
      <c r="E171" s="19" t="n"/>
      <c r="F171" s="19" t="n"/>
      <c r="G171" s="19" t="n"/>
      <c r="H171" s="19" t="n"/>
      <c r="I171" s="19" t="n"/>
      <c r="J171" s="19" t="n"/>
      <c r="K171" s="19" t="n"/>
      <c r="L171" s="35" t="n"/>
      <c r="M171" s="5">
        <f>IF($D171="","",IFERROR(VLOOKUP($H171,Lists!$N$2:$O$6,2,FALSE),0))</f>
        <v/>
      </c>
      <c r="N171" s="5">
        <f>IF($D171="","",IF(OR($E171="Blocked",$E171="Done",$E171="Archive"),-9999,IF(AND($E171="Waiting",SUMPRODUCT((($E$5:$E$500="Next")+($E$5:$E$500="In Progress")+($E$5:$E$500="Captured"))*($D$5:$D$500&lt;&gt;""))&gt;0),-500,VLOOKUP($F171,Lists!$L$2:$M$4,2,FALSE)+IF($E171="In Progress",10,0)+IF(AND($I171&lt;&gt;"",$I171&lt;TODAY()),25,0)+IF(AND($I171&lt;&gt;"",$I171&gt;=TODAY(),$I171&lt;=TODAY()+7),15,0)+IF($H171="",0,IF($M171&lt;=VLOOKUP(Home!$C$7,Lists!$N$2:$O$6,2,FALSE),20,-10))+IF($G171=Home!$E$7,15,IF(Home!$E$7="",0,-5))-ROW()/100000)))</f>
        <v/>
      </c>
      <c r="O171" s="5">
        <f>IF($D171="","",IF($N171&lt;=-500,"Not recommended right now",IF($E171="Waiting","Nothing else actionable right now — Waiting on: "&amp;IF($K171="","this item",$K171),TEXTJOIN(" • ",TRUE,IF($F171="High","High Priority",""),IF(AND($I171&lt;&gt;"",$I171&lt;TODAY()),"Overdue",""),IF(AND($I171&lt;&gt;"",$I171&gt;=TODAY(),$I171&lt;=TODAY()+7),"Due This Week",""),IF(AND($H171&lt;&gt;"",$M171&lt;=VLOOKUP(Home!$C$7,Lists!$N$2:$O$6,2,FALSE)),$H171&amp;" Task",""),IF($G171=Home!$E$7,"Fits Current Energy",""),"No Blockers"))))</f>
        <v/>
      </c>
      <c r="P171" s="5">
        <f>IF($D171="","",SWITCH('Task Finder'!$C$6,"High Priority",AND($F171="High",$E171&lt;&gt;"Done",$E171&lt;&gt;"Archive"),"Due This Week",AND($I171&lt;&gt;"",$I171&gt;=TODAY(),$I171&lt;=TODAY()+7,$E171&lt;&gt;"Done"),"Quick Wins (15 mins or less)",AND($M171&lt;=15,$E171&lt;&gt;"Done",$E171&lt;&gt;"Blocked"),"Deep Thinking",AND($G171="Deep Thinking",$E171&lt;&gt;"Done"),"Processing",AND($G171="Processing",$E171&lt;&gt;"Done"),"Blocked",$E171="Blocked","Waiting",$E171="Waiting","Recently Updated",AND($L171&lt;&gt;"",$L171&gt;=TODAY()-7),"Keyword",AND('Task Finder'!$C$7&lt;&gt;"",OR(ISNUMBER(SEARCH('Task Finder'!$C$7,$A171)),ISNUMBER(SEARCH('Task Finder'!$C$7,$B171)),ISNUMBER(SEARCH('Task Finder'!$C$7,$C171)),ISNUMBER(SEARCH('Task Finder'!$C$7,$D171)),ISNUMBER(SEARCH('Task Finder'!$C$7,$K171)))),TRUE))</f>
        <v/>
      </c>
    </row>
    <row r="172">
      <c r="A172" s="19" t="n"/>
      <c r="B172" s="19" t="n"/>
      <c r="C172" s="19" t="n"/>
      <c r="D172" s="19" t="n"/>
      <c r="E172" s="19" t="n"/>
      <c r="F172" s="19" t="n"/>
      <c r="G172" s="19" t="n"/>
      <c r="H172" s="19" t="n"/>
      <c r="I172" s="19" t="n"/>
      <c r="J172" s="19" t="n"/>
      <c r="K172" s="19" t="n"/>
      <c r="L172" s="35" t="n"/>
      <c r="M172" s="5">
        <f>IF($D172="","",IFERROR(VLOOKUP($H172,Lists!$N$2:$O$6,2,FALSE),0))</f>
        <v/>
      </c>
      <c r="N172" s="5">
        <f>IF($D172="","",IF(OR($E172="Blocked",$E172="Done",$E172="Archive"),-9999,IF(AND($E172="Waiting",SUMPRODUCT((($E$5:$E$500="Next")+($E$5:$E$500="In Progress")+($E$5:$E$500="Captured"))*($D$5:$D$500&lt;&gt;""))&gt;0),-500,VLOOKUP($F172,Lists!$L$2:$M$4,2,FALSE)+IF($E172="In Progress",10,0)+IF(AND($I172&lt;&gt;"",$I172&lt;TODAY()),25,0)+IF(AND($I172&lt;&gt;"",$I172&gt;=TODAY(),$I172&lt;=TODAY()+7),15,0)+IF($H172="",0,IF($M172&lt;=VLOOKUP(Home!$C$7,Lists!$N$2:$O$6,2,FALSE),20,-10))+IF($G172=Home!$E$7,15,IF(Home!$E$7="",0,-5))-ROW()/100000)))</f>
        <v/>
      </c>
      <c r="O172" s="5">
        <f>IF($D172="","",IF($N172&lt;=-500,"Not recommended right now",IF($E172="Waiting","Nothing else actionable right now — Waiting on: "&amp;IF($K172="","this item",$K172),TEXTJOIN(" • ",TRUE,IF($F172="High","High Priority",""),IF(AND($I172&lt;&gt;"",$I172&lt;TODAY()),"Overdue",""),IF(AND($I172&lt;&gt;"",$I172&gt;=TODAY(),$I172&lt;=TODAY()+7),"Due This Week",""),IF(AND($H172&lt;&gt;"",$M172&lt;=VLOOKUP(Home!$C$7,Lists!$N$2:$O$6,2,FALSE)),$H172&amp;" Task",""),IF($G172=Home!$E$7,"Fits Current Energy",""),"No Blockers"))))</f>
        <v/>
      </c>
      <c r="P172" s="5">
        <f>IF($D172="","",SWITCH('Task Finder'!$C$6,"High Priority",AND($F172="High",$E172&lt;&gt;"Done",$E172&lt;&gt;"Archive"),"Due This Week",AND($I172&lt;&gt;"",$I172&gt;=TODAY(),$I172&lt;=TODAY()+7,$E172&lt;&gt;"Done"),"Quick Wins (15 mins or less)",AND($M172&lt;=15,$E172&lt;&gt;"Done",$E172&lt;&gt;"Blocked"),"Deep Thinking",AND($G172="Deep Thinking",$E172&lt;&gt;"Done"),"Processing",AND($G172="Processing",$E172&lt;&gt;"Done"),"Blocked",$E172="Blocked","Waiting",$E172="Waiting","Recently Updated",AND($L172&lt;&gt;"",$L172&gt;=TODAY()-7),"Keyword",AND('Task Finder'!$C$7&lt;&gt;"",OR(ISNUMBER(SEARCH('Task Finder'!$C$7,$A172)),ISNUMBER(SEARCH('Task Finder'!$C$7,$B172)),ISNUMBER(SEARCH('Task Finder'!$C$7,$C172)),ISNUMBER(SEARCH('Task Finder'!$C$7,$D172)),ISNUMBER(SEARCH('Task Finder'!$C$7,$K172)))),TRUE))</f>
        <v/>
      </c>
    </row>
    <row r="173">
      <c r="A173" s="19" t="n"/>
      <c r="B173" s="19" t="n"/>
      <c r="C173" s="19" t="n"/>
      <c r="D173" s="19" t="n"/>
      <c r="E173" s="19" t="n"/>
      <c r="F173" s="19" t="n"/>
      <c r="G173" s="19" t="n"/>
      <c r="H173" s="19" t="n"/>
      <c r="I173" s="19" t="n"/>
      <c r="J173" s="19" t="n"/>
      <c r="K173" s="19" t="n"/>
      <c r="L173" s="35" t="n"/>
      <c r="M173" s="5">
        <f>IF($D173="","",IFERROR(VLOOKUP($H173,Lists!$N$2:$O$6,2,FALSE),0))</f>
        <v/>
      </c>
      <c r="N173" s="5">
        <f>IF($D173="","",IF(OR($E173="Blocked",$E173="Done",$E173="Archive"),-9999,IF(AND($E173="Waiting",SUMPRODUCT((($E$5:$E$500="Next")+($E$5:$E$500="In Progress")+($E$5:$E$500="Captured"))*($D$5:$D$500&lt;&gt;""))&gt;0),-500,VLOOKUP($F173,Lists!$L$2:$M$4,2,FALSE)+IF($E173="In Progress",10,0)+IF(AND($I173&lt;&gt;"",$I173&lt;TODAY()),25,0)+IF(AND($I173&lt;&gt;"",$I173&gt;=TODAY(),$I173&lt;=TODAY()+7),15,0)+IF($H173="",0,IF($M173&lt;=VLOOKUP(Home!$C$7,Lists!$N$2:$O$6,2,FALSE),20,-10))+IF($G173=Home!$E$7,15,IF(Home!$E$7="",0,-5))-ROW()/100000)))</f>
        <v/>
      </c>
      <c r="O173" s="5">
        <f>IF($D173="","",IF($N173&lt;=-500,"Not recommended right now",IF($E173="Waiting","Nothing else actionable right now — Waiting on: "&amp;IF($K173="","this item",$K173),TEXTJOIN(" • ",TRUE,IF($F173="High","High Priority",""),IF(AND($I173&lt;&gt;"",$I173&lt;TODAY()),"Overdue",""),IF(AND($I173&lt;&gt;"",$I173&gt;=TODAY(),$I173&lt;=TODAY()+7),"Due This Week",""),IF(AND($H173&lt;&gt;"",$M173&lt;=VLOOKUP(Home!$C$7,Lists!$N$2:$O$6,2,FALSE)),$H173&amp;" Task",""),IF($G173=Home!$E$7,"Fits Current Energy",""),"No Blockers"))))</f>
        <v/>
      </c>
      <c r="P173" s="5">
        <f>IF($D173="","",SWITCH('Task Finder'!$C$6,"High Priority",AND($F173="High",$E173&lt;&gt;"Done",$E173&lt;&gt;"Archive"),"Due This Week",AND($I173&lt;&gt;"",$I173&gt;=TODAY(),$I173&lt;=TODAY()+7,$E173&lt;&gt;"Done"),"Quick Wins (15 mins or less)",AND($M173&lt;=15,$E173&lt;&gt;"Done",$E173&lt;&gt;"Blocked"),"Deep Thinking",AND($G173="Deep Thinking",$E173&lt;&gt;"Done"),"Processing",AND($G173="Processing",$E173&lt;&gt;"Done"),"Blocked",$E173="Blocked","Waiting",$E173="Waiting","Recently Updated",AND($L173&lt;&gt;"",$L173&gt;=TODAY()-7),"Keyword",AND('Task Finder'!$C$7&lt;&gt;"",OR(ISNUMBER(SEARCH('Task Finder'!$C$7,$A173)),ISNUMBER(SEARCH('Task Finder'!$C$7,$B173)),ISNUMBER(SEARCH('Task Finder'!$C$7,$C173)),ISNUMBER(SEARCH('Task Finder'!$C$7,$D173)),ISNUMBER(SEARCH('Task Finder'!$C$7,$K173)))),TRUE))</f>
        <v/>
      </c>
    </row>
    <row r="174">
      <c r="A174" s="19" t="n"/>
      <c r="B174" s="19" t="n"/>
      <c r="C174" s="19" t="n"/>
      <c r="D174" s="19" t="n"/>
      <c r="E174" s="19" t="n"/>
      <c r="F174" s="19" t="n"/>
      <c r="G174" s="19" t="n"/>
      <c r="H174" s="19" t="n"/>
      <c r="I174" s="19" t="n"/>
      <c r="J174" s="19" t="n"/>
      <c r="K174" s="19" t="n"/>
      <c r="L174" s="35" t="n"/>
      <c r="M174" s="5">
        <f>IF($D174="","",IFERROR(VLOOKUP($H174,Lists!$N$2:$O$6,2,FALSE),0))</f>
        <v/>
      </c>
      <c r="N174" s="5">
        <f>IF($D174="","",IF(OR($E174="Blocked",$E174="Done",$E174="Archive"),-9999,IF(AND($E174="Waiting",SUMPRODUCT((($E$5:$E$500="Next")+($E$5:$E$500="In Progress")+($E$5:$E$500="Captured"))*($D$5:$D$500&lt;&gt;""))&gt;0),-500,VLOOKUP($F174,Lists!$L$2:$M$4,2,FALSE)+IF($E174="In Progress",10,0)+IF(AND($I174&lt;&gt;"",$I174&lt;TODAY()),25,0)+IF(AND($I174&lt;&gt;"",$I174&gt;=TODAY(),$I174&lt;=TODAY()+7),15,0)+IF($H174="",0,IF($M174&lt;=VLOOKUP(Home!$C$7,Lists!$N$2:$O$6,2,FALSE),20,-10))+IF($G174=Home!$E$7,15,IF(Home!$E$7="",0,-5))-ROW()/100000)))</f>
        <v/>
      </c>
      <c r="O174" s="5">
        <f>IF($D174="","",IF($N174&lt;=-500,"Not recommended right now",IF($E174="Waiting","Nothing else actionable right now — Waiting on: "&amp;IF($K174="","this item",$K174),TEXTJOIN(" • ",TRUE,IF($F174="High","High Priority",""),IF(AND($I174&lt;&gt;"",$I174&lt;TODAY()),"Overdue",""),IF(AND($I174&lt;&gt;"",$I174&gt;=TODAY(),$I174&lt;=TODAY()+7),"Due This Week",""),IF(AND($H174&lt;&gt;"",$M174&lt;=VLOOKUP(Home!$C$7,Lists!$N$2:$O$6,2,FALSE)),$H174&amp;" Task",""),IF($G174=Home!$E$7,"Fits Current Energy",""),"No Blockers"))))</f>
        <v/>
      </c>
      <c r="P174" s="5">
        <f>IF($D174="","",SWITCH('Task Finder'!$C$6,"High Priority",AND($F174="High",$E174&lt;&gt;"Done",$E174&lt;&gt;"Archive"),"Due This Week",AND($I174&lt;&gt;"",$I174&gt;=TODAY(),$I174&lt;=TODAY()+7,$E174&lt;&gt;"Done"),"Quick Wins (15 mins or less)",AND($M174&lt;=15,$E174&lt;&gt;"Done",$E174&lt;&gt;"Blocked"),"Deep Thinking",AND($G174="Deep Thinking",$E174&lt;&gt;"Done"),"Processing",AND($G174="Processing",$E174&lt;&gt;"Done"),"Blocked",$E174="Blocked","Waiting",$E174="Waiting","Recently Updated",AND($L174&lt;&gt;"",$L174&gt;=TODAY()-7),"Keyword",AND('Task Finder'!$C$7&lt;&gt;"",OR(ISNUMBER(SEARCH('Task Finder'!$C$7,$A174)),ISNUMBER(SEARCH('Task Finder'!$C$7,$B174)),ISNUMBER(SEARCH('Task Finder'!$C$7,$C174)),ISNUMBER(SEARCH('Task Finder'!$C$7,$D174)),ISNUMBER(SEARCH('Task Finder'!$C$7,$K174)))),TRUE))</f>
        <v/>
      </c>
    </row>
    <row r="175">
      <c r="A175" s="19" t="n"/>
      <c r="B175" s="19" t="n"/>
      <c r="C175" s="19" t="n"/>
      <c r="D175" s="19" t="n"/>
      <c r="E175" s="19" t="n"/>
      <c r="F175" s="19" t="n"/>
      <c r="G175" s="19" t="n"/>
      <c r="H175" s="19" t="n"/>
      <c r="I175" s="19" t="n"/>
      <c r="J175" s="19" t="n"/>
      <c r="K175" s="19" t="n"/>
      <c r="L175" s="35" t="n"/>
      <c r="M175" s="5">
        <f>IF($D175="","",IFERROR(VLOOKUP($H175,Lists!$N$2:$O$6,2,FALSE),0))</f>
        <v/>
      </c>
      <c r="N175" s="5">
        <f>IF($D175="","",IF(OR($E175="Blocked",$E175="Done",$E175="Archive"),-9999,IF(AND($E175="Waiting",SUMPRODUCT((($E$5:$E$500="Next")+($E$5:$E$500="In Progress")+($E$5:$E$500="Captured"))*($D$5:$D$500&lt;&gt;""))&gt;0),-500,VLOOKUP($F175,Lists!$L$2:$M$4,2,FALSE)+IF($E175="In Progress",10,0)+IF(AND($I175&lt;&gt;"",$I175&lt;TODAY()),25,0)+IF(AND($I175&lt;&gt;"",$I175&gt;=TODAY(),$I175&lt;=TODAY()+7),15,0)+IF($H175="",0,IF($M175&lt;=VLOOKUP(Home!$C$7,Lists!$N$2:$O$6,2,FALSE),20,-10))+IF($G175=Home!$E$7,15,IF(Home!$E$7="",0,-5))-ROW()/100000)))</f>
        <v/>
      </c>
      <c r="O175" s="5">
        <f>IF($D175="","",IF($N175&lt;=-500,"Not recommended right now",IF($E175="Waiting","Nothing else actionable right now — Waiting on: "&amp;IF($K175="","this item",$K175),TEXTJOIN(" • ",TRUE,IF($F175="High","High Priority",""),IF(AND($I175&lt;&gt;"",$I175&lt;TODAY()),"Overdue",""),IF(AND($I175&lt;&gt;"",$I175&gt;=TODAY(),$I175&lt;=TODAY()+7),"Due This Week",""),IF(AND($H175&lt;&gt;"",$M175&lt;=VLOOKUP(Home!$C$7,Lists!$N$2:$O$6,2,FALSE)),$H175&amp;" Task",""),IF($G175=Home!$E$7,"Fits Current Energy",""),"No Blockers"))))</f>
        <v/>
      </c>
      <c r="P175" s="5">
        <f>IF($D175="","",SWITCH('Task Finder'!$C$6,"High Priority",AND($F175="High",$E175&lt;&gt;"Done",$E175&lt;&gt;"Archive"),"Due This Week",AND($I175&lt;&gt;"",$I175&gt;=TODAY(),$I175&lt;=TODAY()+7,$E175&lt;&gt;"Done"),"Quick Wins (15 mins or less)",AND($M175&lt;=15,$E175&lt;&gt;"Done",$E175&lt;&gt;"Blocked"),"Deep Thinking",AND($G175="Deep Thinking",$E175&lt;&gt;"Done"),"Processing",AND($G175="Processing",$E175&lt;&gt;"Done"),"Blocked",$E175="Blocked","Waiting",$E175="Waiting","Recently Updated",AND($L175&lt;&gt;"",$L175&gt;=TODAY()-7),"Keyword",AND('Task Finder'!$C$7&lt;&gt;"",OR(ISNUMBER(SEARCH('Task Finder'!$C$7,$A175)),ISNUMBER(SEARCH('Task Finder'!$C$7,$B175)),ISNUMBER(SEARCH('Task Finder'!$C$7,$C175)),ISNUMBER(SEARCH('Task Finder'!$C$7,$D175)),ISNUMBER(SEARCH('Task Finder'!$C$7,$K175)))),TRUE))</f>
        <v/>
      </c>
    </row>
    <row r="176">
      <c r="A176" s="19" t="n"/>
      <c r="B176" s="19" t="n"/>
      <c r="C176" s="19" t="n"/>
      <c r="D176" s="19" t="n"/>
      <c r="E176" s="19" t="n"/>
      <c r="F176" s="19" t="n"/>
      <c r="G176" s="19" t="n"/>
      <c r="H176" s="19" t="n"/>
      <c r="I176" s="19" t="n"/>
      <c r="J176" s="19" t="n"/>
      <c r="K176" s="19" t="n"/>
      <c r="L176" s="35" t="n"/>
      <c r="M176" s="5">
        <f>IF($D176="","",IFERROR(VLOOKUP($H176,Lists!$N$2:$O$6,2,FALSE),0))</f>
        <v/>
      </c>
      <c r="N176" s="5">
        <f>IF($D176="","",IF(OR($E176="Blocked",$E176="Done",$E176="Archive"),-9999,IF(AND($E176="Waiting",SUMPRODUCT((($E$5:$E$500="Next")+($E$5:$E$500="In Progress")+($E$5:$E$500="Captured"))*($D$5:$D$500&lt;&gt;""))&gt;0),-500,VLOOKUP($F176,Lists!$L$2:$M$4,2,FALSE)+IF($E176="In Progress",10,0)+IF(AND($I176&lt;&gt;"",$I176&lt;TODAY()),25,0)+IF(AND($I176&lt;&gt;"",$I176&gt;=TODAY(),$I176&lt;=TODAY()+7),15,0)+IF($H176="",0,IF($M176&lt;=VLOOKUP(Home!$C$7,Lists!$N$2:$O$6,2,FALSE),20,-10))+IF($G176=Home!$E$7,15,IF(Home!$E$7="",0,-5))-ROW()/100000)))</f>
        <v/>
      </c>
      <c r="O176" s="5">
        <f>IF($D176="","",IF($N176&lt;=-500,"Not recommended right now",IF($E176="Waiting","Nothing else actionable right now — Waiting on: "&amp;IF($K176="","this item",$K176),TEXTJOIN(" • ",TRUE,IF($F176="High","High Priority",""),IF(AND($I176&lt;&gt;"",$I176&lt;TODAY()),"Overdue",""),IF(AND($I176&lt;&gt;"",$I176&gt;=TODAY(),$I176&lt;=TODAY()+7),"Due This Week",""),IF(AND($H176&lt;&gt;"",$M176&lt;=VLOOKUP(Home!$C$7,Lists!$N$2:$O$6,2,FALSE)),$H176&amp;" Task",""),IF($G176=Home!$E$7,"Fits Current Energy",""),"No Blockers"))))</f>
        <v/>
      </c>
      <c r="P176" s="5">
        <f>IF($D176="","",SWITCH('Task Finder'!$C$6,"High Priority",AND($F176="High",$E176&lt;&gt;"Done",$E176&lt;&gt;"Archive"),"Due This Week",AND($I176&lt;&gt;"",$I176&gt;=TODAY(),$I176&lt;=TODAY()+7,$E176&lt;&gt;"Done"),"Quick Wins (15 mins or less)",AND($M176&lt;=15,$E176&lt;&gt;"Done",$E176&lt;&gt;"Blocked"),"Deep Thinking",AND($G176="Deep Thinking",$E176&lt;&gt;"Done"),"Processing",AND($G176="Processing",$E176&lt;&gt;"Done"),"Blocked",$E176="Blocked","Waiting",$E176="Waiting","Recently Updated",AND($L176&lt;&gt;"",$L176&gt;=TODAY()-7),"Keyword",AND('Task Finder'!$C$7&lt;&gt;"",OR(ISNUMBER(SEARCH('Task Finder'!$C$7,$A176)),ISNUMBER(SEARCH('Task Finder'!$C$7,$B176)),ISNUMBER(SEARCH('Task Finder'!$C$7,$C176)),ISNUMBER(SEARCH('Task Finder'!$C$7,$D176)),ISNUMBER(SEARCH('Task Finder'!$C$7,$K176)))),TRUE))</f>
        <v/>
      </c>
    </row>
    <row r="177">
      <c r="A177" s="19" t="n"/>
      <c r="B177" s="19" t="n"/>
      <c r="C177" s="19" t="n"/>
      <c r="D177" s="19" t="n"/>
      <c r="E177" s="19" t="n"/>
      <c r="F177" s="19" t="n"/>
      <c r="G177" s="19" t="n"/>
      <c r="H177" s="19" t="n"/>
      <c r="I177" s="19" t="n"/>
      <c r="J177" s="19" t="n"/>
      <c r="K177" s="19" t="n"/>
      <c r="L177" s="35" t="n"/>
      <c r="M177" s="5">
        <f>IF($D177="","",IFERROR(VLOOKUP($H177,Lists!$N$2:$O$6,2,FALSE),0))</f>
        <v/>
      </c>
      <c r="N177" s="5">
        <f>IF($D177="","",IF(OR($E177="Blocked",$E177="Done",$E177="Archive"),-9999,IF(AND($E177="Waiting",SUMPRODUCT((($E$5:$E$500="Next")+($E$5:$E$500="In Progress")+($E$5:$E$500="Captured"))*($D$5:$D$500&lt;&gt;""))&gt;0),-500,VLOOKUP($F177,Lists!$L$2:$M$4,2,FALSE)+IF($E177="In Progress",10,0)+IF(AND($I177&lt;&gt;"",$I177&lt;TODAY()),25,0)+IF(AND($I177&lt;&gt;"",$I177&gt;=TODAY(),$I177&lt;=TODAY()+7),15,0)+IF($H177="",0,IF($M177&lt;=VLOOKUP(Home!$C$7,Lists!$N$2:$O$6,2,FALSE),20,-10))+IF($G177=Home!$E$7,15,IF(Home!$E$7="",0,-5))-ROW()/100000)))</f>
        <v/>
      </c>
      <c r="O177" s="5">
        <f>IF($D177="","",IF($N177&lt;=-500,"Not recommended right now",IF($E177="Waiting","Nothing else actionable right now — Waiting on: "&amp;IF($K177="","this item",$K177),TEXTJOIN(" • ",TRUE,IF($F177="High","High Priority",""),IF(AND($I177&lt;&gt;"",$I177&lt;TODAY()),"Overdue",""),IF(AND($I177&lt;&gt;"",$I177&gt;=TODAY(),$I177&lt;=TODAY()+7),"Due This Week",""),IF(AND($H177&lt;&gt;"",$M177&lt;=VLOOKUP(Home!$C$7,Lists!$N$2:$O$6,2,FALSE)),$H177&amp;" Task",""),IF($G177=Home!$E$7,"Fits Current Energy",""),"No Blockers"))))</f>
        <v/>
      </c>
      <c r="P177" s="5">
        <f>IF($D177="","",SWITCH('Task Finder'!$C$6,"High Priority",AND($F177="High",$E177&lt;&gt;"Done",$E177&lt;&gt;"Archive"),"Due This Week",AND($I177&lt;&gt;"",$I177&gt;=TODAY(),$I177&lt;=TODAY()+7,$E177&lt;&gt;"Done"),"Quick Wins (15 mins or less)",AND($M177&lt;=15,$E177&lt;&gt;"Done",$E177&lt;&gt;"Blocked"),"Deep Thinking",AND($G177="Deep Thinking",$E177&lt;&gt;"Done"),"Processing",AND($G177="Processing",$E177&lt;&gt;"Done"),"Blocked",$E177="Blocked","Waiting",$E177="Waiting","Recently Updated",AND($L177&lt;&gt;"",$L177&gt;=TODAY()-7),"Keyword",AND('Task Finder'!$C$7&lt;&gt;"",OR(ISNUMBER(SEARCH('Task Finder'!$C$7,$A177)),ISNUMBER(SEARCH('Task Finder'!$C$7,$B177)),ISNUMBER(SEARCH('Task Finder'!$C$7,$C177)),ISNUMBER(SEARCH('Task Finder'!$C$7,$D177)),ISNUMBER(SEARCH('Task Finder'!$C$7,$K177)))),TRUE))</f>
        <v/>
      </c>
    </row>
    <row r="178">
      <c r="A178" s="19" t="n"/>
      <c r="B178" s="19" t="n"/>
      <c r="C178" s="19" t="n"/>
      <c r="D178" s="19" t="n"/>
      <c r="E178" s="19" t="n"/>
      <c r="F178" s="19" t="n"/>
      <c r="G178" s="19" t="n"/>
      <c r="H178" s="19" t="n"/>
      <c r="I178" s="19" t="n"/>
      <c r="J178" s="19" t="n"/>
      <c r="K178" s="19" t="n"/>
      <c r="L178" s="35" t="n"/>
      <c r="M178" s="5">
        <f>IF($D178="","",IFERROR(VLOOKUP($H178,Lists!$N$2:$O$6,2,FALSE),0))</f>
        <v/>
      </c>
      <c r="N178" s="5">
        <f>IF($D178="","",IF(OR($E178="Blocked",$E178="Done",$E178="Archive"),-9999,IF(AND($E178="Waiting",SUMPRODUCT((($E$5:$E$500="Next")+($E$5:$E$500="In Progress")+($E$5:$E$500="Captured"))*($D$5:$D$500&lt;&gt;""))&gt;0),-500,VLOOKUP($F178,Lists!$L$2:$M$4,2,FALSE)+IF($E178="In Progress",10,0)+IF(AND($I178&lt;&gt;"",$I178&lt;TODAY()),25,0)+IF(AND($I178&lt;&gt;"",$I178&gt;=TODAY(),$I178&lt;=TODAY()+7),15,0)+IF($H178="",0,IF($M178&lt;=VLOOKUP(Home!$C$7,Lists!$N$2:$O$6,2,FALSE),20,-10))+IF($G178=Home!$E$7,15,IF(Home!$E$7="",0,-5))-ROW()/100000)))</f>
        <v/>
      </c>
      <c r="O178" s="5">
        <f>IF($D178="","",IF($N178&lt;=-500,"Not recommended right now",IF($E178="Waiting","Nothing else actionable right now — Waiting on: "&amp;IF($K178="","this item",$K178),TEXTJOIN(" • ",TRUE,IF($F178="High","High Priority",""),IF(AND($I178&lt;&gt;"",$I178&lt;TODAY()),"Overdue",""),IF(AND($I178&lt;&gt;"",$I178&gt;=TODAY(),$I178&lt;=TODAY()+7),"Due This Week",""),IF(AND($H178&lt;&gt;"",$M178&lt;=VLOOKUP(Home!$C$7,Lists!$N$2:$O$6,2,FALSE)),$H178&amp;" Task",""),IF($G178=Home!$E$7,"Fits Current Energy",""),"No Blockers"))))</f>
        <v/>
      </c>
      <c r="P178" s="5">
        <f>IF($D178="","",SWITCH('Task Finder'!$C$6,"High Priority",AND($F178="High",$E178&lt;&gt;"Done",$E178&lt;&gt;"Archive"),"Due This Week",AND($I178&lt;&gt;"",$I178&gt;=TODAY(),$I178&lt;=TODAY()+7,$E178&lt;&gt;"Done"),"Quick Wins (15 mins or less)",AND($M178&lt;=15,$E178&lt;&gt;"Done",$E178&lt;&gt;"Blocked"),"Deep Thinking",AND($G178="Deep Thinking",$E178&lt;&gt;"Done"),"Processing",AND($G178="Processing",$E178&lt;&gt;"Done"),"Blocked",$E178="Blocked","Waiting",$E178="Waiting","Recently Updated",AND($L178&lt;&gt;"",$L178&gt;=TODAY()-7),"Keyword",AND('Task Finder'!$C$7&lt;&gt;"",OR(ISNUMBER(SEARCH('Task Finder'!$C$7,$A178)),ISNUMBER(SEARCH('Task Finder'!$C$7,$B178)),ISNUMBER(SEARCH('Task Finder'!$C$7,$C178)),ISNUMBER(SEARCH('Task Finder'!$C$7,$D178)),ISNUMBER(SEARCH('Task Finder'!$C$7,$K178)))),TRUE))</f>
        <v/>
      </c>
    </row>
    <row r="179">
      <c r="A179" s="19" t="n"/>
      <c r="B179" s="19" t="n"/>
      <c r="C179" s="19" t="n"/>
      <c r="D179" s="19" t="n"/>
      <c r="E179" s="19" t="n"/>
      <c r="F179" s="19" t="n"/>
      <c r="G179" s="19" t="n"/>
      <c r="H179" s="19" t="n"/>
      <c r="I179" s="19" t="n"/>
      <c r="J179" s="19" t="n"/>
      <c r="K179" s="19" t="n"/>
      <c r="L179" s="35" t="n"/>
      <c r="M179" s="5">
        <f>IF($D179="","",IFERROR(VLOOKUP($H179,Lists!$N$2:$O$6,2,FALSE),0))</f>
        <v/>
      </c>
      <c r="N179" s="5">
        <f>IF($D179="","",IF(OR($E179="Blocked",$E179="Done",$E179="Archive"),-9999,IF(AND($E179="Waiting",SUMPRODUCT((($E$5:$E$500="Next")+($E$5:$E$500="In Progress")+($E$5:$E$500="Captured"))*($D$5:$D$500&lt;&gt;""))&gt;0),-500,VLOOKUP($F179,Lists!$L$2:$M$4,2,FALSE)+IF($E179="In Progress",10,0)+IF(AND($I179&lt;&gt;"",$I179&lt;TODAY()),25,0)+IF(AND($I179&lt;&gt;"",$I179&gt;=TODAY(),$I179&lt;=TODAY()+7),15,0)+IF($H179="",0,IF($M179&lt;=VLOOKUP(Home!$C$7,Lists!$N$2:$O$6,2,FALSE),20,-10))+IF($G179=Home!$E$7,15,IF(Home!$E$7="",0,-5))-ROW()/100000)))</f>
        <v/>
      </c>
      <c r="O179" s="5">
        <f>IF($D179="","",IF($N179&lt;=-500,"Not recommended right now",IF($E179="Waiting","Nothing else actionable right now — Waiting on: "&amp;IF($K179="","this item",$K179),TEXTJOIN(" • ",TRUE,IF($F179="High","High Priority",""),IF(AND($I179&lt;&gt;"",$I179&lt;TODAY()),"Overdue",""),IF(AND($I179&lt;&gt;"",$I179&gt;=TODAY(),$I179&lt;=TODAY()+7),"Due This Week",""),IF(AND($H179&lt;&gt;"",$M179&lt;=VLOOKUP(Home!$C$7,Lists!$N$2:$O$6,2,FALSE)),$H179&amp;" Task",""),IF($G179=Home!$E$7,"Fits Current Energy",""),"No Blockers"))))</f>
        <v/>
      </c>
      <c r="P179" s="5">
        <f>IF($D179="","",SWITCH('Task Finder'!$C$6,"High Priority",AND($F179="High",$E179&lt;&gt;"Done",$E179&lt;&gt;"Archive"),"Due This Week",AND($I179&lt;&gt;"",$I179&gt;=TODAY(),$I179&lt;=TODAY()+7,$E179&lt;&gt;"Done"),"Quick Wins (15 mins or less)",AND($M179&lt;=15,$E179&lt;&gt;"Done",$E179&lt;&gt;"Blocked"),"Deep Thinking",AND($G179="Deep Thinking",$E179&lt;&gt;"Done"),"Processing",AND($G179="Processing",$E179&lt;&gt;"Done"),"Blocked",$E179="Blocked","Waiting",$E179="Waiting","Recently Updated",AND($L179&lt;&gt;"",$L179&gt;=TODAY()-7),"Keyword",AND('Task Finder'!$C$7&lt;&gt;"",OR(ISNUMBER(SEARCH('Task Finder'!$C$7,$A179)),ISNUMBER(SEARCH('Task Finder'!$C$7,$B179)),ISNUMBER(SEARCH('Task Finder'!$C$7,$C179)),ISNUMBER(SEARCH('Task Finder'!$C$7,$D179)),ISNUMBER(SEARCH('Task Finder'!$C$7,$K179)))),TRUE))</f>
        <v/>
      </c>
    </row>
    <row r="180">
      <c r="A180" s="19" t="n"/>
      <c r="B180" s="19" t="n"/>
      <c r="C180" s="19" t="n"/>
      <c r="D180" s="19" t="n"/>
      <c r="E180" s="19" t="n"/>
      <c r="F180" s="19" t="n"/>
      <c r="G180" s="19" t="n"/>
      <c r="H180" s="19" t="n"/>
      <c r="I180" s="19" t="n"/>
      <c r="J180" s="19" t="n"/>
      <c r="K180" s="19" t="n"/>
      <c r="L180" s="35" t="n"/>
      <c r="M180" s="5">
        <f>IF($D180="","",IFERROR(VLOOKUP($H180,Lists!$N$2:$O$6,2,FALSE),0))</f>
        <v/>
      </c>
      <c r="N180" s="5">
        <f>IF($D180="","",IF(OR($E180="Blocked",$E180="Done",$E180="Archive"),-9999,IF(AND($E180="Waiting",SUMPRODUCT((($E$5:$E$500="Next")+($E$5:$E$500="In Progress")+($E$5:$E$500="Captured"))*($D$5:$D$500&lt;&gt;""))&gt;0),-500,VLOOKUP($F180,Lists!$L$2:$M$4,2,FALSE)+IF($E180="In Progress",10,0)+IF(AND($I180&lt;&gt;"",$I180&lt;TODAY()),25,0)+IF(AND($I180&lt;&gt;"",$I180&gt;=TODAY(),$I180&lt;=TODAY()+7),15,0)+IF($H180="",0,IF($M180&lt;=VLOOKUP(Home!$C$7,Lists!$N$2:$O$6,2,FALSE),20,-10))+IF($G180=Home!$E$7,15,IF(Home!$E$7="",0,-5))-ROW()/100000)))</f>
        <v/>
      </c>
      <c r="O180" s="5">
        <f>IF($D180="","",IF($N180&lt;=-500,"Not recommended right now",IF($E180="Waiting","Nothing else actionable right now — Waiting on: "&amp;IF($K180="","this item",$K180),TEXTJOIN(" • ",TRUE,IF($F180="High","High Priority",""),IF(AND($I180&lt;&gt;"",$I180&lt;TODAY()),"Overdue",""),IF(AND($I180&lt;&gt;"",$I180&gt;=TODAY(),$I180&lt;=TODAY()+7),"Due This Week",""),IF(AND($H180&lt;&gt;"",$M180&lt;=VLOOKUP(Home!$C$7,Lists!$N$2:$O$6,2,FALSE)),$H180&amp;" Task",""),IF($G180=Home!$E$7,"Fits Current Energy",""),"No Blockers"))))</f>
        <v/>
      </c>
      <c r="P180" s="5">
        <f>IF($D180="","",SWITCH('Task Finder'!$C$6,"High Priority",AND($F180="High",$E180&lt;&gt;"Done",$E180&lt;&gt;"Archive"),"Due This Week",AND($I180&lt;&gt;"",$I180&gt;=TODAY(),$I180&lt;=TODAY()+7,$E180&lt;&gt;"Done"),"Quick Wins (15 mins or less)",AND($M180&lt;=15,$E180&lt;&gt;"Done",$E180&lt;&gt;"Blocked"),"Deep Thinking",AND($G180="Deep Thinking",$E180&lt;&gt;"Done"),"Processing",AND($G180="Processing",$E180&lt;&gt;"Done"),"Blocked",$E180="Blocked","Waiting",$E180="Waiting","Recently Updated",AND($L180&lt;&gt;"",$L180&gt;=TODAY()-7),"Keyword",AND('Task Finder'!$C$7&lt;&gt;"",OR(ISNUMBER(SEARCH('Task Finder'!$C$7,$A180)),ISNUMBER(SEARCH('Task Finder'!$C$7,$B180)),ISNUMBER(SEARCH('Task Finder'!$C$7,$C180)),ISNUMBER(SEARCH('Task Finder'!$C$7,$D180)),ISNUMBER(SEARCH('Task Finder'!$C$7,$K180)))),TRUE))</f>
        <v/>
      </c>
    </row>
    <row r="181">
      <c r="A181" s="19" t="n"/>
      <c r="B181" s="19" t="n"/>
      <c r="C181" s="19" t="n"/>
      <c r="D181" s="19" t="n"/>
      <c r="E181" s="19" t="n"/>
      <c r="F181" s="19" t="n"/>
      <c r="G181" s="19" t="n"/>
      <c r="H181" s="19" t="n"/>
      <c r="I181" s="19" t="n"/>
      <c r="J181" s="19" t="n"/>
      <c r="K181" s="19" t="n"/>
      <c r="L181" s="35" t="n"/>
      <c r="M181" s="5">
        <f>IF($D181="","",IFERROR(VLOOKUP($H181,Lists!$N$2:$O$6,2,FALSE),0))</f>
        <v/>
      </c>
      <c r="N181" s="5">
        <f>IF($D181="","",IF(OR($E181="Blocked",$E181="Done",$E181="Archive"),-9999,IF(AND($E181="Waiting",SUMPRODUCT((($E$5:$E$500="Next")+($E$5:$E$500="In Progress")+($E$5:$E$500="Captured"))*($D$5:$D$500&lt;&gt;""))&gt;0),-500,VLOOKUP($F181,Lists!$L$2:$M$4,2,FALSE)+IF($E181="In Progress",10,0)+IF(AND($I181&lt;&gt;"",$I181&lt;TODAY()),25,0)+IF(AND($I181&lt;&gt;"",$I181&gt;=TODAY(),$I181&lt;=TODAY()+7),15,0)+IF($H181="",0,IF($M181&lt;=VLOOKUP(Home!$C$7,Lists!$N$2:$O$6,2,FALSE),20,-10))+IF($G181=Home!$E$7,15,IF(Home!$E$7="",0,-5))-ROW()/100000)))</f>
        <v/>
      </c>
      <c r="O181" s="5">
        <f>IF($D181="","",IF($N181&lt;=-500,"Not recommended right now",IF($E181="Waiting","Nothing else actionable right now — Waiting on: "&amp;IF($K181="","this item",$K181),TEXTJOIN(" • ",TRUE,IF($F181="High","High Priority",""),IF(AND($I181&lt;&gt;"",$I181&lt;TODAY()),"Overdue",""),IF(AND($I181&lt;&gt;"",$I181&gt;=TODAY(),$I181&lt;=TODAY()+7),"Due This Week",""),IF(AND($H181&lt;&gt;"",$M181&lt;=VLOOKUP(Home!$C$7,Lists!$N$2:$O$6,2,FALSE)),$H181&amp;" Task",""),IF($G181=Home!$E$7,"Fits Current Energy",""),"No Blockers"))))</f>
        <v/>
      </c>
      <c r="P181" s="5">
        <f>IF($D181="","",SWITCH('Task Finder'!$C$6,"High Priority",AND($F181="High",$E181&lt;&gt;"Done",$E181&lt;&gt;"Archive"),"Due This Week",AND($I181&lt;&gt;"",$I181&gt;=TODAY(),$I181&lt;=TODAY()+7,$E181&lt;&gt;"Done"),"Quick Wins (15 mins or less)",AND($M181&lt;=15,$E181&lt;&gt;"Done",$E181&lt;&gt;"Blocked"),"Deep Thinking",AND($G181="Deep Thinking",$E181&lt;&gt;"Done"),"Processing",AND($G181="Processing",$E181&lt;&gt;"Done"),"Blocked",$E181="Blocked","Waiting",$E181="Waiting","Recently Updated",AND($L181&lt;&gt;"",$L181&gt;=TODAY()-7),"Keyword",AND('Task Finder'!$C$7&lt;&gt;"",OR(ISNUMBER(SEARCH('Task Finder'!$C$7,$A181)),ISNUMBER(SEARCH('Task Finder'!$C$7,$B181)),ISNUMBER(SEARCH('Task Finder'!$C$7,$C181)),ISNUMBER(SEARCH('Task Finder'!$C$7,$D181)),ISNUMBER(SEARCH('Task Finder'!$C$7,$K181)))),TRUE))</f>
        <v/>
      </c>
    </row>
    <row r="182">
      <c r="A182" s="19" t="n"/>
      <c r="B182" s="19" t="n"/>
      <c r="C182" s="19" t="n"/>
      <c r="D182" s="19" t="n"/>
      <c r="E182" s="19" t="n"/>
      <c r="F182" s="19" t="n"/>
      <c r="G182" s="19" t="n"/>
      <c r="H182" s="19" t="n"/>
      <c r="I182" s="19" t="n"/>
      <c r="J182" s="19" t="n"/>
      <c r="K182" s="19" t="n"/>
      <c r="L182" s="35" t="n"/>
      <c r="M182" s="5">
        <f>IF($D182="","",IFERROR(VLOOKUP($H182,Lists!$N$2:$O$6,2,FALSE),0))</f>
        <v/>
      </c>
      <c r="N182" s="5">
        <f>IF($D182="","",IF(OR($E182="Blocked",$E182="Done",$E182="Archive"),-9999,IF(AND($E182="Waiting",SUMPRODUCT((($E$5:$E$500="Next")+($E$5:$E$500="In Progress")+($E$5:$E$500="Captured"))*($D$5:$D$500&lt;&gt;""))&gt;0),-500,VLOOKUP($F182,Lists!$L$2:$M$4,2,FALSE)+IF($E182="In Progress",10,0)+IF(AND($I182&lt;&gt;"",$I182&lt;TODAY()),25,0)+IF(AND($I182&lt;&gt;"",$I182&gt;=TODAY(),$I182&lt;=TODAY()+7),15,0)+IF($H182="",0,IF($M182&lt;=VLOOKUP(Home!$C$7,Lists!$N$2:$O$6,2,FALSE),20,-10))+IF($G182=Home!$E$7,15,IF(Home!$E$7="",0,-5))-ROW()/100000)))</f>
        <v/>
      </c>
      <c r="O182" s="5">
        <f>IF($D182="","",IF($N182&lt;=-500,"Not recommended right now",IF($E182="Waiting","Nothing else actionable right now — Waiting on: "&amp;IF($K182="","this item",$K182),TEXTJOIN(" • ",TRUE,IF($F182="High","High Priority",""),IF(AND($I182&lt;&gt;"",$I182&lt;TODAY()),"Overdue",""),IF(AND($I182&lt;&gt;"",$I182&gt;=TODAY(),$I182&lt;=TODAY()+7),"Due This Week",""),IF(AND($H182&lt;&gt;"",$M182&lt;=VLOOKUP(Home!$C$7,Lists!$N$2:$O$6,2,FALSE)),$H182&amp;" Task",""),IF($G182=Home!$E$7,"Fits Current Energy",""),"No Blockers"))))</f>
        <v/>
      </c>
      <c r="P182" s="5">
        <f>IF($D182="","",SWITCH('Task Finder'!$C$6,"High Priority",AND($F182="High",$E182&lt;&gt;"Done",$E182&lt;&gt;"Archive"),"Due This Week",AND($I182&lt;&gt;"",$I182&gt;=TODAY(),$I182&lt;=TODAY()+7,$E182&lt;&gt;"Done"),"Quick Wins (15 mins or less)",AND($M182&lt;=15,$E182&lt;&gt;"Done",$E182&lt;&gt;"Blocked"),"Deep Thinking",AND($G182="Deep Thinking",$E182&lt;&gt;"Done"),"Processing",AND($G182="Processing",$E182&lt;&gt;"Done"),"Blocked",$E182="Blocked","Waiting",$E182="Waiting","Recently Updated",AND($L182&lt;&gt;"",$L182&gt;=TODAY()-7),"Keyword",AND('Task Finder'!$C$7&lt;&gt;"",OR(ISNUMBER(SEARCH('Task Finder'!$C$7,$A182)),ISNUMBER(SEARCH('Task Finder'!$C$7,$B182)),ISNUMBER(SEARCH('Task Finder'!$C$7,$C182)),ISNUMBER(SEARCH('Task Finder'!$C$7,$D182)),ISNUMBER(SEARCH('Task Finder'!$C$7,$K182)))),TRUE))</f>
        <v/>
      </c>
    </row>
    <row r="183">
      <c r="A183" s="19" t="n"/>
      <c r="B183" s="19" t="n"/>
      <c r="C183" s="19" t="n"/>
      <c r="D183" s="19" t="n"/>
      <c r="E183" s="19" t="n"/>
      <c r="F183" s="19" t="n"/>
      <c r="G183" s="19" t="n"/>
      <c r="H183" s="19" t="n"/>
      <c r="I183" s="19" t="n"/>
      <c r="J183" s="19" t="n"/>
      <c r="K183" s="19" t="n"/>
      <c r="L183" s="35" t="n"/>
      <c r="M183" s="5">
        <f>IF($D183="","",IFERROR(VLOOKUP($H183,Lists!$N$2:$O$6,2,FALSE),0))</f>
        <v/>
      </c>
      <c r="N183" s="5">
        <f>IF($D183="","",IF(OR($E183="Blocked",$E183="Done",$E183="Archive"),-9999,IF(AND($E183="Waiting",SUMPRODUCT((($E$5:$E$500="Next")+($E$5:$E$500="In Progress")+($E$5:$E$500="Captured"))*($D$5:$D$500&lt;&gt;""))&gt;0),-500,VLOOKUP($F183,Lists!$L$2:$M$4,2,FALSE)+IF($E183="In Progress",10,0)+IF(AND($I183&lt;&gt;"",$I183&lt;TODAY()),25,0)+IF(AND($I183&lt;&gt;"",$I183&gt;=TODAY(),$I183&lt;=TODAY()+7),15,0)+IF($H183="",0,IF($M183&lt;=VLOOKUP(Home!$C$7,Lists!$N$2:$O$6,2,FALSE),20,-10))+IF($G183=Home!$E$7,15,IF(Home!$E$7="",0,-5))-ROW()/100000)))</f>
        <v/>
      </c>
      <c r="O183" s="5">
        <f>IF($D183="","",IF($N183&lt;=-500,"Not recommended right now",IF($E183="Waiting","Nothing else actionable right now — Waiting on: "&amp;IF($K183="","this item",$K183),TEXTJOIN(" • ",TRUE,IF($F183="High","High Priority",""),IF(AND($I183&lt;&gt;"",$I183&lt;TODAY()),"Overdue",""),IF(AND($I183&lt;&gt;"",$I183&gt;=TODAY(),$I183&lt;=TODAY()+7),"Due This Week",""),IF(AND($H183&lt;&gt;"",$M183&lt;=VLOOKUP(Home!$C$7,Lists!$N$2:$O$6,2,FALSE)),$H183&amp;" Task",""),IF($G183=Home!$E$7,"Fits Current Energy",""),"No Blockers"))))</f>
        <v/>
      </c>
      <c r="P183" s="5">
        <f>IF($D183="","",SWITCH('Task Finder'!$C$6,"High Priority",AND($F183="High",$E183&lt;&gt;"Done",$E183&lt;&gt;"Archive"),"Due This Week",AND($I183&lt;&gt;"",$I183&gt;=TODAY(),$I183&lt;=TODAY()+7,$E183&lt;&gt;"Done"),"Quick Wins (15 mins or less)",AND($M183&lt;=15,$E183&lt;&gt;"Done",$E183&lt;&gt;"Blocked"),"Deep Thinking",AND($G183="Deep Thinking",$E183&lt;&gt;"Done"),"Processing",AND($G183="Processing",$E183&lt;&gt;"Done"),"Blocked",$E183="Blocked","Waiting",$E183="Waiting","Recently Updated",AND($L183&lt;&gt;"",$L183&gt;=TODAY()-7),"Keyword",AND('Task Finder'!$C$7&lt;&gt;"",OR(ISNUMBER(SEARCH('Task Finder'!$C$7,$A183)),ISNUMBER(SEARCH('Task Finder'!$C$7,$B183)),ISNUMBER(SEARCH('Task Finder'!$C$7,$C183)),ISNUMBER(SEARCH('Task Finder'!$C$7,$D183)),ISNUMBER(SEARCH('Task Finder'!$C$7,$K183)))),TRUE))</f>
        <v/>
      </c>
    </row>
    <row r="184">
      <c r="A184" s="19" t="n"/>
      <c r="B184" s="19" t="n"/>
      <c r="C184" s="19" t="n"/>
      <c r="D184" s="19" t="n"/>
      <c r="E184" s="19" t="n"/>
      <c r="F184" s="19" t="n"/>
      <c r="G184" s="19" t="n"/>
      <c r="H184" s="19" t="n"/>
      <c r="I184" s="19" t="n"/>
      <c r="J184" s="19" t="n"/>
      <c r="K184" s="19" t="n"/>
      <c r="L184" s="35" t="n"/>
      <c r="M184" s="5">
        <f>IF($D184="","",IFERROR(VLOOKUP($H184,Lists!$N$2:$O$6,2,FALSE),0))</f>
        <v/>
      </c>
      <c r="N184" s="5">
        <f>IF($D184="","",IF(OR($E184="Blocked",$E184="Done",$E184="Archive"),-9999,IF(AND($E184="Waiting",SUMPRODUCT((($E$5:$E$500="Next")+($E$5:$E$500="In Progress")+($E$5:$E$500="Captured"))*($D$5:$D$500&lt;&gt;""))&gt;0),-500,VLOOKUP($F184,Lists!$L$2:$M$4,2,FALSE)+IF($E184="In Progress",10,0)+IF(AND($I184&lt;&gt;"",$I184&lt;TODAY()),25,0)+IF(AND($I184&lt;&gt;"",$I184&gt;=TODAY(),$I184&lt;=TODAY()+7),15,0)+IF($H184="",0,IF($M184&lt;=VLOOKUP(Home!$C$7,Lists!$N$2:$O$6,2,FALSE),20,-10))+IF($G184=Home!$E$7,15,IF(Home!$E$7="",0,-5))-ROW()/100000)))</f>
        <v/>
      </c>
      <c r="O184" s="5">
        <f>IF($D184="","",IF($N184&lt;=-500,"Not recommended right now",IF($E184="Waiting","Nothing else actionable right now — Waiting on: "&amp;IF($K184="","this item",$K184),TEXTJOIN(" • ",TRUE,IF($F184="High","High Priority",""),IF(AND($I184&lt;&gt;"",$I184&lt;TODAY()),"Overdue",""),IF(AND($I184&lt;&gt;"",$I184&gt;=TODAY(),$I184&lt;=TODAY()+7),"Due This Week",""),IF(AND($H184&lt;&gt;"",$M184&lt;=VLOOKUP(Home!$C$7,Lists!$N$2:$O$6,2,FALSE)),$H184&amp;" Task",""),IF($G184=Home!$E$7,"Fits Current Energy",""),"No Blockers"))))</f>
        <v/>
      </c>
      <c r="P184" s="5">
        <f>IF($D184="","",SWITCH('Task Finder'!$C$6,"High Priority",AND($F184="High",$E184&lt;&gt;"Done",$E184&lt;&gt;"Archive"),"Due This Week",AND($I184&lt;&gt;"",$I184&gt;=TODAY(),$I184&lt;=TODAY()+7,$E184&lt;&gt;"Done"),"Quick Wins (15 mins or less)",AND($M184&lt;=15,$E184&lt;&gt;"Done",$E184&lt;&gt;"Blocked"),"Deep Thinking",AND($G184="Deep Thinking",$E184&lt;&gt;"Done"),"Processing",AND($G184="Processing",$E184&lt;&gt;"Done"),"Blocked",$E184="Blocked","Waiting",$E184="Waiting","Recently Updated",AND($L184&lt;&gt;"",$L184&gt;=TODAY()-7),"Keyword",AND('Task Finder'!$C$7&lt;&gt;"",OR(ISNUMBER(SEARCH('Task Finder'!$C$7,$A184)),ISNUMBER(SEARCH('Task Finder'!$C$7,$B184)),ISNUMBER(SEARCH('Task Finder'!$C$7,$C184)),ISNUMBER(SEARCH('Task Finder'!$C$7,$D184)),ISNUMBER(SEARCH('Task Finder'!$C$7,$K184)))),TRUE))</f>
        <v/>
      </c>
    </row>
    <row r="185">
      <c r="A185" s="19" t="n"/>
      <c r="B185" s="19" t="n"/>
      <c r="C185" s="19" t="n"/>
      <c r="D185" s="19" t="n"/>
      <c r="E185" s="19" t="n"/>
      <c r="F185" s="19" t="n"/>
      <c r="G185" s="19" t="n"/>
      <c r="H185" s="19" t="n"/>
      <c r="I185" s="19" t="n"/>
      <c r="J185" s="19" t="n"/>
      <c r="K185" s="19" t="n"/>
      <c r="L185" s="35" t="n"/>
      <c r="M185" s="5">
        <f>IF($D185="","",IFERROR(VLOOKUP($H185,Lists!$N$2:$O$6,2,FALSE),0))</f>
        <v/>
      </c>
      <c r="N185" s="5">
        <f>IF($D185="","",IF(OR($E185="Blocked",$E185="Done",$E185="Archive"),-9999,IF(AND($E185="Waiting",SUMPRODUCT((($E$5:$E$500="Next")+($E$5:$E$500="In Progress")+($E$5:$E$500="Captured"))*($D$5:$D$500&lt;&gt;""))&gt;0),-500,VLOOKUP($F185,Lists!$L$2:$M$4,2,FALSE)+IF($E185="In Progress",10,0)+IF(AND($I185&lt;&gt;"",$I185&lt;TODAY()),25,0)+IF(AND($I185&lt;&gt;"",$I185&gt;=TODAY(),$I185&lt;=TODAY()+7),15,0)+IF($H185="",0,IF($M185&lt;=VLOOKUP(Home!$C$7,Lists!$N$2:$O$6,2,FALSE),20,-10))+IF($G185=Home!$E$7,15,IF(Home!$E$7="",0,-5))-ROW()/100000)))</f>
        <v/>
      </c>
      <c r="O185" s="5">
        <f>IF($D185="","",IF($N185&lt;=-500,"Not recommended right now",IF($E185="Waiting","Nothing else actionable right now — Waiting on: "&amp;IF($K185="","this item",$K185),TEXTJOIN(" • ",TRUE,IF($F185="High","High Priority",""),IF(AND($I185&lt;&gt;"",$I185&lt;TODAY()),"Overdue",""),IF(AND($I185&lt;&gt;"",$I185&gt;=TODAY(),$I185&lt;=TODAY()+7),"Due This Week",""),IF(AND($H185&lt;&gt;"",$M185&lt;=VLOOKUP(Home!$C$7,Lists!$N$2:$O$6,2,FALSE)),$H185&amp;" Task",""),IF($G185=Home!$E$7,"Fits Current Energy",""),"No Blockers"))))</f>
        <v/>
      </c>
      <c r="P185" s="5">
        <f>IF($D185="","",SWITCH('Task Finder'!$C$6,"High Priority",AND($F185="High",$E185&lt;&gt;"Done",$E185&lt;&gt;"Archive"),"Due This Week",AND($I185&lt;&gt;"",$I185&gt;=TODAY(),$I185&lt;=TODAY()+7,$E185&lt;&gt;"Done"),"Quick Wins (15 mins or less)",AND($M185&lt;=15,$E185&lt;&gt;"Done",$E185&lt;&gt;"Blocked"),"Deep Thinking",AND($G185="Deep Thinking",$E185&lt;&gt;"Done"),"Processing",AND($G185="Processing",$E185&lt;&gt;"Done"),"Blocked",$E185="Blocked","Waiting",$E185="Waiting","Recently Updated",AND($L185&lt;&gt;"",$L185&gt;=TODAY()-7),"Keyword",AND('Task Finder'!$C$7&lt;&gt;"",OR(ISNUMBER(SEARCH('Task Finder'!$C$7,$A185)),ISNUMBER(SEARCH('Task Finder'!$C$7,$B185)),ISNUMBER(SEARCH('Task Finder'!$C$7,$C185)),ISNUMBER(SEARCH('Task Finder'!$C$7,$D185)),ISNUMBER(SEARCH('Task Finder'!$C$7,$K185)))),TRUE))</f>
        <v/>
      </c>
    </row>
    <row r="186">
      <c r="A186" s="19" t="n"/>
      <c r="B186" s="19" t="n"/>
      <c r="C186" s="19" t="n"/>
      <c r="D186" s="19" t="n"/>
      <c r="E186" s="19" t="n"/>
      <c r="F186" s="19" t="n"/>
      <c r="G186" s="19" t="n"/>
      <c r="H186" s="19" t="n"/>
      <c r="I186" s="19" t="n"/>
      <c r="J186" s="19" t="n"/>
      <c r="K186" s="19" t="n"/>
      <c r="L186" s="35" t="n"/>
      <c r="M186" s="5">
        <f>IF($D186="","",IFERROR(VLOOKUP($H186,Lists!$N$2:$O$6,2,FALSE),0))</f>
        <v/>
      </c>
      <c r="N186" s="5">
        <f>IF($D186="","",IF(OR($E186="Blocked",$E186="Done",$E186="Archive"),-9999,IF(AND($E186="Waiting",SUMPRODUCT((($E$5:$E$500="Next")+($E$5:$E$500="In Progress")+($E$5:$E$500="Captured"))*($D$5:$D$500&lt;&gt;""))&gt;0),-500,VLOOKUP($F186,Lists!$L$2:$M$4,2,FALSE)+IF($E186="In Progress",10,0)+IF(AND($I186&lt;&gt;"",$I186&lt;TODAY()),25,0)+IF(AND($I186&lt;&gt;"",$I186&gt;=TODAY(),$I186&lt;=TODAY()+7),15,0)+IF($H186="",0,IF($M186&lt;=VLOOKUP(Home!$C$7,Lists!$N$2:$O$6,2,FALSE),20,-10))+IF($G186=Home!$E$7,15,IF(Home!$E$7="",0,-5))-ROW()/100000)))</f>
        <v/>
      </c>
      <c r="O186" s="5">
        <f>IF($D186="","",IF($N186&lt;=-500,"Not recommended right now",IF($E186="Waiting","Nothing else actionable right now — Waiting on: "&amp;IF($K186="","this item",$K186),TEXTJOIN(" • ",TRUE,IF($F186="High","High Priority",""),IF(AND($I186&lt;&gt;"",$I186&lt;TODAY()),"Overdue",""),IF(AND($I186&lt;&gt;"",$I186&gt;=TODAY(),$I186&lt;=TODAY()+7),"Due This Week",""),IF(AND($H186&lt;&gt;"",$M186&lt;=VLOOKUP(Home!$C$7,Lists!$N$2:$O$6,2,FALSE)),$H186&amp;" Task",""),IF($G186=Home!$E$7,"Fits Current Energy",""),"No Blockers"))))</f>
        <v/>
      </c>
      <c r="P186" s="5">
        <f>IF($D186="","",SWITCH('Task Finder'!$C$6,"High Priority",AND($F186="High",$E186&lt;&gt;"Done",$E186&lt;&gt;"Archive"),"Due This Week",AND($I186&lt;&gt;"",$I186&gt;=TODAY(),$I186&lt;=TODAY()+7,$E186&lt;&gt;"Done"),"Quick Wins (15 mins or less)",AND($M186&lt;=15,$E186&lt;&gt;"Done",$E186&lt;&gt;"Blocked"),"Deep Thinking",AND($G186="Deep Thinking",$E186&lt;&gt;"Done"),"Processing",AND($G186="Processing",$E186&lt;&gt;"Done"),"Blocked",$E186="Blocked","Waiting",$E186="Waiting","Recently Updated",AND($L186&lt;&gt;"",$L186&gt;=TODAY()-7),"Keyword",AND('Task Finder'!$C$7&lt;&gt;"",OR(ISNUMBER(SEARCH('Task Finder'!$C$7,$A186)),ISNUMBER(SEARCH('Task Finder'!$C$7,$B186)),ISNUMBER(SEARCH('Task Finder'!$C$7,$C186)),ISNUMBER(SEARCH('Task Finder'!$C$7,$D186)),ISNUMBER(SEARCH('Task Finder'!$C$7,$K186)))),TRUE))</f>
        <v/>
      </c>
    </row>
    <row r="187">
      <c r="A187" s="19" t="n"/>
      <c r="B187" s="19" t="n"/>
      <c r="C187" s="19" t="n"/>
      <c r="D187" s="19" t="n"/>
      <c r="E187" s="19" t="n"/>
      <c r="F187" s="19" t="n"/>
      <c r="G187" s="19" t="n"/>
      <c r="H187" s="19" t="n"/>
      <c r="I187" s="19" t="n"/>
      <c r="J187" s="19" t="n"/>
      <c r="K187" s="19" t="n"/>
      <c r="L187" s="35" t="n"/>
      <c r="M187" s="5">
        <f>IF($D187="","",IFERROR(VLOOKUP($H187,Lists!$N$2:$O$6,2,FALSE),0))</f>
        <v/>
      </c>
      <c r="N187" s="5">
        <f>IF($D187="","",IF(OR($E187="Blocked",$E187="Done",$E187="Archive"),-9999,IF(AND($E187="Waiting",SUMPRODUCT((($E$5:$E$500="Next")+($E$5:$E$500="In Progress")+($E$5:$E$500="Captured"))*($D$5:$D$500&lt;&gt;""))&gt;0),-500,VLOOKUP($F187,Lists!$L$2:$M$4,2,FALSE)+IF($E187="In Progress",10,0)+IF(AND($I187&lt;&gt;"",$I187&lt;TODAY()),25,0)+IF(AND($I187&lt;&gt;"",$I187&gt;=TODAY(),$I187&lt;=TODAY()+7),15,0)+IF($H187="",0,IF($M187&lt;=VLOOKUP(Home!$C$7,Lists!$N$2:$O$6,2,FALSE),20,-10))+IF($G187=Home!$E$7,15,IF(Home!$E$7="",0,-5))-ROW()/100000)))</f>
        <v/>
      </c>
      <c r="O187" s="5">
        <f>IF($D187="","",IF($N187&lt;=-500,"Not recommended right now",IF($E187="Waiting","Nothing else actionable right now — Waiting on: "&amp;IF($K187="","this item",$K187),TEXTJOIN(" • ",TRUE,IF($F187="High","High Priority",""),IF(AND($I187&lt;&gt;"",$I187&lt;TODAY()),"Overdue",""),IF(AND($I187&lt;&gt;"",$I187&gt;=TODAY(),$I187&lt;=TODAY()+7),"Due This Week",""),IF(AND($H187&lt;&gt;"",$M187&lt;=VLOOKUP(Home!$C$7,Lists!$N$2:$O$6,2,FALSE)),$H187&amp;" Task",""),IF($G187=Home!$E$7,"Fits Current Energy",""),"No Blockers"))))</f>
        <v/>
      </c>
      <c r="P187" s="5">
        <f>IF($D187="","",SWITCH('Task Finder'!$C$6,"High Priority",AND($F187="High",$E187&lt;&gt;"Done",$E187&lt;&gt;"Archive"),"Due This Week",AND($I187&lt;&gt;"",$I187&gt;=TODAY(),$I187&lt;=TODAY()+7,$E187&lt;&gt;"Done"),"Quick Wins (15 mins or less)",AND($M187&lt;=15,$E187&lt;&gt;"Done",$E187&lt;&gt;"Blocked"),"Deep Thinking",AND($G187="Deep Thinking",$E187&lt;&gt;"Done"),"Processing",AND($G187="Processing",$E187&lt;&gt;"Done"),"Blocked",$E187="Blocked","Waiting",$E187="Waiting","Recently Updated",AND($L187&lt;&gt;"",$L187&gt;=TODAY()-7),"Keyword",AND('Task Finder'!$C$7&lt;&gt;"",OR(ISNUMBER(SEARCH('Task Finder'!$C$7,$A187)),ISNUMBER(SEARCH('Task Finder'!$C$7,$B187)),ISNUMBER(SEARCH('Task Finder'!$C$7,$C187)),ISNUMBER(SEARCH('Task Finder'!$C$7,$D187)),ISNUMBER(SEARCH('Task Finder'!$C$7,$K187)))),TRUE))</f>
        <v/>
      </c>
    </row>
    <row r="188">
      <c r="A188" s="19" t="n"/>
      <c r="B188" s="19" t="n"/>
      <c r="C188" s="19" t="n"/>
      <c r="D188" s="19" t="n"/>
      <c r="E188" s="19" t="n"/>
      <c r="F188" s="19" t="n"/>
      <c r="G188" s="19" t="n"/>
      <c r="H188" s="19" t="n"/>
      <c r="I188" s="19" t="n"/>
      <c r="J188" s="19" t="n"/>
      <c r="K188" s="19" t="n"/>
      <c r="L188" s="35" t="n"/>
      <c r="M188" s="5">
        <f>IF($D188="","",IFERROR(VLOOKUP($H188,Lists!$N$2:$O$6,2,FALSE),0))</f>
        <v/>
      </c>
      <c r="N188" s="5">
        <f>IF($D188="","",IF(OR($E188="Blocked",$E188="Done",$E188="Archive"),-9999,IF(AND($E188="Waiting",SUMPRODUCT((($E$5:$E$500="Next")+($E$5:$E$500="In Progress")+($E$5:$E$500="Captured"))*($D$5:$D$500&lt;&gt;""))&gt;0),-500,VLOOKUP($F188,Lists!$L$2:$M$4,2,FALSE)+IF($E188="In Progress",10,0)+IF(AND($I188&lt;&gt;"",$I188&lt;TODAY()),25,0)+IF(AND($I188&lt;&gt;"",$I188&gt;=TODAY(),$I188&lt;=TODAY()+7),15,0)+IF($H188="",0,IF($M188&lt;=VLOOKUP(Home!$C$7,Lists!$N$2:$O$6,2,FALSE),20,-10))+IF($G188=Home!$E$7,15,IF(Home!$E$7="",0,-5))-ROW()/100000)))</f>
        <v/>
      </c>
      <c r="O188" s="5">
        <f>IF($D188="","",IF($N188&lt;=-500,"Not recommended right now",IF($E188="Waiting","Nothing else actionable right now — Waiting on: "&amp;IF($K188="","this item",$K188),TEXTJOIN(" • ",TRUE,IF($F188="High","High Priority",""),IF(AND($I188&lt;&gt;"",$I188&lt;TODAY()),"Overdue",""),IF(AND($I188&lt;&gt;"",$I188&gt;=TODAY(),$I188&lt;=TODAY()+7),"Due This Week",""),IF(AND($H188&lt;&gt;"",$M188&lt;=VLOOKUP(Home!$C$7,Lists!$N$2:$O$6,2,FALSE)),$H188&amp;" Task",""),IF($G188=Home!$E$7,"Fits Current Energy",""),"No Blockers"))))</f>
        <v/>
      </c>
      <c r="P188" s="5">
        <f>IF($D188="","",SWITCH('Task Finder'!$C$6,"High Priority",AND($F188="High",$E188&lt;&gt;"Done",$E188&lt;&gt;"Archive"),"Due This Week",AND($I188&lt;&gt;"",$I188&gt;=TODAY(),$I188&lt;=TODAY()+7,$E188&lt;&gt;"Done"),"Quick Wins (15 mins or less)",AND($M188&lt;=15,$E188&lt;&gt;"Done",$E188&lt;&gt;"Blocked"),"Deep Thinking",AND($G188="Deep Thinking",$E188&lt;&gt;"Done"),"Processing",AND($G188="Processing",$E188&lt;&gt;"Done"),"Blocked",$E188="Blocked","Waiting",$E188="Waiting","Recently Updated",AND($L188&lt;&gt;"",$L188&gt;=TODAY()-7),"Keyword",AND('Task Finder'!$C$7&lt;&gt;"",OR(ISNUMBER(SEARCH('Task Finder'!$C$7,$A188)),ISNUMBER(SEARCH('Task Finder'!$C$7,$B188)),ISNUMBER(SEARCH('Task Finder'!$C$7,$C188)),ISNUMBER(SEARCH('Task Finder'!$C$7,$D188)),ISNUMBER(SEARCH('Task Finder'!$C$7,$K188)))),TRUE))</f>
        <v/>
      </c>
    </row>
    <row r="189">
      <c r="A189" s="19" t="n"/>
      <c r="B189" s="19" t="n"/>
      <c r="C189" s="19" t="n"/>
      <c r="D189" s="19" t="n"/>
      <c r="E189" s="19" t="n"/>
      <c r="F189" s="19" t="n"/>
      <c r="G189" s="19" t="n"/>
      <c r="H189" s="19" t="n"/>
      <c r="I189" s="19" t="n"/>
      <c r="J189" s="19" t="n"/>
      <c r="K189" s="19" t="n"/>
      <c r="L189" s="35" t="n"/>
      <c r="M189" s="5">
        <f>IF($D189="","",IFERROR(VLOOKUP($H189,Lists!$N$2:$O$6,2,FALSE),0))</f>
        <v/>
      </c>
      <c r="N189" s="5">
        <f>IF($D189="","",IF(OR($E189="Blocked",$E189="Done",$E189="Archive"),-9999,IF(AND($E189="Waiting",SUMPRODUCT((($E$5:$E$500="Next")+($E$5:$E$500="In Progress")+($E$5:$E$500="Captured"))*($D$5:$D$500&lt;&gt;""))&gt;0),-500,VLOOKUP($F189,Lists!$L$2:$M$4,2,FALSE)+IF($E189="In Progress",10,0)+IF(AND($I189&lt;&gt;"",$I189&lt;TODAY()),25,0)+IF(AND($I189&lt;&gt;"",$I189&gt;=TODAY(),$I189&lt;=TODAY()+7),15,0)+IF($H189="",0,IF($M189&lt;=VLOOKUP(Home!$C$7,Lists!$N$2:$O$6,2,FALSE),20,-10))+IF($G189=Home!$E$7,15,IF(Home!$E$7="",0,-5))-ROW()/100000)))</f>
        <v/>
      </c>
      <c r="O189" s="5">
        <f>IF($D189="","",IF($N189&lt;=-500,"Not recommended right now",IF($E189="Waiting","Nothing else actionable right now — Waiting on: "&amp;IF($K189="","this item",$K189),TEXTJOIN(" • ",TRUE,IF($F189="High","High Priority",""),IF(AND($I189&lt;&gt;"",$I189&lt;TODAY()),"Overdue",""),IF(AND($I189&lt;&gt;"",$I189&gt;=TODAY(),$I189&lt;=TODAY()+7),"Due This Week",""),IF(AND($H189&lt;&gt;"",$M189&lt;=VLOOKUP(Home!$C$7,Lists!$N$2:$O$6,2,FALSE)),$H189&amp;" Task",""),IF($G189=Home!$E$7,"Fits Current Energy",""),"No Blockers"))))</f>
        <v/>
      </c>
      <c r="P189" s="5">
        <f>IF($D189="","",SWITCH('Task Finder'!$C$6,"High Priority",AND($F189="High",$E189&lt;&gt;"Done",$E189&lt;&gt;"Archive"),"Due This Week",AND($I189&lt;&gt;"",$I189&gt;=TODAY(),$I189&lt;=TODAY()+7,$E189&lt;&gt;"Done"),"Quick Wins (15 mins or less)",AND($M189&lt;=15,$E189&lt;&gt;"Done",$E189&lt;&gt;"Blocked"),"Deep Thinking",AND($G189="Deep Thinking",$E189&lt;&gt;"Done"),"Processing",AND($G189="Processing",$E189&lt;&gt;"Done"),"Blocked",$E189="Blocked","Waiting",$E189="Waiting","Recently Updated",AND($L189&lt;&gt;"",$L189&gt;=TODAY()-7),"Keyword",AND('Task Finder'!$C$7&lt;&gt;"",OR(ISNUMBER(SEARCH('Task Finder'!$C$7,$A189)),ISNUMBER(SEARCH('Task Finder'!$C$7,$B189)),ISNUMBER(SEARCH('Task Finder'!$C$7,$C189)),ISNUMBER(SEARCH('Task Finder'!$C$7,$D189)),ISNUMBER(SEARCH('Task Finder'!$C$7,$K189)))),TRUE))</f>
        <v/>
      </c>
    </row>
    <row r="190">
      <c r="A190" s="19" t="n"/>
      <c r="B190" s="19" t="n"/>
      <c r="C190" s="19" t="n"/>
      <c r="D190" s="19" t="n"/>
      <c r="E190" s="19" t="n"/>
      <c r="F190" s="19" t="n"/>
      <c r="G190" s="19" t="n"/>
      <c r="H190" s="19" t="n"/>
      <c r="I190" s="19" t="n"/>
      <c r="J190" s="19" t="n"/>
      <c r="K190" s="19" t="n"/>
      <c r="L190" s="35" t="n"/>
      <c r="M190" s="5">
        <f>IF($D190="","",IFERROR(VLOOKUP($H190,Lists!$N$2:$O$6,2,FALSE),0))</f>
        <v/>
      </c>
      <c r="N190" s="5">
        <f>IF($D190="","",IF(OR($E190="Blocked",$E190="Done",$E190="Archive"),-9999,IF(AND($E190="Waiting",SUMPRODUCT((($E$5:$E$500="Next")+($E$5:$E$500="In Progress")+($E$5:$E$500="Captured"))*($D$5:$D$500&lt;&gt;""))&gt;0),-500,VLOOKUP($F190,Lists!$L$2:$M$4,2,FALSE)+IF($E190="In Progress",10,0)+IF(AND($I190&lt;&gt;"",$I190&lt;TODAY()),25,0)+IF(AND($I190&lt;&gt;"",$I190&gt;=TODAY(),$I190&lt;=TODAY()+7),15,0)+IF($H190="",0,IF($M190&lt;=VLOOKUP(Home!$C$7,Lists!$N$2:$O$6,2,FALSE),20,-10))+IF($G190=Home!$E$7,15,IF(Home!$E$7="",0,-5))-ROW()/100000)))</f>
        <v/>
      </c>
      <c r="O190" s="5">
        <f>IF($D190="","",IF($N190&lt;=-500,"Not recommended right now",IF($E190="Waiting","Nothing else actionable right now — Waiting on: "&amp;IF($K190="","this item",$K190),TEXTJOIN(" • ",TRUE,IF($F190="High","High Priority",""),IF(AND($I190&lt;&gt;"",$I190&lt;TODAY()),"Overdue",""),IF(AND($I190&lt;&gt;"",$I190&gt;=TODAY(),$I190&lt;=TODAY()+7),"Due This Week",""),IF(AND($H190&lt;&gt;"",$M190&lt;=VLOOKUP(Home!$C$7,Lists!$N$2:$O$6,2,FALSE)),$H190&amp;" Task",""),IF($G190=Home!$E$7,"Fits Current Energy",""),"No Blockers"))))</f>
        <v/>
      </c>
      <c r="P190" s="5">
        <f>IF($D190="","",SWITCH('Task Finder'!$C$6,"High Priority",AND($F190="High",$E190&lt;&gt;"Done",$E190&lt;&gt;"Archive"),"Due This Week",AND($I190&lt;&gt;"",$I190&gt;=TODAY(),$I190&lt;=TODAY()+7,$E190&lt;&gt;"Done"),"Quick Wins (15 mins or less)",AND($M190&lt;=15,$E190&lt;&gt;"Done",$E190&lt;&gt;"Blocked"),"Deep Thinking",AND($G190="Deep Thinking",$E190&lt;&gt;"Done"),"Processing",AND($G190="Processing",$E190&lt;&gt;"Done"),"Blocked",$E190="Blocked","Waiting",$E190="Waiting","Recently Updated",AND($L190&lt;&gt;"",$L190&gt;=TODAY()-7),"Keyword",AND('Task Finder'!$C$7&lt;&gt;"",OR(ISNUMBER(SEARCH('Task Finder'!$C$7,$A190)),ISNUMBER(SEARCH('Task Finder'!$C$7,$B190)),ISNUMBER(SEARCH('Task Finder'!$C$7,$C190)),ISNUMBER(SEARCH('Task Finder'!$C$7,$D190)),ISNUMBER(SEARCH('Task Finder'!$C$7,$K190)))),TRUE))</f>
        <v/>
      </c>
    </row>
    <row r="191">
      <c r="A191" s="19" t="n"/>
      <c r="B191" s="19" t="n"/>
      <c r="C191" s="19" t="n"/>
      <c r="D191" s="19" t="n"/>
      <c r="E191" s="19" t="n"/>
      <c r="F191" s="19" t="n"/>
      <c r="G191" s="19" t="n"/>
      <c r="H191" s="19" t="n"/>
      <c r="I191" s="19" t="n"/>
      <c r="J191" s="19" t="n"/>
      <c r="K191" s="19" t="n"/>
      <c r="L191" s="35" t="n"/>
      <c r="M191" s="5">
        <f>IF($D191="","",IFERROR(VLOOKUP($H191,Lists!$N$2:$O$6,2,FALSE),0))</f>
        <v/>
      </c>
      <c r="N191" s="5">
        <f>IF($D191="","",IF(OR($E191="Blocked",$E191="Done",$E191="Archive"),-9999,IF(AND($E191="Waiting",SUMPRODUCT((($E$5:$E$500="Next")+($E$5:$E$500="In Progress")+($E$5:$E$500="Captured"))*($D$5:$D$500&lt;&gt;""))&gt;0),-500,VLOOKUP($F191,Lists!$L$2:$M$4,2,FALSE)+IF($E191="In Progress",10,0)+IF(AND($I191&lt;&gt;"",$I191&lt;TODAY()),25,0)+IF(AND($I191&lt;&gt;"",$I191&gt;=TODAY(),$I191&lt;=TODAY()+7),15,0)+IF($H191="",0,IF($M191&lt;=VLOOKUP(Home!$C$7,Lists!$N$2:$O$6,2,FALSE),20,-10))+IF($G191=Home!$E$7,15,IF(Home!$E$7="",0,-5))-ROW()/100000)))</f>
        <v/>
      </c>
      <c r="O191" s="5">
        <f>IF($D191="","",IF($N191&lt;=-500,"Not recommended right now",IF($E191="Waiting","Nothing else actionable right now — Waiting on: "&amp;IF($K191="","this item",$K191),TEXTJOIN(" • ",TRUE,IF($F191="High","High Priority",""),IF(AND($I191&lt;&gt;"",$I191&lt;TODAY()),"Overdue",""),IF(AND($I191&lt;&gt;"",$I191&gt;=TODAY(),$I191&lt;=TODAY()+7),"Due This Week",""),IF(AND($H191&lt;&gt;"",$M191&lt;=VLOOKUP(Home!$C$7,Lists!$N$2:$O$6,2,FALSE)),$H191&amp;" Task",""),IF($G191=Home!$E$7,"Fits Current Energy",""),"No Blockers"))))</f>
        <v/>
      </c>
      <c r="P191" s="5">
        <f>IF($D191="","",SWITCH('Task Finder'!$C$6,"High Priority",AND($F191="High",$E191&lt;&gt;"Done",$E191&lt;&gt;"Archive"),"Due This Week",AND($I191&lt;&gt;"",$I191&gt;=TODAY(),$I191&lt;=TODAY()+7,$E191&lt;&gt;"Done"),"Quick Wins (15 mins or less)",AND($M191&lt;=15,$E191&lt;&gt;"Done",$E191&lt;&gt;"Blocked"),"Deep Thinking",AND($G191="Deep Thinking",$E191&lt;&gt;"Done"),"Processing",AND($G191="Processing",$E191&lt;&gt;"Done"),"Blocked",$E191="Blocked","Waiting",$E191="Waiting","Recently Updated",AND($L191&lt;&gt;"",$L191&gt;=TODAY()-7),"Keyword",AND('Task Finder'!$C$7&lt;&gt;"",OR(ISNUMBER(SEARCH('Task Finder'!$C$7,$A191)),ISNUMBER(SEARCH('Task Finder'!$C$7,$B191)),ISNUMBER(SEARCH('Task Finder'!$C$7,$C191)),ISNUMBER(SEARCH('Task Finder'!$C$7,$D191)),ISNUMBER(SEARCH('Task Finder'!$C$7,$K191)))),TRUE))</f>
        <v/>
      </c>
    </row>
    <row r="192">
      <c r="A192" s="19" t="n"/>
      <c r="B192" s="19" t="n"/>
      <c r="C192" s="19" t="n"/>
      <c r="D192" s="19" t="n"/>
      <c r="E192" s="19" t="n"/>
      <c r="F192" s="19" t="n"/>
      <c r="G192" s="19" t="n"/>
      <c r="H192" s="19" t="n"/>
      <c r="I192" s="19" t="n"/>
      <c r="J192" s="19" t="n"/>
      <c r="K192" s="19" t="n"/>
      <c r="L192" s="35" t="n"/>
      <c r="M192" s="5">
        <f>IF($D192="","",IFERROR(VLOOKUP($H192,Lists!$N$2:$O$6,2,FALSE),0))</f>
        <v/>
      </c>
      <c r="N192" s="5">
        <f>IF($D192="","",IF(OR($E192="Blocked",$E192="Done",$E192="Archive"),-9999,IF(AND($E192="Waiting",SUMPRODUCT((($E$5:$E$500="Next")+($E$5:$E$500="In Progress")+($E$5:$E$500="Captured"))*($D$5:$D$500&lt;&gt;""))&gt;0),-500,VLOOKUP($F192,Lists!$L$2:$M$4,2,FALSE)+IF($E192="In Progress",10,0)+IF(AND($I192&lt;&gt;"",$I192&lt;TODAY()),25,0)+IF(AND($I192&lt;&gt;"",$I192&gt;=TODAY(),$I192&lt;=TODAY()+7),15,0)+IF($H192="",0,IF($M192&lt;=VLOOKUP(Home!$C$7,Lists!$N$2:$O$6,2,FALSE),20,-10))+IF($G192=Home!$E$7,15,IF(Home!$E$7="",0,-5))-ROW()/100000)))</f>
        <v/>
      </c>
      <c r="O192" s="5">
        <f>IF($D192="","",IF($N192&lt;=-500,"Not recommended right now",IF($E192="Waiting","Nothing else actionable right now — Waiting on: "&amp;IF($K192="","this item",$K192),TEXTJOIN(" • ",TRUE,IF($F192="High","High Priority",""),IF(AND($I192&lt;&gt;"",$I192&lt;TODAY()),"Overdue",""),IF(AND($I192&lt;&gt;"",$I192&gt;=TODAY(),$I192&lt;=TODAY()+7),"Due This Week",""),IF(AND($H192&lt;&gt;"",$M192&lt;=VLOOKUP(Home!$C$7,Lists!$N$2:$O$6,2,FALSE)),$H192&amp;" Task",""),IF($G192=Home!$E$7,"Fits Current Energy",""),"No Blockers"))))</f>
        <v/>
      </c>
      <c r="P192" s="5">
        <f>IF($D192="","",SWITCH('Task Finder'!$C$6,"High Priority",AND($F192="High",$E192&lt;&gt;"Done",$E192&lt;&gt;"Archive"),"Due This Week",AND($I192&lt;&gt;"",$I192&gt;=TODAY(),$I192&lt;=TODAY()+7,$E192&lt;&gt;"Done"),"Quick Wins (15 mins or less)",AND($M192&lt;=15,$E192&lt;&gt;"Done",$E192&lt;&gt;"Blocked"),"Deep Thinking",AND($G192="Deep Thinking",$E192&lt;&gt;"Done"),"Processing",AND($G192="Processing",$E192&lt;&gt;"Done"),"Blocked",$E192="Blocked","Waiting",$E192="Waiting","Recently Updated",AND($L192&lt;&gt;"",$L192&gt;=TODAY()-7),"Keyword",AND('Task Finder'!$C$7&lt;&gt;"",OR(ISNUMBER(SEARCH('Task Finder'!$C$7,$A192)),ISNUMBER(SEARCH('Task Finder'!$C$7,$B192)),ISNUMBER(SEARCH('Task Finder'!$C$7,$C192)),ISNUMBER(SEARCH('Task Finder'!$C$7,$D192)),ISNUMBER(SEARCH('Task Finder'!$C$7,$K192)))),TRUE))</f>
        <v/>
      </c>
    </row>
    <row r="193">
      <c r="A193" s="19" t="n"/>
      <c r="B193" s="19" t="n"/>
      <c r="C193" s="19" t="n"/>
      <c r="D193" s="19" t="n"/>
      <c r="E193" s="19" t="n"/>
      <c r="F193" s="19" t="n"/>
      <c r="G193" s="19" t="n"/>
      <c r="H193" s="19" t="n"/>
      <c r="I193" s="19" t="n"/>
      <c r="J193" s="19" t="n"/>
      <c r="K193" s="19" t="n"/>
      <c r="L193" s="35" t="n"/>
      <c r="M193" s="5">
        <f>IF($D193="","",IFERROR(VLOOKUP($H193,Lists!$N$2:$O$6,2,FALSE),0))</f>
        <v/>
      </c>
      <c r="N193" s="5">
        <f>IF($D193="","",IF(OR($E193="Blocked",$E193="Done",$E193="Archive"),-9999,IF(AND($E193="Waiting",SUMPRODUCT((($E$5:$E$500="Next")+($E$5:$E$500="In Progress")+($E$5:$E$500="Captured"))*($D$5:$D$500&lt;&gt;""))&gt;0),-500,VLOOKUP($F193,Lists!$L$2:$M$4,2,FALSE)+IF($E193="In Progress",10,0)+IF(AND($I193&lt;&gt;"",$I193&lt;TODAY()),25,0)+IF(AND($I193&lt;&gt;"",$I193&gt;=TODAY(),$I193&lt;=TODAY()+7),15,0)+IF($H193="",0,IF($M193&lt;=VLOOKUP(Home!$C$7,Lists!$N$2:$O$6,2,FALSE),20,-10))+IF($G193=Home!$E$7,15,IF(Home!$E$7="",0,-5))-ROW()/100000)))</f>
        <v/>
      </c>
      <c r="O193" s="5">
        <f>IF($D193="","",IF($N193&lt;=-500,"Not recommended right now",IF($E193="Waiting","Nothing else actionable right now — Waiting on: "&amp;IF($K193="","this item",$K193),TEXTJOIN(" • ",TRUE,IF($F193="High","High Priority",""),IF(AND($I193&lt;&gt;"",$I193&lt;TODAY()),"Overdue",""),IF(AND($I193&lt;&gt;"",$I193&gt;=TODAY(),$I193&lt;=TODAY()+7),"Due This Week",""),IF(AND($H193&lt;&gt;"",$M193&lt;=VLOOKUP(Home!$C$7,Lists!$N$2:$O$6,2,FALSE)),$H193&amp;" Task",""),IF($G193=Home!$E$7,"Fits Current Energy",""),"No Blockers"))))</f>
        <v/>
      </c>
      <c r="P193" s="5">
        <f>IF($D193="","",SWITCH('Task Finder'!$C$6,"High Priority",AND($F193="High",$E193&lt;&gt;"Done",$E193&lt;&gt;"Archive"),"Due This Week",AND($I193&lt;&gt;"",$I193&gt;=TODAY(),$I193&lt;=TODAY()+7,$E193&lt;&gt;"Done"),"Quick Wins (15 mins or less)",AND($M193&lt;=15,$E193&lt;&gt;"Done",$E193&lt;&gt;"Blocked"),"Deep Thinking",AND($G193="Deep Thinking",$E193&lt;&gt;"Done"),"Processing",AND($G193="Processing",$E193&lt;&gt;"Done"),"Blocked",$E193="Blocked","Waiting",$E193="Waiting","Recently Updated",AND($L193&lt;&gt;"",$L193&gt;=TODAY()-7),"Keyword",AND('Task Finder'!$C$7&lt;&gt;"",OR(ISNUMBER(SEARCH('Task Finder'!$C$7,$A193)),ISNUMBER(SEARCH('Task Finder'!$C$7,$B193)),ISNUMBER(SEARCH('Task Finder'!$C$7,$C193)),ISNUMBER(SEARCH('Task Finder'!$C$7,$D193)),ISNUMBER(SEARCH('Task Finder'!$C$7,$K193)))),TRUE))</f>
        <v/>
      </c>
    </row>
    <row r="194">
      <c r="A194" s="19" t="n"/>
      <c r="B194" s="19" t="n"/>
      <c r="C194" s="19" t="n"/>
      <c r="D194" s="19" t="n"/>
      <c r="E194" s="19" t="n"/>
      <c r="F194" s="19" t="n"/>
      <c r="G194" s="19" t="n"/>
      <c r="H194" s="19" t="n"/>
      <c r="I194" s="19" t="n"/>
      <c r="J194" s="19" t="n"/>
      <c r="K194" s="19" t="n"/>
      <c r="L194" s="35" t="n"/>
      <c r="M194" s="5">
        <f>IF($D194="","",IFERROR(VLOOKUP($H194,Lists!$N$2:$O$6,2,FALSE),0))</f>
        <v/>
      </c>
      <c r="N194" s="5">
        <f>IF($D194="","",IF(OR($E194="Blocked",$E194="Done",$E194="Archive"),-9999,IF(AND($E194="Waiting",SUMPRODUCT((($E$5:$E$500="Next")+($E$5:$E$500="In Progress")+($E$5:$E$500="Captured"))*($D$5:$D$500&lt;&gt;""))&gt;0),-500,VLOOKUP($F194,Lists!$L$2:$M$4,2,FALSE)+IF($E194="In Progress",10,0)+IF(AND($I194&lt;&gt;"",$I194&lt;TODAY()),25,0)+IF(AND($I194&lt;&gt;"",$I194&gt;=TODAY(),$I194&lt;=TODAY()+7),15,0)+IF($H194="",0,IF($M194&lt;=VLOOKUP(Home!$C$7,Lists!$N$2:$O$6,2,FALSE),20,-10))+IF($G194=Home!$E$7,15,IF(Home!$E$7="",0,-5))-ROW()/100000)))</f>
        <v/>
      </c>
      <c r="O194" s="5">
        <f>IF($D194="","",IF($N194&lt;=-500,"Not recommended right now",IF($E194="Waiting","Nothing else actionable right now — Waiting on: "&amp;IF($K194="","this item",$K194),TEXTJOIN(" • ",TRUE,IF($F194="High","High Priority",""),IF(AND($I194&lt;&gt;"",$I194&lt;TODAY()),"Overdue",""),IF(AND($I194&lt;&gt;"",$I194&gt;=TODAY(),$I194&lt;=TODAY()+7),"Due This Week",""),IF(AND($H194&lt;&gt;"",$M194&lt;=VLOOKUP(Home!$C$7,Lists!$N$2:$O$6,2,FALSE)),$H194&amp;" Task",""),IF($G194=Home!$E$7,"Fits Current Energy",""),"No Blockers"))))</f>
        <v/>
      </c>
      <c r="P194" s="5">
        <f>IF($D194="","",SWITCH('Task Finder'!$C$6,"High Priority",AND($F194="High",$E194&lt;&gt;"Done",$E194&lt;&gt;"Archive"),"Due This Week",AND($I194&lt;&gt;"",$I194&gt;=TODAY(),$I194&lt;=TODAY()+7,$E194&lt;&gt;"Done"),"Quick Wins (15 mins or less)",AND($M194&lt;=15,$E194&lt;&gt;"Done",$E194&lt;&gt;"Blocked"),"Deep Thinking",AND($G194="Deep Thinking",$E194&lt;&gt;"Done"),"Processing",AND($G194="Processing",$E194&lt;&gt;"Done"),"Blocked",$E194="Blocked","Waiting",$E194="Waiting","Recently Updated",AND($L194&lt;&gt;"",$L194&gt;=TODAY()-7),"Keyword",AND('Task Finder'!$C$7&lt;&gt;"",OR(ISNUMBER(SEARCH('Task Finder'!$C$7,$A194)),ISNUMBER(SEARCH('Task Finder'!$C$7,$B194)),ISNUMBER(SEARCH('Task Finder'!$C$7,$C194)),ISNUMBER(SEARCH('Task Finder'!$C$7,$D194)),ISNUMBER(SEARCH('Task Finder'!$C$7,$K194)))),TRUE))</f>
        <v/>
      </c>
    </row>
    <row r="195">
      <c r="A195" s="19" t="n"/>
      <c r="B195" s="19" t="n"/>
      <c r="C195" s="19" t="n"/>
      <c r="D195" s="19" t="n"/>
      <c r="E195" s="19" t="n"/>
      <c r="F195" s="19" t="n"/>
      <c r="G195" s="19" t="n"/>
      <c r="H195" s="19" t="n"/>
      <c r="I195" s="19" t="n"/>
      <c r="J195" s="19" t="n"/>
      <c r="K195" s="19" t="n"/>
      <c r="L195" s="35" t="n"/>
      <c r="M195" s="5">
        <f>IF($D195="","",IFERROR(VLOOKUP($H195,Lists!$N$2:$O$6,2,FALSE),0))</f>
        <v/>
      </c>
      <c r="N195" s="5">
        <f>IF($D195="","",IF(OR($E195="Blocked",$E195="Done",$E195="Archive"),-9999,IF(AND($E195="Waiting",SUMPRODUCT((($E$5:$E$500="Next")+($E$5:$E$500="In Progress")+($E$5:$E$500="Captured"))*($D$5:$D$500&lt;&gt;""))&gt;0),-500,VLOOKUP($F195,Lists!$L$2:$M$4,2,FALSE)+IF($E195="In Progress",10,0)+IF(AND($I195&lt;&gt;"",$I195&lt;TODAY()),25,0)+IF(AND($I195&lt;&gt;"",$I195&gt;=TODAY(),$I195&lt;=TODAY()+7),15,0)+IF($H195="",0,IF($M195&lt;=VLOOKUP(Home!$C$7,Lists!$N$2:$O$6,2,FALSE),20,-10))+IF($G195=Home!$E$7,15,IF(Home!$E$7="",0,-5))-ROW()/100000)))</f>
        <v/>
      </c>
      <c r="O195" s="5">
        <f>IF($D195="","",IF($N195&lt;=-500,"Not recommended right now",IF($E195="Waiting","Nothing else actionable right now — Waiting on: "&amp;IF($K195="","this item",$K195),TEXTJOIN(" • ",TRUE,IF($F195="High","High Priority",""),IF(AND($I195&lt;&gt;"",$I195&lt;TODAY()),"Overdue",""),IF(AND($I195&lt;&gt;"",$I195&gt;=TODAY(),$I195&lt;=TODAY()+7),"Due This Week",""),IF(AND($H195&lt;&gt;"",$M195&lt;=VLOOKUP(Home!$C$7,Lists!$N$2:$O$6,2,FALSE)),$H195&amp;" Task",""),IF($G195=Home!$E$7,"Fits Current Energy",""),"No Blockers"))))</f>
        <v/>
      </c>
      <c r="P195" s="5">
        <f>IF($D195="","",SWITCH('Task Finder'!$C$6,"High Priority",AND($F195="High",$E195&lt;&gt;"Done",$E195&lt;&gt;"Archive"),"Due This Week",AND($I195&lt;&gt;"",$I195&gt;=TODAY(),$I195&lt;=TODAY()+7,$E195&lt;&gt;"Done"),"Quick Wins (15 mins or less)",AND($M195&lt;=15,$E195&lt;&gt;"Done",$E195&lt;&gt;"Blocked"),"Deep Thinking",AND($G195="Deep Thinking",$E195&lt;&gt;"Done"),"Processing",AND($G195="Processing",$E195&lt;&gt;"Done"),"Blocked",$E195="Blocked","Waiting",$E195="Waiting","Recently Updated",AND($L195&lt;&gt;"",$L195&gt;=TODAY()-7),"Keyword",AND('Task Finder'!$C$7&lt;&gt;"",OR(ISNUMBER(SEARCH('Task Finder'!$C$7,$A195)),ISNUMBER(SEARCH('Task Finder'!$C$7,$B195)),ISNUMBER(SEARCH('Task Finder'!$C$7,$C195)),ISNUMBER(SEARCH('Task Finder'!$C$7,$D195)),ISNUMBER(SEARCH('Task Finder'!$C$7,$K195)))),TRUE))</f>
        <v/>
      </c>
    </row>
    <row r="196">
      <c r="A196" s="19" t="n"/>
      <c r="B196" s="19" t="n"/>
      <c r="C196" s="19" t="n"/>
      <c r="D196" s="19" t="n"/>
      <c r="E196" s="19" t="n"/>
      <c r="F196" s="19" t="n"/>
      <c r="G196" s="19" t="n"/>
      <c r="H196" s="19" t="n"/>
      <c r="I196" s="19" t="n"/>
      <c r="J196" s="19" t="n"/>
      <c r="K196" s="19" t="n"/>
      <c r="L196" s="35" t="n"/>
      <c r="M196" s="5">
        <f>IF($D196="","",IFERROR(VLOOKUP($H196,Lists!$N$2:$O$6,2,FALSE),0))</f>
        <v/>
      </c>
      <c r="N196" s="5">
        <f>IF($D196="","",IF(OR($E196="Blocked",$E196="Done",$E196="Archive"),-9999,IF(AND($E196="Waiting",SUMPRODUCT((($E$5:$E$500="Next")+($E$5:$E$500="In Progress")+($E$5:$E$500="Captured"))*($D$5:$D$500&lt;&gt;""))&gt;0),-500,VLOOKUP($F196,Lists!$L$2:$M$4,2,FALSE)+IF($E196="In Progress",10,0)+IF(AND($I196&lt;&gt;"",$I196&lt;TODAY()),25,0)+IF(AND($I196&lt;&gt;"",$I196&gt;=TODAY(),$I196&lt;=TODAY()+7),15,0)+IF($H196="",0,IF($M196&lt;=VLOOKUP(Home!$C$7,Lists!$N$2:$O$6,2,FALSE),20,-10))+IF($G196=Home!$E$7,15,IF(Home!$E$7="",0,-5))-ROW()/100000)))</f>
        <v/>
      </c>
      <c r="O196" s="5">
        <f>IF($D196="","",IF($N196&lt;=-500,"Not recommended right now",IF($E196="Waiting","Nothing else actionable right now — Waiting on: "&amp;IF($K196="","this item",$K196),TEXTJOIN(" • ",TRUE,IF($F196="High","High Priority",""),IF(AND($I196&lt;&gt;"",$I196&lt;TODAY()),"Overdue",""),IF(AND($I196&lt;&gt;"",$I196&gt;=TODAY(),$I196&lt;=TODAY()+7),"Due This Week",""),IF(AND($H196&lt;&gt;"",$M196&lt;=VLOOKUP(Home!$C$7,Lists!$N$2:$O$6,2,FALSE)),$H196&amp;" Task",""),IF($G196=Home!$E$7,"Fits Current Energy",""),"No Blockers"))))</f>
        <v/>
      </c>
      <c r="P196" s="5">
        <f>IF($D196="","",SWITCH('Task Finder'!$C$6,"High Priority",AND($F196="High",$E196&lt;&gt;"Done",$E196&lt;&gt;"Archive"),"Due This Week",AND($I196&lt;&gt;"",$I196&gt;=TODAY(),$I196&lt;=TODAY()+7,$E196&lt;&gt;"Done"),"Quick Wins (15 mins or less)",AND($M196&lt;=15,$E196&lt;&gt;"Done",$E196&lt;&gt;"Blocked"),"Deep Thinking",AND($G196="Deep Thinking",$E196&lt;&gt;"Done"),"Processing",AND($G196="Processing",$E196&lt;&gt;"Done"),"Blocked",$E196="Blocked","Waiting",$E196="Waiting","Recently Updated",AND($L196&lt;&gt;"",$L196&gt;=TODAY()-7),"Keyword",AND('Task Finder'!$C$7&lt;&gt;"",OR(ISNUMBER(SEARCH('Task Finder'!$C$7,$A196)),ISNUMBER(SEARCH('Task Finder'!$C$7,$B196)),ISNUMBER(SEARCH('Task Finder'!$C$7,$C196)),ISNUMBER(SEARCH('Task Finder'!$C$7,$D196)),ISNUMBER(SEARCH('Task Finder'!$C$7,$K196)))),TRUE))</f>
        <v/>
      </c>
    </row>
    <row r="197">
      <c r="A197" s="19" t="n"/>
      <c r="B197" s="19" t="n"/>
      <c r="C197" s="19" t="n"/>
      <c r="D197" s="19" t="n"/>
      <c r="E197" s="19" t="n"/>
      <c r="F197" s="19" t="n"/>
      <c r="G197" s="19" t="n"/>
      <c r="H197" s="19" t="n"/>
      <c r="I197" s="19" t="n"/>
      <c r="J197" s="19" t="n"/>
      <c r="K197" s="19" t="n"/>
      <c r="L197" s="35" t="n"/>
      <c r="M197" s="5">
        <f>IF($D197="","",IFERROR(VLOOKUP($H197,Lists!$N$2:$O$6,2,FALSE),0))</f>
        <v/>
      </c>
      <c r="N197" s="5">
        <f>IF($D197="","",IF(OR($E197="Blocked",$E197="Done",$E197="Archive"),-9999,IF(AND($E197="Waiting",SUMPRODUCT((($E$5:$E$500="Next")+($E$5:$E$500="In Progress")+($E$5:$E$500="Captured"))*($D$5:$D$500&lt;&gt;""))&gt;0),-500,VLOOKUP($F197,Lists!$L$2:$M$4,2,FALSE)+IF($E197="In Progress",10,0)+IF(AND($I197&lt;&gt;"",$I197&lt;TODAY()),25,0)+IF(AND($I197&lt;&gt;"",$I197&gt;=TODAY(),$I197&lt;=TODAY()+7),15,0)+IF($H197="",0,IF($M197&lt;=VLOOKUP(Home!$C$7,Lists!$N$2:$O$6,2,FALSE),20,-10))+IF($G197=Home!$E$7,15,IF(Home!$E$7="",0,-5))-ROW()/100000)))</f>
        <v/>
      </c>
      <c r="O197" s="5">
        <f>IF($D197="","",IF($N197&lt;=-500,"Not recommended right now",IF($E197="Waiting","Nothing else actionable right now — Waiting on: "&amp;IF($K197="","this item",$K197),TEXTJOIN(" • ",TRUE,IF($F197="High","High Priority",""),IF(AND($I197&lt;&gt;"",$I197&lt;TODAY()),"Overdue",""),IF(AND($I197&lt;&gt;"",$I197&gt;=TODAY(),$I197&lt;=TODAY()+7),"Due This Week",""),IF(AND($H197&lt;&gt;"",$M197&lt;=VLOOKUP(Home!$C$7,Lists!$N$2:$O$6,2,FALSE)),$H197&amp;" Task",""),IF($G197=Home!$E$7,"Fits Current Energy",""),"No Blockers"))))</f>
        <v/>
      </c>
      <c r="P197" s="5">
        <f>IF($D197="","",SWITCH('Task Finder'!$C$6,"High Priority",AND($F197="High",$E197&lt;&gt;"Done",$E197&lt;&gt;"Archive"),"Due This Week",AND($I197&lt;&gt;"",$I197&gt;=TODAY(),$I197&lt;=TODAY()+7,$E197&lt;&gt;"Done"),"Quick Wins (15 mins or less)",AND($M197&lt;=15,$E197&lt;&gt;"Done",$E197&lt;&gt;"Blocked"),"Deep Thinking",AND($G197="Deep Thinking",$E197&lt;&gt;"Done"),"Processing",AND($G197="Processing",$E197&lt;&gt;"Done"),"Blocked",$E197="Blocked","Waiting",$E197="Waiting","Recently Updated",AND($L197&lt;&gt;"",$L197&gt;=TODAY()-7),"Keyword",AND('Task Finder'!$C$7&lt;&gt;"",OR(ISNUMBER(SEARCH('Task Finder'!$C$7,$A197)),ISNUMBER(SEARCH('Task Finder'!$C$7,$B197)),ISNUMBER(SEARCH('Task Finder'!$C$7,$C197)),ISNUMBER(SEARCH('Task Finder'!$C$7,$D197)),ISNUMBER(SEARCH('Task Finder'!$C$7,$K197)))),TRUE))</f>
        <v/>
      </c>
    </row>
    <row r="198">
      <c r="A198" s="19" t="n"/>
      <c r="B198" s="19" t="n"/>
      <c r="C198" s="19" t="n"/>
      <c r="D198" s="19" t="n"/>
      <c r="E198" s="19" t="n"/>
      <c r="F198" s="19" t="n"/>
      <c r="G198" s="19" t="n"/>
      <c r="H198" s="19" t="n"/>
      <c r="I198" s="19" t="n"/>
      <c r="J198" s="19" t="n"/>
      <c r="K198" s="19" t="n"/>
      <c r="L198" s="35" t="n"/>
      <c r="M198" s="5">
        <f>IF($D198="","",IFERROR(VLOOKUP($H198,Lists!$N$2:$O$6,2,FALSE),0))</f>
        <v/>
      </c>
      <c r="N198" s="5">
        <f>IF($D198="","",IF(OR($E198="Blocked",$E198="Done",$E198="Archive"),-9999,IF(AND($E198="Waiting",SUMPRODUCT((($E$5:$E$500="Next")+($E$5:$E$500="In Progress")+($E$5:$E$500="Captured"))*($D$5:$D$500&lt;&gt;""))&gt;0),-500,VLOOKUP($F198,Lists!$L$2:$M$4,2,FALSE)+IF($E198="In Progress",10,0)+IF(AND($I198&lt;&gt;"",$I198&lt;TODAY()),25,0)+IF(AND($I198&lt;&gt;"",$I198&gt;=TODAY(),$I198&lt;=TODAY()+7),15,0)+IF($H198="",0,IF($M198&lt;=VLOOKUP(Home!$C$7,Lists!$N$2:$O$6,2,FALSE),20,-10))+IF($G198=Home!$E$7,15,IF(Home!$E$7="",0,-5))-ROW()/100000)))</f>
        <v/>
      </c>
      <c r="O198" s="5">
        <f>IF($D198="","",IF($N198&lt;=-500,"Not recommended right now",IF($E198="Waiting","Nothing else actionable right now — Waiting on: "&amp;IF($K198="","this item",$K198),TEXTJOIN(" • ",TRUE,IF($F198="High","High Priority",""),IF(AND($I198&lt;&gt;"",$I198&lt;TODAY()),"Overdue",""),IF(AND($I198&lt;&gt;"",$I198&gt;=TODAY(),$I198&lt;=TODAY()+7),"Due This Week",""),IF(AND($H198&lt;&gt;"",$M198&lt;=VLOOKUP(Home!$C$7,Lists!$N$2:$O$6,2,FALSE)),$H198&amp;" Task",""),IF($G198=Home!$E$7,"Fits Current Energy",""),"No Blockers"))))</f>
        <v/>
      </c>
      <c r="P198" s="5">
        <f>IF($D198="","",SWITCH('Task Finder'!$C$6,"High Priority",AND($F198="High",$E198&lt;&gt;"Done",$E198&lt;&gt;"Archive"),"Due This Week",AND($I198&lt;&gt;"",$I198&gt;=TODAY(),$I198&lt;=TODAY()+7,$E198&lt;&gt;"Done"),"Quick Wins (15 mins or less)",AND($M198&lt;=15,$E198&lt;&gt;"Done",$E198&lt;&gt;"Blocked"),"Deep Thinking",AND($G198="Deep Thinking",$E198&lt;&gt;"Done"),"Processing",AND($G198="Processing",$E198&lt;&gt;"Done"),"Blocked",$E198="Blocked","Waiting",$E198="Waiting","Recently Updated",AND($L198&lt;&gt;"",$L198&gt;=TODAY()-7),"Keyword",AND('Task Finder'!$C$7&lt;&gt;"",OR(ISNUMBER(SEARCH('Task Finder'!$C$7,$A198)),ISNUMBER(SEARCH('Task Finder'!$C$7,$B198)),ISNUMBER(SEARCH('Task Finder'!$C$7,$C198)),ISNUMBER(SEARCH('Task Finder'!$C$7,$D198)),ISNUMBER(SEARCH('Task Finder'!$C$7,$K198)))),TRUE))</f>
        <v/>
      </c>
    </row>
    <row r="199">
      <c r="A199" s="19" t="n"/>
      <c r="B199" s="19" t="n"/>
      <c r="C199" s="19" t="n"/>
      <c r="D199" s="19" t="n"/>
      <c r="E199" s="19" t="n"/>
      <c r="F199" s="19" t="n"/>
      <c r="G199" s="19" t="n"/>
      <c r="H199" s="19" t="n"/>
      <c r="I199" s="19" t="n"/>
      <c r="J199" s="19" t="n"/>
      <c r="K199" s="19" t="n"/>
      <c r="L199" s="35" t="n"/>
      <c r="M199" s="5">
        <f>IF($D199="","",IFERROR(VLOOKUP($H199,Lists!$N$2:$O$6,2,FALSE),0))</f>
        <v/>
      </c>
      <c r="N199" s="5">
        <f>IF($D199="","",IF(OR($E199="Blocked",$E199="Done",$E199="Archive"),-9999,IF(AND($E199="Waiting",SUMPRODUCT((($E$5:$E$500="Next")+($E$5:$E$500="In Progress")+($E$5:$E$500="Captured"))*($D$5:$D$500&lt;&gt;""))&gt;0),-500,VLOOKUP($F199,Lists!$L$2:$M$4,2,FALSE)+IF($E199="In Progress",10,0)+IF(AND($I199&lt;&gt;"",$I199&lt;TODAY()),25,0)+IF(AND($I199&lt;&gt;"",$I199&gt;=TODAY(),$I199&lt;=TODAY()+7),15,0)+IF($H199="",0,IF($M199&lt;=VLOOKUP(Home!$C$7,Lists!$N$2:$O$6,2,FALSE),20,-10))+IF($G199=Home!$E$7,15,IF(Home!$E$7="",0,-5))-ROW()/100000)))</f>
        <v/>
      </c>
      <c r="O199" s="5">
        <f>IF($D199="","",IF($N199&lt;=-500,"Not recommended right now",IF($E199="Waiting","Nothing else actionable right now — Waiting on: "&amp;IF($K199="","this item",$K199),TEXTJOIN(" • ",TRUE,IF($F199="High","High Priority",""),IF(AND($I199&lt;&gt;"",$I199&lt;TODAY()),"Overdue",""),IF(AND($I199&lt;&gt;"",$I199&gt;=TODAY(),$I199&lt;=TODAY()+7),"Due This Week",""),IF(AND($H199&lt;&gt;"",$M199&lt;=VLOOKUP(Home!$C$7,Lists!$N$2:$O$6,2,FALSE)),$H199&amp;" Task",""),IF($G199=Home!$E$7,"Fits Current Energy",""),"No Blockers"))))</f>
        <v/>
      </c>
      <c r="P199" s="5">
        <f>IF($D199="","",SWITCH('Task Finder'!$C$6,"High Priority",AND($F199="High",$E199&lt;&gt;"Done",$E199&lt;&gt;"Archive"),"Due This Week",AND($I199&lt;&gt;"",$I199&gt;=TODAY(),$I199&lt;=TODAY()+7,$E199&lt;&gt;"Done"),"Quick Wins (15 mins or less)",AND($M199&lt;=15,$E199&lt;&gt;"Done",$E199&lt;&gt;"Blocked"),"Deep Thinking",AND($G199="Deep Thinking",$E199&lt;&gt;"Done"),"Processing",AND($G199="Processing",$E199&lt;&gt;"Done"),"Blocked",$E199="Blocked","Waiting",$E199="Waiting","Recently Updated",AND($L199&lt;&gt;"",$L199&gt;=TODAY()-7),"Keyword",AND('Task Finder'!$C$7&lt;&gt;"",OR(ISNUMBER(SEARCH('Task Finder'!$C$7,$A199)),ISNUMBER(SEARCH('Task Finder'!$C$7,$B199)),ISNUMBER(SEARCH('Task Finder'!$C$7,$C199)),ISNUMBER(SEARCH('Task Finder'!$C$7,$D199)),ISNUMBER(SEARCH('Task Finder'!$C$7,$K199)))),TRUE))</f>
        <v/>
      </c>
    </row>
    <row r="200">
      <c r="A200" s="19" t="n"/>
      <c r="B200" s="19" t="n"/>
      <c r="C200" s="19" t="n"/>
      <c r="D200" s="19" t="n"/>
      <c r="E200" s="19" t="n"/>
      <c r="F200" s="19" t="n"/>
      <c r="G200" s="19" t="n"/>
      <c r="H200" s="19" t="n"/>
      <c r="I200" s="19" t="n"/>
      <c r="J200" s="19" t="n"/>
      <c r="K200" s="19" t="n"/>
      <c r="L200" s="35" t="n"/>
      <c r="M200" s="5">
        <f>IF($D200="","",IFERROR(VLOOKUP($H200,Lists!$N$2:$O$6,2,FALSE),0))</f>
        <v/>
      </c>
      <c r="N200" s="5">
        <f>IF($D200="","",IF(OR($E200="Blocked",$E200="Done",$E200="Archive"),-9999,IF(AND($E200="Waiting",SUMPRODUCT((($E$5:$E$500="Next")+($E$5:$E$500="In Progress")+($E$5:$E$500="Captured"))*($D$5:$D$500&lt;&gt;""))&gt;0),-500,VLOOKUP($F200,Lists!$L$2:$M$4,2,FALSE)+IF($E200="In Progress",10,0)+IF(AND($I200&lt;&gt;"",$I200&lt;TODAY()),25,0)+IF(AND($I200&lt;&gt;"",$I200&gt;=TODAY(),$I200&lt;=TODAY()+7),15,0)+IF($H200="",0,IF($M200&lt;=VLOOKUP(Home!$C$7,Lists!$N$2:$O$6,2,FALSE),20,-10))+IF($G200=Home!$E$7,15,IF(Home!$E$7="",0,-5))-ROW()/100000)))</f>
        <v/>
      </c>
      <c r="O200" s="5">
        <f>IF($D200="","",IF($N200&lt;=-500,"Not recommended right now",IF($E200="Waiting","Nothing else actionable right now — Waiting on: "&amp;IF($K200="","this item",$K200),TEXTJOIN(" • ",TRUE,IF($F200="High","High Priority",""),IF(AND($I200&lt;&gt;"",$I200&lt;TODAY()),"Overdue",""),IF(AND($I200&lt;&gt;"",$I200&gt;=TODAY(),$I200&lt;=TODAY()+7),"Due This Week",""),IF(AND($H200&lt;&gt;"",$M200&lt;=VLOOKUP(Home!$C$7,Lists!$N$2:$O$6,2,FALSE)),$H200&amp;" Task",""),IF($G200=Home!$E$7,"Fits Current Energy",""),"No Blockers"))))</f>
        <v/>
      </c>
      <c r="P200" s="5">
        <f>IF($D200="","",SWITCH('Task Finder'!$C$6,"High Priority",AND($F200="High",$E200&lt;&gt;"Done",$E200&lt;&gt;"Archive"),"Due This Week",AND($I200&lt;&gt;"",$I200&gt;=TODAY(),$I200&lt;=TODAY()+7,$E200&lt;&gt;"Done"),"Quick Wins (15 mins or less)",AND($M200&lt;=15,$E200&lt;&gt;"Done",$E200&lt;&gt;"Blocked"),"Deep Thinking",AND($G200="Deep Thinking",$E200&lt;&gt;"Done"),"Processing",AND($G200="Processing",$E200&lt;&gt;"Done"),"Blocked",$E200="Blocked","Waiting",$E200="Waiting","Recently Updated",AND($L200&lt;&gt;"",$L200&gt;=TODAY()-7),"Keyword",AND('Task Finder'!$C$7&lt;&gt;"",OR(ISNUMBER(SEARCH('Task Finder'!$C$7,$A200)),ISNUMBER(SEARCH('Task Finder'!$C$7,$B200)),ISNUMBER(SEARCH('Task Finder'!$C$7,$C200)),ISNUMBER(SEARCH('Task Finder'!$C$7,$D200)),ISNUMBER(SEARCH('Task Finder'!$C$7,$K200)))),TRUE))</f>
        <v/>
      </c>
    </row>
    <row r="201">
      <c r="A201" s="19" t="n"/>
      <c r="B201" s="19" t="n"/>
      <c r="C201" s="19" t="n"/>
      <c r="D201" s="19" t="n"/>
      <c r="E201" s="19" t="n"/>
      <c r="F201" s="19" t="n"/>
      <c r="G201" s="19" t="n"/>
      <c r="H201" s="19" t="n"/>
      <c r="I201" s="19" t="n"/>
      <c r="J201" s="19" t="n"/>
      <c r="K201" s="19" t="n"/>
      <c r="L201" s="125" t="n"/>
      <c r="M201" s="88">
        <f>IF($D201="","",IFERROR(VLOOKUP($H201,Lists!$N$2:$O$6,2,FALSE),0))</f>
        <v/>
      </c>
      <c r="N201" s="88">
        <f>IF($D201="","",IF(OR($E201="Blocked",$E201="Done",$E201="Archive"),-9999,IF(AND($E201="Waiting",SUMPRODUCT((($E$5:$E$500="Next")+($E$5:$E$500="In Progress")+($E$5:$E$500="Captured"))*($D$5:$D$500&lt;&gt;""))&gt;0),-500,VLOOKUP($F201,Lists!$L$2:$M$4,2,FALSE)+IF($E201="In Progress",10,0)+IF(AND($I201&lt;&gt;"",$I201&lt;TODAY()),25,0)+IF(AND($I201&lt;&gt;"",$I201&gt;=TODAY(),$I201&lt;=TODAY()+7),15,0)+IF($H201="",0,IF($M201&lt;=VLOOKUP(Home!$C$7,Lists!$N$2:$O$6,2,FALSE),20,-10))+IF($G201=Home!$E$7,15,IF(Home!$E$7="",0,-5))-ROW()/100000)))</f>
        <v/>
      </c>
      <c r="O201" s="88">
        <f>IF($D201="","",IF($N201&lt;=-500,"Not recommended right now",IF($E201="Waiting","Nothing else actionable right now — Waiting on: "&amp;IF($K201="","this item",$K201),TEXTJOIN(" • ",TRUE,IF($F201="High","High Priority",""),IF(AND($I201&lt;&gt;"",$I201&lt;TODAY()),"Overdue",""),IF(AND($I201&lt;&gt;"",$I201&gt;=TODAY(),$I201&lt;=TODAY()+7),"Due This Week",""),IF(AND($H201&lt;&gt;"",$M201&lt;=VLOOKUP(Home!$C$7,Lists!$N$2:$O$6,2,FALSE)),$H201&amp;" Task",""),IF($G201=Home!$E$7,"Fits Current Energy",""),"No Blockers"))))</f>
        <v/>
      </c>
      <c r="P201" s="88">
        <f>IF($D201="","",SWITCH('Task Finder'!$C$6,"High Priority",AND($F201="High",$E201&lt;&gt;"Done",$E201&lt;&gt;"Archive"),"Due This Week",AND($I201&lt;&gt;"",$I201&gt;=TODAY(),$I201&lt;=TODAY()+7,$E201&lt;&gt;"Done"),"Quick Wins (15 mins or less)",AND($M201&lt;=15,$E201&lt;&gt;"Done",$E201&lt;&gt;"Blocked"),"Deep Thinking",AND($G201="Deep Thinking",$E201&lt;&gt;"Done"),"Processing",AND($G201="Processing",$E201&lt;&gt;"Done"),"Blocked",$E201="Blocked","Waiting",$E201="Waiting","Recently Updated",AND($L201&lt;&gt;"",$L201&gt;=TODAY()-7),"Keyword",AND('Task Finder'!$C$7&lt;&gt;"",OR(ISNUMBER(SEARCH('Task Finder'!$C$7,$A201)),ISNUMBER(SEARCH('Task Finder'!$C$7,$B201)),ISNUMBER(SEARCH('Task Finder'!$C$7,$C201)),ISNUMBER(SEARCH('Task Finder'!$C$7,$D201)),ISNUMBER(SEARCH('Task Finder'!$C$7,$K201)))),TRUE))</f>
        <v/>
      </c>
    </row>
    <row r="202">
      <c r="A202" s="19" t="n"/>
      <c r="B202" s="19" t="n"/>
      <c r="C202" s="19" t="n"/>
      <c r="D202" s="19" t="n"/>
      <c r="E202" s="19" t="n"/>
      <c r="F202" s="19" t="n"/>
      <c r="G202" s="19" t="n"/>
      <c r="H202" s="19" t="n"/>
      <c r="I202" s="19" t="n"/>
      <c r="J202" s="19" t="n"/>
      <c r="K202" s="19" t="n"/>
      <c r="L202" s="125" t="n"/>
      <c r="M202" s="88">
        <f>IF($D202="","",IFERROR(VLOOKUP($H202,Lists!$N$2:$O$6,2,FALSE),0))</f>
        <v/>
      </c>
      <c r="N202" s="88">
        <f>IF($D202="","",IF(OR($E202="Blocked",$E202="Done",$E202="Archive"),-9999,IF(AND($E202="Waiting",SUMPRODUCT((($E$5:$E$500="Next")+($E$5:$E$500="In Progress")+($E$5:$E$500="Captured"))*($D$5:$D$500&lt;&gt;""))&gt;0),-500,VLOOKUP($F202,Lists!$L$2:$M$4,2,FALSE)+IF($E202="In Progress",10,0)+IF(AND($I202&lt;&gt;"",$I202&lt;TODAY()),25,0)+IF(AND($I202&lt;&gt;"",$I202&gt;=TODAY(),$I202&lt;=TODAY()+7),15,0)+IF($H202="",0,IF($M202&lt;=VLOOKUP(Home!$C$7,Lists!$N$2:$O$6,2,FALSE),20,-10))+IF($G202=Home!$E$7,15,IF(Home!$E$7="",0,-5))-ROW()/100000)))</f>
        <v/>
      </c>
      <c r="O202" s="88">
        <f>IF($D202="","",IF($N202&lt;=-500,"Not recommended right now",IF($E202="Waiting","Nothing else actionable right now — Waiting on: "&amp;IF($K202="","this item",$K202),TEXTJOIN(" • ",TRUE,IF($F202="High","High Priority",""),IF(AND($I202&lt;&gt;"",$I202&lt;TODAY()),"Overdue",""),IF(AND($I202&lt;&gt;"",$I202&gt;=TODAY(),$I202&lt;=TODAY()+7),"Due This Week",""),IF(AND($H202&lt;&gt;"",$M202&lt;=VLOOKUP(Home!$C$7,Lists!$N$2:$O$6,2,FALSE)),$H202&amp;" Task",""),IF($G202=Home!$E$7,"Fits Current Energy",""),"No Blockers"))))</f>
        <v/>
      </c>
      <c r="P202" s="88">
        <f>IF($D202="","",SWITCH('Task Finder'!$C$6,"High Priority",AND($F202="High",$E202&lt;&gt;"Done",$E202&lt;&gt;"Archive"),"Due This Week",AND($I202&lt;&gt;"",$I202&gt;=TODAY(),$I202&lt;=TODAY()+7,$E202&lt;&gt;"Done"),"Quick Wins (15 mins or less)",AND($M202&lt;=15,$E202&lt;&gt;"Done",$E202&lt;&gt;"Blocked"),"Deep Thinking",AND($G202="Deep Thinking",$E202&lt;&gt;"Done"),"Processing",AND($G202="Processing",$E202&lt;&gt;"Done"),"Blocked",$E202="Blocked","Waiting",$E202="Waiting","Recently Updated",AND($L202&lt;&gt;"",$L202&gt;=TODAY()-7),"Keyword",AND('Task Finder'!$C$7&lt;&gt;"",OR(ISNUMBER(SEARCH('Task Finder'!$C$7,$A202)),ISNUMBER(SEARCH('Task Finder'!$C$7,$B202)),ISNUMBER(SEARCH('Task Finder'!$C$7,$C202)),ISNUMBER(SEARCH('Task Finder'!$C$7,$D202)),ISNUMBER(SEARCH('Task Finder'!$C$7,$K202)))),TRUE))</f>
        <v/>
      </c>
    </row>
    <row r="203">
      <c r="A203" s="19" t="n"/>
      <c r="B203" s="19" t="n"/>
      <c r="C203" s="19" t="n"/>
      <c r="D203" s="19" t="n"/>
      <c r="E203" s="19" t="n"/>
      <c r="F203" s="19" t="n"/>
      <c r="G203" s="19" t="n"/>
      <c r="H203" s="19" t="n"/>
      <c r="I203" s="19" t="n"/>
      <c r="J203" s="19" t="n"/>
      <c r="K203" s="19" t="n"/>
      <c r="L203" s="125" t="n"/>
      <c r="M203" s="88">
        <f>IF($D203="","",IFERROR(VLOOKUP($H203,Lists!$N$2:$O$6,2,FALSE),0))</f>
        <v/>
      </c>
      <c r="N203" s="88">
        <f>IF($D203="","",IF(OR($E203="Blocked",$E203="Done",$E203="Archive"),-9999,IF(AND($E203="Waiting",SUMPRODUCT((($E$5:$E$500="Next")+($E$5:$E$500="In Progress")+($E$5:$E$500="Captured"))*($D$5:$D$500&lt;&gt;""))&gt;0),-500,VLOOKUP($F203,Lists!$L$2:$M$4,2,FALSE)+IF($E203="In Progress",10,0)+IF(AND($I203&lt;&gt;"",$I203&lt;TODAY()),25,0)+IF(AND($I203&lt;&gt;"",$I203&gt;=TODAY(),$I203&lt;=TODAY()+7),15,0)+IF($H203="",0,IF($M203&lt;=VLOOKUP(Home!$C$7,Lists!$N$2:$O$6,2,FALSE),20,-10))+IF($G203=Home!$E$7,15,IF(Home!$E$7="",0,-5))-ROW()/100000)))</f>
        <v/>
      </c>
      <c r="O203" s="88">
        <f>IF($D203="","",IF($N203&lt;=-500,"Not recommended right now",IF($E203="Waiting","Nothing else actionable right now — Waiting on: "&amp;IF($K203="","this item",$K203),TEXTJOIN(" • ",TRUE,IF($F203="High","High Priority",""),IF(AND($I203&lt;&gt;"",$I203&lt;TODAY()),"Overdue",""),IF(AND($I203&lt;&gt;"",$I203&gt;=TODAY(),$I203&lt;=TODAY()+7),"Due This Week",""),IF(AND($H203&lt;&gt;"",$M203&lt;=VLOOKUP(Home!$C$7,Lists!$N$2:$O$6,2,FALSE)),$H203&amp;" Task",""),IF($G203=Home!$E$7,"Fits Current Energy",""),"No Blockers"))))</f>
        <v/>
      </c>
      <c r="P203" s="88">
        <f>IF($D203="","",SWITCH('Task Finder'!$C$6,"High Priority",AND($F203="High",$E203&lt;&gt;"Done",$E203&lt;&gt;"Archive"),"Due This Week",AND($I203&lt;&gt;"",$I203&gt;=TODAY(),$I203&lt;=TODAY()+7,$E203&lt;&gt;"Done"),"Quick Wins (15 mins or less)",AND($M203&lt;=15,$E203&lt;&gt;"Done",$E203&lt;&gt;"Blocked"),"Deep Thinking",AND($G203="Deep Thinking",$E203&lt;&gt;"Done"),"Processing",AND($G203="Processing",$E203&lt;&gt;"Done"),"Blocked",$E203="Blocked","Waiting",$E203="Waiting","Recently Updated",AND($L203&lt;&gt;"",$L203&gt;=TODAY()-7),"Keyword",AND('Task Finder'!$C$7&lt;&gt;"",OR(ISNUMBER(SEARCH('Task Finder'!$C$7,$A203)),ISNUMBER(SEARCH('Task Finder'!$C$7,$B203)),ISNUMBER(SEARCH('Task Finder'!$C$7,$C203)),ISNUMBER(SEARCH('Task Finder'!$C$7,$D203)),ISNUMBER(SEARCH('Task Finder'!$C$7,$K203)))),TRUE))</f>
        <v/>
      </c>
    </row>
    <row r="204">
      <c r="A204" s="19" t="n"/>
      <c r="B204" s="19" t="n"/>
      <c r="C204" s="19" t="n"/>
      <c r="D204" s="19" t="n"/>
      <c r="E204" s="19" t="n"/>
      <c r="F204" s="19" t="n"/>
      <c r="G204" s="19" t="n"/>
      <c r="H204" s="19" t="n"/>
      <c r="I204" s="19" t="n"/>
      <c r="J204" s="19" t="n"/>
      <c r="K204" s="19" t="n"/>
      <c r="L204" s="125" t="n"/>
      <c r="M204" s="88">
        <f>IF($D204="","",IFERROR(VLOOKUP($H204,Lists!$N$2:$O$6,2,FALSE),0))</f>
        <v/>
      </c>
      <c r="N204" s="88">
        <f>IF($D204="","",IF(OR($E204="Blocked",$E204="Done",$E204="Archive"),-9999,IF(AND($E204="Waiting",SUMPRODUCT((($E$5:$E$500="Next")+($E$5:$E$500="In Progress")+($E$5:$E$500="Captured"))*($D$5:$D$500&lt;&gt;""))&gt;0),-500,VLOOKUP($F204,Lists!$L$2:$M$4,2,FALSE)+IF($E204="In Progress",10,0)+IF(AND($I204&lt;&gt;"",$I204&lt;TODAY()),25,0)+IF(AND($I204&lt;&gt;"",$I204&gt;=TODAY(),$I204&lt;=TODAY()+7),15,0)+IF($H204="",0,IF($M204&lt;=VLOOKUP(Home!$C$7,Lists!$N$2:$O$6,2,FALSE),20,-10))+IF($G204=Home!$E$7,15,IF(Home!$E$7="",0,-5))-ROW()/100000)))</f>
        <v/>
      </c>
      <c r="O204" s="88">
        <f>IF($D204="","",IF($N204&lt;=-500,"Not recommended right now",IF($E204="Waiting","Nothing else actionable right now — Waiting on: "&amp;IF($K204="","this item",$K204),TEXTJOIN(" • ",TRUE,IF($F204="High","High Priority",""),IF(AND($I204&lt;&gt;"",$I204&lt;TODAY()),"Overdue",""),IF(AND($I204&lt;&gt;"",$I204&gt;=TODAY(),$I204&lt;=TODAY()+7),"Due This Week",""),IF(AND($H204&lt;&gt;"",$M204&lt;=VLOOKUP(Home!$C$7,Lists!$N$2:$O$6,2,FALSE)),$H204&amp;" Task",""),IF($G204=Home!$E$7,"Fits Current Energy",""),"No Blockers"))))</f>
        <v/>
      </c>
      <c r="P204" s="88">
        <f>IF($D204="","",SWITCH('Task Finder'!$C$6,"High Priority",AND($F204="High",$E204&lt;&gt;"Done",$E204&lt;&gt;"Archive"),"Due This Week",AND($I204&lt;&gt;"",$I204&gt;=TODAY(),$I204&lt;=TODAY()+7,$E204&lt;&gt;"Done"),"Quick Wins (15 mins or less)",AND($M204&lt;=15,$E204&lt;&gt;"Done",$E204&lt;&gt;"Blocked"),"Deep Thinking",AND($G204="Deep Thinking",$E204&lt;&gt;"Done"),"Processing",AND($G204="Processing",$E204&lt;&gt;"Done"),"Blocked",$E204="Blocked","Waiting",$E204="Waiting","Recently Updated",AND($L204&lt;&gt;"",$L204&gt;=TODAY()-7),"Keyword",AND('Task Finder'!$C$7&lt;&gt;"",OR(ISNUMBER(SEARCH('Task Finder'!$C$7,$A204)),ISNUMBER(SEARCH('Task Finder'!$C$7,$B204)),ISNUMBER(SEARCH('Task Finder'!$C$7,$C204)),ISNUMBER(SEARCH('Task Finder'!$C$7,$D204)),ISNUMBER(SEARCH('Task Finder'!$C$7,$K204)))),TRUE))</f>
        <v/>
      </c>
    </row>
    <row r="205">
      <c r="A205" s="19" t="n"/>
      <c r="B205" s="19" t="n"/>
      <c r="C205" s="19" t="n"/>
      <c r="D205" s="19" t="n"/>
      <c r="E205" s="19" t="n"/>
      <c r="F205" s="19" t="n"/>
      <c r="G205" s="19" t="n"/>
      <c r="H205" s="19" t="n"/>
      <c r="I205" s="19" t="n"/>
      <c r="J205" s="19" t="n"/>
      <c r="K205" s="19" t="n"/>
      <c r="L205" s="125" t="n"/>
      <c r="M205" s="88">
        <f>IF($D205="","",IFERROR(VLOOKUP($H205,Lists!$N$2:$O$6,2,FALSE),0))</f>
        <v/>
      </c>
      <c r="N205" s="88">
        <f>IF($D205="","",IF(OR($E205="Blocked",$E205="Done",$E205="Archive"),-9999,IF(AND($E205="Waiting",SUMPRODUCT((($E$5:$E$500="Next")+($E$5:$E$500="In Progress")+($E$5:$E$500="Captured"))*($D$5:$D$500&lt;&gt;""))&gt;0),-500,VLOOKUP($F205,Lists!$L$2:$M$4,2,FALSE)+IF($E205="In Progress",10,0)+IF(AND($I205&lt;&gt;"",$I205&lt;TODAY()),25,0)+IF(AND($I205&lt;&gt;"",$I205&gt;=TODAY(),$I205&lt;=TODAY()+7),15,0)+IF($H205="",0,IF($M205&lt;=VLOOKUP(Home!$C$7,Lists!$N$2:$O$6,2,FALSE),20,-10))+IF($G205=Home!$E$7,15,IF(Home!$E$7="",0,-5))-ROW()/100000)))</f>
        <v/>
      </c>
      <c r="O205" s="88">
        <f>IF($D205="","",IF($N205&lt;=-500,"Not recommended right now",IF($E205="Waiting","Nothing else actionable right now — Waiting on: "&amp;IF($K205="","this item",$K205),TEXTJOIN(" • ",TRUE,IF($F205="High","High Priority",""),IF(AND($I205&lt;&gt;"",$I205&lt;TODAY()),"Overdue",""),IF(AND($I205&lt;&gt;"",$I205&gt;=TODAY(),$I205&lt;=TODAY()+7),"Due This Week",""),IF(AND($H205&lt;&gt;"",$M205&lt;=VLOOKUP(Home!$C$7,Lists!$N$2:$O$6,2,FALSE)),$H205&amp;" Task",""),IF($G205=Home!$E$7,"Fits Current Energy",""),"No Blockers"))))</f>
        <v/>
      </c>
      <c r="P205" s="88">
        <f>IF($D205="","",SWITCH('Task Finder'!$C$6,"High Priority",AND($F205="High",$E205&lt;&gt;"Done",$E205&lt;&gt;"Archive"),"Due This Week",AND($I205&lt;&gt;"",$I205&gt;=TODAY(),$I205&lt;=TODAY()+7,$E205&lt;&gt;"Done"),"Quick Wins (15 mins or less)",AND($M205&lt;=15,$E205&lt;&gt;"Done",$E205&lt;&gt;"Blocked"),"Deep Thinking",AND($G205="Deep Thinking",$E205&lt;&gt;"Done"),"Processing",AND($G205="Processing",$E205&lt;&gt;"Done"),"Blocked",$E205="Blocked","Waiting",$E205="Waiting","Recently Updated",AND($L205&lt;&gt;"",$L205&gt;=TODAY()-7),"Keyword",AND('Task Finder'!$C$7&lt;&gt;"",OR(ISNUMBER(SEARCH('Task Finder'!$C$7,$A205)),ISNUMBER(SEARCH('Task Finder'!$C$7,$B205)),ISNUMBER(SEARCH('Task Finder'!$C$7,$C205)),ISNUMBER(SEARCH('Task Finder'!$C$7,$D205)),ISNUMBER(SEARCH('Task Finder'!$C$7,$K205)))),TRUE))</f>
        <v/>
      </c>
    </row>
    <row r="206">
      <c r="A206" s="19" t="n"/>
      <c r="B206" s="19" t="n"/>
      <c r="C206" s="19" t="n"/>
      <c r="D206" s="19" t="n"/>
      <c r="E206" s="19" t="n"/>
      <c r="F206" s="19" t="n"/>
      <c r="G206" s="19" t="n"/>
      <c r="H206" s="19" t="n"/>
      <c r="I206" s="19" t="n"/>
      <c r="J206" s="19" t="n"/>
      <c r="K206" s="19" t="n"/>
      <c r="L206" s="125" t="n"/>
      <c r="M206" s="88">
        <f>IF($D206="","",IFERROR(VLOOKUP($H206,Lists!$N$2:$O$6,2,FALSE),0))</f>
        <v/>
      </c>
      <c r="N206" s="88">
        <f>IF($D206="","",IF(OR($E206="Blocked",$E206="Done",$E206="Archive"),-9999,IF(AND($E206="Waiting",SUMPRODUCT((($E$5:$E$500="Next")+($E$5:$E$500="In Progress")+($E$5:$E$500="Captured"))*($D$5:$D$500&lt;&gt;""))&gt;0),-500,VLOOKUP($F206,Lists!$L$2:$M$4,2,FALSE)+IF($E206="In Progress",10,0)+IF(AND($I206&lt;&gt;"",$I206&lt;TODAY()),25,0)+IF(AND($I206&lt;&gt;"",$I206&gt;=TODAY(),$I206&lt;=TODAY()+7),15,0)+IF($H206="",0,IF($M206&lt;=VLOOKUP(Home!$C$7,Lists!$N$2:$O$6,2,FALSE),20,-10))+IF($G206=Home!$E$7,15,IF(Home!$E$7="",0,-5))-ROW()/100000)))</f>
        <v/>
      </c>
      <c r="O206" s="88">
        <f>IF($D206="","",IF($N206&lt;=-500,"Not recommended right now",IF($E206="Waiting","Nothing else actionable right now — Waiting on: "&amp;IF($K206="","this item",$K206),TEXTJOIN(" • ",TRUE,IF($F206="High","High Priority",""),IF(AND($I206&lt;&gt;"",$I206&lt;TODAY()),"Overdue",""),IF(AND($I206&lt;&gt;"",$I206&gt;=TODAY(),$I206&lt;=TODAY()+7),"Due This Week",""),IF(AND($H206&lt;&gt;"",$M206&lt;=VLOOKUP(Home!$C$7,Lists!$N$2:$O$6,2,FALSE)),$H206&amp;" Task",""),IF($G206=Home!$E$7,"Fits Current Energy",""),"No Blockers"))))</f>
        <v/>
      </c>
      <c r="P206" s="88">
        <f>IF($D206="","",SWITCH('Task Finder'!$C$6,"High Priority",AND($F206="High",$E206&lt;&gt;"Done",$E206&lt;&gt;"Archive"),"Due This Week",AND($I206&lt;&gt;"",$I206&gt;=TODAY(),$I206&lt;=TODAY()+7,$E206&lt;&gt;"Done"),"Quick Wins (15 mins or less)",AND($M206&lt;=15,$E206&lt;&gt;"Done",$E206&lt;&gt;"Blocked"),"Deep Thinking",AND($G206="Deep Thinking",$E206&lt;&gt;"Done"),"Processing",AND($G206="Processing",$E206&lt;&gt;"Done"),"Blocked",$E206="Blocked","Waiting",$E206="Waiting","Recently Updated",AND($L206&lt;&gt;"",$L206&gt;=TODAY()-7),"Keyword",AND('Task Finder'!$C$7&lt;&gt;"",OR(ISNUMBER(SEARCH('Task Finder'!$C$7,$A206)),ISNUMBER(SEARCH('Task Finder'!$C$7,$B206)),ISNUMBER(SEARCH('Task Finder'!$C$7,$C206)),ISNUMBER(SEARCH('Task Finder'!$C$7,$D206)),ISNUMBER(SEARCH('Task Finder'!$C$7,$K206)))),TRUE))</f>
        <v/>
      </c>
    </row>
    <row r="207">
      <c r="A207" s="19" t="n"/>
      <c r="B207" s="19" t="n"/>
      <c r="C207" s="19" t="n"/>
      <c r="D207" s="19" t="n"/>
      <c r="E207" s="19" t="n"/>
      <c r="F207" s="19" t="n"/>
      <c r="G207" s="19" t="n"/>
      <c r="H207" s="19" t="n"/>
      <c r="I207" s="19" t="n"/>
      <c r="J207" s="19" t="n"/>
      <c r="K207" s="19" t="n"/>
      <c r="L207" s="125" t="n"/>
      <c r="M207" s="88">
        <f>IF($D207="","",IFERROR(VLOOKUP($H207,Lists!$N$2:$O$6,2,FALSE),0))</f>
        <v/>
      </c>
      <c r="N207" s="88">
        <f>IF($D207="","",IF(OR($E207="Blocked",$E207="Done",$E207="Archive"),-9999,IF(AND($E207="Waiting",SUMPRODUCT((($E$5:$E$500="Next")+($E$5:$E$500="In Progress")+($E$5:$E$500="Captured"))*($D$5:$D$500&lt;&gt;""))&gt;0),-500,VLOOKUP($F207,Lists!$L$2:$M$4,2,FALSE)+IF($E207="In Progress",10,0)+IF(AND($I207&lt;&gt;"",$I207&lt;TODAY()),25,0)+IF(AND($I207&lt;&gt;"",$I207&gt;=TODAY(),$I207&lt;=TODAY()+7),15,0)+IF($H207="",0,IF($M207&lt;=VLOOKUP(Home!$C$7,Lists!$N$2:$O$6,2,FALSE),20,-10))+IF($G207=Home!$E$7,15,IF(Home!$E$7="",0,-5))-ROW()/100000)))</f>
        <v/>
      </c>
      <c r="O207" s="88">
        <f>IF($D207="","",IF($N207&lt;=-500,"Not recommended right now",IF($E207="Waiting","Nothing else actionable right now — Waiting on: "&amp;IF($K207="","this item",$K207),TEXTJOIN(" • ",TRUE,IF($F207="High","High Priority",""),IF(AND($I207&lt;&gt;"",$I207&lt;TODAY()),"Overdue",""),IF(AND($I207&lt;&gt;"",$I207&gt;=TODAY(),$I207&lt;=TODAY()+7),"Due This Week",""),IF(AND($H207&lt;&gt;"",$M207&lt;=VLOOKUP(Home!$C$7,Lists!$N$2:$O$6,2,FALSE)),$H207&amp;" Task",""),IF($G207=Home!$E$7,"Fits Current Energy",""),"No Blockers"))))</f>
        <v/>
      </c>
      <c r="P207" s="88">
        <f>IF($D207="","",SWITCH('Task Finder'!$C$6,"High Priority",AND($F207="High",$E207&lt;&gt;"Done",$E207&lt;&gt;"Archive"),"Due This Week",AND($I207&lt;&gt;"",$I207&gt;=TODAY(),$I207&lt;=TODAY()+7,$E207&lt;&gt;"Done"),"Quick Wins (15 mins or less)",AND($M207&lt;=15,$E207&lt;&gt;"Done",$E207&lt;&gt;"Blocked"),"Deep Thinking",AND($G207="Deep Thinking",$E207&lt;&gt;"Done"),"Processing",AND($G207="Processing",$E207&lt;&gt;"Done"),"Blocked",$E207="Blocked","Waiting",$E207="Waiting","Recently Updated",AND($L207&lt;&gt;"",$L207&gt;=TODAY()-7),"Keyword",AND('Task Finder'!$C$7&lt;&gt;"",OR(ISNUMBER(SEARCH('Task Finder'!$C$7,$A207)),ISNUMBER(SEARCH('Task Finder'!$C$7,$B207)),ISNUMBER(SEARCH('Task Finder'!$C$7,$C207)),ISNUMBER(SEARCH('Task Finder'!$C$7,$D207)),ISNUMBER(SEARCH('Task Finder'!$C$7,$K207)))),TRUE))</f>
        <v/>
      </c>
    </row>
    <row r="208">
      <c r="A208" s="19" t="n"/>
      <c r="B208" s="19" t="n"/>
      <c r="C208" s="19" t="n"/>
      <c r="D208" s="19" t="n"/>
      <c r="E208" s="19" t="n"/>
      <c r="F208" s="19" t="n"/>
      <c r="G208" s="19" t="n"/>
      <c r="H208" s="19" t="n"/>
      <c r="I208" s="19" t="n"/>
      <c r="J208" s="19" t="n"/>
      <c r="K208" s="19" t="n"/>
      <c r="L208" s="125" t="n"/>
      <c r="M208" s="88">
        <f>IF($D208="","",IFERROR(VLOOKUP($H208,Lists!$N$2:$O$6,2,FALSE),0))</f>
        <v/>
      </c>
      <c r="N208" s="88">
        <f>IF($D208="","",IF(OR($E208="Blocked",$E208="Done",$E208="Archive"),-9999,IF(AND($E208="Waiting",SUMPRODUCT((($E$5:$E$500="Next")+($E$5:$E$500="In Progress")+($E$5:$E$500="Captured"))*($D$5:$D$500&lt;&gt;""))&gt;0),-500,VLOOKUP($F208,Lists!$L$2:$M$4,2,FALSE)+IF($E208="In Progress",10,0)+IF(AND($I208&lt;&gt;"",$I208&lt;TODAY()),25,0)+IF(AND($I208&lt;&gt;"",$I208&gt;=TODAY(),$I208&lt;=TODAY()+7),15,0)+IF($H208="",0,IF($M208&lt;=VLOOKUP(Home!$C$7,Lists!$N$2:$O$6,2,FALSE),20,-10))+IF($G208=Home!$E$7,15,IF(Home!$E$7="",0,-5))-ROW()/100000)))</f>
        <v/>
      </c>
      <c r="O208" s="88">
        <f>IF($D208="","",IF($N208&lt;=-500,"Not recommended right now",IF($E208="Waiting","Nothing else actionable right now — Waiting on: "&amp;IF($K208="","this item",$K208),TEXTJOIN(" • ",TRUE,IF($F208="High","High Priority",""),IF(AND($I208&lt;&gt;"",$I208&lt;TODAY()),"Overdue",""),IF(AND($I208&lt;&gt;"",$I208&gt;=TODAY(),$I208&lt;=TODAY()+7),"Due This Week",""),IF(AND($H208&lt;&gt;"",$M208&lt;=VLOOKUP(Home!$C$7,Lists!$N$2:$O$6,2,FALSE)),$H208&amp;" Task",""),IF($G208=Home!$E$7,"Fits Current Energy",""),"No Blockers"))))</f>
        <v/>
      </c>
      <c r="P208" s="88">
        <f>IF($D208="","",SWITCH('Task Finder'!$C$6,"High Priority",AND($F208="High",$E208&lt;&gt;"Done",$E208&lt;&gt;"Archive"),"Due This Week",AND($I208&lt;&gt;"",$I208&gt;=TODAY(),$I208&lt;=TODAY()+7,$E208&lt;&gt;"Done"),"Quick Wins (15 mins or less)",AND($M208&lt;=15,$E208&lt;&gt;"Done",$E208&lt;&gt;"Blocked"),"Deep Thinking",AND($G208="Deep Thinking",$E208&lt;&gt;"Done"),"Processing",AND($G208="Processing",$E208&lt;&gt;"Done"),"Blocked",$E208="Blocked","Waiting",$E208="Waiting","Recently Updated",AND($L208&lt;&gt;"",$L208&gt;=TODAY()-7),"Keyword",AND('Task Finder'!$C$7&lt;&gt;"",OR(ISNUMBER(SEARCH('Task Finder'!$C$7,$A208)),ISNUMBER(SEARCH('Task Finder'!$C$7,$B208)),ISNUMBER(SEARCH('Task Finder'!$C$7,$C208)),ISNUMBER(SEARCH('Task Finder'!$C$7,$D208)),ISNUMBER(SEARCH('Task Finder'!$C$7,$K208)))),TRUE))</f>
        <v/>
      </c>
    </row>
    <row r="209">
      <c r="A209" s="19" t="n"/>
      <c r="B209" s="19" t="n"/>
      <c r="C209" s="19" t="n"/>
      <c r="D209" s="19" t="n"/>
      <c r="E209" s="19" t="n"/>
      <c r="F209" s="19" t="n"/>
      <c r="G209" s="19" t="n"/>
      <c r="H209" s="19" t="n"/>
      <c r="I209" s="19" t="n"/>
      <c r="J209" s="19" t="n"/>
      <c r="K209" s="19" t="n"/>
      <c r="L209" s="125" t="n"/>
      <c r="M209" s="88">
        <f>IF($D209="","",IFERROR(VLOOKUP($H209,Lists!$N$2:$O$6,2,FALSE),0))</f>
        <v/>
      </c>
      <c r="N209" s="88">
        <f>IF($D209="","",IF(OR($E209="Blocked",$E209="Done",$E209="Archive"),-9999,IF(AND($E209="Waiting",SUMPRODUCT((($E$5:$E$500="Next")+($E$5:$E$500="In Progress")+($E$5:$E$500="Captured"))*($D$5:$D$500&lt;&gt;""))&gt;0),-500,VLOOKUP($F209,Lists!$L$2:$M$4,2,FALSE)+IF($E209="In Progress",10,0)+IF(AND($I209&lt;&gt;"",$I209&lt;TODAY()),25,0)+IF(AND($I209&lt;&gt;"",$I209&gt;=TODAY(),$I209&lt;=TODAY()+7),15,0)+IF($H209="",0,IF($M209&lt;=VLOOKUP(Home!$C$7,Lists!$N$2:$O$6,2,FALSE),20,-10))+IF($G209=Home!$E$7,15,IF(Home!$E$7="",0,-5))-ROW()/100000)))</f>
        <v/>
      </c>
      <c r="O209" s="88">
        <f>IF($D209="","",IF($N209&lt;=-500,"Not recommended right now",IF($E209="Waiting","Nothing else actionable right now — Waiting on: "&amp;IF($K209="","this item",$K209),TEXTJOIN(" • ",TRUE,IF($F209="High","High Priority",""),IF(AND($I209&lt;&gt;"",$I209&lt;TODAY()),"Overdue",""),IF(AND($I209&lt;&gt;"",$I209&gt;=TODAY(),$I209&lt;=TODAY()+7),"Due This Week",""),IF(AND($H209&lt;&gt;"",$M209&lt;=VLOOKUP(Home!$C$7,Lists!$N$2:$O$6,2,FALSE)),$H209&amp;" Task",""),IF($G209=Home!$E$7,"Fits Current Energy",""),"No Blockers"))))</f>
        <v/>
      </c>
      <c r="P209" s="88">
        <f>IF($D209="","",SWITCH('Task Finder'!$C$6,"High Priority",AND($F209="High",$E209&lt;&gt;"Done",$E209&lt;&gt;"Archive"),"Due This Week",AND($I209&lt;&gt;"",$I209&gt;=TODAY(),$I209&lt;=TODAY()+7,$E209&lt;&gt;"Done"),"Quick Wins (15 mins or less)",AND($M209&lt;=15,$E209&lt;&gt;"Done",$E209&lt;&gt;"Blocked"),"Deep Thinking",AND($G209="Deep Thinking",$E209&lt;&gt;"Done"),"Processing",AND($G209="Processing",$E209&lt;&gt;"Done"),"Blocked",$E209="Blocked","Waiting",$E209="Waiting","Recently Updated",AND($L209&lt;&gt;"",$L209&gt;=TODAY()-7),"Keyword",AND('Task Finder'!$C$7&lt;&gt;"",OR(ISNUMBER(SEARCH('Task Finder'!$C$7,$A209)),ISNUMBER(SEARCH('Task Finder'!$C$7,$B209)),ISNUMBER(SEARCH('Task Finder'!$C$7,$C209)),ISNUMBER(SEARCH('Task Finder'!$C$7,$D209)),ISNUMBER(SEARCH('Task Finder'!$C$7,$K209)))),TRUE))</f>
        <v/>
      </c>
    </row>
    <row r="210">
      <c r="A210" s="19" t="n"/>
      <c r="B210" s="19" t="n"/>
      <c r="C210" s="19" t="n"/>
      <c r="D210" s="19" t="n"/>
      <c r="E210" s="19" t="n"/>
      <c r="F210" s="19" t="n"/>
      <c r="G210" s="19" t="n"/>
      <c r="H210" s="19" t="n"/>
      <c r="I210" s="19" t="n"/>
      <c r="J210" s="19" t="n"/>
      <c r="K210" s="19" t="n"/>
      <c r="L210" s="125" t="n"/>
      <c r="M210" s="88">
        <f>IF($D210="","",IFERROR(VLOOKUP($H210,Lists!$N$2:$O$6,2,FALSE),0))</f>
        <v/>
      </c>
      <c r="N210" s="88">
        <f>IF($D210="","",IF(OR($E210="Blocked",$E210="Done",$E210="Archive"),-9999,IF(AND($E210="Waiting",SUMPRODUCT((($E$5:$E$500="Next")+($E$5:$E$500="In Progress")+($E$5:$E$500="Captured"))*($D$5:$D$500&lt;&gt;""))&gt;0),-500,VLOOKUP($F210,Lists!$L$2:$M$4,2,FALSE)+IF($E210="In Progress",10,0)+IF(AND($I210&lt;&gt;"",$I210&lt;TODAY()),25,0)+IF(AND($I210&lt;&gt;"",$I210&gt;=TODAY(),$I210&lt;=TODAY()+7),15,0)+IF($H210="",0,IF($M210&lt;=VLOOKUP(Home!$C$7,Lists!$N$2:$O$6,2,FALSE),20,-10))+IF($G210=Home!$E$7,15,IF(Home!$E$7="",0,-5))-ROW()/100000)))</f>
        <v/>
      </c>
      <c r="O210" s="88">
        <f>IF($D210="","",IF($N210&lt;=-500,"Not recommended right now",IF($E210="Waiting","Nothing else actionable right now — Waiting on: "&amp;IF($K210="","this item",$K210),TEXTJOIN(" • ",TRUE,IF($F210="High","High Priority",""),IF(AND($I210&lt;&gt;"",$I210&lt;TODAY()),"Overdue",""),IF(AND($I210&lt;&gt;"",$I210&gt;=TODAY(),$I210&lt;=TODAY()+7),"Due This Week",""),IF(AND($H210&lt;&gt;"",$M210&lt;=VLOOKUP(Home!$C$7,Lists!$N$2:$O$6,2,FALSE)),$H210&amp;" Task",""),IF($G210=Home!$E$7,"Fits Current Energy",""),"No Blockers"))))</f>
        <v/>
      </c>
      <c r="P210" s="88">
        <f>IF($D210="","",SWITCH('Task Finder'!$C$6,"High Priority",AND($F210="High",$E210&lt;&gt;"Done",$E210&lt;&gt;"Archive"),"Due This Week",AND($I210&lt;&gt;"",$I210&gt;=TODAY(),$I210&lt;=TODAY()+7,$E210&lt;&gt;"Done"),"Quick Wins (15 mins or less)",AND($M210&lt;=15,$E210&lt;&gt;"Done",$E210&lt;&gt;"Blocked"),"Deep Thinking",AND($G210="Deep Thinking",$E210&lt;&gt;"Done"),"Processing",AND($G210="Processing",$E210&lt;&gt;"Done"),"Blocked",$E210="Blocked","Waiting",$E210="Waiting","Recently Updated",AND($L210&lt;&gt;"",$L210&gt;=TODAY()-7),"Keyword",AND('Task Finder'!$C$7&lt;&gt;"",OR(ISNUMBER(SEARCH('Task Finder'!$C$7,$A210)),ISNUMBER(SEARCH('Task Finder'!$C$7,$B210)),ISNUMBER(SEARCH('Task Finder'!$C$7,$C210)),ISNUMBER(SEARCH('Task Finder'!$C$7,$D210)),ISNUMBER(SEARCH('Task Finder'!$C$7,$K210)))),TRUE))</f>
        <v/>
      </c>
    </row>
    <row r="211">
      <c r="A211" s="19" t="n"/>
      <c r="B211" s="19" t="n"/>
      <c r="C211" s="19" t="n"/>
      <c r="D211" s="19" t="n"/>
      <c r="E211" s="19" t="n"/>
      <c r="F211" s="19" t="n"/>
      <c r="G211" s="19" t="n"/>
      <c r="H211" s="19" t="n"/>
      <c r="I211" s="19" t="n"/>
      <c r="J211" s="19" t="n"/>
      <c r="K211" s="19" t="n"/>
      <c r="L211" s="125" t="n"/>
      <c r="M211" s="88">
        <f>IF($D211="","",IFERROR(VLOOKUP($H211,Lists!$N$2:$O$6,2,FALSE),0))</f>
        <v/>
      </c>
      <c r="N211" s="88">
        <f>IF($D211="","",IF(OR($E211="Blocked",$E211="Done",$E211="Archive"),-9999,IF(AND($E211="Waiting",SUMPRODUCT((($E$5:$E$500="Next")+($E$5:$E$500="In Progress")+($E$5:$E$500="Captured"))*($D$5:$D$500&lt;&gt;""))&gt;0),-500,VLOOKUP($F211,Lists!$L$2:$M$4,2,FALSE)+IF($E211="In Progress",10,0)+IF(AND($I211&lt;&gt;"",$I211&lt;TODAY()),25,0)+IF(AND($I211&lt;&gt;"",$I211&gt;=TODAY(),$I211&lt;=TODAY()+7),15,0)+IF($H211="",0,IF($M211&lt;=VLOOKUP(Home!$C$7,Lists!$N$2:$O$6,2,FALSE),20,-10))+IF($G211=Home!$E$7,15,IF(Home!$E$7="",0,-5))-ROW()/100000)))</f>
        <v/>
      </c>
      <c r="O211" s="88">
        <f>IF($D211="","",IF($N211&lt;=-500,"Not recommended right now",IF($E211="Waiting","Nothing else actionable right now — Waiting on: "&amp;IF($K211="","this item",$K211),TEXTJOIN(" • ",TRUE,IF($F211="High","High Priority",""),IF(AND($I211&lt;&gt;"",$I211&lt;TODAY()),"Overdue",""),IF(AND($I211&lt;&gt;"",$I211&gt;=TODAY(),$I211&lt;=TODAY()+7),"Due This Week",""),IF(AND($H211&lt;&gt;"",$M211&lt;=VLOOKUP(Home!$C$7,Lists!$N$2:$O$6,2,FALSE)),$H211&amp;" Task",""),IF($G211=Home!$E$7,"Fits Current Energy",""),"No Blockers"))))</f>
        <v/>
      </c>
      <c r="P211" s="88">
        <f>IF($D211="","",SWITCH('Task Finder'!$C$6,"High Priority",AND($F211="High",$E211&lt;&gt;"Done",$E211&lt;&gt;"Archive"),"Due This Week",AND($I211&lt;&gt;"",$I211&gt;=TODAY(),$I211&lt;=TODAY()+7,$E211&lt;&gt;"Done"),"Quick Wins (15 mins or less)",AND($M211&lt;=15,$E211&lt;&gt;"Done",$E211&lt;&gt;"Blocked"),"Deep Thinking",AND($G211="Deep Thinking",$E211&lt;&gt;"Done"),"Processing",AND($G211="Processing",$E211&lt;&gt;"Done"),"Blocked",$E211="Blocked","Waiting",$E211="Waiting","Recently Updated",AND($L211&lt;&gt;"",$L211&gt;=TODAY()-7),"Keyword",AND('Task Finder'!$C$7&lt;&gt;"",OR(ISNUMBER(SEARCH('Task Finder'!$C$7,$A211)),ISNUMBER(SEARCH('Task Finder'!$C$7,$B211)),ISNUMBER(SEARCH('Task Finder'!$C$7,$C211)),ISNUMBER(SEARCH('Task Finder'!$C$7,$D211)),ISNUMBER(SEARCH('Task Finder'!$C$7,$K211)))),TRUE))</f>
        <v/>
      </c>
    </row>
    <row r="212">
      <c r="A212" s="19" t="n"/>
      <c r="B212" s="19" t="n"/>
      <c r="C212" s="19" t="n"/>
      <c r="D212" s="19" t="n"/>
      <c r="E212" s="19" t="n"/>
      <c r="F212" s="19" t="n"/>
      <c r="G212" s="19" t="n"/>
      <c r="H212" s="19" t="n"/>
      <c r="I212" s="19" t="n"/>
      <c r="J212" s="19" t="n"/>
      <c r="K212" s="19" t="n"/>
      <c r="L212" s="125" t="n"/>
      <c r="M212" s="88">
        <f>IF($D212="","",IFERROR(VLOOKUP($H212,Lists!$N$2:$O$6,2,FALSE),0))</f>
        <v/>
      </c>
      <c r="N212" s="88">
        <f>IF($D212="","",IF(OR($E212="Blocked",$E212="Done",$E212="Archive"),-9999,IF(AND($E212="Waiting",SUMPRODUCT((($E$5:$E$500="Next")+($E$5:$E$500="In Progress")+($E$5:$E$500="Captured"))*($D$5:$D$500&lt;&gt;""))&gt;0),-500,VLOOKUP($F212,Lists!$L$2:$M$4,2,FALSE)+IF($E212="In Progress",10,0)+IF(AND($I212&lt;&gt;"",$I212&lt;TODAY()),25,0)+IF(AND($I212&lt;&gt;"",$I212&gt;=TODAY(),$I212&lt;=TODAY()+7),15,0)+IF($H212="",0,IF($M212&lt;=VLOOKUP(Home!$C$7,Lists!$N$2:$O$6,2,FALSE),20,-10))+IF($G212=Home!$E$7,15,IF(Home!$E$7="",0,-5))-ROW()/100000)))</f>
        <v/>
      </c>
      <c r="O212" s="88">
        <f>IF($D212="","",IF($N212&lt;=-500,"Not recommended right now",IF($E212="Waiting","Nothing else actionable right now — Waiting on: "&amp;IF($K212="","this item",$K212),TEXTJOIN(" • ",TRUE,IF($F212="High","High Priority",""),IF(AND($I212&lt;&gt;"",$I212&lt;TODAY()),"Overdue",""),IF(AND($I212&lt;&gt;"",$I212&gt;=TODAY(),$I212&lt;=TODAY()+7),"Due This Week",""),IF(AND($H212&lt;&gt;"",$M212&lt;=VLOOKUP(Home!$C$7,Lists!$N$2:$O$6,2,FALSE)),$H212&amp;" Task",""),IF($G212=Home!$E$7,"Fits Current Energy",""),"No Blockers"))))</f>
        <v/>
      </c>
      <c r="P212" s="88">
        <f>IF($D212="","",SWITCH('Task Finder'!$C$6,"High Priority",AND($F212="High",$E212&lt;&gt;"Done",$E212&lt;&gt;"Archive"),"Due This Week",AND($I212&lt;&gt;"",$I212&gt;=TODAY(),$I212&lt;=TODAY()+7,$E212&lt;&gt;"Done"),"Quick Wins (15 mins or less)",AND($M212&lt;=15,$E212&lt;&gt;"Done",$E212&lt;&gt;"Blocked"),"Deep Thinking",AND($G212="Deep Thinking",$E212&lt;&gt;"Done"),"Processing",AND($G212="Processing",$E212&lt;&gt;"Done"),"Blocked",$E212="Blocked","Waiting",$E212="Waiting","Recently Updated",AND($L212&lt;&gt;"",$L212&gt;=TODAY()-7),"Keyword",AND('Task Finder'!$C$7&lt;&gt;"",OR(ISNUMBER(SEARCH('Task Finder'!$C$7,$A212)),ISNUMBER(SEARCH('Task Finder'!$C$7,$B212)),ISNUMBER(SEARCH('Task Finder'!$C$7,$C212)),ISNUMBER(SEARCH('Task Finder'!$C$7,$D212)),ISNUMBER(SEARCH('Task Finder'!$C$7,$K212)))),TRUE))</f>
        <v/>
      </c>
    </row>
    <row r="213">
      <c r="A213" s="19" t="n"/>
      <c r="B213" s="19" t="n"/>
      <c r="C213" s="19" t="n"/>
      <c r="D213" s="19" t="n"/>
      <c r="E213" s="19" t="n"/>
      <c r="F213" s="19" t="n"/>
      <c r="G213" s="19" t="n"/>
      <c r="H213" s="19" t="n"/>
      <c r="I213" s="19" t="n"/>
      <c r="J213" s="19" t="n"/>
      <c r="K213" s="19" t="n"/>
      <c r="L213" s="125" t="n"/>
      <c r="M213" s="88">
        <f>IF($D213="","",IFERROR(VLOOKUP($H213,Lists!$N$2:$O$6,2,FALSE),0))</f>
        <v/>
      </c>
      <c r="N213" s="88">
        <f>IF($D213="","",IF(OR($E213="Blocked",$E213="Done",$E213="Archive"),-9999,IF(AND($E213="Waiting",SUMPRODUCT((($E$5:$E$500="Next")+($E$5:$E$500="In Progress")+($E$5:$E$500="Captured"))*($D$5:$D$500&lt;&gt;""))&gt;0),-500,VLOOKUP($F213,Lists!$L$2:$M$4,2,FALSE)+IF($E213="In Progress",10,0)+IF(AND($I213&lt;&gt;"",$I213&lt;TODAY()),25,0)+IF(AND($I213&lt;&gt;"",$I213&gt;=TODAY(),$I213&lt;=TODAY()+7),15,0)+IF($H213="",0,IF($M213&lt;=VLOOKUP(Home!$C$7,Lists!$N$2:$O$6,2,FALSE),20,-10))+IF($G213=Home!$E$7,15,IF(Home!$E$7="",0,-5))-ROW()/100000)))</f>
        <v/>
      </c>
      <c r="O213" s="88">
        <f>IF($D213="","",IF($N213&lt;=-500,"Not recommended right now",IF($E213="Waiting","Nothing else actionable right now — Waiting on: "&amp;IF($K213="","this item",$K213),TEXTJOIN(" • ",TRUE,IF($F213="High","High Priority",""),IF(AND($I213&lt;&gt;"",$I213&lt;TODAY()),"Overdue",""),IF(AND($I213&lt;&gt;"",$I213&gt;=TODAY(),$I213&lt;=TODAY()+7),"Due This Week",""),IF(AND($H213&lt;&gt;"",$M213&lt;=VLOOKUP(Home!$C$7,Lists!$N$2:$O$6,2,FALSE)),$H213&amp;" Task",""),IF($G213=Home!$E$7,"Fits Current Energy",""),"No Blockers"))))</f>
        <v/>
      </c>
      <c r="P213" s="88">
        <f>IF($D213="","",SWITCH('Task Finder'!$C$6,"High Priority",AND($F213="High",$E213&lt;&gt;"Done",$E213&lt;&gt;"Archive"),"Due This Week",AND($I213&lt;&gt;"",$I213&gt;=TODAY(),$I213&lt;=TODAY()+7,$E213&lt;&gt;"Done"),"Quick Wins (15 mins or less)",AND($M213&lt;=15,$E213&lt;&gt;"Done",$E213&lt;&gt;"Blocked"),"Deep Thinking",AND($G213="Deep Thinking",$E213&lt;&gt;"Done"),"Processing",AND($G213="Processing",$E213&lt;&gt;"Done"),"Blocked",$E213="Blocked","Waiting",$E213="Waiting","Recently Updated",AND($L213&lt;&gt;"",$L213&gt;=TODAY()-7),"Keyword",AND('Task Finder'!$C$7&lt;&gt;"",OR(ISNUMBER(SEARCH('Task Finder'!$C$7,$A213)),ISNUMBER(SEARCH('Task Finder'!$C$7,$B213)),ISNUMBER(SEARCH('Task Finder'!$C$7,$C213)),ISNUMBER(SEARCH('Task Finder'!$C$7,$D213)),ISNUMBER(SEARCH('Task Finder'!$C$7,$K213)))),TRUE))</f>
        <v/>
      </c>
    </row>
    <row r="214">
      <c r="A214" s="19" t="n"/>
      <c r="B214" s="19" t="n"/>
      <c r="C214" s="19" t="n"/>
      <c r="D214" s="19" t="n"/>
      <c r="E214" s="19" t="n"/>
      <c r="F214" s="19" t="n"/>
      <c r="G214" s="19" t="n"/>
      <c r="H214" s="19" t="n"/>
      <c r="I214" s="19" t="n"/>
      <c r="J214" s="19" t="n"/>
      <c r="K214" s="19" t="n"/>
      <c r="L214" s="125" t="n"/>
      <c r="M214" s="88">
        <f>IF($D214="","",IFERROR(VLOOKUP($H214,Lists!$N$2:$O$6,2,FALSE),0))</f>
        <v/>
      </c>
      <c r="N214" s="88">
        <f>IF($D214="","",IF(OR($E214="Blocked",$E214="Done",$E214="Archive"),-9999,IF(AND($E214="Waiting",SUMPRODUCT((($E$5:$E$500="Next")+($E$5:$E$500="In Progress")+($E$5:$E$500="Captured"))*($D$5:$D$500&lt;&gt;""))&gt;0),-500,VLOOKUP($F214,Lists!$L$2:$M$4,2,FALSE)+IF($E214="In Progress",10,0)+IF(AND($I214&lt;&gt;"",$I214&lt;TODAY()),25,0)+IF(AND($I214&lt;&gt;"",$I214&gt;=TODAY(),$I214&lt;=TODAY()+7),15,0)+IF($H214="",0,IF($M214&lt;=VLOOKUP(Home!$C$7,Lists!$N$2:$O$6,2,FALSE),20,-10))+IF($G214=Home!$E$7,15,IF(Home!$E$7="",0,-5))-ROW()/100000)))</f>
        <v/>
      </c>
      <c r="O214" s="88">
        <f>IF($D214="","",IF($N214&lt;=-500,"Not recommended right now",IF($E214="Waiting","Nothing else actionable right now — Waiting on: "&amp;IF($K214="","this item",$K214),TEXTJOIN(" • ",TRUE,IF($F214="High","High Priority",""),IF(AND($I214&lt;&gt;"",$I214&lt;TODAY()),"Overdue",""),IF(AND($I214&lt;&gt;"",$I214&gt;=TODAY(),$I214&lt;=TODAY()+7),"Due This Week",""),IF(AND($H214&lt;&gt;"",$M214&lt;=VLOOKUP(Home!$C$7,Lists!$N$2:$O$6,2,FALSE)),$H214&amp;" Task",""),IF($G214=Home!$E$7,"Fits Current Energy",""),"No Blockers"))))</f>
        <v/>
      </c>
      <c r="P214" s="88">
        <f>IF($D214="","",SWITCH('Task Finder'!$C$6,"High Priority",AND($F214="High",$E214&lt;&gt;"Done",$E214&lt;&gt;"Archive"),"Due This Week",AND($I214&lt;&gt;"",$I214&gt;=TODAY(),$I214&lt;=TODAY()+7,$E214&lt;&gt;"Done"),"Quick Wins (15 mins or less)",AND($M214&lt;=15,$E214&lt;&gt;"Done",$E214&lt;&gt;"Blocked"),"Deep Thinking",AND($G214="Deep Thinking",$E214&lt;&gt;"Done"),"Processing",AND($G214="Processing",$E214&lt;&gt;"Done"),"Blocked",$E214="Blocked","Waiting",$E214="Waiting","Recently Updated",AND($L214&lt;&gt;"",$L214&gt;=TODAY()-7),"Keyword",AND('Task Finder'!$C$7&lt;&gt;"",OR(ISNUMBER(SEARCH('Task Finder'!$C$7,$A214)),ISNUMBER(SEARCH('Task Finder'!$C$7,$B214)),ISNUMBER(SEARCH('Task Finder'!$C$7,$C214)),ISNUMBER(SEARCH('Task Finder'!$C$7,$D214)),ISNUMBER(SEARCH('Task Finder'!$C$7,$K214)))),TRUE))</f>
        <v/>
      </c>
    </row>
    <row r="215">
      <c r="A215" s="19" t="n"/>
      <c r="B215" s="19" t="n"/>
      <c r="C215" s="19" t="n"/>
      <c r="D215" s="19" t="n"/>
      <c r="E215" s="19" t="n"/>
      <c r="F215" s="19" t="n"/>
      <c r="G215" s="19" t="n"/>
      <c r="H215" s="19" t="n"/>
      <c r="I215" s="19" t="n"/>
      <c r="J215" s="19" t="n"/>
      <c r="K215" s="19" t="n"/>
      <c r="L215" s="125" t="n"/>
      <c r="M215" s="88">
        <f>IF($D215="","",IFERROR(VLOOKUP($H215,Lists!$N$2:$O$6,2,FALSE),0))</f>
        <v/>
      </c>
      <c r="N215" s="88">
        <f>IF($D215="","",IF(OR($E215="Blocked",$E215="Done",$E215="Archive"),-9999,IF(AND($E215="Waiting",SUMPRODUCT((($E$5:$E$500="Next")+($E$5:$E$500="In Progress")+($E$5:$E$500="Captured"))*($D$5:$D$500&lt;&gt;""))&gt;0),-500,VLOOKUP($F215,Lists!$L$2:$M$4,2,FALSE)+IF($E215="In Progress",10,0)+IF(AND($I215&lt;&gt;"",$I215&lt;TODAY()),25,0)+IF(AND($I215&lt;&gt;"",$I215&gt;=TODAY(),$I215&lt;=TODAY()+7),15,0)+IF($H215="",0,IF($M215&lt;=VLOOKUP(Home!$C$7,Lists!$N$2:$O$6,2,FALSE),20,-10))+IF($G215=Home!$E$7,15,IF(Home!$E$7="",0,-5))-ROW()/100000)))</f>
        <v/>
      </c>
      <c r="O215" s="88">
        <f>IF($D215="","",IF($N215&lt;=-500,"Not recommended right now",IF($E215="Waiting","Nothing else actionable right now — Waiting on: "&amp;IF($K215="","this item",$K215),TEXTJOIN(" • ",TRUE,IF($F215="High","High Priority",""),IF(AND($I215&lt;&gt;"",$I215&lt;TODAY()),"Overdue",""),IF(AND($I215&lt;&gt;"",$I215&gt;=TODAY(),$I215&lt;=TODAY()+7),"Due This Week",""),IF(AND($H215&lt;&gt;"",$M215&lt;=VLOOKUP(Home!$C$7,Lists!$N$2:$O$6,2,FALSE)),$H215&amp;" Task",""),IF($G215=Home!$E$7,"Fits Current Energy",""),"No Blockers"))))</f>
        <v/>
      </c>
      <c r="P215" s="88">
        <f>IF($D215="","",SWITCH('Task Finder'!$C$6,"High Priority",AND($F215="High",$E215&lt;&gt;"Done",$E215&lt;&gt;"Archive"),"Due This Week",AND($I215&lt;&gt;"",$I215&gt;=TODAY(),$I215&lt;=TODAY()+7,$E215&lt;&gt;"Done"),"Quick Wins (15 mins or less)",AND($M215&lt;=15,$E215&lt;&gt;"Done",$E215&lt;&gt;"Blocked"),"Deep Thinking",AND($G215="Deep Thinking",$E215&lt;&gt;"Done"),"Processing",AND($G215="Processing",$E215&lt;&gt;"Done"),"Blocked",$E215="Blocked","Waiting",$E215="Waiting","Recently Updated",AND($L215&lt;&gt;"",$L215&gt;=TODAY()-7),"Keyword",AND('Task Finder'!$C$7&lt;&gt;"",OR(ISNUMBER(SEARCH('Task Finder'!$C$7,$A215)),ISNUMBER(SEARCH('Task Finder'!$C$7,$B215)),ISNUMBER(SEARCH('Task Finder'!$C$7,$C215)),ISNUMBER(SEARCH('Task Finder'!$C$7,$D215)),ISNUMBER(SEARCH('Task Finder'!$C$7,$K215)))),TRUE))</f>
        <v/>
      </c>
    </row>
    <row r="216">
      <c r="A216" s="19" t="n"/>
      <c r="B216" s="19" t="n"/>
      <c r="C216" s="19" t="n"/>
      <c r="D216" s="19" t="n"/>
      <c r="E216" s="19" t="n"/>
      <c r="F216" s="19" t="n"/>
      <c r="G216" s="19" t="n"/>
      <c r="H216" s="19" t="n"/>
      <c r="I216" s="19" t="n"/>
      <c r="J216" s="19" t="n"/>
      <c r="K216" s="19" t="n"/>
      <c r="L216" s="125" t="n"/>
      <c r="M216" s="88">
        <f>IF($D216="","",IFERROR(VLOOKUP($H216,Lists!$N$2:$O$6,2,FALSE),0))</f>
        <v/>
      </c>
      <c r="N216" s="88">
        <f>IF($D216="","",IF(OR($E216="Blocked",$E216="Done",$E216="Archive"),-9999,IF(AND($E216="Waiting",SUMPRODUCT((($E$5:$E$500="Next")+($E$5:$E$500="In Progress")+($E$5:$E$500="Captured"))*($D$5:$D$500&lt;&gt;""))&gt;0),-500,VLOOKUP($F216,Lists!$L$2:$M$4,2,FALSE)+IF($E216="In Progress",10,0)+IF(AND($I216&lt;&gt;"",$I216&lt;TODAY()),25,0)+IF(AND($I216&lt;&gt;"",$I216&gt;=TODAY(),$I216&lt;=TODAY()+7),15,0)+IF($H216="",0,IF($M216&lt;=VLOOKUP(Home!$C$7,Lists!$N$2:$O$6,2,FALSE),20,-10))+IF($G216=Home!$E$7,15,IF(Home!$E$7="",0,-5))-ROW()/100000)))</f>
        <v/>
      </c>
      <c r="O216" s="88">
        <f>IF($D216="","",IF($N216&lt;=-500,"Not recommended right now",IF($E216="Waiting","Nothing else actionable right now — Waiting on: "&amp;IF($K216="","this item",$K216),TEXTJOIN(" • ",TRUE,IF($F216="High","High Priority",""),IF(AND($I216&lt;&gt;"",$I216&lt;TODAY()),"Overdue",""),IF(AND($I216&lt;&gt;"",$I216&gt;=TODAY(),$I216&lt;=TODAY()+7),"Due This Week",""),IF(AND($H216&lt;&gt;"",$M216&lt;=VLOOKUP(Home!$C$7,Lists!$N$2:$O$6,2,FALSE)),$H216&amp;" Task",""),IF($G216=Home!$E$7,"Fits Current Energy",""),"No Blockers"))))</f>
        <v/>
      </c>
      <c r="P216" s="88">
        <f>IF($D216="","",SWITCH('Task Finder'!$C$6,"High Priority",AND($F216="High",$E216&lt;&gt;"Done",$E216&lt;&gt;"Archive"),"Due This Week",AND($I216&lt;&gt;"",$I216&gt;=TODAY(),$I216&lt;=TODAY()+7,$E216&lt;&gt;"Done"),"Quick Wins (15 mins or less)",AND($M216&lt;=15,$E216&lt;&gt;"Done",$E216&lt;&gt;"Blocked"),"Deep Thinking",AND($G216="Deep Thinking",$E216&lt;&gt;"Done"),"Processing",AND($G216="Processing",$E216&lt;&gt;"Done"),"Blocked",$E216="Blocked","Waiting",$E216="Waiting","Recently Updated",AND($L216&lt;&gt;"",$L216&gt;=TODAY()-7),"Keyword",AND('Task Finder'!$C$7&lt;&gt;"",OR(ISNUMBER(SEARCH('Task Finder'!$C$7,$A216)),ISNUMBER(SEARCH('Task Finder'!$C$7,$B216)),ISNUMBER(SEARCH('Task Finder'!$C$7,$C216)),ISNUMBER(SEARCH('Task Finder'!$C$7,$D216)),ISNUMBER(SEARCH('Task Finder'!$C$7,$K216)))),TRUE))</f>
        <v/>
      </c>
    </row>
    <row r="217">
      <c r="A217" s="19" t="n"/>
      <c r="B217" s="19" t="n"/>
      <c r="C217" s="19" t="n"/>
      <c r="D217" s="19" t="n"/>
      <c r="E217" s="19" t="n"/>
      <c r="F217" s="19" t="n"/>
      <c r="G217" s="19" t="n"/>
      <c r="H217" s="19" t="n"/>
      <c r="I217" s="19" t="n"/>
      <c r="J217" s="19" t="n"/>
      <c r="K217" s="19" t="n"/>
      <c r="L217" s="125" t="n"/>
      <c r="M217" s="88">
        <f>IF($D217="","",IFERROR(VLOOKUP($H217,Lists!$N$2:$O$6,2,FALSE),0))</f>
        <v/>
      </c>
      <c r="N217" s="88">
        <f>IF($D217="","",IF(OR($E217="Blocked",$E217="Done",$E217="Archive"),-9999,IF(AND($E217="Waiting",SUMPRODUCT((($E$5:$E$500="Next")+($E$5:$E$500="In Progress")+($E$5:$E$500="Captured"))*($D$5:$D$500&lt;&gt;""))&gt;0),-500,VLOOKUP($F217,Lists!$L$2:$M$4,2,FALSE)+IF($E217="In Progress",10,0)+IF(AND($I217&lt;&gt;"",$I217&lt;TODAY()),25,0)+IF(AND($I217&lt;&gt;"",$I217&gt;=TODAY(),$I217&lt;=TODAY()+7),15,0)+IF($H217="",0,IF($M217&lt;=VLOOKUP(Home!$C$7,Lists!$N$2:$O$6,2,FALSE),20,-10))+IF($G217=Home!$E$7,15,IF(Home!$E$7="",0,-5))-ROW()/100000)))</f>
        <v/>
      </c>
      <c r="O217" s="88">
        <f>IF($D217="","",IF($N217&lt;=-500,"Not recommended right now",IF($E217="Waiting","Nothing else actionable right now — Waiting on: "&amp;IF($K217="","this item",$K217),TEXTJOIN(" • ",TRUE,IF($F217="High","High Priority",""),IF(AND($I217&lt;&gt;"",$I217&lt;TODAY()),"Overdue",""),IF(AND($I217&lt;&gt;"",$I217&gt;=TODAY(),$I217&lt;=TODAY()+7),"Due This Week",""),IF(AND($H217&lt;&gt;"",$M217&lt;=VLOOKUP(Home!$C$7,Lists!$N$2:$O$6,2,FALSE)),$H217&amp;" Task",""),IF($G217=Home!$E$7,"Fits Current Energy",""),"No Blockers"))))</f>
        <v/>
      </c>
      <c r="P217" s="88">
        <f>IF($D217="","",SWITCH('Task Finder'!$C$6,"High Priority",AND($F217="High",$E217&lt;&gt;"Done",$E217&lt;&gt;"Archive"),"Due This Week",AND($I217&lt;&gt;"",$I217&gt;=TODAY(),$I217&lt;=TODAY()+7,$E217&lt;&gt;"Done"),"Quick Wins (15 mins or less)",AND($M217&lt;=15,$E217&lt;&gt;"Done",$E217&lt;&gt;"Blocked"),"Deep Thinking",AND($G217="Deep Thinking",$E217&lt;&gt;"Done"),"Processing",AND($G217="Processing",$E217&lt;&gt;"Done"),"Blocked",$E217="Blocked","Waiting",$E217="Waiting","Recently Updated",AND($L217&lt;&gt;"",$L217&gt;=TODAY()-7),"Keyword",AND('Task Finder'!$C$7&lt;&gt;"",OR(ISNUMBER(SEARCH('Task Finder'!$C$7,$A217)),ISNUMBER(SEARCH('Task Finder'!$C$7,$B217)),ISNUMBER(SEARCH('Task Finder'!$C$7,$C217)),ISNUMBER(SEARCH('Task Finder'!$C$7,$D217)),ISNUMBER(SEARCH('Task Finder'!$C$7,$K217)))),TRUE))</f>
        <v/>
      </c>
    </row>
    <row r="218">
      <c r="A218" s="19" t="n"/>
      <c r="B218" s="19" t="n"/>
      <c r="C218" s="19" t="n"/>
      <c r="D218" s="19" t="n"/>
      <c r="E218" s="19" t="n"/>
      <c r="F218" s="19" t="n"/>
      <c r="G218" s="19" t="n"/>
      <c r="H218" s="19" t="n"/>
      <c r="I218" s="19" t="n"/>
      <c r="J218" s="19" t="n"/>
      <c r="K218" s="19" t="n"/>
      <c r="L218" s="125" t="n"/>
      <c r="M218" s="88">
        <f>IF($D218="","",IFERROR(VLOOKUP($H218,Lists!$N$2:$O$6,2,FALSE),0))</f>
        <v/>
      </c>
      <c r="N218" s="88">
        <f>IF($D218="","",IF(OR($E218="Blocked",$E218="Done",$E218="Archive"),-9999,IF(AND($E218="Waiting",SUMPRODUCT((($E$5:$E$500="Next")+($E$5:$E$500="In Progress")+($E$5:$E$500="Captured"))*($D$5:$D$500&lt;&gt;""))&gt;0),-500,VLOOKUP($F218,Lists!$L$2:$M$4,2,FALSE)+IF($E218="In Progress",10,0)+IF(AND($I218&lt;&gt;"",$I218&lt;TODAY()),25,0)+IF(AND($I218&lt;&gt;"",$I218&gt;=TODAY(),$I218&lt;=TODAY()+7),15,0)+IF($H218="",0,IF($M218&lt;=VLOOKUP(Home!$C$7,Lists!$N$2:$O$6,2,FALSE),20,-10))+IF($G218=Home!$E$7,15,IF(Home!$E$7="",0,-5))-ROW()/100000)))</f>
        <v/>
      </c>
      <c r="O218" s="88">
        <f>IF($D218="","",IF($N218&lt;=-500,"Not recommended right now",IF($E218="Waiting","Nothing else actionable right now — Waiting on: "&amp;IF($K218="","this item",$K218),TEXTJOIN(" • ",TRUE,IF($F218="High","High Priority",""),IF(AND($I218&lt;&gt;"",$I218&lt;TODAY()),"Overdue",""),IF(AND($I218&lt;&gt;"",$I218&gt;=TODAY(),$I218&lt;=TODAY()+7),"Due This Week",""),IF(AND($H218&lt;&gt;"",$M218&lt;=VLOOKUP(Home!$C$7,Lists!$N$2:$O$6,2,FALSE)),$H218&amp;" Task",""),IF($G218=Home!$E$7,"Fits Current Energy",""),"No Blockers"))))</f>
        <v/>
      </c>
      <c r="P218" s="88">
        <f>IF($D218="","",SWITCH('Task Finder'!$C$6,"High Priority",AND($F218="High",$E218&lt;&gt;"Done",$E218&lt;&gt;"Archive"),"Due This Week",AND($I218&lt;&gt;"",$I218&gt;=TODAY(),$I218&lt;=TODAY()+7,$E218&lt;&gt;"Done"),"Quick Wins (15 mins or less)",AND($M218&lt;=15,$E218&lt;&gt;"Done",$E218&lt;&gt;"Blocked"),"Deep Thinking",AND($G218="Deep Thinking",$E218&lt;&gt;"Done"),"Processing",AND($G218="Processing",$E218&lt;&gt;"Done"),"Blocked",$E218="Blocked","Waiting",$E218="Waiting","Recently Updated",AND($L218&lt;&gt;"",$L218&gt;=TODAY()-7),"Keyword",AND('Task Finder'!$C$7&lt;&gt;"",OR(ISNUMBER(SEARCH('Task Finder'!$C$7,$A218)),ISNUMBER(SEARCH('Task Finder'!$C$7,$B218)),ISNUMBER(SEARCH('Task Finder'!$C$7,$C218)),ISNUMBER(SEARCH('Task Finder'!$C$7,$D218)),ISNUMBER(SEARCH('Task Finder'!$C$7,$K218)))),TRUE))</f>
        <v/>
      </c>
    </row>
    <row r="219">
      <c r="A219" s="19" t="n"/>
      <c r="B219" s="19" t="n"/>
      <c r="C219" s="19" t="n"/>
      <c r="D219" s="19" t="n"/>
      <c r="E219" s="19" t="n"/>
      <c r="F219" s="19" t="n"/>
      <c r="G219" s="19" t="n"/>
      <c r="H219" s="19" t="n"/>
      <c r="I219" s="19" t="n"/>
      <c r="J219" s="19" t="n"/>
      <c r="K219" s="19" t="n"/>
      <c r="L219" s="125" t="n"/>
      <c r="M219" s="88">
        <f>IF($D219="","",IFERROR(VLOOKUP($H219,Lists!$N$2:$O$6,2,FALSE),0))</f>
        <v/>
      </c>
      <c r="N219" s="88">
        <f>IF($D219="","",IF(OR($E219="Blocked",$E219="Done",$E219="Archive"),-9999,IF(AND($E219="Waiting",SUMPRODUCT((($E$5:$E$500="Next")+($E$5:$E$500="In Progress")+($E$5:$E$500="Captured"))*($D$5:$D$500&lt;&gt;""))&gt;0),-500,VLOOKUP($F219,Lists!$L$2:$M$4,2,FALSE)+IF($E219="In Progress",10,0)+IF(AND($I219&lt;&gt;"",$I219&lt;TODAY()),25,0)+IF(AND($I219&lt;&gt;"",$I219&gt;=TODAY(),$I219&lt;=TODAY()+7),15,0)+IF($H219="",0,IF($M219&lt;=VLOOKUP(Home!$C$7,Lists!$N$2:$O$6,2,FALSE),20,-10))+IF($G219=Home!$E$7,15,IF(Home!$E$7="",0,-5))-ROW()/100000)))</f>
        <v/>
      </c>
      <c r="O219" s="88">
        <f>IF($D219="","",IF($N219&lt;=-500,"Not recommended right now",IF($E219="Waiting","Nothing else actionable right now — Waiting on: "&amp;IF($K219="","this item",$K219),TEXTJOIN(" • ",TRUE,IF($F219="High","High Priority",""),IF(AND($I219&lt;&gt;"",$I219&lt;TODAY()),"Overdue",""),IF(AND($I219&lt;&gt;"",$I219&gt;=TODAY(),$I219&lt;=TODAY()+7),"Due This Week",""),IF(AND($H219&lt;&gt;"",$M219&lt;=VLOOKUP(Home!$C$7,Lists!$N$2:$O$6,2,FALSE)),$H219&amp;" Task",""),IF($G219=Home!$E$7,"Fits Current Energy",""),"No Blockers"))))</f>
        <v/>
      </c>
      <c r="P219" s="88">
        <f>IF($D219="","",SWITCH('Task Finder'!$C$6,"High Priority",AND($F219="High",$E219&lt;&gt;"Done",$E219&lt;&gt;"Archive"),"Due This Week",AND($I219&lt;&gt;"",$I219&gt;=TODAY(),$I219&lt;=TODAY()+7,$E219&lt;&gt;"Done"),"Quick Wins (15 mins or less)",AND($M219&lt;=15,$E219&lt;&gt;"Done",$E219&lt;&gt;"Blocked"),"Deep Thinking",AND($G219="Deep Thinking",$E219&lt;&gt;"Done"),"Processing",AND($G219="Processing",$E219&lt;&gt;"Done"),"Blocked",$E219="Blocked","Waiting",$E219="Waiting","Recently Updated",AND($L219&lt;&gt;"",$L219&gt;=TODAY()-7),"Keyword",AND('Task Finder'!$C$7&lt;&gt;"",OR(ISNUMBER(SEARCH('Task Finder'!$C$7,$A219)),ISNUMBER(SEARCH('Task Finder'!$C$7,$B219)),ISNUMBER(SEARCH('Task Finder'!$C$7,$C219)),ISNUMBER(SEARCH('Task Finder'!$C$7,$D219)),ISNUMBER(SEARCH('Task Finder'!$C$7,$K219)))),TRUE))</f>
        <v/>
      </c>
    </row>
    <row r="220">
      <c r="A220" s="19" t="n"/>
      <c r="B220" s="19" t="n"/>
      <c r="C220" s="19" t="n"/>
      <c r="D220" s="19" t="n"/>
      <c r="E220" s="19" t="n"/>
      <c r="F220" s="19" t="n"/>
      <c r="G220" s="19" t="n"/>
      <c r="H220" s="19" t="n"/>
      <c r="I220" s="19" t="n"/>
      <c r="J220" s="19" t="n"/>
      <c r="K220" s="19" t="n"/>
      <c r="L220" s="125" t="n"/>
      <c r="M220" s="88">
        <f>IF($D220="","",IFERROR(VLOOKUP($H220,Lists!$N$2:$O$6,2,FALSE),0))</f>
        <v/>
      </c>
      <c r="N220" s="88">
        <f>IF($D220="","",IF(OR($E220="Blocked",$E220="Done",$E220="Archive"),-9999,IF(AND($E220="Waiting",SUMPRODUCT((($E$5:$E$500="Next")+($E$5:$E$500="In Progress")+($E$5:$E$500="Captured"))*($D$5:$D$500&lt;&gt;""))&gt;0),-500,VLOOKUP($F220,Lists!$L$2:$M$4,2,FALSE)+IF($E220="In Progress",10,0)+IF(AND($I220&lt;&gt;"",$I220&lt;TODAY()),25,0)+IF(AND($I220&lt;&gt;"",$I220&gt;=TODAY(),$I220&lt;=TODAY()+7),15,0)+IF($H220="",0,IF($M220&lt;=VLOOKUP(Home!$C$7,Lists!$N$2:$O$6,2,FALSE),20,-10))+IF($G220=Home!$E$7,15,IF(Home!$E$7="",0,-5))-ROW()/100000)))</f>
        <v/>
      </c>
      <c r="O220" s="88">
        <f>IF($D220="","",IF($N220&lt;=-500,"Not recommended right now",IF($E220="Waiting","Nothing else actionable right now — Waiting on: "&amp;IF($K220="","this item",$K220),TEXTJOIN(" • ",TRUE,IF($F220="High","High Priority",""),IF(AND($I220&lt;&gt;"",$I220&lt;TODAY()),"Overdue",""),IF(AND($I220&lt;&gt;"",$I220&gt;=TODAY(),$I220&lt;=TODAY()+7),"Due This Week",""),IF(AND($H220&lt;&gt;"",$M220&lt;=VLOOKUP(Home!$C$7,Lists!$N$2:$O$6,2,FALSE)),$H220&amp;" Task",""),IF($G220=Home!$E$7,"Fits Current Energy",""),"No Blockers"))))</f>
        <v/>
      </c>
      <c r="P220" s="88">
        <f>IF($D220="","",SWITCH('Task Finder'!$C$6,"High Priority",AND($F220="High",$E220&lt;&gt;"Done",$E220&lt;&gt;"Archive"),"Due This Week",AND($I220&lt;&gt;"",$I220&gt;=TODAY(),$I220&lt;=TODAY()+7,$E220&lt;&gt;"Done"),"Quick Wins (15 mins or less)",AND($M220&lt;=15,$E220&lt;&gt;"Done",$E220&lt;&gt;"Blocked"),"Deep Thinking",AND($G220="Deep Thinking",$E220&lt;&gt;"Done"),"Processing",AND($G220="Processing",$E220&lt;&gt;"Done"),"Blocked",$E220="Blocked","Waiting",$E220="Waiting","Recently Updated",AND($L220&lt;&gt;"",$L220&gt;=TODAY()-7),"Keyword",AND('Task Finder'!$C$7&lt;&gt;"",OR(ISNUMBER(SEARCH('Task Finder'!$C$7,$A220)),ISNUMBER(SEARCH('Task Finder'!$C$7,$B220)),ISNUMBER(SEARCH('Task Finder'!$C$7,$C220)),ISNUMBER(SEARCH('Task Finder'!$C$7,$D220)),ISNUMBER(SEARCH('Task Finder'!$C$7,$K220)))),TRUE))</f>
        <v/>
      </c>
    </row>
    <row r="221">
      <c r="A221" s="19" t="n"/>
      <c r="B221" s="19" t="n"/>
      <c r="C221" s="19" t="n"/>
      <c r="D221" s="19" t="n"/>
      <c r="E221" s="19" t="n"/>
      <c r="F221" s="19" t="n"/>
      <c r="G221" s="19" t="n"/>
      <c r="H221" s="19" t="n"/>
      <c r="I221" s="19" t="n"/>
      <c r="J221" s="19" t="n"/>
      <c r="K221" s="19" t="n"/>
      <c r="L221" s="125" t="n"/>
      <c r="M221" s="88">
        <f>IF($D221="","",IFERROR(VLOOKUP($H221,Lists!$N$2:$O$6,2,FALSE),0))</f>
        <v/>
      </c>
      <c r="N221" s="88">
        <f>IF($D221="","",IF(OR($E221="Blocked",$E221="Done",$E221="Archive"),-9999,IF(AND($E221="Waiting",SUMPRODUCT((($E$5:$E$500="Next")+($E$5:$E$500="In Progress")+($E$5:$E$500="Captured"))*($D$5:$D$500&lt;&gt;""))&gt;0),-500,VLOOKUP($F221,Lists!$L$2:$M$4,2,FALSE)+IF($E221="In Progress",10,0)+IF(AND($I221&lt;&gt;"",$I221&lt;TODAY()),25,0)+IF(AND($I221&lt;&gt;"",$I221&gt;=TODAY(),$I221&lt;=TODAY()+7),15,0)+IF($H221="",0,IF($M221&lt;=VLOOKUP(Home!$C$7,Lists!$N$2:$O$6,2,FALSE),20,-10))+IF($G221=Home!$E$7,15,IF(Home!$E$7="",0,-5))-ROW()/100000)))</f>
        <v/>
      </c>
      <c r="O221" s="88">
        <f>IF($D221="","",IF($N221&lt;=-500,"Not recommended right now",IF($E221="Waiting","Nothing else actionable right now — Waiting on: "&amp;IF($K221="","this item",$K221),TEXTJOIN(" • ",TRUE,IF($F221="High","High Priority",""),IF(AND($I221&lt;&gt;"",$I221&lt;TODAY()),"Overdue",""),IF(AND($I221&lt;&gt;"",$I221&gt;=TODAY(),$I221&lt;=TODAY()+7),"Due This Week",""),IF(AND($H221&lt;&gt;"",$M221&lt;=VLOOKUP(Home!$C$7,Lists!$N$2:$O$6,2,FALSE)),$H221&amp;" Task",""),IF($G221=Home!$E$7,"Fits Current Energy",""),"No Blockers"))))</f>
        <v/>
      </c>
      <c r="P221" s="88">
        <f>IF($D221="","",SWITCH('Task Finder'!$C$6,"High Priority",AND($F221="High",$E221&lt;&gt;"Done",$E221&lt;&gt;"Archive"),"Due This Week",AND($I221&lt;&gt;"",$I221&gt;=TODAY(),$I221&lt;=TODAY()+7,$E221&lt;&gt;"Done"),"Quick Wins (15 mins or less)",AND($M221&lt;=15,$E221&lt;&gt;"Done",$E221&lt;&gt;"Blocked"),"Deep Thinking",AND($G221="Deep Thinking",$E221&lt;&gt;"Done"),"Processing",AND($G221="Processing",$E221&lt;&gt;"Done"),"Blocked",$E221="Blocked","Waiting",$E221="Waiting","Recently Updated",AND($L221&lt;&gt;"",$L221&gt;=TODAY()-7),"Keyword",AND('Task Finder'!$C$7&lt;&gt;"",OR(ISNUMBER(SEARCH('Task Finder'!$C$7,$A221)),ISNUMBER(SEARCH('Task Finder'!$C$7,$B221)),ISNUMBER(SEARCH('Task Finder'!$C$7,$C221)),ISNUMBER(SEARCH('Task Finder'!$C$7,$D221)),ISNUMBER(SEARCH('Task Finder'!$C$7,$K221)))),TRUE))</f>
        <v/>
      </c>
    </row>
    <row r="222">
      <c r="A222" s="19" t="n"/>
      <c r="B222" s="19" t="n"/>
      <c r="C222" s="19" t="n"/>
      <c r="D222" s="19" t="n"/>
      <c r="E222" s="19" t="n"/>
      <c r="F222" s="19" t="n"/>
      <c r="G222" s="19" t="n"/>
      <c r="H222" s="19" t="n"/>
      <c r="I222" s="19" t="n"/>
      <c r="J222" s="19" t="n"/>
      <c r="K222" s="19" t="n"/>
      <c r="L222" s="125" t="n"/>
      <c r="M222" s="88">
        <f>IF($D222="","",IFERROR(VLOOKUP($H222,Lists!$N$2:$O$6,2,FALSE),0))</f>
        <v/>
      </c>
      <c r="N222" s="88">
        <f>IF($D222="","",IF(OR($E222="Blocked",$E222="Done",$E222="Archive"),-9999,IF(AND($E222="Waiting",SUMPRODUCT((($E$5:$E$500="Next")+($E$5:$E$500="In Progress")+($E$5:$E$500="Captured"))*($D$5:$D$500&lt;&gt;""))&gt;0),-500,VLOOKUP($F222,Lists!$L$2:$M$4,2,FALSE)+IF($E222="In Progress",10,0)+IF(AND($I222&lt;&gt;"",$I222&lt;TODAY()),25,0)+IF(AND($I222&lt;&gt;"",$I222&gt;=TODAY(),$I222&lt;=TODAY()+7),15,0)+IF($H222="",0,IF($M222&lt;=VLOOKUP(Home!$C$7,Lists!$N$2:$O$6,2,FALSE),20,-10))+IF($G222=Home!$E$7,15,IF(Home!$E$7="",0,-5))-ROW()/100000)))</f>
        <v/>
      </c>
      <c r="O222" s="88">
        <f>IF($D222="","",IF($N222&lt;=-500,"Not recommended right now",IF($E222="Waiting","Nothing else actionable right now — Waiting on: "&amp;IF($K222="","this item",$K222),TEXTJOIN(" • ",TRUE,IF($F222="High","High Priority",""),IF(AND($I222&lt;&gt;"",$I222&lt;TODAY()),"Overdue",""),IF(AND($I222&lt;&gt;"",$I222&gt;=TODAY(),$I222&lt;=TODAY()+7),"Due This Week",""),IF(AND($H222&lt;&gt;"",$M222&lt;=VLOOKUP(Home!$C$7,Lists!$N$2:$O$6,2,FALSE)),$H222&amp;" Task",""),IF($G222=Home!$E$7,"Fits Current Energy",""),"No Blockers"))))</f>
        <v/>
      </c>
      <c r="P222" s="88">
        <f>IF($D222="","",SWITCH('Task Finder'!$C$6,"High Priority",AND($F222="High",$E222&lt;&gt;"Done",$E222&lt;&gt;"Archive"),"Due This Week",AND($I222&lt;&gt;"",$I222&gt;=TODAY(),$I222&lt;=TODAY()+7,$E222&lt;&gt;"Done"),"Quick Wins (15 mins or less)",AND($M222&lt;=15,$E222&lt;&gt;"Done",$E222&lt;&gt;"Blocked"),"Deep Thinking",AND($G222="Deep Thinking",$E222&lt;&gt;"Done"),"Processing",AND($G222="Processing",$E222&lt;&gt;"Done"),"Blocked",$E222="Blocked","Waiting",$E222="Waiting","Recently Updated",AND($L222&lt;&gt;"",$L222&gt;=TODAY()-7),"Keyword",AND('Task Finder'!$C$7&lt;&gt;"",OR(ISNUMBER(SEARCH('Task Finder'!$C$7,$A222)),ISNUMBER(SEARCH('Task Finder'!$C$7,$B222)),ISNUMBER(SEARCH('Task Finder'!$C$7,$C222)),ISNUMBER(SEARCH('Task Finder'!$C$7,$D222)),ISNUMBER(SEARCH('Task Finder'!$C$7,$K222)))),TRUE))</f>
        <v/>
      </c>
    </row>
    <row r="223">
      <c r="A223" s="19" t="n"/>
      <c r="B223" s="19" t="n"/>
      <c r="C223" s="19" t="n"/>
      <c r="D223" s="19" t="n"/>
      <c r="E223" s="19" t="n"/>
      <c r="F223" s="19" t="n"/>
      <c r="G223" s="19" t="n"/>
      <c r="H223" s="19" t="n"/>
      <c r="I223" s="19" t="n"/>
      <c r="J223" s="19" t="n"/>
      <c r="K223" s="19" t="n"/>
      <c r="L223" s="125" t="n"/>
      <c r="M223" s="88">
        <f>IF($D223="","",IFERROR(VLOOKUP($H223,Lists!$N$2:$O$6,2,FALSE),0))</f>
        <v/>
      </c>
      <c r="N223" s="88">
        <f>IF($D223="","",IF(OR($E223="Blocked",$E223="Done",$E223="Archive"),-9999,IF(AND($E223="Waiting",SUMPRODUCT((($E$5:$E$500="Next")+($E$5:$E$500="In Progress")+($E$5:$E$500="Captured"))*($D$5:$D$500&lt;&gt;""))&gt;0),-500,VLOOKUP($F223,Lists!$L$2:$M$4,2,FALSE)+IF($E223="In Progress",10,0)+IF(AND($I223&lt;&gt;"",$I223&lt;TODAY()),25,0)+IF(AND($I223&lt;&gt;"",$I223&gt;=TODAY(),$I223&lt;=TODAY()+7),15,0)+IF($H223="",0,IF($M223&lt;=VLOOKUP(Home!$C$7,Lists!$N$2:$O$6,2,FALSE),20,-10))+IF($G223=Home!$E$7,15,IF(Home!$E$7="",0,-5))-ROW()/100000)))</f>
        <v/>
      </c>
      <c r="O223" s="88">
        <f>IF($D223="","",IF($N223&lt;=-500,"Not recommended right now",IF($E223="Waiting","Nothing else actionable right now — Waiting on: "&amp;IF($K223="","this item",$K223),TEXTJOIN(" • ",TRUE,IF($F223="High","High Priority",""),IF(AND($I223&lt;&gt;"",$I223&lt;TODAY()),"Overdue",""),IF(AND($I223&lt;&gt;"",$I223&gt;=TODAY(),$I223&lt;=TODAY()+7),"Due This Week",""),IF(AND($H223&lt;&gt;"",$M223&lt;=VLOOKUP(Home!$C$7,Lists!$N$2:$O$6,2,FALSE)),$H223&amp;" Task",""),IF($G223=Home!$E$7,"Fits Current Energy",""),"No Blockers"))))</f>
        <v/>
      </c>
      <c r="P223" s="88">
        <f>IF($D223="","",SWITCH('Task Finder'!$C$6,"High Priority",AND($F223="High",$E223&lt;&gt;"Done",$E223&lt;&gt;"Archive"),"Due This Week",AND($I223&lt;&gt;"",$I223&gt;=TODAY(),$I223&lt;=TODAY()+7,$E223&lt;&gt;"Done"),"Quick Wins (15 mins or less)",AND($M223&lt;=15,$E223&lt;&gt;"Done",$E223&lt;&gt;"Blocked"),"Deep Thinking",AND($G223="Deep Thinking",$E223&lt;&gt;"Done"),"Processing",AND($G223="Processing",$E223&lt;&gt;"Done"),"Blocked",$E223="Blocked","Waiting",$E223="Waiting","Recently Updated",AND($L223&lt;&gt;"",$L223&gt;=TODAY()-7),"Keyword",AND('Task Finder'!$C$7&lt;&gt;"",OR(ISNUMBER(SEARCH('Task Finder'!$C$7,$A223)),ISNUMBER(SEARCH('Task Finder'!$C$7,$B223)),ISNUMBER(SEARCH('Task Finder'!$C$7,$C223)),ISNUMBER(SEARCH('Task Finder'!$C$7,$D223)),ISNUMBER(SEARCH('Task Finder'!$C$7,$K223)))),TRUE))</f>
        <v/>
      </c>
    </row>
    <row r="224">
      <c r="A224" s="19" t="n"/>
      <c r="B224" s="19" t="n"/>
      <c r="C224" s="19" t="n"/>
      <c r="D224" s="19" t="n"/>
      <c r="E224" s="19" t="n"/>
      <c r="F224" s="19" t="n"/>
      <c r="G224" s="19" t="n"/>
      <c r="H224" s="19" t="n"/>
      <c r="I224" s="19" t="n"/>
      <c r="J224" s="19" t="n"/>
      <c r="K224" s="19" t="n"/>
      <c r="L224" s="125" t="n"/>
      <c r="M224" s="88">
        <f>IF($D224="","",IFERROR(VLOOKUP($H224,Lists!$N$2:$O$6,2,FALSE),0))</f>
        <v/>
      </c>
      <c r="N224" s="88">
        <f>IF($D224="","",IF(OR($E224="Blocked",$E224="Done",$E224="Archive"),-9999,IF(AND($E224="Waiting",SUMPRODUCT((($E$5:$E$500="Next")+($E$5:$E$500="In Progress")+($E$5:$E$500="Captured"))*($D$5:$D$500&lt;&gt;""))&gt;0),-500,VLOOKUP($F224,Lists!$L$2:$M$4,2,FALSE)+IF($E224="In Progress",10,0)+IF(AND($I224&lt;&gt;"",$I224&lt;TODAY()),25,0)+IF(AND($I224&lt;&gt;"",$I224&gt;=TODAY(),$I224&lt;=TODAY()+7),15,0)+IF($H224="",0,IF($M224&lt;=VLOOKUP(Home!$C$7,Lists!$N$2:$O$6,2,FALSE),20,-10))+IF($G224=Home!$E$7,15,IF(Home!$E$7="",0,-5))-ROW()/100000)))</f>
        <v/>
      </c>
      <c r="O224" s="88">
        <f>IF($D224="","",IF($N224&lt;=-500,"Not recommended right now",IF($E224="Waiting","Nothing else actionable right now — Waiting on: "&amp;IF($K224="","this item",$K224),TEXTJOIN(" • ",TRUE,IF($F224="High","High Priority",""),IF(AND($I224&lt;&gt;"",$I224&lt;TODAY()),"Overdue",""),IF(AND($I224&lt;&gt;"",$I224&gt;=TODAY(),$I224&lt;=TODAY()+7),"Due This Week",""),IF(AND($H224&lt;&gt;"",$M224&lt;=VLOOKUP(Home!$C$7,Lists!$N$2:$O$6,2,FALSE)),$H224&amp;" Task",""),IF($G224=Home!$E$7,"Fits Current Energy",""),"No Blockers"))))</f>
        <v/>
      </c>
      <c r="P224" s="88">
        <f>IF($D224="","",SWITCH('Task Finder'!$C$6,"High Priority",AND($F224="High",$E224&lt;&gt;"Done",$E224&lt;&gt;"Archive"),"Due This Week",AND($I224&lt;&gt;"",$I224&gt;=TODAY(),$I224&lt;=TODAY()+7,$E224&lt;&gt;"Done"),"Quick Wins (15 mins or less)",AND($M224&lt;=15,$E224&lt;&gt;"Done",$E224&lt;&gt;"Blocked"),"Deep Thinking",AND($G224="Deep Thinking",$E224&lt;&gt;"Done"),"Processing",AND($G224="Processing",$E224&lt;&gt;"Done"),"Blocked",$E224="Blocked","Waiting",$E224="Waiting","Recently Updated",AND($L224&lt;&gt;"",$L224&gt;=TODAY()-7),"Keyword",AND('Task Finder'!$C$7&lt;&gt;"",OR(ISNUMBER(SEARCH('Task Finder'!$C$7,$A224)),ISNUMBER(SEARCH('Task Finder'!$C$7,$B224)),ISNUMBER(SEARCH('Task Finder'!$C$7,$C224)),ISNUMBER(SEARCH('Task Finder'!$C$7,$D224)),ISNUMBER(SEARCH('Task Finder'!$C$7,$K224)))),TRUE))</f>
        <v/>
      </c>
    </row>
    <row r="225">
      <c r="A225" s="19" t="n"/>
      <c r="B225" s="19" t="n"/>
      <c r="C225" s="19" t="n"/>
      <c r="D225" s="19" t="n"/>
      <c r="E225" s="19" t="n"/>
      <c r="F225" s="19" t="n"/>
      <c r="G225" s="19" t="n"/>
      <c r="H225" s="19" t="n"/>
      <c r="I225" s="19" t="n"/>
      <c r="J225" s="19" t="n"/>
      <c r="K225" s="19" t="n"/>
      <c r="L225" s="125" t="n"/>
      <c r="M225" s="88">
        <f>IF($D225="","",IFERROR(VLOOKUP($H225,Lists!$N$2:$O$6,2,FALSE),0))</f>
        <v/>
      </c>
      <c r="N225" s="88">
        <f>IF($D225="","",IF(OR($E225="Blocked",$E225="Done",$E225="Archive"),-9999,IF(AND($E225="Waiting",SUMPRODUCT((($E$5:$E$500="Next")+($E$5:$E$500="In Progress")+($E$5:$E$500="Captured"))*($D$5:$D$500&lt;&gt;""))&gt;0),-500,VLOOKUP($F225,Lists!$L$2:$M$4,2,FALSE)+IF($E225="In Progress",10,0)+IF(AND($I225&lt;&gt;"",$I225&lt;TODAY()),25,0)+IF(AND($I225&lt;&gt;"",$I225&gt;=TODAY(),$I225&lt;=TODAY()+7),15,0)+IF($H225="",0,IF($M225&lt;=VLOOKUP(Home!$C$7,Lists!$N$2:$O$6,2,FALSE),20,-10))+IF($G225=Home!$E$7,15,IF(Home!$E$7="",0,-5))-ROW()/100000)))</f>
        <v/>
      </c>
      <c r="O225" s="88">
        <f>IF($D225="","",IF($N225&lt;=-500,"Not recommended right now",IF($E225="Waiting","Nothing else actionable right now — Waiting on: "&amp;IF($K225="","this item",$K225),TEXTJOIN(" • ",TRUE,IF($F225="High","High Priority",""),IF(AND($I225&lt;&gt;"",$I225&lt;TODAY()),"Overdue",""),IF(AND($I225&lt;&gt;"",$I225&gt;=TODAY(),$I225&lt;=TODAY()+7),"Due This Week",""),IF(AND($H225&lt;&gt;"",$M225&lt;=VLOOKUP(Home!$C$7,Lists!$N$2:$O$6,2,FALSE)),$H225&amp;" Task",""),IF($G225=Home!$E$7,"Fits Current Energy",""),"No Blockers"))))</f>
        <v/>
      </c>
      <c r="P225" s="88">
        <f>IF($D225="","",SWITCH('Task Finder'!$C$6,"High Priority",AND($F225="High",$E225&lt;&gt;"Done",$E225&lt;&gt;"Archive"),"Due This Week",AND($I225&lt;&gt;"",$I225&gt;=TODAY(),$I225&lt;=TODAY()+7,$E225&lt;&gt;"Done"),"Quick Wins (15 mins or less)",AND($M225&lt;=15,$E225&lt;&gt;"Done",$E225&lt;&gt;"Blocked"),"Deep Thinking",AND($G225="Deep Thinking",$E225&lt;&gt;"Done"),"Processing",AND($G225="Processing",$E225&lt;&gt;"Done"),"Blocked",$E225="Blocked","Waiting",$E225="Waiting","Recently Updated",AND($L225&lt;&gt;"",$L225&gt;=TODAY()-7),"Keyword",AND('Task Finder'!$C$7&lt;&gt;"",OR(ISNUMBER(SEARCH('Task Finder'!$C$7,$A225)),ISNUMBER(SEARCH('Task Finder'!$C$7,$B225)),ISNUMBER(SEARCH('Task Finder'!$C$7,$C225)),ISNUMBER(SEARCH('Task Finder'!$C$7,$D225)),ISNUMBER(SEARCH('Task Finder'!$C$7,$K225)))),TRUE))</f>
        <v/>
      </c>
    </row>
    <row r="226">
      <c r="A226" s="19" t="n"/>
      <c r="B226" s="19" t="n"/>
      <c r="C226" s="19" t="n"/>
      <c r="D226" s="19" t="n"/>
      <c r="E226" s="19" t="n"/>
      <c r="F226" s="19" t="n"/>
      <c r="G226" s="19" t="n"/>
      <c r="H226" s="19" t="n"/>
      <c r="I226" s="19" t="n"/>
      <c r="J226" s="19" t="n"/>
      <c r="K226" s="19" t="n"/>
      <c r="L226" s="125" t="n"/>
      <c r="M226" s="88">
        <f>IF($D226="","",IFERROR(VLOOKUP($H226,Lists!$N$2:$O$6,2,FALSE),0))</f>
        <v/>
      </c>
      <c r="N226" s="88">
        <f>IF($D226="","",IF(OR($E226="Blocked",$E226="Done",$E226="Archive"),-9999,IF(AND($E226="Waiting",SUMPRODUCT((($E$5:$E$500="Next")+($E$5:$E$500="In Progress")+($E$5:$E$500="Captured"))*($D$5:$D$500&lt;&gt;""))&gt;0),-500,VLOOKUP($F226,Lists!$L$2:$M$4,2,FALSE)+IF($E226="In Progress",10,0)+IF(AND($I226&lt;&gt;"",$I226&lt;TODAY()),25,0)+IF(AND($I226&lt;&gt;"",$I226&gt;=TODAY(),$I226&lt;=TODAY()+7),15,0)+IF($H226="",0,IF($M226&lt;=VLOOKUP(Home!$C$7,Lists!$N$2:$O$6,2,FALSE),20,-10))+IF($G226=Home!$E$7,15,IF(Home!$E$7="",0,-5))-ROW()/100000)))</f>
        <v/>
      </c>
      <c r="O226" s="88">
        <f>IF($D226="","",IF($N226&lt;=-500,"Not recommended right now",IF($E226="Waiting","Nothing else actionable right now — Waiting on: "&amp;IF($K226="","this item",$K226),TEXTJOIN(" • ",TRUE,IF($F226="High","High Priority",""),IF(AND($I226&lt;&gt;"",$I226&lt;TODAY()),"Overdue",""),IF(AND($I226&lt;&gt;"",$I226&gt;=TODAY(),$I226&lt;=TODAY()+7),"Due This Week",""),IF(AND($H226&lt;&gt;"",$M226&lt;=VLOOKUP(Home!$C$7,Lists!$N$2:$O$6,2,FALSE)),$H226&amp;" Task",""),IF($G226=Home!$E$7,"Fits Current Energy",""),"No Blockers"))))</f>
        <v/>
      </c>
      <c r="P226" s="88">
        <f>IF($D226="","",SWITCH('Task Finder'!$C$6,"High Priority",AND($F226="High",$E226&lt;&gt;"Done",$E226&lt;&gt;"Archive"),"Due This Week",AND($I226&lt;&gt;"",$I226&gt;=TODAY(),$I226&lt;=TODAY()+7,$E226&lt;&gt;"Done"),"Quick Wins (15 mins or less)",AND($M226&lt;=15,$E226&lt;&gt;"Done",$E226&lt;&gt;"Blocked"),"Deep Thinking",AND($G226="Deep Thinking",$E226&lt;&gt;"Done"),"Processing",AND($G226="Processing",$E226&lt;&gt;"Done"),"Blocked",$E226="Blocked","Waiting",$E226="Waiting","Recently Updated",AND($L226&lt;&gt;"",$L226&gt;=TODAY()-7),"Keyword",AND('Task Finder'!$C$7&lt;&gt;"",OR(ISNUMBER(SEARCH('Task Finder'!$C$7,$A226)),ISNUMBER(SEARCH('Task Finder'!$C$7,$B226)),ISNUMBER(SEARCH('Task Finder'!$C$7,$C226)),ISNUMBER(SEARCH('Task Finder'!$C$7,$D226)),ISNUMBER(SEARCH('Task Finder'!$C$7,$K226)))),TRUE))</f>
        <v/>
      </c>
    </row>
    <row r="227">
      <c r="A227" s="19" t="n"/>
      <c r="B227" s="19" t="n"/>
      <c r="C227" s="19" t="n"/>
      <c r="D227" s="19" t="n"/>
      <c r="E227" s="19" t="n"/>
      <c r="F227" s="19" t="n"/>
      <c r="G227" s="19" t="n"/>
      <c r="H227" s="19" t="n"/>
      <c r="I227" s="19" t="n"/>
      <c r="J227" s="19" t="n"/>
      <c r="K227" s="19" t="n"/>
      <c r="L227" s="125" t="n"/>
      <c r="M227" s="88">
        <f>IF($D227="","",IFERROR(VLOOKUP($H227,Lists!$N$2:$O$6,2,FALSE),0))</f>
        <v/>
      </c>
      <c r="N227" s="88">
        <f>IF($D227="","",IF(OR($E227="Blocked",$E227="Done",$E227="Archive"),-9999,IF(AND($E227="Waiting",SUMPRODUCT((($E$5:$E$500="Next")+($E$5:$E$500="In Progress")+($E$5:$E$500="Captured"))*($D$5:$D$500&lt;&gt;""))&gt;0),-500,VLOOKUP($F227,Lists!$L$2:$M$4,2,FALSE)+IF($E227="In Progress",10,0)+IF(AND($I227&lt;&gt;"",$I227&lt;TODAY()),25,0)+IF(AND($I227&lt;&gt;"",$I227&gt;=TODAY(),$I227&lt;=TODAY()+7),15,0)+IF($H227="",0,IF($M227&lt;=VLOOKUP(Home!$C$7,Lists!$N$2:$O$6,2,FALSE),20,-10))+IF($G227=Home!$E$7,15,IF(Home!$E$7="",0,-5))-ROW()/100000)))</f>
        <v/>
      </c>
      <c r="O227" s="88">
        <f>IF($D227="","",IF($N227&lt;=-500,"Not recommended right now",IF($E227="Waiting","Nothing else actionable right now — Waiting on: "&amp;IF($K227="","this item",$K227),TEXTJOIN(" • ",TRUE,IF($F227="High","High Priority",""),IF(AND($I227&lt;&gt;"",$I227&lt;TODAY()),"Overdue",""),IF(AND($I227&lt;&gt;"",$I227&gt;=TODAY(),$I227&lt;=TODAY()+7),"Due This Week",""),IF(AND($H227&lt;&gt;"",$M227&lt;=VLOOKUP(Home!$C$7,Lists!$N$2:$O$6,2,FALSE)),$H227&amp;" Task",""),IF($G227=Home!$E$7,"Fits Current Energy",""),"No Blockers"))))</f>
        <v/>
      </c>
      <c r="P227" s="88">
        <f>IF($D227="","",SWITCH('Task Finder'!$C$6,"High Priority",AND($F227="High",$E227&lt;&gt;"Done",$E227&lt;&gt;"Archive"),"Due This Week",AND($I227&lt;&gt;"",$I227&gt;=TODAY(),$I227&lt;=TODAY()+7,$E227&lt;&gt;"Done"),"Quick Wins (15 mins or less)",AND($M227&lt;=15,$E227&lt;&gt;"Done",$E227&lt;&gt;"Blocked"),"Deep Thinking",AND($G227="Deep Thinking",$E227&lt;&gt;"Done"),"Processing",AND($G227="Processing",$E227&lt;&gt;"Done"),"Blocked",$E227="Blocked","Waiting",$E227="Waiting","Recently Updated",AND($L227&lt;&gt;"",$L227&gt;=TODAY()-7),"Keyword",AND('Task Finder'!$C$7&lt;&gt;"",OR(ISNUMBER(SEARCH('Task Finder'!$C$7,$A227)),ISNUMBER(SEARCH('Task Finder'!$C$7,$B227)),ISNUMBER(SEARCH('Task Finder'!$C$7,$C227)),ISNUMBER(SEARCH('Task Finder'!$C$7,$D227)),ISNUMBER(SEARCH('Task Finder'!$C$7,$K227)))),TRUE))</f>
        <v/>
      </c>
    </row>
    <row r="228">
      <c r="A228" s="19" t="n"/>
      <c r="B228" s="19" t="n"/>
      <c r="C228" s="19" t="n"/>
      <c r="D228" s="19" t="n"/>
      <c r="E228" s="19" t="n"/>
      <c r="F228" s="19" t="n"/>
      <c r="G228" s="19" t="n"/>
      <c r="H228" s="19" t="n"/>
      <c r="I228" s="19" t="n"/>
      <c r="J228" s="19" t="n"/>
      <c r="K228" s="19" t="n"/>
      <c r="L228" s="125" t="n"/>
      <c r="M228" s="88">
        <f>IF($D228="","",IFERROR(VLOOKUP($H228,Lists!$N$2:$O$6,2,FALSE),0))</f>
        <v/>
      </c>
      <c r="N228" s="88">
        <f>IF($D228="","",IF(OR($E228="Blocked",$E228="Done",$E228="Archive"),-9999,IF(AND($E228="Waiting",SUMPRODUCT((($E$5:$E$500="Next")+($E$5:$E$500="In Progress")+($E$5:$E$500="Captured"))*($D$5:$D$500&lt;&gt;""))&gt;0),-500,VLOOKUP($F228,Lists!$L$2:$M$4,2,FALSE)+IF($E228="In Progress",10,0)+IF(AND($I228&lt;&gt;"",$I228&lt;TODAY()),25,0)+IF(AND($I228&lt;&gt;"",$I228&gt;=TODAY(),$I228&lt;=TODAY()+7),15,0)+IF($H228="",0,IF($M228&lt;=VLOOKUP(Home!$C$7,Lists!$N$2:$O$6,2,FALSE),20,-10))+IF($G228=Home!$E$7,15,IF(Home!$E$7="",0,-5))-ROW()/100000)))</f>
        <v/>
      </c>
      <c r="O228" s="88">
        <f>IF($D228="","",IF($N228&lt;=-500,"Not recommended right now",IF($E228="Waiting","Nothing else actionable right now — Waiting on: "&amp;IF($K228="","this item",$K228),TEXTJOIN(" • ",TRUE,IF($F228="High","High Priority",""),IF(AND($I228&lt;&gt;"",$I228&lt;TODAY()),"Overdue",""),IF(AND($I228&lt;&gt;"",$I228&gt;=TODAY(),$I228&lt;=TODAY()+7),"Due This Week",""),IF(AND($H228&lt;&gt;"",$M228&lt;=VLOOKUP(Home!$C$7,Lists!$N$2:$O$6,2,FALSE)),$H228&amp;" Task",""),IF($G228=Home!$E$7,"Fits Current Energy",""),"No Blockers"))))</f>
        <v/>
      </c>
      <c r="P228" s="88">
        <f>IF($D228="","",SWITCH('Task Finder'!$C$6,"High Priority",AND($F228="High",$E228&lt;&gt;"Done",$E228&lt;&gt;"Archive"),"Due This Week",AND($I228&lt;&gt;"",$I228&gt;=TODAY(),$I228&lt;=TODAY()+7,$E228&lt;&gt;"Done"),"Quick Wins (15 mins or less)",AND($M228&lt;=15,$E228&lt;&gt;"Done",$E228&lt;&gt;"Blocked"),"Deep Thinking",AND($G228="Deep Thinking",$E228&lt;&gt;"Done"),"Processing",AND($G228="Processing",$E228&lt;&gt;"Done"),"Blocked",$E228="Blocked","Waiting",$E228="Waiting","Recently Updated",AND($L228&lt;&gt;"",$L228&gt;=TODAY()-7),"Keyword",AND('Task Finder'!$C$7&lt;&gt;"",OR(ISNUMBER(SEARCH('Task Finder'!$C$7,$A228)),ISNUMBER(SEARCH('Task Finder'!$C$7,$B228)),ISNUMBER(SEARCH('Task Finder'!$C$7,$C228)),ISNUMBER(SEARCH('Task Finder'!$C$7,$D228)),ISNUMBER(SEARCH('Task Finder'!$C$7,$K228)))),TRUE))</f>
        <v/>
      </c>
    </row>
    <row r="229">
      <c r="A229" s="19" t="n"/>
      <c r="B229" s="19" t="n"/>
      <c r="C229" s="19" t="n"/>
      <c r="D229" s="19" t="n"/>
      <c r="E229" s="19" t="n"/>
      <c r="F229" s="19" t="n"/>
      <c r="G229" s="19" t="n"/>
      <c r="H229" s="19" t="n"/>
      <c r="I229" s="19" t="n"/>
      <c r="J229" s="19" t="n"/>
      <c r="K229" s="19" t="n"/>
      <c r="L229" s="125" t="n"/>
      <c r="M229" s="88">
        <f>IF($D229="","",IFERROR(VLOOKUP($H229,Lists!$N$2:$O$6,2,FALSE),0))</f>
        <v/>
      </c>
      <c r="N229" s="88">
        <f>IF($D229="","",IF(OR($E229="Blocked",$E229="Done",$E229="Archive"),-9999,IF(AND($E229="Waiting",SUMPRODUCT((($E$5:$E$500="Next")+($E$5:$E$500="In Progress")+($E$5:$E$500="Captured"))*($D$5:$D$500&lt;&gt;""))&gt;0),-500,VLOOKUP($F229,Lists!$L$2:$M$4,2,FALSE)+IF($E229="In Progress",10,0)+IF(AND($I229&lt;&gt;"",$I229&lt;TODAY()),25,0)+IF(AND($I229&lt;&gt;"",$I229&gt;=TODAY(),$I229&lt;=TODAY()+7),15,0)+IF($H229="",0,IF($M229&lt;=VLOOKUP(Home!$C$7,Lists!$N$2:$O$6,2,FALSE),20,-10))+IF($G229=Home!$E$7,15,IF(Home!$E$7="",0,-5))-ROW()/100000)))</f>
        <v/>
      </c>
      <c r="O229" s="88">
        <f>IF($D229="","",IF($N229&lt;=-500,"Not recommended right now",IF($E229="Waiting","Nothing else actionable right now — Waiting on: "&amp;IF($K229="","this item",$K229),TEXTJOIN(" • ",TRUE,IF($F229="High","High Priority",""),IF(AND($I229&lt;&gt;"",$I229&lt;TODAY()),"Overdue",""),IF(AND($I229&lt;&gt;"",$I229&gt;=TODAY(),$I229&lt;=TODAY()+7),"Due This Week",""),IF(AND($H229&lt;&gt;"",$M229&lt;=VLOOKUP(Home!$C$7,Lists!$N$2:$O$6,2,FALSE)),$H229&amp;" Task",""),IF($G229=Home!$E$7,"Fits Current Energy",""),"No Blockers"))))</f>
        <v/>
      </c>
      <c r="P229" s="88">
        <f>IF($D229="","",SWITCH('Task Finder'!$C$6,"High Priority",AND($F229="High",$E229&lt;&gt;"Done",$E229&lt;&gt;"Archive"),"Due This Week",AND($I229&lt;&gt;"",$I229&gt;=TODAY(),$I229&lt;=TODAY()+7,$E229&lt;&gt;"Done"),"Quick Wins (15 mins or less)",AND($M229&lt;=15,$E229&lt;&gt;"Done",$E229&lt;&gt;"Blocked"),"Deep Thinking",AND($G229="Deep Thinking",$E229&lt;&gt;"Done"),"Processing",AND($G229="Processing",$E229&lt;&gt;"Done"),"Blocked",$E229="Blocked","Waiting",$E229="Waiting","Recently Updated",AND($L229&lt;&gt;"",$L229&gt;=TODAY()-7),"Keyword",AND('Task Finder'!$C$7&lt;&gt;"",OR(ISNUMBER(SEARCH('Task Finder'!$C$7,$A229)),ISNUMBER(SEARCH('Task Finder'!$C$7,$B229)),ISNUMBER(SEARCH('Task Finder'!$C$7,$C229)),ISNUMBER(SEARCH('Task Finder'!$C$7,$D229)),ISNUMBER(SEARCH('Task Finder'!$C$7,$K229)))),TRUE))</f>
        <v/>
      </c>
    </row>
    <row r="230">
      <c r="A230" s="19" t="n"/>
      <c r="B230" s="19" t="n"/>
      <c r="C230" s="19" t="n"/>
      <c r="D230" s="19" t="n"/>
      <c r="E230" s="19" t="n"/>
      <c r="F230" s="19" t="n"/>
      <c r="G230" s="19" t="n"/>
      <c r="H230" s="19" t="n"/>
      <c r="I230" s="19" t="n"/>
      <c r="J230" s="19" t="n"/>
      <c r="K230" s="19" t="n"/>
      <c r="L230" s="125" t="n"/>
      <c r="M230" s="88">
        <f>IF($D230="","",IFERROR(VLOOKUP($H230,Lists!$N$2:$O$6,2,FALSE),0))</f>
        <v/>
      </c>
      <c r="N230" s="88">
        <f>IF($D230="","",IF(OR($E230="Blocked",$E230="Done",$E230="Archive"),-9999,IF(AND($E230="Waiting",SUMPRODUCT((($E$5:$E$500="Next")+($E$5:$E$500="In Progress")+($E$5:$E$500="Captured"))*($D$5:$D$500&lt;&gt;""))&gt;0),-500,VLOOKUP($F230,Lists!$L$2:$M$4,2,FALSE)+IF($E230="In Progress",10,0)+IF(AND($I230&lt;&gt;"",$I230&lt;TODAY()),25,0)+IF(AND($I230&lt;&gt;"",$I230&gt;=TODAY(),$I230&lt;=TODAY()+7),15,0)+IF($H230="",0,IF($M230&lt;=VLOOKUP(Home!$C$7,Lists!$N$2:$O$6,2,FALSE),20,-10))+IF($G230=Home!$E$7,15,IF(Home!$E$7="",0,-5))-ROW()/100000)))</f>
        <v/>
      </c>
      <c r="O230" s="88">
        <f>IF($D230="","",IF($N230&lt;=-500,"Not recommended right now",IF($E230="Waiting","Nothing else actionable right now — Waiting on: "&amp;IF($K230="","this item",$K230),TEXTJOIN(" • ",TRUE,IF($F230="High","High Priority",""),IF(AND($I230&lt;&gt;"",$I230&lt;TODAY()),"Overdue",""),IF(AND($I230&lt;&gt;"",$I230&gt;=TODAY(),$I230&lt;=TODAY()+7),"Due This Week",""),IF(AND($H230&lt;&gt;"",$M230&lt;=VLOOKUP(Home!$C$7,Lists!$N$2:$O$6,2,FALSE)),$H230&amp;" Task",""),IF($G230=Home!$E$7,"Fits Current Energy",""),"No Blockers"))))</f>
        <v/>
      </c>
      <c r="P230" s="88">
        <f>IF($D230="","",SWITCH('Task Finder'!$C$6,"High Priority",AND($F230="High",$E230&lt;&gt;"Done",$E230&lt;&gt;"Archive"),"Due This Week",AND($I230&lt;&gt;"",$I230&gt;=TODAY(),$I230&lt;=TODAY()+7,$E230&lt;&gt;"Done"),"Quick Wins (15 mins or less)",AND($M230&lt;=15,$E230&lt;&gt;"Done",$E230&lt;&gt;"Blocked"),"Deep Thinking",AND($G230="Deep Thinking",$E230&lt;&gt;"Done"),"Processing",AND($G230="Processing",$E230&lt;&gt;"Done"),"Blocked",$E230="Blocked","Waiting",$E230="Waiting","Recently Updated",AND($L230&lt;&gt;"",$L230&gt;=TODAY()-7),"Keyword",AND('Task Finder'!$C$7&lt;&gt;"",OR(ISNUMBER(SEARCH('Task Finder'!$C$7,$A230)),ISNUMBER(SEARCH('Task Finder'!$C$7,$B230)),ISNUMBER(SEARCH('Task Finder'!$C$7,$C230)),ISNUMBER(SEARCH('Task Finder'!$C$7,$D230)),ISNUMBER(SEARCH('Task Finder'!$C$7,$K230)))),TRUE))</f>
        <v/>
      </c>
    </row>
    <row r="231">
      <c r="A231" s="19" t="n"/>
      <c r="B231" s="19" t="n"/>
      <c r="C231" s="19" t="n"/>
      <c r="D231" s="19" t="n"/>
      <c r="E231" s="19" t="n"/>
      <c r="F231" s="19" t="n"/>
      <c r="G231" s="19" t="n"/>
      <c r="H231" s="19" t="n"/>
      <c r="I231" s="19" t="n"/>
      <c r="J231" s="19" t="n"/>
      <c r="K231" s="19" t="n"/>
      <c r="L231" s="125" t="n"/>
      <c r="M231" s="88">
        <f>IF($D231="","",IFERROR(VLOOKUP($H231,Lists!$N$2:$O$6,2,FALSE),0))</f>
        <v/>
      </c>
      <c r="N231" s="88">
        <f>IF($D231="","",IF(OR($E231="Blocked",$E231="Done",$E231="Archive"),-9999,IF(AND($E231="Waiting",SUMPRODUCT((($E$5:$E$500="Next")+($E$5:$E$500="In Progress")+($E$5:$E$500="Captured"))*($D$5:$D$500&lt;&gt;""))&gt;0),-500,VLOOKUP($F231,Lists!$L$2:$M$4,2,FALSE)+IF($E231="In Progress",10,0)+IF(AND($I231&lt;&gt;"",$I231&lt;TODAY()),25,0)+IF(AND($I231&lt;&gt;"",$I231&gt;=TODAY(),$I231&lt;=TODAY()+7),15,0)+IF($H231="",0,IF($M231&lt;=VLOOKUP(Home!$C$7,Lists!$N$2:$O$6,2,FALSE),20,-10))+IF($G231=Home!$E$7,15,IF(Home!$E$7="",0,-5))-ROW()/100000)))</f>
        <v/>
      </c>
      <c r="O231" s="88">
        <f>IF($D231="","",IF($N231&lt;=-500,"Not recommended right now",IF($E231="Waiting","Nothing else actionable right now — Waiting on: "&amp;IF($K231="","this item",$K231),TEXTJOIN(" • ",TRUE,IF($F231="High","High Priority",""),IF(AND($I231&lt;&gt;"",$I231&lt;TODAY()),"Overdue",""),IF(AND($I231&lt;&gt;"",$I231&gt;=TODAY(),$I231&lt;=TODAY()+7),"Due This Week",""),IF(AND($H231&lt;&gt;"",$M231&lt;=VLOOKUP(Home!$C$7,Lists!$N$2:$O$6,2,FALSE)),$H231&amp;" Task",""),IF($G231=Home!$E$7,"Fits Current Energy",""),"No Blockers"))))</f>
        <v/>
      </c>
      <c r="P231" s="88">
        <f>IF($D231="","",SWITCH('Task Finder'!$C$6,"High Priority",AND($F231="High",$E231&lt;&gt;"Done",$E231&lt;&gt;"Archive"),"Due This Week",AND($I231&lt;&gt;"",$I231&gt;=TODAY(),$I231&lt;=TODAY()+7,$E231&lt;&gt;"Done"),"Quick Wins (15 mins or less)",AND($M231&lt;=15,$E231&lt;&gt;"Done",$E231&lt;&gt;"Blocked"),"Deep Thinking",AND($G231="Deep Thinking",$E231&lt;&gt;"Done"),"Processing",AND($G231="Processing",$E231&lt;&gt;"Done"),"Blocked",$E231="Blocked","Waiting",$E231="Waiting","Recently Updated",AND($L231&lt;&gt;"",$L231&gt;=TODAY()-7),"Keyword",AND('Task Finder'!$C$7&lt;&gt;"",OR(ISNUMBER(SEARCH('Task Finder'!$C$7,$A231)),ISNUMBER(SEARCH('Task Finder'!$C$7,$B231)),ISNUMBER(SEARCH('Task Finder'!$C$7,$C231)),ISNUMBER(SEARCH('Task Finder'!$C$7,$D231)),ISNUMBER(SEARCH('Task Finder'!$C$7,$K231)))),TRUE))</f>
        <v/>
      </c>
    </row>
    <row r="232">
      <c r="A232" s="19" t="n"/>
      <c r="B232" s="19" t="n"/>
      <c r="C232" s="19" t="n"/>
      <c r="D232" s="19" t="n"/>
      <c r="E232" s="19" t="n"/>
      <c r="F232" s="19" t="n"/>
      <c r="G232" s="19" t="n"/>
      <c r="H232" s="19" t="n"/>
      <c r="I232" s="19" t="n"/>
      <c r="J232" s="19" t="n"/>
      <c r="K232" s="19" t="n"/>
      <c r="L232" s="125" t="n"/>
      <c r="M232" s="88">
        <f>IF($D232="","",IFERROR(VLOOKUP($H232,Lists!$N$2:$O$6,2,FALSE),0))</f>
        <v/>
      </c>
      <c r="N232" s="88">
        <f>IF($D232="","",IF(OR($E232="Blocked",$E232="Done",$E232="Archive"),-9999,IF(AND($E232="Waiting",SUMPRODUCT((($E$5:$E$500="Next")+($E$5:$E$500="In Progress")+($E$5:$E$500="Captured"))*($D$5:$D$500&lt;&gt;""))&gt;0),-500,VLOOKUP($F232,Lists!$L$2:$M$4,2,FALSE)+IF($E232="In Progress",10,0)+IF(AND($I232&lt;&gt;"",$I232&lt;TODAY()),25,0)+IF(AND($I232&lt;&gt;"",$I232&gt;=TODAY(),$I232&lt;=TODAY()+7),15,0)+IF($H232="",0,IF($M232&lt;=VLOOKUP(Home!$C$7,Lists!$N$2:$O$6,2,FALSE),20,-10))+IF($G232=Home!$E$7,15,IF(Home!$E$7="",0,-5))-ROW()/100000)))</f>
        <v/>
      </c>
      <c r="O232" s="88">
        <f>IF($D232="","",IF($N232&lt;=-500,"Not recommended right now",IF($E232="Waiting","Nothing else actionable right now — Waiting on: "&amp;IF($K232="","this item",$K232),TEXTJOIN(" • ",TRUE,IF($F232="High","High Priority",""),IF(AND($I232&lt;&gt;"",$I232&lt;TODAY()),"Overdue",""),IF(AND($I232&lt;&gt;"",$I232&gt;=TODAY(),$I232&lt;=TODAY()+7),"Due This Week",""),IF(AND($H232&lt;&gt;"",$M232&lt;=VLOOKUP(Home!$C$7,Lists!$N$2:$O$6,2,FALSE)),$H232&amp;" Task",""),IF($G232=Home!$E$7,"Fits Current Energy",""),"No Blockers"))))</f>
        <v/>
      </c>
      <c r="P232" s="88">
        <f>IF($D232="","",SWITCH('Task Finder'!$C$6,"High Priority",AND($F232="High",$E232&lt;&gt;"Done",$E232&lt;&gt;"Archive"),"Due This Week",AND($I232&lt;&gt;"",$I232&gt;=TODAY(),$I232&lt;=TODAY()+7,$E232&lt;&gt;"Done"),"Quick Wins (15 mins or less)",AND($M232&lt;=15,$E232&lt;&gt;"Done",$E232&lt;&gt;"Blocked"),"Deep Thinking",AND($G232="Deep Thinking",$E232&lt;&gt;"Done"),"Processing",AND($G232="Processing",$E232&lt;&gt;"Done"),"Blocked",$E232="Blocked","Waiting",$E232="Waiting","Recently Updated",AND($L232&lt;&gt;"",$L232&gt;=TODAY()-7),"Keyword",AND('Task Finder'!$C$7&lt;&gt;"",OR(ISNUMBER(SEARCH('Task Finder'!$C$7,$A232)),ISNUMBER(SEARCH('Task Finder'!$C$7,$B232)),ISNUMBER(SEARCH('Task Finder'!$C$7,$C232)),ISNUMBER(SEARCH('Task Finder'!$C$7,$D232)),ISNUMBER(SEARCH('Task Finder'!$C$7,$K232)))),TRUE))</f>
        <v/>
      </c>
    </row>
    <row r="233">
      <c r="A233" s="19" t="n"/>
      <c r="B233" s="19" t="n"/>
      <c r="C233" s="19" t="n"/>
      <c r="D233" s="19" t="n"/>
      <c r="E233" s="19" t="n"/>
      <c r="F233" s="19" t="n"/>
      <c r="G233" s="19" t="n"/>
      <c r="H233" s="19" t="n"/>
      <c r="I233" s="19" t="n"/>
      <c r="J233" s="19" t="n"/>
      <c r="K233" s="19" t="n"/>
      <c r="L233" s="125" t="n"/>
      <c r="M233" s="88">
        <f>IF($D233="","",IFERROR(VLOOKUP($H233,Lists!$N$2:$O$6,2,FALSE),0))</f>
        <v/>
      </c>
      <c r="N233" s="88">
        <f>IF($D233="","",IF(OR($E233="Blocked",$E233="Done",$E233="Archive"),-9999,IF(AND($E233="Waiting",SUMPRODUCT((($E$5:$E$500="Next")+($E$5:$E$500="In Progress")+($E$5:$E$500="Captured"))*($D$5:$D$500&lt;&gt;""))&gt;0),-500,VLOOKUP($F233,Lists!$L$2:$M$4,2,FALSE)+IF($E233="In Progress",10,0)+IF(AND($I233&lt;&gt;"",$I233&lt;TODAY()),25,0)+IF(AND($I233&lt;&gt;"",$I233&gt;=TODAY(),$I233&lt;=TODAY()+7),15,0)+IF($H233="",0,IF($M233&lt;=VLOOKUP(Home!$C$7,Lists!$N$2:$O$6,2,FALSE),20,-10))+IF($G233=Home!$E$7,15,IF(Home!$E$7="",0,-5))-ROW()/100000)))</f>
        <v/>
      </c>
      <c r="O233" s="88">
        <f>IF($D233="","",IF($N233&lt;=-500,"Not recommended right now",IF($E233="Waiting","Nothing else actionable right now — Waiting on: "&amp;IF($K233="","this item",$K233),TEXTJOIN(" • ",TRUE,IF($F233="High","High Priority",""),IF(AND($I233&lt;&gt;"",$I233&lt;TODAY()),"Overdue",""),IF(AND($I233&lt;&gt;"",$I233&gt;=TODAY(),$I233&lt;=TODAY()+7),"Due This Week",""),IF(AND($H233&lt;&gt;"",$M233&lt;=VLOOKUP(Home!$C$7,Lists!$N$2:$O$6,2,FALSE)),$H233&amp;" Task",""),IF($G233=Home!$E$7,"Fits Current Energy",""),"No Blockers"))))</f>
        <v/>
      </c>
      <c r="P233" s="88">
        <f>IF($D233="","",SWITCH('Task Finder'!$C$6,"High Priority",AND($F233="High",$E233&lt;&gt;"Done",$E233&lt;&gt;"Archive"),"Due This Week",AND($I233&lt;&gt;"",$I233&gt;=TODAY(),$I233&lt;=TODAY()+7,$E233&lt;&gt;"Done"),"Quick Wins (15 mins or less)",AND($M233&lt;=15,$E233&lt;&gt;"Done",$E233&lt;&gt;"Blocked"),"Deep Thinking",AND($G233="Deep Thinking",$E233&lt;&gt;"Done"),"Processing",AND($G233="Processing",$E233&lt;&gt;"Done"),"Blocked",$E233="Blocked","Waiting",$E233="Waiting","Recently Updated",AND($L233&lt;&gt;"",$L233&gt;=TODAY()-7),"Keyword",AND('Task Finder'!$C$7&lt;&gt;"",OR(ISNUMBER(SEARCH('Task Finder'!$C$7,$A233)),ISNUMBER(SEARCH('Task Finder'!$C$7,$B233)),ISNUMBER(SEARCH('Task Finder'!$C$7,$C233)),ISNUMBER(SEARCH('Task Finder'!$C$7,$D233)),ISNUMBER(SEARCH('Task Finder'!$C$7,$K233)))),TRUE))</f>
        <v/>
      </c>
    </row>
    <row r="234">
      <c r="A234" s="19" t="n"/>
      <c r="B234" s="19" t="n"/>
      <c r="C234" s="19" t="n"/>
      <c r="D234" s="19" t="n"/>
      <c r="E234" s="19" t="n"/>
      <c r="F234" s="19" t="n"/>
      <c r="G234" s="19" t="n"/>
      <c r="H234" s="19" t="n"/>
      <c r="I234" s="19" t="n"/>
      <c r="J234" s="19" t="n"/>
      <c r="K234" s="19" t="n"/>
      <c r="L234" s="125" t="n"/>
      <c r="M234" s="88">
        <f>IF($D234="","",IFERROR(VLOOKUP($H234,Lists!$N$2:$O$6,2,FALSE),0))</f>
        <v/>
      </c>
      <c r="N234" s="88">
        <f>IF($D234="","",IF(OR($E234="Blocked",$E234="Done",$E234="Archive"),-9999,IF(AND($E234="Waiting",SUMPRODUCT((($E$5:$E$500="Next")+($E$5:$E$500="In Progress")+($E$5:$E$500="Captured"))*($D$5:$D$500&lt;&gt;""))&gt;0),-500,VLOOKUP($F234,Lists!$L$2:$M$4,2,FALSE)+IF($E234="In Progress",10,0)+IF(AND($I234&lt;&gt;"",$I234&lt;TODAY()),25,0)+IF(AND($I234&lt;&gt;"",$I234&gt;=TODAY(),$I234&lt;=TODAY()+7),15,0)+IF($H234="",0,IF($M234&lt;=VLOOKUP(Home!$C$7,Lists!$N$2:$O$6,2,FALSE),20,-10))+IF($G234=Home!$E$7,15,IF(Home!$E$7="",0,-5))-ROW()/100000)))</f>
        <v/>
      </c>
      <c r="O234" s="88">
        <f>IF($D234="","",IF($N234&lt;=-500,"Not recommended right now",IF($E234="Waiting","Nothing else actionable right now — Waiting on: "&amp;IF($K234="","this item",$K234),TEXTJOIN(" • ",TRUE,IF($F234="High","High Priority",""),IF(AND($I234&lt;&gt;"",$I234&lt;TODAY()),"Overdue",""),IF(AND($I234&lt;&gt;"",$I234&gt;=TODAY(),$I234&lt;=TODAY()+7),"Due This Week",""),IF(AND($H234&lt;&gt;"",$M234&lt;=VLOOKUP(Home!$C$7,Lists!$N$2:$O$6,2,FALSE)),$H234&amp;" Task",""),IF($G234=Home!$E$7,"Fits Current Energy",""),"No Blockers"))))</f>
        <v/>
      </c>
      <c r="P234" s="88">
        <f>IF($D234="","",SWITCH('Task Finder'!$C$6,"High Priority",AND($F234="High",$E234&lt;&gt;"Done",$E234&lt;&gt;"Archive"),"Due This Week",AND($I234&lt;&gt;"",$I234&gt;=TODAY(),$I234&lt;=TODAY()+7,$E234&lt;&gt;"Done"),"Quick Wins (15 mins or less)",AND($M234&lt;=15,$E234&lt;&gt;"Done",$E234&lt;&gt;"Blocked"),"Deep Thinking",AND($G234="Deep Thinking",$E234&lt;&gt;"Done"),"Processing",AND($G234="Processing",$E234&lt;&gt;"Done"),"Blocked",$E234="Blocked","Waiting",$E234="Waiting","Recently Updated",AND($L234&lt;&gt;"",$L234&gt;=TODAY()-7),"Keyword",AND('Task Finder'!$C$7&lt;&gt;"",OR(ISNUMBER(SEARCH('Task Finder'!$C$7,$A234)),ISNUMBER(SEARCH('Task Finder'!$C$7,$B234)),ISNUMBER(SEARCH('Task Finder'!$C$7,$C234)),ISNUMBER(SEARCH('Task Finder'!$C$7,$D234)),ISNUMBER(SEARCH('Task Finder'!$C$7,$K234)))),TRUE))</f>
        <v/>
      </c>
    </row>
    <row r="235">
      <c r="A235" s="19" t="n"/>
      <c r="B235" s="19" t="n"/>
      <c r="C235" s="19" t="n"/>
      <c r="D235" s="19" t="n"/>
      <c r="E235" s="19" t="n"/>
      <c r="F235" s="19" t="n"/>
      <c r="G235" s="19" t="n"/>
      <c r="H235" s="19" t="n"/>
      <c r="I235" s="19" t="n"/>
      <c r="J235" s="19" t="n"/>
      <c r="K235" s="19" t="n"/>
      <c r="L235" s="125" t="n"/>
      <c r="M235" s="88">
        <f>IF($D235="","",IFERROR(VLOOKUP($H235,Lists!$N$2:$O$6,2,FALSE),0))</f>
        <v/>
      </c>
      <c r="N235" s="88">
        <f>IF($D235="","",IF(OR($E235="Blocked",$E235="Done",$E235="Archive"),-9999,IF(AND($E235="Waiting",SUMPRODUCT((($E$5:$E$500="Next")+($E$5:$E$500="In Progress")+($E$5:$E$500="Captured"))*($D$5:$D$500&lt;&gt;""))&gt;0),-500,VLOOKUP($F235,Lists!$L$2:$M$4,2,FALSE)+IF($E235="In Progress",10,0)+IF(AND($I235&lt;&gt;"",$I235&lt;TODAY()),25,0)+IF(AND($I235&lt;&gt;"",$I235&gt;=TODAY(),$I235&lt;=TODAY()+7),15,0)+IF($H235="",0,IF($M235&lt;=VLOOKUP(Home!$C$7,Lists!$N$2:$O$6,2,FALSE),20,-10))+IF($G235=Home!$E$7,15,IF(Home!$E$7="",0,-5))-ROW()/100000)))</f>
        <v/>
      </c>
      <c r="O235" s="88">
        <f>IF($D235="","",IF($N235&lt;=-500,"Not recommended right now",IF($E235="Waiting","Nothing else actionable right now — Waiting on: "&amp;IF($K235="","this item",$K235),TEXTJOIN(" • ",TRUE,IF($F235="High","High Priority",""),IF(AND($I235&lt;&gt;"",$I235&lt;TODAY()),"Overdue",""),IF(AND($I235&lt;&gt;"",$I235&gt;=TODAY(),$I235&lt;=TODAY()+7),"Due This Week",""),IF(AND($H235&lt;&gt;"",$M235&lt;=VLOOKUP(Home!$C$7,Lists!$N$2:$O$6,2,FALSE)),$H235&amp;" Task",""),IF($G235=Home!$E$7,"Fits Current Energy",""),"No Blockers"))))</f>
        <v/>
      </c>
      <c r="P235" s="88">
        <f>IF($D235="","",SWITCH('Task Finder'!$C$6,"High Priority",AND($F235="High",$E235&lt;&gt;"Done",$E235&lt;&gt;"Archive"),"Due This Week",AND($I235&lt;&gt;"",$I235&gt;=TODAY(),$I235&lt;=TODAY()+7,$E235&lt;&gt;"Done"),"Quick Wins (15 mins or less)",AND($M235&lt;=15,$E235&lt;&gt;"Done",$E235&lt;&gt;"Blocked"),"Deep Thinking",AND($G235="Deep Thinking",$E235&lt;&gt;"Done"),"Processing",AND($G235="Processing",$E235&lt;&gt;"Done"),"Blocked",$E235="Blocked","Waiting",$E235="Waiting","Recently Updated",AND($L235&lt;&gt;"",$L235&gt;=TODAY()-7),"Keyword",AND('Task Finder'!$C$7&lt;&gt;"",OR(ISNUMBER(SEARCH('Task Finder'!$C$7,$A235)),ISNUMBER(SEARCH('Task Finder'!$C$7,$B235)),ISNUMBER(SEARCH('Task Finder'!$C$7,$C235)),ISNUMBER(SEARCH('Task Finder'!$C$7,$D235)),ISNUMBER(SEARCH('Task Finder'!$C$7,$K235)))),TRUE))</f>
        <v/>
      </c>
    </row>
    <row r="236">
      <c r="A236" s="19" t="n"/>
      <c r="B236" s="19" t="n"/>
      <c r="C236" s="19" t="n"/>
      <c r="D236" s="19" t="n"/>
      <c r="E236" s="19" t="n"/>
      <c r="F236" s="19" t="n"/>
      <c r="G236" s="19" t="n"/>
      <c r="H236" s="19" t="n"/>
      <c r="I236" s="19" t="n"/>
      <c r="J236" s="19" t="n"/>
      <c r="K236" s="19" t="n"/>
      <c r="L236" s="125" t="n"/>
      <c r="M236" s="88">
        <f>IF($D236="","",IFERROR(VLOOKUP($H236,Lists!$N$2:$O$6,2,FALSE),0))</f>
        <v/>
      </c>
      <c r="N236" s="88">
        <f>IF($D236="","",IF(OR($E236="Blocked",$E236="Done",$E236="Archive"),-9999,IF(AND($E236="Waiting",SUMPRODUCT((($E$5:$E$500="Next")+($E$5:$E$500="In Progress")+($E$5:$E$500="Captured"))*($D$5:$D$500&lt;&gt;""))&gt;0),-500,VLOOKUP($F236,Lists!$L$2:$M$4,2,FALSE)+IF($E236="In Progress",10,0)+IF(AND($I236&lt;&gt;"",$I236&lt;TODAY()),25,0)+IF(AND($I236&lt;&gt;"",$I236&gt;=TODAY(),$I236&lt;=TODAY()+7),15,0)+IF($H236="",0,IF($M236&lt;=VLOOKUP(Home!$C$7,Lists!$N$2:$O$6,2,FALSE),20,-10))+IF($G236=Home!$E$7,15,IF(Home!$E$7="",0,-5))-ROW()/100000)))</f>
        <v/>
      </c>
      <c r="O236" s="88">
        <f>IF($D236="","",IF($N236&lt;=-500,"Not recommended right now",IF($E236="Waiting","Nothing else actionable right now — Waiting on: "&amp;IF($K236="","this item",$K236),TEXTJOIN(" • ",TRUE,IF($F236="High","High Priority",""),IF(AND($I236&lt;&gt;"",$I236&lt;TODAY()),"Overdue",""),IF(AND($I236&lt;&gt;"",$I236&gt;=TODAY(),$I236&lt;=TODAY()+7),"Due This Week",""),IF(AND($H236&lt;&gt;"",$M236&lt;=VLOOKUP(Home!$C$7,Lists!$N$2:$O$6,2,FALSE)),$H236&amp;" Task",""),IF($G236=Home!$E$7,"Fits Current Energy",""),"No Blockers"))))</f>
        <v/>
      </c>
      <c r="P236" s="88">
        <f>IF($D236="","",SWITCH('Task Finder'!$C$6,"High Priority",AND($F236="High",$E236&lt;&gt;"Done",$E236&lt;&gt;"Archive"),"Due This Week",AND($I236&lt;&gt;"",$I236&gt;=TODAY(),$I236&lt;=TODAY()+7,$E236&lt;&gt;"Done"),"Quick Wins (15 mins or less)",AND($M236&lt;=15,$E236&lt;&gt;"Done",$E236&lt;&gt;"Blocked"),"Deep Thinking",AND($G236="Deep Thinking",$E236&lt;&gt;"Done"),"Processing",AND($G236="Processing",$E236&lt;&gt;"Done"),"Blocked",$E236="Blocked","Waiting",$E236="Waiting","Recently Updated",AND($L236&lt;&gt;"",$L236&gt;=TODAY()-7),"Keyword",AND('Task Finder'!$C$7&lt;&gt;"",OR(ISNUMBER(SEARCH('Task Finder'!$C$7,$A236)),ISNUMBER(SEARCH('Task Finder'!$C$7,$B236)),ISNUMBER(SEARCH('Task Finder'!$C$7,$C236)),ISNUMBER(SEARCH('Task Finder'!$C$7,$D236)),ISNUMBER(SEARCH('Task Finder'!$C$7,$K236)))),TRUE))</f>
        <v/>
      </c>
    </row>
    <row r="237">
      <c r="A237" s="19" t="n"/>
      <c r="B237" s="19" t="n"/>
      <c r="C237" s="19" t="n"/>
      <c r="D237" s="19" t="n"/>
      <c r="E237" s="19" t="n"/>
      <c r="F237" s="19" t="n"/>
      <c r="G237" s="19" t="n"/>
      <c r="H237" s="19" t="n"/>
      <c r="I237" s="19" t="n"/>
      <c r="J237" s="19" t="n"/>
      <c r="K237" s="19" t="n"/>
      <c r="L237" s="125" t="n"/>
      <c r="M237" s="88">
        <f>IF($D237="","",IFERROR(VLOOKUP($H237,Lists!$N$2:$O$6,2,FALSE),0))</f>
        <v/>
      </c>
      <c r="N237" s="88">
        <f>IF($D237="","",IF(OR($E237="Blocked",$E237="Done",$E237="Archive"),-9999,IF(AND($E237="Waiting",SUMPRODUCT((($E$5:$E$500="Next")+($E$5:$E$500="In Progress")+($E$5:$E$500="Captured"))*($D$5:$D$500&lt;&gt;""))&gt;0),-500,VLOOKUP($F237,Lists!$L$2:$M$4,2,FALSE)+IF($E237="In Progress",10,0)+IF(AND($I237&lt;&gt;"",$I237&lt;TODAY()),25,0)+IF(AND($I237&lt;&gt;"",$I237&gt;=TODAY(),$I237&lt;=TODAY()+7),15,0)+IF($H237="",0,IF($M237&lt;=VLOOKUP(Home!$C$7,Lists!$N$2:$O$6,2,FALSE),20,-10))+IF($G237=Home!$E$7,15,IF(Home!$E$7="",0,-5))-ROW()/100000)))</f>
        <v/>
      </c>
      <c r="O237" s="88">
        <f>IF($D237="","",IF($N237&lt;=-500,"Not recommended right now",IF($E237="Waiting","Nothing else actionable right now — Waiting on: "&amp;IF($K237="","this item",$K237),TEXTJOIN(" • ",TRUE,IF($F237="High","High Priority",""),IF(AND($I237&lt;&gt;"",$I237&lt;TODAY()),"Overdue",""),IF(AND($I237&lt;&gt;"",$I237&gt;=TODAY(),$I237&lt;=TODAY()+7),"Due This Week",""),IF(AND($H237&lt;&gt;"",$M237&lt;=VLOOKUP(Home!$C$7,Lists!$N$2:$O$6,2,FALSE)),$H237&amp;" Task",""),IF($G237=Home!$E$7,"Fits Current Energy",""),"No Blockers"))))</f>
        <v/>
      </c>
      <c r="P237" s="88">
        <f>IF($D237="","",SWITCH('Task Finder'!$C$6,"High Priority",AND($F237="High",$E237&lt;&gt;"Done",$E237&lt;&gt;"Archive"),"Due This Week",AND($I237&lt;&gt;"",$I237&gt;=TODAY(),$I237&lt;=TODAY()+7,$E237&lt;&gt;"Done"),"Quick Wins (15 mins or less)",AND($M237&lt;=15,$E237&lt;&gt;"Done",$E237&lt;&gt;"Blocked"),"Deep Thinking",AND($G237="Deep Thinking",$E237&lt;&gt;"Done"),"Processing",AND($G237="Processing",$E237&lt;&gt;"Done"),"Blocked",$E237="Blocked","Waiting",$E237="Waiting","Recently Updated",AND($L237&lt;&gt;"",$L237&gt;=TODAY()-7),"Keyword",AND('Task Finder'!$C$7&lt;&gt;"",OR(ISNUMBER(SEARCH('Task Finder'!$C$7,$A237)),ISNUMBER(SEARCH('Task Finder'!$C$7,$B237)),ISNUMBER(SEARCH('Task Finder'!$C$7,$C237)),ISNUMBER(SEARCH('Task Finder'!$C$7,$D237)),ISNUMBER(SEARCH('Task Finder'!$C$7,$K237)))),TRUE))</f>
        <v/>
      </c>
    </row>
    <row r="238">
      <c r="A238" s="19" t="n"/>
      <c r="B238" s="19" t="n"/>
      <c r="C238" s="19" t="n"/>
      <c r="D238" s="19" t="n"/>
      <c r="E238" s="19" t="n"/>
      <c r="F238" s="19" t="n"/>
      <c r="G238" s="19" t="n"/>
      <c r="H238" s="19" t="n"/>
      <c r="I238" s="19" t="n"/>
      <c r="J238" s="19" t="n"/>
      <c r="K238" s="19" t="n"/>
      <c r="L238" s="125" t="n"/>
      <c r="M238" s="88">
        <f>IF($D238="","",IFERROR(VLOOKUP($H238,Lists!$N$2:$O$6,2,FALSE),0))</f>
        <v/>
      </c>
      <c r="N238" s="88">
        <f>IF($D238="","",IF(OR($E238="Blocked",$E238="Done",$E238="Archive"),-9999,IF(AND($E238="Waiting",SUMPRODUCT((($E$5:$E$500="Next")+($E$5:$E$500="In Progress")+($E$5:$E$500="Captured"))*($D$5:$D$500&lt;&gt;""))&gt;0),-500,VLOOKUP($F238,Lists!$L$2:$M$4,2,FALSE)+IF($E238="In Progress",10,0)+IF(AND($I238&lt;&gt;"",$I238&lt;TODAY()),25,0)+IF(AND($I238&lt;&gt;"",$I238&gt;=TODAY(),$I238&lt;=TODAY()+7),15,0)+IF($H238="",0,IF($M238&lt;=VLOOKUP(Home!$C$7,Lists!$N$2:$O$6,2,FALSE),20,-10))+IF($G238=Home!$E$7,15,IF(Home!$E$7="",0,-5))-ROW()/100000)))</f>
        <v/>
      </c>
      <c r="O238" s="88">
        <f>IF($D238="","",IF($N238&lt;=-500,"Not recommended right now",IF($E238="Waiting","Nothing else actionable right now — Waiting on: "&amp;IF($K238="","this item",$K238),TEXTJOIN(" • ",TRUE,IF($F238="High","High Priority",""),IF(AND($I238&lt;&gt;"",$I238&lt;TODAY()),"Overdue",""),IF(AND($I238&lt;&gt;"",$I238&gt;=TODAY(),$I238&lt;=TODAY()+7),"Due This Week",""),IF(AND($H238&lt;&gt;"",$M238&lt;=VLOOKUP(Home!$C$7,Lists!$N$2:$O$6,2,FALSE)),$H238&amp;" Task",""),IF($G238=Home!$E$7,"Fits Current Energy",""),"No Blockers"))))</f>
        <v/>
      </c>
      <c r="P238" s="88">
        <f>IF($D238="","",SWITCH('Task Finder'!$C$6,"High Priority",AND($F238="High",$E238&lt;&gt;"Done",$E238&lt;&gt;"Archive"),"Due This Week",AND($I238&lt;&gt;"",$I238&gt;=TODAY(),$I238&lt;=TODAY()+7,$E238&lt;&gt;"Done"),"Quick Wins (15 mins or less)",AND($M238&lt;=15,$E238&lt;&gt;"Done",$E238&lt;&gt;"Blocked"),"Deep Thinking",AND($G238="Deep Thinking",$E238&lt;&gt;"Done"),"Processing",AND($G238="Processing",$E238&lt;&gt;"Done"),"Blocked",$E238="Blocked","Waiting",$E238="Waiting","Recently Updated",AND($L238&lt;&gt;"",$L238&gt;=TODAY()-7),"Keyword",AND('Task Finder'!$C$7&lt;&gt;"",OR(ISNUMBER(SEARCH('Task Finder'!$C$7,$A238)),ISNUMBER(SEARCH('Task Finder'!$C$7,$B238)),ISNUMBER(SEARCH('Task Finder'!$C$7,$C238)),ISNUMBER(SEARCH('Task Finder'!$C$7,$D238)),ISNUMBER(SEARCH('Task Finder'!$C$7,$K238)))),TRUE))</f>
        <v/>
      </c>
    </row>
    <row r="239">
      <c r="A239" s="19" t="n"/>
      <c r="B239" s="19" t="n"/>
      <c r="C239" s="19" t="n"/>
      <c r="D239" s="19" t="n"/>
      <c r="E239" s="19" t="n"/>
      <c r="F239" s="19" t="n"/>
      <c r="G239" s="19" t="n"/>
      <c r="H239" s="19" t="n"/>
      <c r="I239" s="19" t="n"/>
      <c r="J239" s="19" t="n"/>
      <c r="K239" s="19" t="n"/>
      <c r="L239" s="125" t="n"/>
      <c r="M239" s="88">
        <f>IF($D239="","",IFERROR(VLOOKUP($H239,Lists!$N$2:$O$6,2,FALSE),0))</f>
        <v/>
      </c>
      <c r="N239" s="88">
        <f>IF($D239="","",IF(OR($E239="Blocked",$E239="Done",$E239="Archive"),-9999,IF(AND($E239="Waiting",SUMPRODUCT((($E$5:$E$500="Next")+($E$5:$E$500="In Progress")+($E$5:$E$500="Captured"))*($D$5:$D$500&lt;&gt;""))&gt;0),-500,VLOOKUP($F239,Lists!$L$2:$M$4,2,FALSE)+IF($E239="In Progress",10,0)+IF(AND($I239&lt;&gt;"",$I239&lt;TODAY()),25,0)+IF(AND($I239&lt;&gt;"",$I239&gt;=TODAY(),$I239&lt;=TODAY()+7),15,0)+IF($H239="",0,IF($M239&lt;=VLOOKUP(Home!$C$7,Lists!$N$2:$O$6,2,FALSE),20,-10))+IF($G239=Home!$E$7,15,IF(Home!$E$7="",0,-5))-ROW()/100000)))</f>
        <v/>
      </c>
      <c r="O239" s="88">
        <f>IF($D239="","",IF($N239&lt;=-500,"Not recommended right now",IF($E239="Waiting","Nothing else actionable right now — Waiting on: "&amp;IF($K239="","this item",$K239),TEXTJOIN(" • ",TRUE,IF($F239="High","High Priority",""),IF(AND($I239&lt;&gt;"",$I239&lt;TODAY()),"Overdue",""),IF(AND($I239&lt;&gt;"",$I239&gt;=TODAY(),$I239&lt;=TODAY()+7),"Due This Week",""),IF(AND($H239&lt;&gt;"",$M239&lt;=VLOOKUP(Home!$C$7,Lists!$N$2:$O$6,2,FALSE)),$H239&amp;" Task",""),IF($G239=Home!$E$7,"Fits Current Energy",""),"No Blockers"))))</f>
        <v/>
      </c>
      <c r="P239" s="88">
        <f>IF($D239="","",SWITCH('Task Finder'!$C$6,"High Priority",AND($F239="High",$E239&lt;&gt;"Done",$E239&lt;&gt;"Archive"),"Due This Week",AND($I239&lt;&gt;"",$I239&gt;=TODAY(),$I239&lt;=TODAY()+7,$E239&lt;&gt;"Done"),"Quick Wins (15 mins or less)",AND($M239&lt;=15,$E239&lt;&gt;"Done",$E239&lt;&gt;"Blocked"),"Deep Thinking",AND($G239="Deep Thinking",$E239&lt;&gt;"Done"),"Processing",AND($G239="Processing",$E239&lt;&gt;"Done"),"Blocked",$E239="Blocked","Waiting",$E239="Waiting","Recently Updated",AND($L239&lt;&gt;"",$L239&gt;=TODAY()-7),"Keyword",AND('Task Finder'!$C$7&lt;&gt;"",OR(ISNUMBER(SEARCH('Task Finder'!$C$7,$A239)),ISNUMBER(SEARCH('Task Finder'!$C$7,$B239)),ISNUMBER(SEARCH('Task Finder'!$C$7,$C239)),ISNUMBER(SEARCH('Task Finder'!$C$7,$D239)),ISNUMBER(SEARCH('Task Finder'!$C$7,$K239)))),TRUE))</f>
        <v/>
      </c>
    </row>
    <row r="240">
      <c r="A240" s="19" t="n"/>
      <c r="B240" s="19" t="n"/>
      <c r="C240" s="19" t="n"/>
      <c r="D240" s="19" t="n"/>
      <c r="E240" s="19" t="n"/>
      <c r="F240" s="19" t="n"/>
      <c r="G240" s="19" t="n"/>
      <c r="H240" s="19" t="n"/>
      <c r="I240" s="19" t="n"/>
      <c r="J240" s="19" t="n"/>
      <c r="K240" s="19" t="n"/>
      <c r="L240" s="125" t="n"/>
      <c r="M240" s="88">
        <f>IF($D240="","",IFERROR(VLOOKUP($H240,Lists!$N$2:$O$6,2,FALSE),0))</f>
        <v/>
      </c>
      <c r="N240" s="88">
        <f>IF($D240="","",IF(OR($E240="Blocked",$E240="Done",$E240="Archive"),-9999,IF(AND($E240="Waiting",SUMPRODUCT((($E$5:$E$500="Next")+($E$5:$E$500="In Progress")+($E$5:$E$500="Captured"))*($D$5:$D$500&lt;&gt;""))&gt;0),-500,VLOOKUP($F240,Lists!$L$2:$M$4,2,FALSE)+IF($E240="In Progress",10,0)+IF(AND($I240&lt;&gt;"",$I240&lt;TODAY()),25,0)+IF(AND($I240&lt;&gt;"",$I240&gt;=TODAY(),$I240&lt;=TODAY()+7),15,0)+IF($H240="",0,IF($M240&lt;=VLOOKUP(Home!$C$7,Lists!$N$2:$O$6,2,FALSE),20,-10))+IF($G240=Home!$E$7,15,IF(Home!$E$7="",0,-5))-ROW()/100000)))</f>
        <v/>
      </c>
      <c r="O240" s="88">
        <f>IF($D240="","",IF($N240&lt;=-500,"Not recommended right now",IF($E240="Waiting","Nothing else actionable right now — Waiting on: "&amp;IF($K240="","this item",$K240),TEXTJOIN(" • ",TRUE,IF($F240="High","High Priority",""),IF(AND($I240&lt;&gt;"",$I240&lt;TODAY()),"Overdue",""),IF(AND($I240&lt;&gt;"",$I240&gt;=TODAY(),$I240&lt;=TODAY()+7),"Due This Week",""),IF(AND($H240&lt;&gt;"",$M240&lt;=VLOOKUP(Home!$C$7,Lists!$N$2:$O$6,2,FALSE)),$H240&amp;" Task",""),IF($G240=Home!$E$7,"Fits Current Energy",""),"No Blockers"))))</f>
        <v/>
      </c>
      <c r="P240" s="88">
        <f>IF($D240="","",SWITCH('Task Finder'!$C$6,"High Priority",AND($F240="High",$E240&lt;&gt;"Done",$E240&lt;&gt;"Archive"),"Due This Week",AND($I240&lt;&gt;"",$I240&gt;=TODAY(),$I240&lt;=TODAY()+7,$E240&lt;&gt;"Done"),"Quick Wins (15 mins or less)",AND($M240&lt;=15,$E240&lt;&gt;"Done",$E240&lt;&gt;"Blocked"),"Deep Thinking",AND($G240="Deep Thinking",$E240&lt;&gt;"Done"),"Processing",AND($G240="Processing",$E240&lt;&gt;"Done"),"Blocked",$E240="Blocked","Waiting",$E240="Waiting","Recently Updated",AND($L240&lt;&gt;"",$L240&gt;=TODAY()-7),"Keyword",AND('Task Finder'!$C$7&lt;&gt;"",OR(ISNUMBER(SEARCH('Task Finder'!$C$7,$A240)),ISNUMBER(SEARCH('Task Finder'!$C$7,$B240)),ISNUMBER(SEARCH('Task Finder'!$C$7,$C240)),ISNUMBER(SEARCH('Task Finder'!$C$7,$D240)),ISNUMBER(SEARCH('Task Finder'!$C$7,$K240)))),TRUE))</f>
        <v/>
      </c>
    </row>
    <row r="241">
      <c r="A241" s="19" t="n"/>
      <c r="B241" s="19" t="n"/>
      <c r="C241" s="19" t="n"/>
      <c r="D241" s="19" t="n"/>
      <c r="E241" s="19" t="n"/>
      <c r="F241" s="19" t="n"/>
      <c r="G241" s="19" t="n"/>
      <c r="H241" s="19" t="n"/>
      <c r="I241" s="19" t="n"/>
      <c r="J241" s="19" t="n"/>
      <c r="K241" s="19" t="n"/>
      <c r="L241" s="125" t="n"/>
      <c r="M241" s="88">
        <f>IF($D241="","",IFERROR(VLOOKUP($H241,Lists!$N$2:$O$6,2,FALSE),0))</f>
        <v/>
      </c>
      <c r="N241" s="88">
        <f>IF($D241="","",IF(OR($E241="Blocked",$E241="Done",$E241="Archive"),-9999,IF(AND($E241="Waiting",SUMPRODUCT((($E$5:$E$500="Next")+($E$5:$E$500="In Progress")+($E$5:$E$500="Captured"))*($D$5:$D$500&lt;&gt;""))&gt;0),-500,VLOOKUP($F241,Lists!$L$2:$M$4,2,FALSE)+IF($E241="In Progress",10,0)+IF(AND($I241&lt;&gt;"",$I241&lt;TODAY()),25,0)+IF(AND($I241&lt;&gt;"",$I241&gt;=TODAY(),$I241&lt;=TODAY()+7),15,0)+IF($H241="",0,IF($M241&lt;=VLOOKUP(Home!$C$7,Lists!$N$2:$O$6,2,FALSE),20,-10))+IF($G241=Home!$E$7,15,IF(Home!$E$7="",0,-5))-ROW()/100000)))</f>
        <v/>
      </c>
      <c r="O241" s="88">
        <f>IF($D241="","",IF($N241&lt;=-500,"Not recommended right now",IF($E241="Waiting","Nothing else actionable right now — Waiting on: "&amp;IF($K241="","this item",$K241),TEXTJOIN(" • ",TRUE,IF($F241="High","High Priority",""),IF(AND($I241&lt;&gt;"",$I241&lt;TODAY()),"Overdue",""),IF(AND($I241&lt;&gt;"",$I241&gt;=TODAY(),$I241&lt;=TODAY()+7),"Due This Week",""),IF(AND($H241&lt;&gt;"",$M241&lt;=VLOOKUP(Home!$C$7,Lists!$N$2:$O$6,2,FALSE)),$H241&amp;" Task",""),IF($G241=Home!$E$7,"Fits Current Energy",""),"No Blockers"))))</f>
        <v/>
      </c>
      <c r="P241" s="88">
        <f>IF($D241="","",SWITCH('Task Finder'!$C$6,"High Priority",AND($F241="High",$E241&lt;&gt;"Done",$E241&lt;&gt;"Archive"),"Due This Week",AND($I241&lt;&gt;"",$I241&gt;=TODAY(),$I241&lt;=TODAY()+7,$E241&lt;&gt;"Done"),"Quick Wins (15 mins or less)",AND($M241&lt;=15,$E241&lt;&gt;"Done",$E241&lt;&gt;"Blocked"),"Deep Thinking",AND($G241="Deep Thinking",$E241&lt;&gt;"Done"),"Processing",AND($G241="Processing",$E241&lt;&gt;"Done"),"Blocked",$E241="Blocked","Waiting",$E241="Waiting","Recently Updated",AND($L241&lt;&gt;"",$L241&gt;=TODAY()-7),"Keyword",AND('Task Finder'!$C$7&lt;&gt;"",OR(ISNUMBER(SEARCH('Task Finder'!$C$7,$A241)),ISNUMBER(SEARCH('Task Finder'!$C$7,$B241)),ISNUMBER(SEARCH('Task Finder'!$C$7,$C241)),ISNUMBER(SEARCH('Task Finder'!$C$7,$D241)),ISNUMBER(SEARCH('Task Finder'!$C$7,$K241)))),TRUE))</f>
        <v/>
      </c>
    </row>
    <row r="242">
      <c r="A242" s="19" t="n"/>
      <c r="B242" s="19" t="n"/>
      <c r="C242" s="19" t="n"/>
      <c r="D242" s="19" t="n"/>
      <c r="E242" s="19" t="n"/>
      <c r="F242" s="19" t="n"/>
      <c r="G242" s="19" t="n"/>
      <c r="H242" s="19" t="n"/>
      <c r="I242" s="19" t="n"/>
      <c r="J242" s="19" t="n"/>
      <c r="K242" s="19" t="n"/>
      <c r="L242" s="125" t="n"/>
      <c r="M242" s="88">
        <f>IF($D242="","",IFERROR(VLOOKUP($H242,Lists!$N$2:$O$6,2,FALSE),0))</f>
        <v/>
      </c>
      <c r="N242" s="88">
        <f>IF($D242="","",IF(OR($E242="Blocked",$E242="Done",$E242="Archive"),-9999,IF(AND($E242="Waiting",SUMPRODUCT((($E$5:$E$500="Next")+($E$5:$E$500="In Progress")+($E$5:$E$500="Captured"))*($D$5:$D$500&lt;&gt;""))&gt;0),-500,VLOOKUP($F242,Lists!$L$2:$M$4,2,FALSE)+IF($E242="In Progress",10,0)+IF(AND($I242&lt;&gt;"",$I242&lt;TODAY()),25,0)+IF(AND($I242&lt;&gt;"",$I242&gt;=TODAY(),$I242&lt;=TODAY()+7),15,0)+IF($H242="",0,IF($M242&lt;=VLOOKUP(Home!$C$7,Lists!$N$2:$O$6,2,FALSE),20,-10))+IF($G242=Home!$E$7,15,IF(Home!$E$7="",0,-5))-ROW()/100000)))</f>
        <v/>
      </c>
      <c r="O242" s="88">
        <f>IF($D242="","",IF($N242&lt;=-500,"Not recommended right now",IF($E242="Waiting","Nothing else actionable right now — Waiting on: "&amp;IF($K242="","this item",$K242),TEXTJOIN(" • ",TRUE,IF($F242="High","High Priority",""),IF(AND($I242&lt;&gt;"",$I242&lt;TODAY()),"Overdue",""),IF(AND($I242&lt;&gt;"",$I242&gt;=TODAY(),$I242&lt;=TODAY()+7),"Due This Week",""),IF(AND($H242&lt;&gt;"",$M242&lt;=VLOOKUP(Home!$C$7,Lists!$N$2:$O$6,2,FALSE)),$H242&amp;" Task",""),IF($G242=Home!$E$7,"Fits Current Energy",""),"No Blockers"))))</f>
        <v/>
      </c>
      <c r="P242" s="88">
        <f>IF($D242="","",SWITCH('Task Finder'!$C$6,"High Priority",AND($F242="High",$E242&lt;&gt;"Done",$E242&lt;&gt;"Archive"),"Due This Week",AND($I242&lt;&gt;"",$I242&gt;=TODAY(),$I242&lt;=TODAY()+7,$E242&lt;&gt;"Done"),"Quick Wins (15 mins or less)",AND($M242&lt;=15,$E242&lt;&gt;"Done",$E242&lt;&gt;"Blocked"),"Deep Thinking",AND($G242="Deep Thinking",$E242&lt;&gt;"Done"),"Processing",AND($G242="Processing",$E242&lt;&gt;"Done"),"Blocked",$E242="Blocked","Waiting",$E242="Waiting","Recently Updated",AND($L242&lt;&gt;"",$L242&gt;=TODAY()-7),"Keyword",AND('Task Finder'!$C$7&lt;&gt;"",OR(ISNUMBER(SEARCH('Task Finder'!$C$7,$A242)),ISNUMBER(SEARCH('Task Finder'!$C$7,$B242)),ISNUMBER(SEARCH('Task Finder'!$C$7,$C242)),ISNUMBER(SEARCH('Task Finder'!$C$7,$D242)),ISNUMBER(SEARCH('Task Finder'!$C$7,$K242)))),TRUE))</f>
        <v/>
      </c>
    </row>
    <row r="243">
      <c r="A243" s="19" t="n"/>
      <c r="B243" s="19" t="n"/>
      <c r="C243" s="19" t="n"/>
      <c r="D243" s="19" t="n"/>
      <c r="E243" s="19" t="n"/>
      <c r="F243" s="19" t="n"/>
      <c r="G243" s="19" t="n"/>
      <c r="H243" s="19" t="n"/>
      <c r="I243" s="19" t="n"/>
      <c r="J243" s="19" t="n"/>
      <c r="K243" s="19" t="n"/>
      <c r="L243" s="125" t="n"/>
      <c r="M243" s="88">
        <f>IF($D243="","",IFERROR(VLOOKUP($H243,Lists!$N$2:$O$6,2,FALSE),0))</f>
        <v/>
      </c>
      <c r="N243" s="88">
        <f>IF($D243="","",IF(OR($E243="Blocked",$E243="Done",$E243="Archive"),-9999,IF(AND($E243="Waiting",SUMPRODUCT((($E$5:$E$500="Next")+($E$5:$E$500="In Progress")+($E$5:$E$500="Captured"))*($D$5:$D$500&lt;&gt;""))&gt;0),-500,VLOOKUP($F243,Lists!$L$2:$M$4,2,FALSE)+IF($E243="In Progress",10,0)+IF(AND($I243&lt;&gt;"",$I243&lt;TODAY()),25,0)+IF(AND($I243&lt;&gt;"",$I243&gt;=TODAY(),$I243&lt;=TODAY()+7),15,0)+IF($H243="",0,IF($M243&lt;=VLOOKUP(Home!$C$7,Lists!$N$2:$O$6,2,FALSE),20,-10))+IF($G243=Home!$E$7,15,IF(Home!$E$7="",0,-5))-ROW()/100000)))</f>
        <v/>
      </c>
      <c r="O243" s="88">
        <f>IF($D243="","",IF($N243&lt;=-500,"Not recommended right now",IF($E243="Waiting","Nothing else actionable right now — Waiting on: "&amp;IF($K243="","this item",$K243),TEXTJOIN(" • ",TRUE,IF($F243="High","High Priority",""),IF(AND($I243&lt;&gt;"",$I243&lt;TODAY()),"Overdue",""),IF(AND($I243&lt;&gt;"",$I243&gt;=TODAY(),$I243&lt;=TODAY()+7),"Due This Week",""),IF(AND($H243&lt;&gt;"",$M243&lt;=VLOOKUP(Home!$C$7,Lists!$N$2:$O$6,2,FALSE)),$H243&amp;" Task",""),IF($G243=Home!$E$7,"Fits Current Energy",""),"No Blockers"))))</f>
        <v/>
      </c>
      <c r="P243" s="88">
        <f>IF($D243="","",SWITCH('Task Finder'!$C$6,"High Priority",AND($F243="High",$E243&lt;&gt;"Done",$E243&lt;&gt;"Archive"),"Due This Week",AND($I243&lt;&gt;"",$I243&gt;=TODAY(),$I243&lt;=TODAY()+7,$E243&lt;&gt;"Done"),"Quick Wins (15 mins or less)",AND($M243&lt;=15,$E243&lt;&gt;"Done",$E243&lt;&gt;"Blocked"),"Deep Thinking",AND($G243="Deep Thinking",$E243&lt;&gt;"Done"),"Processing",AND($G243="Processing",$E243&lt;&gt;"Done"),"Blocked",$E243="Blocked","Waiting",$E243="Waiting","Recently Updated",AND($L243&lt;&gt;"",$L243&gt;=TODAY()-7),"Keyword",AND('Task Finder'!$C$7&lt;&gt;"",OR(ISNUMBER(SEARCH('Task Finder'!$C$7,$A243)),ISNUMBER(SEARCH('Task Finder'!$C$7,$B243)),ISNUMBER(SEARCH('Task Finder'!$C$7,$C243)),ISNUMBER(SEARCH('Task Finder'!$C$7,$D243)),ISNUMBER(SEARCH('Task Finder'!$C$7,$K243)))),TRUE))</f>
        <v/>
      </c>
    </row>
    <row r="244">
      <c r="A244" s="19" t="n"/>
      <c r="B244" s="19" t="n"/>
      <c r="C244" s="19" t="n"/>
      <c r="D244" s="19" t="n"/>
      <c r="E244" s="19" t="n"/>
      <c r="F244" s="19" t="n"/>
      <c r="G244" s="19" t="n"/>
      <c r="H244" s="19" t="n"/>
      <c r="I244" s="19" t="n"/>
      <c r="J244" s="19" t="n"/>
      <c r="K244" s="19" t="n"/>
      <c r="L244" s="125" t="n"/>
      <c r="M244" s="88">
        <f>IF($D244="","",IFERROR(VLOOKUP($H244,Lists!$N$2:$O$6,2,FALSE),0))</f>
        <v/>
      </c>
      <c r="N244" s="88">
        <f>IF($D244="","",IF(OR($E244="Blocked",$E244="Done",$E244="Archive"),-9999,IF(AND($E244="Waiting",SUMPRODUCT((($E$5:$E$500="Next")+($E$5:$E$500="In Progress")+($E$5:$E$500="Captured"))*($D$5:$D$500&lt;&gt;""))&gt;0),-500,VLOOKUP($F244,Lists!$L$2:$M$4,2,FALSE)+IF($E244="In Progress",10,0)+IF(AND($I244&lt;&gt;"",$I244&lt;TODAY()),25,0)+IF(AND($I244&lt;&gt;"",$I244&gt;=TODAY(),$I244&lt;=TODAY()+7),15,0)+IF($H244="",0,IF($M244&lt;=VLOOKUP(Home!$C$7,Lists!$N$2:$O$6,2,FALSE),20,-10))+IF($G244=Home!$E$7,15,IF(Home!$E$7="",0,-5))-ROW()/100000)))</f>
        <v/>
      </c>
      <c r="O244" s="88">
        <f>IF($D244="","",IF($N244&lt;=-500,"Not recommended right now",IF($E244="Waiting","Nothing else actionable right now — Waiting on: "&amp;IF($K244="","this item",$K244),TEXTJOIN(" • ",TRUE,IF($F244="High","High Priority",""),IF(AND($I244&lt;&gt;"",$I244&lt;TODAY()),"Overdue",""),IF(AND($I244&lt;&gt;"",$I244&gt;=TODAY(),$I244&lt;=TODAY()+7),"Due This Week",""),IF(AND($H244&lt;&gt;"",$M244&lt;=VLOOKUP(Home!$C$7,Lists!$N$2:$O$6,2,FALSE)),$H244&amp;" Task",""),IF($G244=Home!$E$7,"Fits Current Energy",""),"No Blockers"))))</f>
        <v/>
      </c>
      <c r="P244" s="88">
        <f>IF($D244="","",SWITCH('Task Finder'!$C$6,"High Priority",AND($F244="High",$E244&lt;&gt;"Done",$E244&lt;&gt;"Archive"),"Due This Week",AND($I244&lt;&gt;"",$I244&gt;=TODAY(),$I244&lt;=TODAY()+7,$E244&lt;&gt;"Done"),"Quick Wins (15 mins or less)",AND($M244&lt;=15,$E244&lt;&gt;"Done",$E244&lt;&gt;"Blocked"),"Deep Thinking",AND($G244="Deep Thinking",$E244&lt;&gt;"Done"),"Processing",AND($G244="Processing",$E244&lt;&gt;"Done"),"Blocked",$E244="Blocked","Waiting",$E244="Waiting","Recently Updated",AND($L244&lt;&gt;"",$L244&gt;=TODAY()-7),"Keyword",AND('Task Finder'!$C$7&lt;&gt;"",OR(ISNUMBER(SEARCH('Task Finder'!$C$7,$A244)),ISNUMBER(SEARCH('Task Finder'!$C$7,$B244)),ISNUMBER(SEARCH('Task Finder'!$C$7,$C244)),ISNUMBER(SEARCH('Task Finder'!$C$7,$D244)),ISNUMBER(SEARCH('Task Finder'!$C$7,$K244)))),TRUE))</f>
        <v/>
      </c>
    </row>
    <row r="245">
      <c r="A245" s="19" t="n"/>
      <c r="B245" s="19" t="n"/>
      <c r="C245" s="19" t="n"/>
      <c r="D245" s="19" t="n"/>
      <c r="E245" s="19" t="n"/>
      <c r="F245" s="19" t="n"/>
      <c r="G245" s="19" t="n"/>
      <c r="H245" s="19" t="n"/>
      <c r="I245" s="19" t="n"/>
      <c r="J245" s="19" t="n"/>
      <c r="K245" s="19" t="n"/>
      <c r="L245" s="125" t="n"/>
      <c r="M245" s="88">
        <f>IF($D245="","",IFERROR(VLOOKUP($H245,Lists!$N$2:$O$6,2,FALSE),0))</f>
        <v/>
      </c>
      <c r="N245" s="88">
        <f>IF($D245="","",IF(OR($E245="Blocked",$E245="Done",$E245="Archive"),-9999,IF(AND($E245="Waiting",SUMPRODUCT((($E$5:$E$500="Next")+($E$5:$E$500="In Progress")+($E$5:$E$500="Captured"))*($D$5:$D$500&lt;&gt;""))&gt;0),-500,VLOOKUP($F245,Lists!$L$2:$M$4,2,FALSE)+IF($E245="In Progress",10,0)+IF(AND($I245&lt;&gt;"",$I245&lt;TODAY()),25,0)+IF(AND($I245&lt;&gt;"",$I245&gt;=TODAY(),$I245&lt;=TODAY()+7),15,0)+IF($H245="",0,IF($M245&lt;=VLOOKUP(Home!$C$7,Lists!$N$2:$O$6,2,FALSE),20,-10))+IF($G245=Home!$E$7,15,IF(Home!$E$7="",0,-5))-ROW()/100000)))</f>
        <v/>
      </c>
      <c r="O245" s="88">
        <f>IF($D245="","",IF($N245&lt;=-500,"Not recommended right now",IF($E245="Waiting","Nothing else actionable right now — Waiting on: "&amp;IF($K245="","this item",$K245),TEXTJOIN(" • ",TRUE,IF($F245="High","High Priority",""),IF(AND($I245&lt;&gt;"",$I245&lt;TODAY()),"Overdue",""),IF(AND($I245&lt;&gt;"",$I245&gt;=TODAY(),$I245&lt;=TODAY()+7),"Due This Week",""),IF(AND($H245&lt;&gt;"",$M245&lt;=VLOOKUP(Home!$C$7,Lists!$N$2:$O$6,2,FALSE)),$H245&amp;" Task",""),IF($G245=Home!$E$7,"Fits Current Energy",""),"No Blockers"))))</f>
        <v/>
      </c>
      <c r="P245" s="88">
        <f>IF($D245="","",SWITCH('Task Finder'!$C$6,"High Priority",AND($F245="High",$E245&lt;&gt;"Done",$E245&lt;&gt;"Archive"),"Due This Week",AND($I245&lt;&gt;"",$I245&gt;=TODAY(),$I245&lt;=TODAY()+7,$E245&lt;&gt;"Done"),"Quick Wins (15 mins or less)",AND($M245&lt;=15,$E245&lt;&gt;"Done",$E245&lt;&gt;"Blocked"),"Deep Thinking",AND($G245="Deep Thinking",$E245&lt;&gt;"Done"),"Processing",AND($G245="Processing",$E245&lt;&gt;"Done"),"Blocked",$E245="Blocked","Waiting",$E245="Waiting","Recently Updated",AND($L245&lt;&gt;"",$L245&gt;=TODAY()-7),"Keyword",AND('Task Finder'!$C$7&lt;&gt;"",OR(ISNUMBER(SEARCH('Task Finder'!$C$7,$A245)),ISNUMBER(SEARCH('Task Finder'!$C$7,$B245)),ISNUMBER(SEARCH('Task Finder'!$C$7,$C245)),ISNUMBER(SEARCH('Task Finder'!$C$7,$D245)),ISNUMBER(SEARCH('Task Finder'!$C$7,$K245)))),TRUE))</f>
        <v/>
      </c>
    </row>
    <row r="246">
      <c r="A246" s="19" t="n"/>
      <c r="B246" s="19" t="n"/>
      <c r="C246" s="19" t="n"/>
      <c r="D246" s="19" t="n"/>
      <c r="E246" s="19" t="n"/>
      <c r="F246" s="19" t="n"/>
      <c r="G246" s="19" t="n"/>
      <c r="H246" s="19" t="n"/>
      <c r="I246" s="19" t="n"/>
      <c r="J246" s="19" t="n"/>
      <c r="K246" s="19" t="n"/>
      <c r="L246" s="125" t="n"/>
      <c r="M246" s="88">
        <f>IF($D246="","",IFERROR(VLOOKUP($H246,Lists!$N$2:$O$6,2,FALSE),0))</f>
        <v/>
      </c>
      <c r="N246" s="88">
        <f>IF($D246="","",IF(OR($E246="Blocked",$E246="Done",$E246="Archive"),-9999,IF(AND($E246="Waiting",SUMPRODUCT((($E$5:$E$500="Next")+($E$5:$E$500="In Progress")+($E$5:$E$500="Captured"))*($D$5:$D$500&lt;&gt;""))&gt;0),-500,VLOOKUP($F246,Lists!$L$2:$M$4,2,FALSE)+IF($E246="In Progress",10,0)+IF(AND($I246&lt;&gt;"",$I246&lt;TODAY()),25,0)+IF(AND($I246&lt;&gt;"",$I246&gt;=TODAY(),$I246&lt;=TODAY()+7),15,0)+IF($H246="",0,IF($M246&lt;=VLOOKUP(Home!$C$7,Lists!$N$2:$O$6,2,FALSE),20,-10))+IF($G246=Home!$E$7,15,IF(Home!$E$7="",0,-5))-ROW()/100000)))</f>
        <v/>
      </c>
      <c r="O246" s="88">
        <f>IF($D246="","",IF($N246&lt;=-500,"Not recommended right now",IF($E246="Waiting","Nothing else actionable right now — Waiting on: "&amp;IF($K246="","this item",$K246),TEXTJOIN(" • ",TRUE,IF($F246="High","High Priority",""),IF(AND($I246&lt;&gt;"",$I246&lt;TODAY()),"Overdue",""),IF(AND($I246&lt;&gt;"",$I246&gt;=TODAY(),$I246&lt;=TODAY()+7),"Due This Week",""),IF(AND($H246&lt;&gt;"",$M246&lt;=VLOOKUP(Home!$C$7,Lists!$N$2:$O$6,2,FALSE)),$H246&amp;" Task",""),IF($G246=Home!$E$7,"Fits Current Energy",""),"No Blockers"))))</f>
        <v/>
      </c>
      <c r="P246" s="88">
        <f>IF($D246="","",SWITCH('Task Finder'!$C$6,"High Priority",AND($F246="High",$E246&lt;&gt;"Done",$E246&lt;&gt;"Archive"),"Due This Week",AND($I246&lt;&gt;"",$I246&gt;=TODAY(),$I246&lt;=TODAY()+7,$E246&lt;&gt;"Done"),"Quick Wins (15 mins or less)",AND($M246&lt;=15,$E246&lt;&gt;"Done",$E246&lt;&gt;"Blocked"),"Deep Thinking",AND($G246="Deep Thinking",$E246&lt;&gt;"Done"),"Processing",AND($G246="Processing",$E246&lt;&gt;"Done"),"Blocked",$E246="Blocked","Waiting",$E246="Waiting","Recently Updated",AND($L246&lt;&gt;"",$L246&gt;=TODAY()-7),"Keyword",AND('Task Finder'!$C$7&lt;&gt;"",OR(ISNUMBER(SEARCH('Task Finder'!$C$7,$A246)),ISNUMBER(SEARCH('Task Finder'!$C$7,$B246)),ISNUMBER(SEARCH('Task Finder'!$C$7,$C246)),ISNUMBER(SEARCH('Task Finder'!$C$7,$D246)),ISNUMBER(SEARCH('Task Finder'!$C$7,$K246)))),TRUE))</f>
        <v/>
      </c>
    </row>
    <row r="247">
      <c r="A247" s="19" t="n"/>
      <c r="B247" s="19" t="n"/>
      <c r="C247" s="19" t="n"/>
      <c r="D247" s="19" t="n"/>
      <c r="E247" s="19" t="n"/>
      <c r="F247" s="19" t="n"/>
      <c r="G247" s="19" t="n"/>
      <c r="H247" s="19" t="n"/>
      <c r="I247" s="19" t="n"/>
      <c r="J247" s="19" t="n"/>
      <c r="K247" s="19" t="n"/>
      <c r="L247" s="125" t="n"/>
      <c r="M247" s="88">
        <f>IF($D247="","",IFERROR(VLOOKUP($H247,Lists!$N$2:$O$6,2,FALSE),0))</f>
        <v/>
      </c>
      <c r="N247" s="88">
        <f>IF($D247="","",IF(OR($E247="Blocked",$E247="Done",$E247="Archive"),-9999,IF(AND($E247="Waiting",SUMPRODUCT((($E$5:$E$500="Next")+($E$5:$E$500="In Progress")+($E$5:$E$500="Captured"))*($D$5:$D$500&lt;&gt;""))&gt;0),-500,VLOOKUP($F247,Lists!$L$2:$M$4,2,FALSE)+IF($E247="In Progress",10,0)+IF(AND($I247&lt;&gt;"",$I247&lt;TODAY()),25,0)+IF(AND($I247&lt;&gt;"",$I247&gt;=TODAY(),$I247&lt;=TODAY()+7),15,0)+IF($H247="",0,IF($M247&lt;=VLOOKUP(Home!$C$7,Lists!$N$2:$O$6,2,FALSE),20,-10))+IF($G247=Home!$E$7,15,IF(Home!$E$7="",0,-5))-ROW()/100000)))</f>
        <v/>
      </c>
      <c r="O247" s="88">
        <f>IF($D247="","",IF($N247&lt;=-500,"Not recommended right now",IF($E247="Waiting","Nothing else actionable right now — Waiting on: "&amp;IF($K247="","this item",$K247),TEXTJOIN(" • ",TRUE,IF($F247="High","High Priority",""),IF(AND($I247&lt;&gt;"",$I247&lt;TODAY()),"Overdue",""),IF(AND($I247&lt;&gt;"",$I247&gt;=TODAY(),$I247&lt;=TODAY()+7),"Due This Week",""),IF(AND($H247&lt;&gt;"",$M247&lt;=VLOOKUP(Home!$C$7,Lists!$N$2:$O$6,2,FALSE)),$H247&amp;" Task",""),IF($G247=Home!$E$7,"Fits Current Energy",""),"No Blockers"))))</f>
        <v/>
      </c>
      <c r="P247" s="88">
        <f>IF($D247="","",SWITCH('Task Finder'!$C$6,"High Priority",AND($F247="High",$E247&lt;&gt;"Done",$E247&lt;&gt;"Archive"),"Due This Week",AND($I247&lt;&gt;"",$I247&gt;=TODAY(),$I247&lt;=TODAY()+7,$E247&lt;&gt;"Done"),"Quick Wins (15 mins or less)",AND($M247&lt;=15,$E247&lt;&gt;"Done",$E247&lt;&gt;"Blocked"),"Deep Thinking",AND($G247="Deep Thinking",$E247&lt;&gt;"Done"),"Processing",AND($G247="Processing",$E247&lt;&gt;"Done"),"Blocked",$E247="Blocked","Waiting",$E247="Waiting","Recently Updated",AND($L247&lt;&gt;"",$L247&gt;=TODAY()-7),"Keyword",AND('Task Finder'!$C$7&lt;&gt;"",OR(ISNUMBER(SEARCH('Task Finder'!$C$7,$A247)),ISNUMBER(SEARCH('Task Finder'!$C$7,$B247)),ISNUMBER(SEARCH('Task Finder'!$C$7,$C247)),ISNUMBER(SEARCH('Task Finder'!$C$7,$D247)),ISNUMBER(SEARCH('Task Finder'!$C$7,$K247)))),TRUE))</f>
        <v/>
      </c>
    </row>
    <row r="248">
      <c r="A248" s="19" t="n"/>
      <c r="B248" s="19" t="n"/>
      <c r="C248" s="19" t="n"/>
      <c r="D248" s="19" t="n"/>
      <c r="E248" s="19" t="n"/>
      <c r="F248" s="19" t="n"/>
      <c r="G248" s="19" t="n"/>
      <c r="H248" s="19" t="n"/>
      <c r="I248" s="19" t="n"/>
      <c r="J248" s="19" t="n"/>
      <c r="K248" s="19" t="n"/>
      <c r="L248" s="125" t="n"/>
      <c r="M248" s="88">
        <f>IF($D248="","",IFERROR(VLOOKUP($H248,Lists!$N$2:$O$6,2,FALSE),0))</f>
        <v/>
      </c>
      <c r="N248" s="88">
        <f>IF($D248="","",IF(OR($E248="Blocked",$E248="Done",$E248="Archive"),-9999,IF(AND($E248="Waiting",SUMPRODUCT((($E$5:$E$500="Next")+($E$5:$E$500="In Progress")+($E$5:$E$500="Captured"))*($D$5:$D$500&lt;&gt;""))&gt;0),-500,VLOOKUP($F248,Lists!$L$2:$M$4,2,FALSE)+IF($E248="In Progress",10,0)+IF(AND($I248&lt;&gt;"",$I248&lt;TODAY()),25,0)+IF(AND($I248&lt;&gt;"",$I248&gt;=TODAY(),$I248&lt;=TODAY()+7),15,0)+IF($H248="",0,IF($M248&lt;=VLOOKUP(Home!$C$7,Lists!$N$2:$O$6,2,FALSE),20,-10))+IF($G248=Home!$E$7,15,IF(Home!$E$7="",0,-5))-ROW()/100000)))</f>
        <v/>
      </c>
      <c r="O248" s="88">
        <f>IF($D248="","",IF($N248&lt;=-500,"Not recommended right now",IF($E248="Waiting","Nothing else actionable right now — Waiting on: "&amp;IF($K248="","this item",$K248),TEXTJOIN(" • ",TRUE,IF($F248="High","High Priority",""),IF(AND($I248&lt;&gt;"",$I248&lt;TODAY()),"Overdue",""),IF(AND($I248&lt;&gt;"",$I248&gt;=TODAY(),$I248&lt;=TODAY()+7),"Due This Week",""),IF(AND($H248&lt;&gt;"",$M248&lt;=VLOOKUP(Home!$C$7,Lists!$N$2:$O$6,2,FALSE)),$H248&amp;" Task",""),IF($G248=Home!$E$7,"Fits Current Energy",""),"No Blockers"))))</f>
        <v/>
      </c>
      <c r="P248" s="88">
        <f>IF($D248="","",SWITCH('Task Finder'!$C$6,"High Priority",AND($F248="High",$E248&lt;&gt;"Done",$E248&lt;&gt;"Archive"),"Due This Week",AND($I248&lt;&gt;"",$I248&gt;=TODAY(),$I248&lt;=TODAY()+7,$E248&lt;&gt;"Done"),"Quick Wins (15 mins or less)",AND($M248&lt;=15,$E248&lt;&gt;"Done",$E248&lt;&gt;"Blocked"),"Deep Thinking",AND($G248="Deep Thinking",$E248&lt;&gt;"Done"),"Processing",AND($G248="Processing",$E248&lt;&gt;"Done"),"Blocked",$E248="Blocked","Waiting",$E248="Waiting","Recently Updated",AND($L248&lt;&gt;"",$L248&gt;=TODAY()-7),"Keyword",AND('Task Finder'!$C$7&lt;&gt;"",OR(ISNUMBER(SEARCH('Task Finder'!$C$7,$A248)),ISNUMBER(SEARCH('Task Finder'!$C$7,$B248)),ISNUMBER(SEARCH('Task Finder'!$C$7,$C248)),ISNUMBER(SEARCH('Task Finder'!$C$7,$D248)),ISNUMBER(SEARCH('Task Finder'!$C$7,$K248)))),TRUE))</f>
        <v/>
      </c>
    </row>
    <row r="249">
      <c r="A249" s="19" t="n"/>
      <c r="B249" s="19" t="n"/>
      <c r="C249" s="19" t="n"/>
      <c r="D249" s="19" t="n"/>
      <c r="E249" s="19" t="n"/>
      <c r="F249" s="19" t="n"/>
      <c r="G249" s="19" t="n"/>
      <c r="H249" s="19" t="n"/>
      <c r="I249" s="19" t="n"/>
      <c r="J249" s="19" t="n"/>
      <c r="K249" s="19" t="n"/>
      <c r="L249" s="125" t="n"/>
      <c r="M249" s="88">
        <f>IF($D249="","",IFERROR(VLOOKUP($H249,Lists!$N$2:$O$6,2,FALSE),0))</f>
        <v/>
      </c>
      <c r="N249" s="88">
        <f>IF($D249="","",IF(OR($E249="Blocked",$E249="Done",$E249="Archive"),-9999,IF(AND($E249="Waiting",SUMPRODUCT((($E$5:$E$500="Next")+($E$5:$E$500="In Progress")+($E$5:$E$500="Captured"))*($D$5:$D$500&lt;&gt;""))&gt;0),-500,VLOOKUP($F249,Lists!$L$2:$M$4,2,FALSE)+IF($E249="In Progress",10,0)+IF(AND($I249&lt;&gt;"",$I249&lt;TODAY()),25,0)+IF(AND($I249&lt;&gt;"",$I249&gt;=TODAY(),$I249&lt;=TODAY()+7),15,0)+IF($H249="",0,IF($M249&lt;=VLOOKUP(Home!$C$7,Lists!$N$2:$O$6,2,FALSE),20,-10))+IF($G249=Home!$E$7,15,IF(Home!$E$7="",0,-5))-ROW()/100000)))</f>
        <v/>
      </c>
      <c r="O249" s="88">
        <f>IF($D249="","",IF($N249&lt;=-500,"Not recommended right now",IF($E249="Waiting","Nothing else actionable right now — Waiting on: "&amp;IF($K249="","this item",$K249),TEXTJOIN(" • ",TRUE,IF($F249="High","High Priority",""),IF(AND($I249&lt;&gt;"",$I249&lt;TODAY()),"Overdue",""),IF(AND($I249&lt;&gt;"",$I249&gt;=TODAY(),$I249&lt;=TODAY()+7),"Due This Week",""),IF(AND($H249&lt;&gt;"",$M249&lt;=VLOOKUP(Home!$C$7,Lists!$N$2:$O$6,2,FALSE)),$H249&amp;" Task",""),IF($G249=Home!$E$7,"Fits Current Energy",""),"No Blockers"))))</f>
        <v/>
      </c>
      <c r="P249" s="88">
        <f>IF($D249="","",SWITCH('Task Finder'!$C$6,"High Priority",AND($F249="High",$E249&lt;&gt;"Done",$E249&lt;&gt;"Archive"),"Due This Week",AND($I249&lt;&gt;"",$I249&gt;=TODAY(),$I249&lt;=TODAY()+7,$E249&lt;&gt;"Done"),"Quick Wins (15 mins or less)",AND($M249&lt;=15,$E249&lt;&gt;"Done",$E249&lt;&gt;"Blocked"),"Deep Thinking",AND($G249="Deep Thinking",$E249&lt;&gt;"Done"),"Processing",AND($G249="Processing",$E249&lt;&gt;"Done"),"Blocked",$E249="Blocked","Waiting",$E249="Waiting","Recently Updated",AND($L249&lt;&gt;"",$L249&gt;=TODAY()-7),"Keyword",AND('Task Finder'!$C$7&lt;&gt;"",OR(ISNUMBER(SEARCH('Task Finder'!$C$7,$A249)),ISNUMBER(SEARCH('Task Finder'!$C$7,$B249)),ISNUMBER(SEARCH('Task Finder'!$C$7,$C249)),ISNUMBER(SEARCH('Task Finder'!$C$7,$D249)),ISNUMBER(SEARCH('Task Finder'!$C$7,$K249)))),TRUE))</f>
        <v/>
      </c>
    </row>
    <row r="250">
      <c r="A250" s="19" t="n"/>
      <c r="B250" s="19" t="n"/>
      <c r="C250" s="19" t="n"/>
      <c r="D250" s="19" t="n"/>
      <c r="E250" s="19" t="n"/>
      <c r="F250" s="19" t="n"/>
      <c r="G250" s="19" t="n"/>
      <c r="H250" s="19" t="n"/>
      <c r="I250" s="19" t="n"/>
      <c r="J250" s="19" t="n"/>
      <c r="K250" s="19" t="n"/>
      <c r="L250" s="125" t="n"/>
      <c r="M250" s="88">
        <f>IF($D250="","",IFERROR(VLOOKUP($H250,Lists!$N$2:$O$6,2,FALSE),0))</f>
        <v/>
      </c>
      <c r="N250" s="88">
        <f>IF($D250="","",IF(OR($E250="Blocked",$E250="Done",$E250="Archive"),-9999,IF(AND($E250="Waiting",SUMPRODUCT((($E$5:$E$500="Next")+($E$5:$E$500="In Progress")+($E$5:$E$500="Captured"))*($D$5:$D$500&lt;&gt;""))&gt;0),-500,VLOOKUP($F250,Lists!$L$2:$M$4,2,FALSE)+IF($E250="In Progress",10,0)+IF(AND($I250&lt;&gt;"",$I250&lt;TODAY()),25,0)+IF(AND($I250&lt;&gt;"",$I250&gt;=TODAY(),$I250&lt;=TODAY()+7),15,0)+IF($H250="",0,IF($M250&lt;=VLOOKUP(Home!$C$7,Lists!$N$2:$O$6,2,FALSE),20,-10))+IF($G250=Home!$E$7,15,IF(Home!$E$7="",0,-5))-ROW()/100000)))</f>
        <v/>
      </c>
      <c r="O250" s="88">
        <f>IF($D250="","",IF($N250&lt;=-500,"Not recommended right now",IF($E250="Waiting","Nothing else actionable right now — Waiting on: "&amp;IF($K250="","this item",$K250),TEXTJOIN(" • ",TRUE,IF($F250="High","High Priority",""),IF(AND($I250&lt;&gt;"",$I250&lt;TODAY()),"Overdue",""),IF(AND($I250&lt;&gt;"",$I250&gt;=TODAY(),$I250&lt;=TODAY()+7),"Due This Week",""),IF(AND($H250&lt;&gt;"",$M250&lt;=VLOOKUP(Home!$C$7,Lists!$N$2:$O$6,2,FALSE)),$H250&amp;" Task",""),IF($G250=Home!$E$7,"Fits Current Energy",""),"No Blockers"))))</f>
        <v/>
      </c>
      <c r="P250" s="88">
        <f>IF($D250="","",SWITCH('Task Finder'!$C$6,"High Priority",AND($F250="High",$E250&lt;&gt;"Done",$E250&lt;&gt;"Archive"),"Due This Week",AND($I250&lt;&gt;"",$I250&gt;=TODAY(),$I250&lt;=TODAY()+7,$E250&lt;&gt;"Done"),"Quick Wins (15 mins or less)",AND($M250&lt;=15,$E250&lt;&gt;"Done",$E250&lt;&gt;"Blocked"),"Deep Thinking",AND($G250="Deep Thinking",$E250&lt;&gt;"Done"),"Processing",AND($G250="Processing",$E250&lt;&gt;"Done"),"Blocked",$E250="Blocked","Waiting",$E250="Waiting","Recently Updated",AND($L250&lt;&gt;"",$L250&gt;=TODAY()-7),"Keyword",AND('Task Finder'!$C$7&lt;&gt;"",OR(ISNUMBER(SEARCH('Task Finder'!$C$7,$A250)),ISNUMBER(SEARCH('Task Finder'!$C$7,$B250)),ISNUMBER(SEARCH('Task Finder'!$C$7,$C250)),ISNUMBER(SEARCH('Task Finder'!$C$7,$D250)),ISNUMBER(SEARCH('Task Finder'!$C$7,$K250)))),TRUE))</f>
        <v/>
      </c>
    </row>
    <row r="251">
      <c r="A251" s="19" t="n"/>
      <c r="B251" s="19" t="n"/>
      <c r="C251" s="19" t="n"/>
      <c r="D251" s="19" t="n"/>
      <c r="E251" s="19" t="n"/>
      <c r="F251" s="19" t="n"/>
      <c r="G251" s="19" t="n"/>
      <c r="H251" s="19" t="n"/>
      <c r="I251" s="19" t="n"/>
      <c r="J251" s="19" t="n"/>
      <c r="K251" s="19" t="n"/>
      <c r="L251" s="125" t="n"/>
      <c r="M251" s="88">
        <f>IF($D251="","",IFERROR(VLOOKUP($H251,Lists!$N$2:$O$6,2,FALSE),0))</f>
        <v/>
      </c>
      <c r="N251" s="88">
        <f>IF($D251="","",IF(OR($E251="Blocked",$E251="Done",$E251="Archive"),-9999,IF(AND($E251="Waiting",SUMPRODUCT((($E$5:$E$500="Next")+($E$5:$E$500="In Progress")+($E$5:$E$500="Captured"))*($D$5:$D$500&lt;&gt;""))&gt;0),-500,VLOOKUP($F251,Lists!$L$2:$M$4,2,FALSE)+IF($E251="In Progress",10,0)+IF(AND($I251&lt;&gt;"",$I251&lt;TODAY()),25,0)+IF(AND($I251&lt;&gt;"",$I251&gt;=TODAY(),$I251&lt;=TODAY()+7),15,0)+IF($H251="",0,IF($M251&lt;=VLOOKUP(Home!$C$7,Lists!$N$2:$O$6,2,FALSE),20,-10))+IF($G251=Home!$E$7,15,IF(Home!$E$7="",0,-5))-ROW()/100000)))</f>
        <v/>
      </c>
      <c r="O251" s="88">
        <f>IF($D251="","",IF($N251&lt;=-500,"Not recommended right now",IF($E251="Waiting","Nothing else actionable right now — Waiting on: "&amp;IF($K251="","this item",$K251),TEXTJOIN(" • ",TRUE,IF($F251="High","High Priority",""),IF(AND($I251&lt;&gt;"",$I251&lt;TODAY()),"Overdue",""),IF(AND($I251&lt;&gt;"",$I251&gt;=TODAY(),$I251&lt;=TODAY()+7),"Due This Week",""),IF(AND($H251&lt;&gt;"",$M251&lt;=VLOOKUP(Home!$C$7,Lists!$N$2:$O$6,2,FALSE)),$H251&amp;" Task",""),IF($G251=Home!$E$7,"Fits Current Energy",""),"No Blockers"))))</f>
        <v/>
      </c>
      <c r="P251" s="88">
        <f>IF($D251="","",SWITCH('Task Finder'!$C$6,"High Priority",AND($F251="High",$E251&lt;&gt;"Done",$E251&lt;&gt;"Archive"),"Due This Week",AND($I251&lt;&gt;"",$I251&gt;=TODAY(),$I251&lt;=TODAY()+7,$E251&lt;&gt;"Done"),"Quick Wins (15 mins or less)",AND($M251&lt;=15,$E251&lt;&gt;"Done",$E251&lt;&gt;"Blocked"),"Deep Thinking",AND($G251="Deep Thinking",$E251&lt;&gt;"Done"),"Processing",AND($G251="Processing",$E251&lt;&gt;"Done"),"Blocked",$E251="Blocked","Waiting",$E251="Waiting","Recently Updated",AND($L251&lt;&gt;"",$L251&gt;=TODAY()-7),"Keyword",AND('Task Finder'!$C$7&lt;&gt;"",OR(ISNUMBER(SEARCH('Task Finder'!$C$7,$A251)),ISNUMBER(SEARCH('Task Finder'!$C$7,$B251)),ISNUMBER(SEARCH('Task Finder'!$C$7,$C251)),ISNUMBER(SEARCH('Task Finder'!$C$7,$D251)),ISNUMBER(SEARCH('Task Finder'!$C$7,$K251)))),TRUE))</f>
        <v/>
      </c>
    </row>
    <row r="252">
      <c r="A252" s="19" t="n"/>
      <c r="B252" s="19" t="n"/>
      <c r="C252" s="19" t="n"/>
      <c r="D252" s="19" t="n"/>
      <c r="E252" s="19" t="n"/>
      <c r="F252" s="19" t="n"/>
      <c r="G252" s="19" t="n"/>
      <c r="H252" s="19" t="n"/>
      <c r="I252" s="19" t="n"/>
      <c r="J252" s="19" t="n"/>
      <c r="K252" s="19" t="n"/>
      <c r="L252" s="125" t="n"/>
      <c r="M252" s="88">
        <f>IF($D252="","",IFERROR(VLOOKUP($H252,Lists!$N$2:$O$6,2,FALSE),0))</f>
        <v/>
      </c>
      <c r="N252" s="88">
        <f>IF($D252="","",IF(OR($E252="Blocked",$E252="Done",$E252="Archive"),-9999,IF(AND($E252="Waiting",SUMPRODUCT((($E$5:$E$500="Next")+($E$5:$E$500="In Progress")+($E$5:$E$500="Captured"))*($D$5:$D$500&lt;&gt;""))&gt;0),-500,VLOOKUP($F252,Lists!$L$2:$M$4,2,FALSE)+IF($E252="In Progress",10,0)+IF(AND($I252&lt;&gt;"",$I252&lt;TODAY()),25,0)+IF(AND($I252&lt;&gt;"",$I252&gt;=TODAY(),$I252&lt;=TODAY()+7),15,0)+IF($H252="",0,IF($M252&lt;=VLOOKUP(Home!$C$7,Lists!$N$2:$O$6,2,FALSE),20,-10))+IF($G252=Home!$E$7,15,IF(Home!$E$7="",0,-5))-ROW()/100000)))</f>
        <v/>
      </c>
      <c r="O252" s="88">
        <f>IF($D252="","",IF($N252&lt;=-500,"Not recommended right now",IF($E252="Waiting","Nothing else actionable right now — Waiting on: "&amp;IF($K252="","this item",$K252),TEXTJOIN(" • ",TRUE,IF($F252="High","High Priority",""),IF(AND($I252&lt;&gt;"",$I252&lt;TODAY()),"Overdue",""),IF(AND($I252&lt;&gt;"",$I252&gt;=TODAY(),$I252&lt;=TODAY()+7),"Due This Week",""),IF(AND($H252&lt;&gt;"",$M252&lt;=VLOOKUP(Home!$C$7,Lists!$N$2:$O$6,2,FALSE)),$H252&amp;" Task",""),IF($G252=Home!$E$7,"Fits Current Energy",""),"No Blockers"))))</f>
        <v/>
      </c>
      <c r="P252" s="88">
        <f>IF($D252="","",SWITCH('Task Finder'!$C$6,"High Priority",AND($F252="High",$E252&lt;&gt;"Done",$E252&lt;&gt;"Archive"),"Due This Week",AND($I252&lt;&gt;"",$I252&gt;=TODAY(),$I252&lt;=TODAY()+7,$E252&lt;&gt;"Done"),"Quick Wins (15 mins or less)",AND($M252&lt;=15,$E252&lt;&gt;"Done",$E252&lt;&gt;"Blocked"),"Deep Thinking",AND($G252="Deep Thinking",$E252&lt;&gt;"Done"),"Processing",AND($G252="Processing",$E252&lt;&gt;"Done"),"Blocked",$E252="Blocked","Waiting",$E252="Waiting","Recently Updated",AND($L252&lt;&gt;"",$L252&gt;=TODAY()-7),"Keyword",AND('Task Finder'!$C$7&lt;&gt;"",OR(ISNUMBER(SEARCH('Task Finder'!$C$7,$A252)),ISNUMBER(SEARCH('Task Finder'!$C$7,$B252)),ISNUMBER(SEARCH('Task Finder'!$C$7,$C252)),ISNUMBER(SEARCH('Task Finder'!$C$7,$D252)),ISNUMBER(SEARCH('Task Finder'!$C$7,$K252)))),TRUE))</f>
        <v/>
      </c>
    </row>
    <row r="253">
      <c r="A253" s="19" t="n"/>
      <c r="B253" s="19" t="n"/>
      <c r="C253" s="19" t="n"/>
      <c r="D253" s="19" t="n"/>
      <c r="E253" s="19" t="n"/>
      <c r="F253" s="19" t="n"/>
      <c r="G253" s="19" t="n"/>
      <c r="H253" s="19" t="n"/>
      <c r="I253" s="19" t="n"/>
      <c r="J253" s="19" t="n"/>
      <c r="K253" s="19" t="n"/>
      <c r="L253" s="125" t="n"/>
      <c r="M253" s="88">
        <f>IF($D253="","",IFERROR(VLOOKUP($H253,Lists!$N$2:$O$6,2,FALSE),0))</f>
        <v/>
      </c>
      <c r="N253" s="88">
        <f>IF($D253="","",IF(OR($E253="Blocked",$E253="Done",$E253="Archive"),-9999,IF(AND($E253="Waiting",SUMPRODUCT((($E$5:$E$500="Next")+($E$5:$E$500="In Progress")+($E$5:$E$500="Captured"))*($D$5:$D$500&lt;&gt;""))&gt;0),-500,VLOOKUP($F253,Lists!$L$2:$M$4,2,FALSE)+IF($E253="In Progress",10,0)+IF(AND($I253&lt;&gt;"",$I253&lt;TODAY()),25,0)+IF(AND($I253&lt;&gt;"",$I253&gt;=TODAY(),$I253&lt;=TODAY()+7),15,0)+IF($H253="",0,IF($M253&lt;=VLOOKUP(Home!$C$7,Lists!$N$2:$O$6,2,FALSE),20,-10))+IF($G253=Home!$E$7,15,IF(Home!$E$7="",0,-5))-ROW()/100000)))</f>
        <v/>
      </c>
      <c r="O253" s="88">
        <f>IF($D253="","",IF($N253&lt;=-500,"Not recommended right now",IF($E253="Waiting","Nothing else actionable right now — Waiting on: "&amp;IF($K253="","this item",$K253),TEXTJOIN(" • ",TRUE,IF($F253="High","High Priority",""),IF(AND($I253&lt;&gt;"",$I253&lt;TODAY()),"Overdue",""),IF(AND($I253&lt;&gt;"",$I253&gt;=TODAY(),$I253&lt;=TODAY()+7),"Due This Week",""),IF(AND($H253&lt;&gt;"",$M253&lt;=VLOOKUP(Home!$C$7,Lists!$N$2:$O$6,2,FALSE)),$H253&amp;" Task",""),IF($G253=Home!$E$7,"Fits Current Energy",""),"No Blockers"))))</f>
        <v/>
      </c>
      <c r="P253" s="88">
        <f>IF($D253="","",SWITCH('Task Finder'!$C$6,"High Priority",AND($F253="High",$E253&lt;&gt;"Done",$E253&lt;&gt;"Archive"),"Due This Week",AND($I253&lt;&gt;"",$I253&gt;=TODAY(),$I253&lt;=TODAY()+7,$E253&lt;&gt;"Done"),"Quick Wins (15 mins or less)",AND($M253&lt;=15,$E253&lt;&gt;"Done",$E253&lt;&gt;"Blocked"),"Deep Thinking",AND($G253="Deep Thinking",$E253&lt;&gt;"Done"),"Processing",AND($G253="Processing",$E253&lt;&gt;"Done"),"Blocked",$E253="Blocked","Waiting",$E253="Waiting","Recently Updated",AND($L253&lt;&gt;"",$L253&gt;=TODAY()-7),"Keyword",AND('Task Finder'!$C$7&lt;&gt;"",OR(ISNUMBER(SEARCH('Task Finder'!$C$7,$A253)),ISNUMBER(SEARCH('Task Finder'!$C$7,$B253)),ISNUMBER(SEARCH('Task Finder'!$C$7,$C253)),ISNUMBER(SEARCH('Task Finder'!$C$7,$D253)),ISNUMBER(SEARCH('Task Finder'!$C$7,$K253)))),TRUE))</f>
        <v/>
      </c>
    </row>
    <row r="254">
      <c r="A254" s="19" t="n"/>
      <c r="B254" s="19" t="n"/>
      <c r="C254" s="19" t="n"/>
      <c r="D254" s="19" t="n"/>
      <c r="E254" s="19" t="n"/>
      <c r="F254" s="19" t="n"/>
      <c r="G254" s="19" t="n"/>
      <c r="H254" s="19" t="n"/>
      <c r="I254" s="19" t="n"/>
      <c r="J254" s="19" t="n"/>
      <c r="K254" s="19" t="n"/>
      <c r="L254" s="125" t="n"/>
      <c r="M254" s="88">
        <f>IF($D254="","",IFERROR(VLOOKUP($H254,Lists!$N$2:$O$6,2,FALSE),0))</f>
        <v/>
      </c>
      <c r="N254" s="88">
        <f>IF($D254="","",IF(OR($E254="Blocked",$E254="Done",$E254="Archive"),-9999,IF(AND($E254="Waiting",SUMPRODUCT((($E$5:$E$500="Next")+($E$5:$E$500="In Progress")+($E$5:$E$500="Captured"))*($D$5:$D$500&lt;&gt;""))&gt;0),-500,VLOOKUP($F254,Lists!$L$2:$M$4,2,FALSE)+IF($E254="In Progress",10,0)+IF(AND($I254&lt;&gt;"",$I254&lt;TODAY()),25,0)+IF(AND($I254&lt;&gt;"",$I254&gt;=TODAY(),$I254&lt;=TODAY()+7),15,0)+IF($H254="",0,IF($M254&lt;=VLOOKUP(Home!$C$7,Lists!$N$2:$O$6,2,FALSE),20,-10))+IF($G254=Home!$E$7,15,IF(Home!$E$7="",0,-5))-ROW()/100000)))</f>
        <v/>
      </c>
      <c r="O254" s="88">
        <f>IF($D254="","",IF($N254&lt;=-500,"Not recommended right now",IF($E254="Waiting","Nothing else actionable right now — Waiting on: "&amp;IF($K254="","this item",$K254),TEXTJOIN(" • ",TRUE,IF($F254="High","High Priority",""),IF(AND($I254&lt;&gt;"",$I254&lt;TODAY()),"Overdue",""),IF(AND($I254&lt;&gt;"",$I254&gt;=TODAY(),$I254&lt;=TODAY()+7),"Due This Week",""),IF(AND($H254&lt;&gt;"",$M254&lt;=VLOOKUP(Home!$C$7,Lists!$N$2:$O$6,2,FALSE)),$H254&amp;" Task",""),IF($G254=Home!$E$7,"Fits Current Energy",""),"No Blockers"))))</f>
        <v/>
      </c>
      <c r="P254" s="88">
        <f>IF($D254="","",SWITCH('Task Finder'!$C$6,"High Priority",AND($F254="High",$E254&lt;&gt;"Done",$E254&lt;&gt;"Archive"),"Due This Week",AND($I254&lt;&gt;"",$I254&gt;=TODAY(),$I254&lt;=TODAY()+7,$E254&lt;&gt;"Done"),"Quick Wins (15 mins or less)",AND($M254&lt;=15,$E254&lt;&gt;"Done",$E254&lt;&gt;"Blocked"),"Deep Thinking",AND($G254="Deep Thinking",$E254&lt;&gt;"Done"),"Processing",AND($G254="Processing",$E254&lt;&gt;"Done"),"Blocked",$E254="Blocked","Waiting",$E254="Waiting","Recently Updated",AND($L254&lt;&gt;"",$L254&gt;=TODAY()-7),"Keyword",AND('Task Finder'!$C$7&lt;&gt;"",OR(ISNUMBER(SEARCH('Task Finder'!$C$7,$A254)),ISNUMBER(SEARCH('Task Finder'!$C$7,$B254)),ISNUMBER(SEARCH('Task Finder'!$C$7,$C254)),ISNUMBER(SEARCH('Task Finder'!$C$7,$D254)),ISNUMBER(SEARCH('Task Finder'!$C$7,$K254)))),TRUE))</f>
        <v/>
      </c>
    </row>
    <row r="255">
      <c r="A255" s="19" t="n"/>
      <c r="B255" s="19" t="n"/>
      <c r="C255" s="19" t="n"/>
      <c r="D255" s="19" t="n"/>
      <c r="E255" s="19" t="n"/>
      <c r="F255" s="19" t="n"/>
      <c r="G255" s="19" t="n"/>
      <c r="H255" s="19" t="n"/>
      <c r="I255" s="19" t="n"/>
      <c r="J255" s="19" t="n"/>
      <c r="K255" s="19" t="n"/>
      <c r="L255" s="125" t="n"/>
      <c r="M255" s="88">
        <f>IF($D255="","",IFERROR(VLOOKUP($H255,Lists!$N$2:$O$6,2,FALSE),0))</f>
        <v/>
      </c>
      <c r="N255" s="88">
        <f>IF($D255="","",IF(OR($E255="Blocked",$E255="Done",$E255="Archive"),-9999,IF(AND($E255="Waiting",SUMPRODUCT((($E$5:$E$500="Next")+($E$5:$E$500="In Progress")+($E$5:$E$500="Captured"))*($D$5:$D$500&lt;&gt;""))&gt;0),-500,VLOOKUP($F255,Lists!$L$2:$M$4,2,FALSE)+IF($E255="In Progress",10,0)+IF(AND($I255&lt;&gt;"",$I255&lt;TODAY()),25,0)+IF(AND($I255&lt;&gt;"",$I255&gt;=TODAY(),$I255&lt;=TODAY()+7),15,0)+IF($H255="",0,IF($M255&lt;=VLOOKUP(Home!$C$7,Lists!$N$2:$O$6,2,FALSE),20,-10))+IF($G255=Home!$E$7,15,IF(Home!$E$7="",0,-5))-ROW()/100000)))</f>
        <v/>
      </c>
      <c r="O255" s="88">
        <f>IF($D255="","",IF($N255&lt;=-500,"Not recommended right now",IF($E255="Waiting","Nothing else actionable right now — Waiting on: "&amp;IF($K255="","this item",$K255),TEXTJOIN(" • ",TRUE,IF($F255="High","High Priority",""),IF(AND($I255&lt;&gt;"",$I255&lt;TODAY()),"Overdue",""),IF(AND($I255&lt;&gt;"",$I255&gt;=TODAY(),$I255&lt;=TODAY()+7),"Due This Week",""),IF(AND($H255&lt;&gt;"",$M255&lt;=VLOOKUP(Home!$C$7,Lists!$N$2:$O$6,2,FALSE)),$H255&amp;" Task",""),IF($G255=Home!$E$7,"Fits Current Energy",""),"No Blockers"))))</f>
        <v/>
      </c>
      <c r="P255" s="88">
        <f>IF($D255="","",SWITCH('Task Finder'!$C$6,"High Priority",AND($F255="High",$E255&lt;&gt;"Done",$E255&lt;&gt;"Archive"),"Due This Week",AND($I255&lt;&gt;"",$I255&gt;=TODAY(),$I255&lt;=TODAY()+7,$E255&lt;&gt;"Done"),"Quick Wins (15 mins or less)",AND($M255&lt;=15,$E255&lt;&gt;"Done",$E255&lt;&gt;"Blocked"),"Deep Thinking",AND($G255="Deep Thinking",$E255&lt;&gt;"Done"),"Processing",AND($G255="Processing",$E255&lt;&gt;"Done"),"Blocked",$E255="Blocked","Waiting",$E255="Waiting","Recently Updated",AND($L255&lt;&gt;"",$L255&gt;=TODAY()-7),"Keyword",AND('Task Finder'!$C$7&lt;&gt;"",OR(ISNUMBER(SEARCH('Task Finder'!$C$7,$A255)),ISNUMBER(SEARCH('Task Finder'!$C$7,$B255)),ISNUMBER(SEARCH('Task Finder'!$C$7,$C255)),ISNUMBER(SEARCH('Task Finder'!$C$7,$D255)),ISNUMBER(SEARCH('Task Finder'!$C$7,$K255)))),TRUE))</f>
        <v/>
      </c>
    </row>
    <row r="256">
      <c r="A256" s="19" t="n"/>
      <c r="B256" s="19" t="n"/>
      <c r="C256" s="19" t="n"/>
      <c r="D256" s="19" t="n"/>
      <c r="E256" s="19" t="n"/>
      <c r="F256" s="19" t="n"/>
      <c r="G256" s="19" t="n"/>
      <c r="H256" s="19" t="n"/>
      <c r="I256" s="19" t="n"/>
      <c r="J256" s="19" t="n"/>
      <c r="K256" s="19" t="n"/>
      <c r="L256" s="125" t="n"/>
      <c r="M256" s="88">
        <f>IF($D256="","",IFERROR(VLOOKUP($H256,Lists!$N$2:$O$6,2,FALSE),0))</f>
        <v/>
      </c>
      <c r="N256" s="88">
        <f>IF($D256="","",IF(OR($E256="Blocked",$E256="Done",$E256="Archive"),-9999,IF(AND($E256="Waiting",SUMPRODUCT((($E$5:$E$500="Next")+($E$5:$E$500="In Progress")+($E$5:$E$500="Captured"))*($D$5:$D$500&lt;&gt;""))&gt;0),-500,VLOOKUP($F256,Lists!$L$2:$M$4,2,FALSE)+IF($E256="In Progress",10,0)+IF(AND($I256&lt;&gt;"",$I256&lt;TODAY()),25,0)+IF(AND($I256&lt;&gt;"",$I256&gt;=TODAY(),$I256&lt;=TODAY()+7),15,0)+IF($H256="",0,IF($M256&lt;=VLOOKUP(Home!$C$7,Lists!$N$2:$O$6,2,FALSE),20,-10))+IF($G256=Home!$E$7,15,IF(Home!$E$7="",0,-5))-ROW()/100000)))</f>
        <v/>
      </c>
      <c r="O256" s="88">
        <f>IF($D256="","",IF($N256&lt;=-500,"Not recommended right now",IF($E256="Waiting","Nothing else actionable right now — Waiting on: "&amp;IF($K256="","this item",$K256),TEXTJOIN(" • ",TRUE,IF($F256="High","High Priority",""),IF(AND($I256&lt;&gt;"",$I256&lt;TODAY()),"Overdue",""),IF(AND($I256&lt;&gt;"",$I256&gt;=TODAY(),$I256&lt;=TODAY()+7),"Due This Week",""),IF(AND($H256&lt;&gt;"",$M256&lt;=VLOOKUP(Home!$C$7,Lists!$N$2:$O$6,2,FALSE)),$H256&amp;" Task",""),IF($G256=Home!$E$7,"Fits Current Energy",""),"No Blockers"))))</f>
        <v/>
      </c>
      <c r="P256" s="88">
        <f>IF($D256="","",SWITCH('Task Finder'!$C$6,"High Priority",AND($F256="High",$E256&lt;&gt;"Done",$E256&lt;&gt;"Archive"),"Due This Week",AND($I256&lt;&gt;"",$I256&gt;=TODAY(),$I256&lt;=TODAY()+7,$E256&lt;&gt;"Done"),"Quick Wins (15 mins or less)",AND($M256&lt;=15,$E256&lt;&gt;"Done",$E256&lt;&gt;"Blocked"),"Deep Thinking",AND($G256="Deep Thinking",$E256&lt;&gt;"Done"),"Processing",AND($G256="Processing",$E256&lt;&gt;"Done"),"Blocked",$E256="Blocked","Waiting",$E256="Waiting","Recently Updated",AND($L256&lt;&gt;"",$L256&gt;=TODAY()-7),"Keyword",AND('Task Finder'!$C$7&lt;&gt;"",OR(ISNUMBER(SEARCH('Task Finder'!$C$7,$A256)),ISNUMBER(SEARCH('Task Finder'!$C$7,$B256)),ISNUMBER(SEARCH('Task Finder'!$C$7,$C256)),ISNUMBER(SEARCH('Task Finder'!$C$7,$D256)),ISNUMBER(SEARCH('Task Finder'!$C$7,$K256)))),TRUE))</f>
        <v/>
      </c>
    </row>
    <row r="257">
      <c r="A257" s="19" t="n"/>
      <c r="B257" s="19" t="n"/>
      <c r="C257" s="19" t="n"/>
      <c r="D257" s="19" t="n"/>
      <c r="E257" s="19" t="n"/>
      <c r="F257" s="19" t="n"/>
      <c r="G257" s="19" t="n"/>
      <c r="H257" s="19" t="n"/>
      <c r="I257" s="19" t="n"/>
      <c r="J257" s="19" t="n"/>
      <c r="K257" s="19" t="n"/>
      <c r="L257" s="125" t="n"/>
      <c r="M257" s="88">
        <f>IF($D257="","",IFERROR(VLOOKUP($H257,Lists!$N$2:$O$6,2,FALSE),0))</f>
        <v/>
      </c>
      <c r="N257" s="88">
        <f>IF($D257="","",IF(OR($E257="Blocked",$E257="Done",$E257="Archive"),-9999,IF(AND($E257="Waiting",SUMPRODUCT((($E$5:$E$500="Next")+($E$5:$E$500="In Progress")+($E$5:$E$500="Captured"))*($D$5:$D$500&lt;&gt;""))&gt;0),-500,VLOOKUP($F257,Lists!$L$2:$M$4,2,FALSE)+IF($E257="In Progress",10,0)+IF(AND($I257&lt;&gt;"",$I257&lt;TODAY()),25,0)+IF(AND($I257&lt;&gt;"",$I257&gt;=TODAY(),$I257&lt;=TODAY()+7),15,0)+IF($H257="",0,IF($M257&lt;=VLOOKUP(Home!$C$7,Lists!$N$2:$O$6,2,FALSE),20,-10))+IF($G257=Home!$E$7,15,IF(Home!$E$7="",0,-5))-ROW()/100000)))</f>
        <v/>
      </c>
      <c r="O257" s="88">
        <f>IF($D257="","",IF($N257&lt;=-500,"Not recommended right now",IF($E257="Waiting","Nothing else actionable right now — Waiting on: "&amp;IF($K257="","this item",$K257),TEXTJOIN(" • ",TRUE,IF($F257="High","High Priority",""),IF(AND($I257&lt;&gt;"",$I257&lt;TODAY()),"Overdue",""),IF(AND($I257&lt;&gt;"",$I257&gt;=TODAY(),$I257&lt;=TODAY()+7),"Due This Week",""),IF(AND($H257&lt;&gt;"",$M257&lt;=VLOOKUP(Home!$C$7,Lists!$N$2:$O$6,2,FALSE)),$H257&amp;" Task",""),IF($G257=Home!$E$7,"Fits Current Energy",""),"No Blockers"))))</f>
        <v/>
      </c>
      <c r="P257" s="88">
        <f>IF($D257="","",SWITCH('Task Finder'!$C$6,"High Priority",AND($F257="High",$E257&lt;&gt;"Done",$E257&lt;&gt;"Archive"),"Due This Week",AND($I257&lt;&gt;"",$I257&gt;=TODAY(),$I257&lt;=TODAY()+7,$E257&lt;&gt;"Done"),"Quick Wins (15 mins or less)",AND($M257&lt;=15,$E257&lt;&gt;"Done",$E257&lt;&gt;"Blocked"),"Deep Thinking",AND($G257="Deep Thinking",$E257&lt;&gt;"Done"),"Processing",AND($G257="Processing",$E257&lt;&gt;"Done"),"Blocked",$E257="Blocked","Waiting",$E257="Waiting","Recently Updated",AND($L257&lt;&gt;"",$L257&gt;=TODAY()-7),"Keyword",AND('Task Finder'!$C$7&lt;&gt;"",OR(ISNUMBER(SEARCH('Task Finder'!$C$7,$A257)),ISNUMBER(SEARCH('Task Finder'!$C$7,$B257)),ISNUMBER(SEARCH('Task Finder'!$C$7,$C257)),ISNUMBER(SEARCH('Task Finder'!$C$7,$D257)),ISNUMBER(SEARCH('Task Finder'!$C$7,$K257)))),TRUE))</f>
        <v/>
      </c>
    </row>
    <row r="258">
      <c r="A258" s="19" t="n"/>
      <c r="B258" s="19" t="n"/>
      <c r="C258" s="19" t="n"/>
      <c r="D258" s="19" t="n"/>
      <c r="E258" s="19" t="n"/>
      <c r="F258" s="19" t="n"/>
      <c r="G258" s="19" t="n"/>
      <c r="H258" s="19" t="n"/>
      <c r="I258" s="19" t="n"/>
      <c r="J258" s="19" t="n"/>
      <c r="K258" s="19" t="n"/>
      <c r="L258" s="125" t="n"/>
      <c r="M258" s="88">
        <f>IF($D258="","",IFERROR(VLOOKUP($H258,Lists!$N$2:$O$6,2,FALSE),0))</f>
        <v/>
      </c>
      <c r="N258" s="88">
        <f>IF($D258="","",IF(OR($E258="Blocked",$E258="Done",$E258="Archive"),-9999,IF(AND($E258="Waiting",SUMPRODUCT((($E$5:$E$500="Next")+($E$5:$E$500="In Progress")+($E$5:$E$500="Captured"))*($D$5:$D$500&lt;&gt;""))&gt;0),-500,VLOOKUP($F258,Lists!$L$2:$M$4,2,FALSE)+IF($E258="In Progress",10,0)+IF(AND($I258&lt;&gt;"",$I258&lt;TODAY()),25,0)+IF(AND($I258&lt;&gt;"",$I258&gt;=TODAY(),$I258&lt;=TODAY()+7),15,0)+IF($H258="",0,IF($M258&lt;=VLOOKUP(Home!$C$7,Lists!$N$2:$O$6,2,FALSE),20,-10))+IF($G258=Home!$E$7,15,IF(Home!$E$7="",0,-5))-ROW()/100000)))</f>
        <v/>
      </c>
      <c r="O258" s="88">
        <f>IF($D258="","",IF($N258&lt;=-500,"Not recommended right now",IF($E258="Waiting","Nothing else actionable right now — Waiting on: "&amp;IF($K258="","this item",$K258),TEXTJOIN(" • ",TRUE,IF($F258="High","High Priority",""),IF(AND($I258&lt;&gt;"",$I258&lt;TODAY()),"Overdue",""),IF(AND($I258&lt;&gt;"",$I258&gt;=TODAY(),$I258&lt;=TODAY()+7),"Due This Week",""),IF(AND($H258&lt;&gt;"",$M258&lt;=VLOOKUP(Home!$C$7,Lists!$N$2:$O$6,2,FALSE)),$H258&amp;" Task",""),IF($G258=Home!$E$7,"Fits Current Energy",""),"No Blockers"))))</f>
        <v/>
      </c>
      <c r="P258" s="88">
        <f>IF($D258="","",SWITCH('Task Finder'!$C$6,"High Priority",AND($F258="High",$E258&lt;&gt;"Done",$E258&lt;&gt;"Archive"),"Due This Week",AND($I258&lt;&gt;"",$I258&gt;=TODAY(),$I258&lt;=TODAY()+7,$E258&lt;&gt;"Done"),"Quick Wins (15 mins or less)",AND($M258&lt;=15,$E258&lt;&gt;"Done",$E258&lt;&gt;"Blocked"),"Deep Thinking",AND($G258="Deep Thinking",$E258&lt;&gt;"Done"),"Processing",AND($G258="Processing",$E258&lt;&gt;"Done"),"Blocked",$E258="Blocked","Waiting",$E258="Waiting","Recently Updated",AND($L258&lt;&gt;"",$L258&gt;=TODAY()-7),"Keyword",AND('Task Finder'!$C$7&lt;&gt;"",OR(ISNUMBER(SEARCH('Task Finder'!$C$7,$A258)),ISNUMBER(SEARCH('Task Finder'!$C$7,$B258)),ISNUMBER(SEARCH('Task Finder'!$C$7,$C258)),ISNUMBER(SEARCH('Task Finder'!$C$7,$D258)),ISNUMBER(SEARCH('Task Finder'!$C$7,$K258)))),TRUE))</f>
        <v/>
      </c>
    </row>
    <row r="259">
      <c r="A259" s="19" t="n"/>
      <c r="B259" s="19" t="n"/>
      <c r="C259" s="19" t="n"/>
      <c r="D259" s="19" t="n"/>
      <c r="E259" s="19" t="n"/>
      <c r="F259" s="19" t="n"/>
      <c r="G259" s="19" t="n"/>
      <c r="H259" s="19" t="n"/>
      <c r="I259" s="19" t="n"/>
      <c r="J259" s="19" t="n"/>
      <c r="K259" s="19" t="n"/>
      <c r="L259" s="125" t="n"/>
      <c r="M259" s="88">
        <f>IF($D259="","",IFERROR(VLOOKUP($H259,Lists!$N$2:$O$6,2,FALSE),0))</f>
        <v/>
      </c>
      <c r="N259" s="88">
        <f>IF($D259="","",IF(OR($E259="Blocked",$E259="Done",$E259="Archive"),-9999,IF(AND($E259="Waiting",SUMPRODUCT((($E$5:$E$500="Next")+($E$5:$E$500="In Progress")+($E$5:$E$500="Captured"))*($D$5:$D$500&lt;&gt;""))&gt;0),-500,VLOOKUP($F259,Lists!$L$2:$M$4,2,FALSE)+IF($E259="In Progress",10,0)+IF(AND($I259&lt;&gt;"",$I259&lt;TODAY()),25,0)+IF(AND($I259&lt;&gt;"",$I259&gt;=TODAY(),$I259&lt;=TODAY()+7),15,0)+IF($H259="",0,IF($M259&lt;=VLOOKUP(Home!$C$7,Lists!$N$2:$O$6,2,FALSE),20,-10))+IF($G259=Home!$E$7,15,IF(Home!$E$7="",0,-5))-ROW()/100000)))</f>
        <v/>
      </c>
      <c r="O259" s="88">
        <f>IF($D259="","",IF($N259&lt;=-500,"Not recommended right now",IF($E259="Waiting","Nothing else actionable right now — Waiting on: "&amp;IF($K259="","this item",$K259),TEXTJOIN(" • ",TRUE,IF($F259="High","High Priority",""),IF(AND($I259&lt;&gt;"",$I259&lt;TODAY()),"Overdue",""),IF(AND($I259&lt;&gt;"",$I259&gt;=TODAY(),$I259&lt;=TODAY()+7),"Due This Week",""),IF(AND($H259&lt;&gt;"",$M259&lt;=VLOOKUP(Home!$C$7,Lists!$N$2:$O$6,2,FALSE)),$H259&amp;" Task",""),IF($G259=Home!$E$7,"Fits Current Energy",""),"No Blockers"))))</f>
        <v/>
      </c>
      <c r="P259" s="88">
        <f>IF($D259="","",SWITCH('Task Finder'!$C$6,"High Priority",AND($F259="High",$E259&lt;&gt;"Done",$E259&lt;&gt;"Archive"),"Due This Week",AND($I259&lt;&gt;"",$I259&gt;=TODAY(),$I259&lt;=TODAY()+7,$E259&lt;&gt;"Done"),"Quick Wins (15 mins or less)",AND($M259&lt;=15,$E259&lt;&gt;"Done",$E259&lt;&gt;"Blocked"),"Deep Thinking",AND($G259="Deep Thinking",$E259&lt;&gt;"Done"),"Processing",AND($G259="Processing",$E259&lt;&gt;"Done"),"Blocked",$E259="Blocked","Waiting",$E259="Waiting","Recently Updated",AND($L259&lt;&gt;"",$L259&gt;=TODAY()-7),"Keyword",AND('Task Finder'!$C$7&lt;&gt;"",OR(ISNUMBER(SEARCH('Task Finder'!$C$7,$A259)),ISNUMBER(SEARCH('Task Finder'!$C$7,$B259)),ISNUMBER(SEARCH('Task Finder'!$C$7,$C259)),ISNUMBER(SEARCH('Task Finder'!$C$7,$D259)),ISNUMBER(SEARCH('Task Finder'!$C$7,$K259)))),TRUE))</f>
        <v/>
      </c>
    </row>
    <row r="260">
      <c r="A260" s="19" t="n"/>
      <c r="B260" s="19" t="n"/>
      <c r="C260" s="19" t="n"/>
      <c r="D260" s="19" t="n"/>
      <c r="E260" s="19" t="n"/>
      <c r="F260" s="19" t="n"/>
      <c r="G260" s="19" t="n"/>
      <c r="H260" s="19" t="n"/>
      <c r="I260" s="19" t="n"/>
      <c r="J260" s="19" t="n"/>
      <c r="K260" s="19" t="n"/>
      <c r="L260" s="125" t="n"/>
      <c r="M260" s="88">
        <f>IF($D260="","",IFERROR(VLOOKUP($H260,Lists!$N$2:$O$6,2,FALSE),0))</f>
        <v/>
      </c>
      <c r="N260" s="88">
        <f>IF($D260="","",IF(OR($E260="Blocked",$E260="Done",$E260="Archive"),-9999,IF(AND($E260="Waiting",SUMPRODUCT((($E$5:$E$500="Next")+($E$5:$E$500="In Progress")+($E$5:$E$500="Captured"))*($D$5:$D$500&lt;&gt;""))&gt;0),-500,VLOOKUP($F260,Lists!$L$2:$M$4,2,FALSE)+IF($E260="In Progress",10,0)+IF(AND($I260&lt;&gt;"",$I260&lt;TODAY()),25,0)+IF(AND($I260&lt;&gt;"",$I260&gt;=TODAY(),$I260&lt;=TODAY()+7),15,0)+IF($H260="",0,IF($M260&lt;=VLOOKUP(Home!$C$7,Lists!$N$2:$O$6,2,FALSE),20,-10))+IF($G260=Home!$E$7,15,IF(Home!$E$7="",0,-5))-ROW()/100000)))</f>
        <v/>
      </c>
      <c r="O260" s="88">
        <f>IF($D260="","",IF($N260&lt;=-500,"Not recommended right now",IF($E260="Waiting","Nothing else actionable right now — Waiting on: "&amp;IF($K260="","this item",$K260),TEXTJOIN(" • ",TRUE,IF($F260="High","High Priority",""),IF(AND($I260&lt;&gt;"",$I260&lt;TODAY()),"Overdue",""),IF(AND($I260&lt;&gt;"",$I260&gt;=TODAY(),$I260&lt;=TODAY()+7),"Due This Week",""),IF(AND($H260&lt;&gt;"",$M260&lt;=VLOOKUP(Home!$C$7,Lists!$N$2:$O$6,2,FALSE)),$H260&amp;" Task",""),IF($G260=Home!$E$7,"Fits Current Energy",""),"No Blockers"))))</f>
        <v/>
      </c>
      <c r="P260" s="88">
        <f>IF($D260="","",SWITCH('Task Finder'!$C$6,"High Priority",AND($F260="High",$E260&lt;&gt;"Done",$E260&lt;&gt;"Archive"),"Due This Week",AND($I260&lt;&gt;"",$I260&gt;=TODAY(),$I260&lt;=TODAY()+7,$E260&lt;&gt;"Done"),"Quick Wins (15 mins or less)",AND($M260&lt;=15,$E260&lt;&gt;"Done",$E260&lt;&gt;"Blocked"),"Deep Thinking",AND($G260="Deep Thinking",$E260&lt;&gt;"Done"),"Processing",AND($G260="Processing",$E260&lt;&gt;"Done"),"Blocked",$E260="Blocked","Waiting",$E260="Waiting","Recently Updated",AND($L260&lt;&gt;"",$L260&gt;=TODAY()-7),"Keyword",AND('Task Finder'!$C$7&lt;&gt;"",OR(ISNUMBER(SEARCH('Task Finder'!$C$7,$A260)),ISNUMBER(SEARCH('Task Finder'!$C$7,$B260)),ISNUMBER(SEARCH('Task Finder'!$C$7,$C260)),ISNUMBER(SEARCH('Task Finder'!$C$7,$D260)),ISNUMBER(SEARCH('Task Finder'!$C$7,$K260)))),TRUE))</f>
        <v/>
      </c>
    </row>
    <row r="261">
      <c r="A261" s="19" t="n"/>
      <c r="B261" s="19" t="n"/>
      <c r="C261" s="19" t="n"/>
      <c r="D261" s="19" t="n"/>
      <c r="E261" s="19" t="n"/>
      <c r="F261" s="19" t="n"/>
      <c r="G261" s="19" t="n"/>
      <c r="H261" s="19" t="n"/>
      <c r="I261" s="19" t="n"/>
      <c r="J261" s="19" t="n"/>
      <c r="K261" s="19" t="n"/>
      <c r="L261" s="125" t="n"/>
      <c r="M261" s="88">
        <f>IF($D261="","",IFERROR(VLOOKUP($H261,Lists!$N$2:$O$6,2,FALSE),0))</f>
        <v/>
      </c>
      <c r="N261" s="88">
        <f>IF($D261="","",IF(OR($E261="Blocked",$E261="Done",$E261="Archive"),-9999,IF(AND($E261="Waiting",SUMPRODUCT((($E$5:$E$500="Next")+($E$5:$E$500="In Progress")+($E$5:$E$500="Captured"))*($D$5:$D$500&lt;&gt;""))&gt;0),-500,VLOOKUP($F261,Lists!$L$2:$M$4,2,FALSE)+IF($E261="In Progress",10,0)+IF(AND($I261&lt;&gt;"",$I261&lt;TODAY()),25,0)+IF(AND($I261&lt;&gt;"",$I261&gt;=TODAY(),$I261&lt;=TODAY()+7),15,0)+IF($H261="",0,IF($M261&lt;=VLOOKUP(Home!$C$7,Lists!$N$2:$O$6,2,FALSE),20,-10))+IF($G261=Home!$E$7,15,IF(Home!$E$7="",0,-5))-ROW()/100000)))</f>
        <v/>
      </c>
      <c r="O261" s="88">
        <f>IF($D261="","",IF($N261&lt;=-500,"Not recommended right now",IF($E261="Waiting","Nothing else actionable right now — Waiting on: "&amp;IF($K261="","this item",$K261),TEXTJOIN(" • ",TRUE,IF($F261="High","High Priority",""),IF(AND($I261&lt;&gt;"",$I261&lt;TODAY()),"Overdue",""),IF(AND($I261&lt;&gt;"",$I261&gt;=TODAY(),$I261&lt;=TODAY()+7),"Due This Week",""),IF(AND($H261&lt;&gt;"",$M261&lt;=VLOOKUP(Home!$C$7,Lists!$N$2:$O$6,2,FALSE)),$H261&amp;" Task",""),IF($G261=Home!$E$7,"Fits Current Energy",""),"No Blockers"))))</f>
        <v/>
      </c>
      <c r="P261" s="88">
        <f>IF($D261="","",SWITCH('Task Finder'!$C$6,"High Priority",AND($F261="High",$E261&lt;&gt;"Done",$E261&lt;&gt;"Archive"),"Due This Week",AND($I261&lt;&gt;"",$I261&gt;=TODAY(),$I261&lt;=TODAY()+7,$E261&lt;&gt;"Done"),"Quick Wins (15 mins or less)",AND($M261&lt;=15,$E261&lt;&gt;"Done",$E261&lt;&gt;"Blocked"),"Deep Thinking",AND($G261="Deep Thinking",$E261&lt;&gt;"Done"),"Processing",AND($G261="Processing",$E261&lt;&gt;"Done"),"Blocked",$E261="Blocked","Waiting",$E261="Waiting","Recently Updated",AND($L261&lt;&gt;"",$L261&gt;=TODAY()-7),"Keyword",AND('Task Finder'!$C$7&lt;&gt;"",OR(ISNUMBER(SEARCH('Task Finder'!$C$7,$A261)),ISNUMBER(SEARCH('Task Finder'!$C$7,$B261)),ISNUMBER(SEARCH('Task Finder'!$C$7,$C261)),ISNUMBER(SEARCH('Task Finder'!$C$7,$D261)),ISNUMBER(SEARCH('Task Finder'!$C$7,$K261)))),TRUE))</f>
        <v/>
      </c>
    </row>
    <row r="262">
      <c r="A262" s="19" t="n"/>
      <c r="B262" s="19" t="n"/>
      <c r="C262" s="19" t="n"/>
      <c r="D262" s="19" t="n"/>
      <c r="E262" s="19" t="n"/>
      <c r="F262" s="19" t="n"/>
      <c r="G262" s="19" t="n"/>
      <c r="H262" s="19" t="n"/>
      <c r="I262" s="19" t="n"/>
      <c r="J262" s="19" t="n"/>
      <c r="K262" s="19" t="n"/>
      <c r="L262" s="125" t="n"/>
      <c r="M262" s="88">
        <f>IF($D262="","",IFERROR(VLOOKUP($H262,Lists!$N$2:$O$6,2,FALSE),0))</f>
        <v/>
      </c>
      <c r="N262" s="88">
        <f>IF($D262="","",IF(OR($E262="Blocked",$E262="Done",$E262="Archive"),-9999,IF(AND($E262="Waiting",SUMPRODUCT((($E$5:$E$500="Next")+($E$5:$E$500="In Progress")+($E$5:$E$500="Captured"))*($D$5:$D$500&lt;&gt;""))&gt;0),-500,VLOOKUP($F262,Lists!$L$2:$M$4,2,FALSE)+IF($E262="In Progress",10,0)+IF(AND($I262&lt;&gt;"",$I262&lt;TODAY()),25,0)+IF(AND($I262&lt;&gt;"",$I262&gt;=TODAY(),$I262&lt;=TODAY()+7),15,0)+IF($H262="",0,IF($M262&lt;=VLOOKUP(Home!$C$7,Lists!$N$2:$O$6,2,FALSE),20,-10))+IF($G262=Home!$E$7,15,IF(Home!$E$7="",0,-5))-ROW()/100000)))</f>
        <v/>
      </c>
      <c r="O262" s="88">
        <f>IF($D262="","",IF($N262&lt;=-500,"Not recommended right now",IF($E262="Waiting","Nothing else actionable right now — Waiting on: "&amp;IF($K262="","this item",$K262),TEXTJOIN(" • ",TRUE,IF($F262="High","High Priority",""),IF(AND($I262&lt;&gt;"",$I262&lt;TODAY()),"Overdue",""),IF(AND($I262&lt;&gt;"",$I262&gt;=TODAY(),$I262&lt;=TODAY()+7),"Due This Week",""),IF(AND($H262&lt;&gt;"",$M262&lt;=VLOOKUP(Home!$C$7,Lists!$N$2:$O$6,2,FALSE)),$H262&amp;" Task",""),IF($G262=Home!$E$7,"Fits Current Energy",""),"No Blockers"))))</f>
        <v/>
      </c>
      <c r="P262" s="88">
        <f>IF($D262="","",SWITCH('Task Finder'!$C$6,"High Priority",AND($F262="High",$E262&lt;&gt;"Done",$E262&lt;&gt;"Archive"),"Due This Week",AND($I262&lt;&gt;"",$I262&gt;=TODAY(),$I262&lt;=TODAY()+7,$E262&lt;&gt;"Done"),"Quick Wins (15 mins or less)",AND($M262&lt;=15,$E262&lt;&gt;"Done",$E262&lt;&gt;"Blocked"),"Deep Thinking",AND($G262="Deep Thinking",$E262&lt;&gt;"Done"),"Processing",AND($G262="Processing",$E262&lt;&gt;"Done"),"Blocked",$E262="Blocked","Waiting",$E262="Waiting","Recently Updated",AND($L262&lt;&gt;"",$L262&gt;=TODAY()-7),"Keyword",AND('Task Finder'!$C$7&lt;&gt;"",OR(ISNUMBER(SEARCH('Task Finder'!$C$7,$A262)),ISNUMBER(SEARCH('Task Finder'!$C$7,$B262)),ISNUMBER(SEARCH('Task Finder'!$C$7,$C262)),ISNUMBER(SEARCH('Task Finder'!$C$7,$D262)),ISNUMBER(SEARCH('Task Finder'!$C$7,$K262)))),TRUE))</f>
        <v/>
      </c>
    </row>
    <row r="263">
      <c r="A263" s="19" t="n"/>
      <c r="B263" s="19" t="n"/>
      <c r="C263" s="19" t="n"/>
      <c r="D263" s="19" t="n"/>
      <c r="E263" s="19" t="n"/>
      <c r="F263" s="19" t="n"/>
      <c r="G263" s="19" t="n"/>
      <c r="H263" s="19" t="n"/>
      <c r="I263" s="19" t="n"/>
      <c r="J263" s="19" t="n"/>
      <c r="K263" s="19" t="n"/>
      <c r="L263" s="125" t="n"/>
      <c r="M263" s="88">
        <f>IF($D263="","",IFERROR(VLOOKUP($H263,Lists!$N$2:$O$6,2,FALSE),0))</f>
        <v/>
      </c>
      <c r="N263" s="88">
        <f>IF($D263="","",IF(OR($E263="Blocked",$E263="Done",$E263="Archive"),-9999,IF(AND($E263="Waiting",SUMPRODUCT((($E$5:$E$500="Next")+($E$5:$E$500="In Progress")+($E$5:$E$500="Captured"))*($D$5:$D$500&lt;&gt;""))&gt;0),-500,VLOOKUP($F263,Lists!$L$2:$M$4,2,FALSE)+IF($E263="In Progress",10,0)+IF(AND($I263&lt;&gt;"",$I263&lt;TODAY()),25,0)+IF(AND($I263&lt;&gt;"",$I263&gt;=TODAY(),$I263&lt;=TODAY()+7),15,0)+IF($H263="",0,IF($M263&lt;=VLOOKUP(Home!$C$7,Lists!$N$2:$O$6,2,FALSE),20,-10))+IF($G263=Home!$E$7,15,IF(Home!$E$7="",0,-5))-ROW()/100000)))</f>
        <v/>
      </c>
      <c r="O263" s="88">
        <f>IF($D263="","",IF($N263&lt;=-500,"Not recommended right now",IF($E263="Waiting","Nothing else actionable right now — Waiting on: "&amp;IF($K263="","this item",$K263),TEXTJOIN(" • ",TRUE,IF($F263="High","High Priority",""),IF(AND($I263&lt;&gt;"",$I263&lt;TODAY()),"Overdue",""),IF(AND($I263&lt;&gt;"",$I263&gt;=TODAY(),$I263&lt;=TODAY()+7),"Due This Week",""),IF(AND($H263&lt;&gt;"",$M263&lt;=VLOOKUP(Home!$C$7,Lists!$N$2:$O$6,2,FALSE)),$H263&amp;" Task",""),IF($G263=Home!$E$7,"Fits Current Energy",""),"No Blockers"))))</f>
        <v/>
      </c>
      <c r="P263" s="88">
        <f>IF($D263="","",SWITCH('Task Finder'!$C$6,"High Priority",AND($F263="High",$E263&lt;&gt;"Done",$E263&lt;&gt;"Archive"),"Due This Week",AND($I263&lt;&gt;"",$I263&gt;=TODAY(),$I263&lt;=TODAY()+7,$E263&lt;&gt;"Done"),"Quick Wins (15 mins or less)",AND($M263&lt;=15,$E263&lt;&gt;"Done",$E263&lt;&gt;"Blocked"),"Deep Thinking",AND($G263="Deep Thinking",$E263&lt;&gt;"Done"),"Processing",AND($G263="Processing",$E263&lt;&gt;"Done"),"Blocked",$E263="Blocked","Waiting",$E263="Waiting","Recently Updated",AND($L263&lt;&gt;"",$L263&gt;=TODAY()-7),"Keyword",AND('Task Finder'!$C$7&lt;&gt;"",OR(ISNUMBER(SEARCH('Task Finder'!$C$7,$A263)),ISNUMBER(SEARCH('Task Finder'!$C$7,$B263)),ISNUMBER(SEARCH('Task Finder'!$C$7,$C263)),ISNUMBER(SEARCH('Task Finder'!$C$7,$D263)),ISNUMBER(SEARCH('Task Finder'!$C$7,$K263)))),TRUE))</f>
        <v/>
      </c>
    </row>
    <row r="264">
      <c r="A264" s="19" t="n"/>
      <c r="B264" s="19" t="n"/>
      <c r="C264" s="19" t="n"/>
      <c r="D264" s="19" t="n"/>
      <c r="E264" s="19" t="n"/>
      <c r="F264" s="19" t="n"/>
      <c r="G264" s="19" t="n"/>
      <c r="H264" s="19" t="n"/>
      <c r="I264" s="19" t="n"/>
      <c r="J264" s="19" t="n"/>
      <c r="K264" s="19" t="n"/>
      <c r="L264" s="125" t="n"/>
      <c r="M264" s="88">
        <f>IF($D264="","",IFERROR(VLOOKUP($H264,Lists!$N$2:$O$6,2,FALSE),0))</f>
        <v/>
      </c>
      <c r="N264" s="88">
        <f>IF($D264="","",IF(OR($E264="Blocked",$E264="Done",$E264="Archive"),-9999,IF(AND($E264="Waiting",SUMPRODUCT((($E$5:$E$500="Next")+($E$5:$E$500="In Progress")+($E$5:$E$500="Captured"))*($D$5:$D$500&lt;&gt;""))&gt;0),-500,VLOOKUP($F264,Lists!$L$2:$M$4,2,FALSE)+IF($E264="In Progress",10,0)+IF(AND($I264&lt;&gt;"",$I264&lt;TODAY()),25,0)+IF(AND($I264&lt;&gt;"",$I264&gt;=TODAY(),$I264&lt;=TODAY()+7),15,0)+IF($H264="",0,IF($M264&lt;=VLOOKUP(Home!$C$7,Lists!$N$2:$O$6,2,FALSE),20,-10))+IF($G264=Home!$E$7,15,IF(Home!$E$7="",0,-5))-ROW()/100000)))</f>
        <v/>
      </c>
      <c r="O264" s="88">
        <f>IF($D264="","",IF($N264&lt;=-500,"Not recommended right now",IF($E264="Waiting","Nothing else actionable right now — Waiting on: "&amp;IF($K264="","this item",$K264),TEXTJOIN(" • ",TRUE,IF($F264="High","High Priority",""),IF(AND($I264&lt;&gt;"",$I264&lt;TODAY()),"Overdue",""),IF(AND($I264&lt;&gt;"",$I264&gt;=TODAY(),$I264&lt;=TODAY()+7),"Due This Week",""),IF(AND($H264&lt;&gt;"",$M264&lt;=VLOOKUP(Home!$C$7,Lists!$N$2:$O$6,2,FALSE)),$H264&amp;" Task",""),IF($G264=Home!$E$7,"Fits Current Energy",""),"No Blockers"))))</f>
        <v/>
      </c>
      <c r="P264" s="88">
        <f>IF($D264="","",SWITCH('Task Finder'!$C$6,"High Priority",AND($F264="High",$E264&lt;&gt;"Done",$E264&lt;&gt;"Archive"),"Due This Week",AND($I264&lt;&gt;"",$I264&gt;=TODAY(),$I264&lt;=TODAY()+7,$E264&lt;&gt;"Done"),"Quick Wins (15 mins or less)",AND($M264&lt;=15,$E264&lt;&gt;"Done",$E264&lt;&gt;"Blocked"),"Deep Thinking",AND($G264="Deep Thinking",$E264&lt;&gt;"Done"),"Processing",AND($G264="Processing",$E264&lt;&gt;"Done"),"Blocked",$E264="Blocked","Waiting",$E264="Waiting","Recently Updated",AND($L264&lt;&gt;"",$L264&gt;=TODAY()-7),"Keyword",AND('Task Finder'!$C$7&lt;&gt;"",OR(ISNUMBER(SEARCH('Task Finder'!$C$7,$A264)),ISNUMBER(SEARCH('Task Finder'!$C$7,$B264)),ISNUMBER(SEARCH('Task Finder'!$C$7,$C264)),ISNUMBER(SEARCH('Task Finder'!$C$7,$D264)),ISNUMBER(SEARCH('Task Finder'!$C$7,$K264)))),TRUE))</f>
        <v/>
      </c>
    </row>
    <row r="265">
      <c r="A265" s="19" t="n"/>
      <c r="B265" s="19" t="n"/>
      <c r="C265" s="19" t="n"/>
      <c r="D265" s="19" t="n"/>
      <c r="E265" s="19" t="n"/>
      <c r="F265" s="19" t="n"/>
      <c r="G265" s="19" t="n"/>
      <c r="H265" s="19" t="n"/>
      <c r="I265" s="19" t="n"/>
      <c r="J265" s="19" t="n"/>
      <c r="K265" s="19" t="n"/>
      <c r="L265" s="125" t="n"/>
      <c r="M265" s="88">
        <f>IF($D265="","",IFERROR(VLOOKUP($H265,Lists!$N$2:$O$6,2,FALSE),0))</f>
        <v/>
      </c>
      <c r="N265" s="88">
        <f>IF($D265="","",IF(OR($E265="Blocked",$E265="Done",$E265="Archive"),-9999,IF(AND($E265="Waiting",SUMPRODUCT((($E$5:$E$500="Next")+($E$5:$E$500="In Progress")+($E$5:$E$500="Captured"))*($D$5:$D$500&lt;&gt;""))&gt;0),-500,VLOOKUP($F265,Lists!$L$2:$M$4,2,FALSE)+IF($E265="In Progress",10,0)+IF(AND($I265&lt;&gt;"",$I265&lt;TODAY()),25,0)+IF(AND($I265&lt;&gt;"",$I265&gt;=TODAY(),$I265&lt;=TODAY()+7),15,0)+IF($H265="",0,IF($M265&lt;=VLOOKUP(Home!$C$7,Lists!$N$2:$O$6,2,FALSE),20,-10))+IF($G265=Home!$E$7,15,IF(Home!$E$7="",0,-5))-ROW()/100000)))</f>
        <v/>
      </c>
      <c r="O265" s="88">
        <f>IF($D265="","",IF($N265&lt;=-500,"Not recommended right now",IF($E265="Waiting","Nothing else actionable right now — Waiting on: "&amp;IF($K265="","this item",$K265),TEXTJOIN(" • ",TRUE,IF($F265="High","High Priority",""),IF(AND($I265&lt;&gt;"",$I265&lt;TODAY()),"Overdue",""),IF(AND($I265&lt;&gt;"",$I265&gt;=TODAY(),$I265&lt;=TODAY()+7),"Due This Week",""),IF(AND($H265&lt;&gt;"",$M265&lt;=VLOOKUP(Home!$C$7,Lists!$N$2:$O$6,2,FALSE)),$H265&amp;" Task",""),IF($G265=Home!$E$7,"Fits Current Energy",""),"No Blockers"))))</f>
        <v/>
      </c>
      <c r="P265" s="88">
        <f>IF($D265="","",SWITCH('Task Finder'!$C$6,"High Priority",AND($F265="High",$E265&lt;&gt;"Done",$E265&lt;&gt;"Archive"),"Due This Week",AND($I265&lt;&gt;"",$I265&gt;=TODAY(),$I265&lt;=TODAY()+7,$E265&lt;&gt;"Done"),"Quick Wins (15 mins or less)",AND($M265&lt;=15,$E265&lt;&gt;"Done",$E265&lt;&gt;"Blocked"),"Deep Thinking",AND($G265="Deep Thinking",$E265&lt;&gt;"Done"),"Processing",AND($G265="Processing",$E265&lt;&gt;"Done"),"Blocked",$E265="Blocked","Waiting",$E265="Waiting","Recently Updated",AND($L265&lt;&gt;"",$L265&gt;=TODAY()-7),"Keyword",AND('Task Finder'!$C$7&lt;&gt;"",OR(ISNUMBER(SEARCH('Task Finder'!$C$7,$A265)),ISNUMBER(SEARCH('Task Finder'!$C$7,$B265)),ISNUMBER(SEARCH('Task Finder'!$C$7,$C265)),ISNUMBER(SEARCH('Task Finder'!$C$7,$D265)),ISNUMBER(SEARCH('Task Finder'!$C$7,$K265)))),TRUE))</f>
        <v/>
      </c>
    </row>
    <row r="266">
      <c r="A266" s="19" t="n"/>
      <c r="B266" s="19" t="n"/>
      <c r="C266" s="19" t="n"/>
      <c r="D266" s="19" t="n"/>
      <c r="E266" s="19" t="n"/>
      <c r="F266" s="19" t="n"/>
      <c r="G266" s="19" t="n"/>
      <c r="H266" s="19" t="n"/>
      <c r="I266" s="19" t="n"/>
      <c r="J266" s="19" t="n"/>
      <c r="K266" s="19" t="n"/>
      <c r="L266" s="125" t="n"/>
      <c r="M266" s="88">
        <f>IF($D266="","",IFERROR(VLOOKUP($H266,Lists!$N$2:$O$6,2,FALSE),0))</f>
        <v/>
      </c>
      <c r="N266" s="88">
        <f>IF($D266="","",IF(OR($E266="Blocked",$E266="Done",$E266="Archive"),-9999,IF(AND($E266="Waiting",SUMPRODUCT((($E$5:$E$500="Next")+($E$5:$E$500="In Progress")+($E$5:$E$500="Captured"))*($D$5:$D$500&lt;&gt;""))&gt;0),-500,VLOOKUP($F266,Lists!$L$2:$M$4,2,FALSE)+IF($E266="In Progress",10,0)+IF(AND($I266&lt;&gt;"",$I266&lt;TODAY()),25,0)+IF(AND($I266&lt;&gt;"",$I266&gt;=TODAY(),$I266&lt;=TODAY()+7),15,0)+IF($H266="",0,IF($M266&lt;=VLOOKUP(Home!$C$7,Lists!$N$2:$O$6,2,FALSE),20,-10))+IF($G266=Home!$E$7,15,IF(Home!$E$7="",0,-5))-ROW()/100000)))</f>
        <v/>
      </c>
      <c r="O266" s="88">
        <f>IF($D266="","",IF($N266&lt;=-500,"Not recommended right now",IF($E266="Waiting","Nothing else actionable right now — Waiting on: "&amp;IF($K266="","this item",$K266),TEXTJOIN(" • ",TRUE,IF($F266="High","High Priority",""),IF(AND($I266&lt;&gt;"",$I266&lt;TODAY()),"Overdue",""),IF(AND($I266&lt;&gt;"",$I266&gt;=TODAY(),$I266&lt;=TODAY()+7),"Due This Week",""),IF(AND($H266&lt;&gt;"",$M266&lt;=VLOOKUP(Home!$C$7,Lists!$N$2:$O$6,2,FALSE)),$H266&amp;" Task",""),IF($G266=Home!$E$7,"Fits Current Energy",""),"No Blockers"))))</f>
        <v/>
      </c>
      <c r="P266" s="88">
        <f>IF($D266="","",SWITCH('Task Finder'!$C$6,"High Priority",AND($F266="High",$E266&lt;&gt;"Done",$E266&lt;&gt;"Archive"),"Due This Week",AND($I266&lt;&gt;"",$I266&gt;=TODAY(),$I266&lt;=TODAY()+7,$E266&lt;&gt;"Done"),"Quick Wins (15 mins or less)",AND($M266&lt;=15,$E266&lt;&gt;"Done",$E266&lt;&gt;"Blocked"),"Deep Thinking",AND($G266="Deep Thinking",$E266&lt;&gt;"Done"),"Processing",AND($G266="Processing",$E266&lt;&gt;"Done"),"Blocked",$E266="Blocked","Waiting",$E266="Waiting","Recently Updated",AND($L266&lt;&gt;"",$L266&gt;=TODAY()-7),"Keyword",AND('Task Finder'!$C$7&lt;&gt;"",OR(ISNUMBER(SEARCH('Task Finder'!$C$7,$A266)),ISNUMBER(SEARCH('Task Finder'!$C$7,$B266)),ISNUMBER(SEARCH('Task Finder'!$C$7,$C266)),ISNUMBER(SEARCH('Task Finder'!$C$7,$D266)),ISNUMBER(SEARCH('Task Finder'!$C$7,$K266)))),TRUE))</f>
        <v/>
      </c>
    </row>
    <row r="267">
      <c r="A267" s="19" t="n"/>
      <c r="B267" s="19" t="n"/>
      <c r="C267" s="19" t="n"/>
      <c r="D267" s="19" t="n"/>
      <c r="E267" s="19" t="n"/>
      <c r="F267" s="19" t="n"/>
      <c r="G267" s="19" t="n"/>
      <c r="H267" s="19" t="n"/>
      <c r="I267" s="19" t="n"/>
      <c r="J267" s="19" t="n"/>
      <c r="K267" s="19" t="n"/>
      <c r="L267" s="125" t="n"/>
      <c r="M267" s="88">
        <f>IF($D267="","",IFERROR(VLOOKUP($H267,Lists!$N$2:$O$6,2,FALSE),0))</f>
        <v/>
      </c>
      <c r="N267" s="88">
        <f>IF($D267="","",IF(OR($E267="Blocked",$E267="Done",$E267="Archive"),-9999,IF(AND($E267="Waiting",SUMPRODUCT((($E$5:$E$500="Next")+($E$5:$E$500="In Progress")+($E$5:$E$500="Captured"))*($D$5:$D$500&lt;&gt;""))&gt;0),-500,VLOOKUP($F267,Lists!$L$2:$M$4,2,FALSE)+IF($E267="In Progress",10,0)+IF(AND($I267&lt;&gt;"",$I267&lt;TODAY()),25,0)+IF(AND($I267&lt;&gt;"",$I267&gt;=TODAY(),$I267&lt;=TODAY()+7),15,0)+IF($H267="",0,IF($M267&lt;=VLOOKUP(Home!$C$7,Lists!$N$2:$O$6,2,FALSE),20,-10))+IF($G267=Home!$E$7,15,IF(Home!$E$7="",0,-5))-ROW()/100000)))</f>
        <v/>
      </c>
      <c r="O267" s="88">
        <f>IF($D267="","",IF($N267&lt;=-500,"Not recommended right now",IF($E267="Waiting","Nothing else actionable right now — Waiting on: "&amp;IF($K267="","this item",$K267),TEXTJOIN(" • ",TRUE,IF($F267="High","High Priority",""),IF(AND($I267&lt;&gt;"",$I267&lt;TODAY()),"Overdue",""),IF(AND($I267&lt;&gt;"",$I267&gt;=TODAY(),$I267&lt;=TODAY()+7),"Due This Week",""),IF(AND($H267&lt;&gt;"",$M267&lt;=VLOOKUP(Home!$C$7,Lists!$N$2:$O$6,2,FALSE)),$H267&amp;" Task",""),IF($G267=Home!$E$7,"Fits Current Energy",""),"No Blockers"))))</f>
        <v/>
      </c>
      <c r="P267" s="88">
        <f>IF($D267="","",SWITCH('Task Finder'!$C$6,"High Priority",AND($F267="High",$E267&lt;&gt;"Done",$E267&lt;&gt;"Archive"),"Due This Week",AND($I267&lt;&gt;"",$I267&gt;=TODAY(),$I267&lt;=TODAY()+7,$E267&lt;&gt;"Done"),"Quick Wins (15 mins or less)",AND($M267&lt;=15,$E267&lt;&gt;"Done",$E267&lt;&gt;"Blocked"),"Deep Thinking",AND($G267="Deep Thinking",$E267&lt;&gt;"Done"),"Processing",AND($G267="Processing",$E267&lt;&gt;"Done"),"Blocked",$E267="Blocked","Waiting",$E267="Waiting","Recently Updated",AND($L267&lt;&gt;"",$L267&gt;=TODAY()-7),"Keyword",AND('Task Finder'!$C$7&lt;&gt;"",OR(ISNUMBER(SEARCH('Task Finder'!$C$7,$A267)),ISNUMBER(SEARCH('Task Finder'!$C$7,$B267)),ISNUMBER(SEARCH('Task Finder'!$C$7,$C267)),ISNUMBER(SEARCH('Task Finder'!$C$7,$D267)),ISNUMBER(SEARCH('Task Finder'!$C$7,$K267)))),TRUE))</f>
        <v/>
      </c>
    </row>
    <row r="268">
      <c r="A268" s="19" t="n"/>
      <c r="B268" s="19" t="n"/>
      <c r="C268" s="19" t="n"/>
      <c r="D268" s="19" t="n"/>
      <c r="E268" s="19" t="n"/>
      <c r="F268" s="19" t="n"/>
      <c r="G268" s="19" t="n"/>
      <c r="H268" s="19" t="n"/>
      <c r="I268" s="19" t="n"/>
      <c r="J268" s="19" t="n"/>
      <c r="K268" s="19" t="n"/>
      <c r="L268" s="125" t="n"/>
      <c r="M268" s="88">
        <f>IF($D268="","",IFERROR(VLOOKUP($H268,Lists!$N$2:$O$6,2,FALSE),0))</f>
        <v/>
      </c>
      <c r="N268" s="88">
        <f>IF($D268="","",IF(OR($E268="Blocked",$E268="Done",$E268="Archive"),-9999,IF(AND($E268="Waiting",SUMPRODUCT((($E$5:$E$500="Next")+($E$5:$E$500="In Progress")+($E$5:$E$500="Captured"))*($D$5:$D$500&lt;&gt;""))&gt;0),-500,VLOOKUP($F268,Lists!$L$2:$M$4,2,FALSE)+IF($E268="In Progress",10,0)+IF(AND($I268&lt;&gt;"",$I268&lt;TODAY()),25,0)+IF(AND($I268&lt;&gt;"",$I268&gt;=TODAY(),$I268&lt;=TODAY()+7),15,0)+IF($H268="",0,IF($M268&lt;=VLOOKUP(Home!$C$7,Lists!$N$2:$O$6,2,FALSE),20,-10))+IF($G268=Home!$E$7,15,IF(Home!$E$7="",0,-5))-ROW()/100000)))</f>
        <v/>
      </c>
      <c r="O268" s="88">
        <f>IF($D268="","",IF($N268&lt;=-500,"Not recommended right now",IF($E268="Waiting","Nothing else actionable right now — Waiting on: "&amp;IF($K268="","this item",$K268),TEXTJOIN(" • ",TRUE,IF($F268="High","High Priority",""),IF(AND($I268&lt;&gt;"",$I268&lt;TODAY()),"Overdue",""),IF(AND($I268&lt;&gt;"",$I268&gt;=TODAY(),$I268&lt;=TODAY()+7),"Due This Week",""),IF(AND($H268&lt;&gt;"",$M268&lt;=VLOOKUP(Home!$C$7,Lists!$N$2:$O$6,2,FALSE)),$H268&amp;" Task",""),IF($G268=Home!$E$7,"Fits Current Energy",""),"No Blockers"))))</f>
        <v/>
      </c>
      <c r="P268" s="88">
        <f>IF($D268="","",SWITCH('Task Finder'!$C$6,"High Priority",AND($F268="High",$E268&lt;&gt;"Done",$E268&lt;&gt;"Archive"),"Due This Week",AND($I268&lt;&gt;"",$I268&gt;=TODAY(),$I268&lt;=TODAY()+7,$E268&lt;&gt;"Done"),"Quick Wins (15 mins or less)",AND($M268&lt;=15,$E268&lt;&gt;"Done",$E268&lt;&gt;"Blocked"),"Deep Thinking",AND($G268="Deep Thinking",$E268&lt;&gt;"Done"),"Processing",AND($G268="Processing",$E268&lt;&gt;"Done"),"Blocked",$E268="Blocked","Waiting",$E268="Waiting","Recently Updated",AND($L268&lt;&gt;"",$L268&gt;=TODAY()-7),"Keyword",AND('Task Finder'!$C$7&lt;&gt;"",OR(ISNUMBER(SEARCH('Task Finder'!$C$7,$A268)),ISNUMBER(SEARCH('Task Finder'!$C$7,$B268)),ISNUMBER(SEARCH('Task Finder'!$C$7,$C268)),ISNUMBER(SEARCH('Task Finder'!$C$7,$D268)),ISNUMBER(SEARCH('Task Finder'!$C$7,$K268)))),TRUE))</f>
        <v/>
      </c>
    </row>
    <row r="269">
      <c r="A269" s="19" t="n"/>
      <c r="B269" s="19" t="n"/>
      <c r="C269" s="19" t="n"/>
      <c r="D269" s="19" t="n"/>
      <c r="E269" s="19" t="n"/>
      <c r="F269" s="19" t="n"/>
      <c r="G269" s="19" t="n"/>
      <c r="H269" s="19" t="n"/>
      <c r="I269" s="19" t="n"/>
      <c r="J269" s="19" t="n"/>
      <c r="K269" s="19" t="n"/>
      <c r="L269" s="125" t="n"/>
      <c r="M269" s="88">
        <f>IF($D269="","",IFERROR(VLOOKUP($H269,Lists!$N$2:$O$6,2,FALSE),0))</f>
        <v/>
      </c>
      <c r="N269" s="88">
        <f>IF($D269="","",IF(OR($E269="Blocked",$E269="Done",$E269="Archive"),-9999,IF(AND($E269="Waiting",SUMPRODUCT((($E$5:$E$500="Next")+($E$5:$E$500="In Progress")+($E$5:$E$500="Captured"))*($D$5:$D$500&lt;&gt;""))&gt;0),-500,VLOOKUP($F269,Lists!$L$2:$M$4,2,FALSE)+IF($E269="In Progress",10,0)+IF(AND($I269&lt;&gt;"",$I269&lt;TODAY()),25,0)+IF(AND($I269&lt;&gt;"",$I269&gt;=TODAY(),$I269&lt;=TODAY()+7),15,0)+IF($H269="",0,IF($M269&lt;=VLOOKUP(Home!$C$7,Lists!$N$2:$O$6,2,FALSE),20,-10))+IF($G269=Home!$E$7,15,IF(Home!$E$7="",0,-5))-ROW()/100000)))</f>
        <v/>
      </c>
      <c r="O269" s="88">
        <f>IF($D269="","",IF($N269&lt;=-500,"Not recommended right now",IF($E269="Waiting","Nothing else actionable right now — Waiting on: "&amp;IF($K269="","this item",$K269),TEXTJOIN(" • ",TRUE,IF($F269="High","High Priority",""),IF(AND($I269&lt;&gt;"",$I269&lt;TODAY()),"Overdue",""),IF(AND($I269&lt;&gt;"",$I269&gt;=TODAY(),$I269&lt;=TODAY()+7),"Due This Week",""),IF(AND($H269&lt;&gt;"",$M269&lt;=VLOOKUP(Home!$C$7,Lists!$N$2:$O$6,2,FALSE)),$H269&amp;" Task",""),IF($G269=Home!$E$7,"Fits Current Energy",""),"No Blockers"))))</f>
        <v/>
      </c>
      <c r="P269" s="88">
        <f>IF($D269="","",SWITCH('Task Finder'!$C$6,"High Priority",AND($F269="High",$E269&lt;&gt;"Done",$E269&lt;&gt;"Archive"),"Due This Week",AND($I269&lt;&gt;"",$I269&gt;=TODAY(),$I269&lt;=TODAY()+7,$E269&lt;&gt;"Done"),"Quick Wins (15 mins or less)",AND($M269&lt;=15,$E269&lt;&gt;"Done",$E269&lt;&gt;"Blocked"),"Deep Thinking",AND($G269="Deep Thinking",$E269&lt;&gt;"Done"),"Processing",AND($G269="Processing",$E269&lt;&gt;"Done"),"Blocked",$E269="Blocked","Waiting",$E269="Waiting","Recently Updated",AND($L269&lt;&gt;"",$L269&gt;=TODAY()-7),"Keyword",AND('Task Finder'!$C$7&lt;&gt;"",OR(ISNUMBER(SEARCH('Task Finder'!$C$7,$A269)),ISNUMBER(SEARCH('Task Finder'!$C$7,$B269)),ISNUMBER(SEARCH('Task Finder'!$C$7,$C269)),ISNUMBER(SEARCH('Task Finder'!$C$7,$D269)),ISNUMBER(SEARCH('Task Finder'!$C$7,$K269)))),TRUE))</f>
        <v/>
      </c>
    </row>
    <row r="270">
      <c r="A270" s="19" t="n"/>
      <c r="B270" s="19" t="n"/>
      <c r="C270" s="19" t="n"/>
      <c r="D270" s="19" t="n"/>
      <c r="E270" s="19" t="n"/>
      <c r="F270" s="19" t="n"/>
      <c r="G270" s="19" t="n"/>
      <c r="H270" s="19" t="n"/>
      <c r="I270" s="19" t="n"/>
      <c r="J270" s="19" t="n"/>
      <c r="K270" s="19" t="n"/>
      <c r="L270" s="125" t="n"/>
      <c r="M270" s="88">
        <f>IF($D270="","",IFERROR(VLOOKUP($H270,Lists!$N$2:$O$6,2,FALSE),0))</f>
        <v/>
      </c>
      <c r="N270" s="88">
        <f>IF($D270="","",IF(OR($E270="Blocked",$E270="Done",$E270="Archive"),-9999,IF(AND($E270="Waiting",SUMPRODUCT((($E$5:$E$500="Next")+($E$5:$E$500="In Progress")+($E$5:$E$500="Captured"))*($D$5:$D$500&lt;&gt;""))&gt;0),-500,VLOOKUP($F270,Lists!$L$2:$M$4,2,FALSE)+IF($E270="In Progress",10,0)+IF(AND($I270&lt;&gt;"",$I270&lt;TODAY()),25,0)+IF(AND($I270&lt;&gt;"",$I270&gt;=TODAY(),$I270&lt;=TODAY()+7),15,0)+IF($H270="",0,IF($M270&lt;=VLOOKUP(Home!$C$7,Lists!$N$2:$O$6,2,FALSE),20,-10))+IF($G270=Home!$E$7,15,IF(Home!$E$7="",0,-5))-ROW()/100000)))</f>
        <v/>
      </c>
      <c r="O270" s="88">
        <f>IF($D270="","",IF($N270&lt;=-500,"Not recommended right now",IF($E270="Waiting","Nothing else actionable right now — Waiting on: "&amp;IF($K270="","this item",$K270),TEXTJOIN(" • ",TRUE,IF($F270="High","High Priority",""),IF(AND($I270&lt;&gt;"",$I270&lt;TODAY()),"Overdue",""),IF(AND($I270&lt;&gt;"",$I270&gt;=TODAY(),$I270&lt;=TODAY()+7),"Due This Week",""),IF(AND($H270&lt;&gt;"",$M270&lt;=VLOOKUP(Home!$C$7,Lists!$N$2:$O$6,2,FALSE)),$H270&amp;" Task",""),IF($G270=Home!$E$7,"Fits Current Energy",""),"No Blockers"))))</f>
        <v/>
      </c>
      <c r="P270" s="88">
        <f>IF($D270="","",SWITCH('Task Finder'!$C$6,"High Priority",AND($F270="High",$E270&lt;&gt;"Done",$E270&lt;&gt;"Archive"),"Due This Week",AND($I270&lt;&gt;"",$I270&gt;=TODAY(),$I270&lt;=TODAY()+7,$E270&lt;&gt;"Done"),"Quick Wins (15 mins or less)",AND($M270&lt;=15,$E270&lt;&gt;"Done",$E270&lt;&gt;"Blocked"),"Deep Thinking",AND($G270="Deep Thinking",$E270&lt;&gt;"Done"),"Processing",AND($G270="Processing",$E270&lt;&gt;"Done"),"Blocked",$E270="Blocked","Waiting",$E270="Waiting","Recently Updated",AND($L270&lt;&gt;"",$L270&gt;=TODAY()-7),"Keyword",AND('Task Finder'!$C$7&lt;&gt;"",OR(ISNUMBER(SEARCH('Task Finder'!$C$7,$A270)),ISNUMBER(SEARCH('Task Finder'!$C$7,$B270)),ISNUMBER(SEARCH('Task Finder'!$C$7,$C270)),ISNUMBER(SEARCH('Task Finder'!$C$7,$D270)),ISNUMBER(SEARCH('Task Finder'!$C$7,$K270)))),TRUE))</f>
        <v/>
      </c>
    </row>
    <row r="271">
      <c r="A271" s="19" t="n"/>
      <c r="B271" s="19" t="n"/>
      <c r="C271" s="19" t="n"/>
      <c r="D271" s="19" t="n"/>
      <c r="E271" s="19" t="n"/>
      <c r="F271" s="19" t="n"/>
      <c r="G271" s="19" t="n"/>
      <c r="H271" s="19" t="n"/>
      <c r="I271" s="19" t="n"/>
      <c r="J271" s="19" t="n"/>
      <c r="K271" s="19" t="n"/>
      <c r="L271" s="125" t="n"/>
      <c r="M271" s="88">
        <f>IF($D271="","",IFERROR(VLOOKUP($H271,Lists!$N$2:$O$6,2,FALSE),0))</f>
        <v/>
      </c>
      <c r="N271" s="88">
        <f>IF($D271="","",IF(OR($E271="Blocked",$E271="Done",$E271="Archive"),-9999,IF(AND($E271="Waiting",SUMPRODUCT((($E$5:$E$500="Next")+($E$5:$E$500="In Progress")+($E$5:$E$500="Captured"))*($D$5:$D$500&lt;&gt;""))&gt;0),-500,VLOOKUP($F271,Lists!$L$2:$M$4,2,FALSE)+IF($E271="In Progress",10,0)+IF(AND($I271&lt;&gt;"",$I271&lt;TODAY()),25,0)+IF(AND($I271&lt;&gt;"",$I271&gt;=TODAY(),$I271&lt;=TODAY()+7),15,0)+IF($H271="",0,IF($M271&lt;=VLOOKUP(Home!$C$7,Lists!$N$2:$O$6,2,FALSE),20,-10))+IF($G271=Home!$E$7,15,IF(Home!$E$7="",0,-5))-ROW()/100000)))</f>
        <v/>
      </c>
      <c r="O271" s="88">
        <f>IF($D271="","",IF($N271&lt;=-500,"Not recommended right now",IF($E271="Waiting","Nothing else actionable right now — Waiting on: "&amp;IF($K271="","this item",$K271),TEXTJOIN(" • ",TRUE,IF($F271="High","High Priority",""),IF(AND($I271&lt;&gt;"",$I271&lt;TODAY()),"Overdue",""),IF(AND($I271&lt;&gt;"",$I271&gt;=TODAY(),$I271&lt;=TODAY()+7),"Due This Week",""),IF(AND($H271&lt;&gt;"",$M271&lt;=VLOOKUP(Home!$C$7,Lists!$N$2:$O$6,2,FALSE)),$H271&amp;" Task",""),IF($G271=Home!$E$7,"Fits Current Energy",""),"No Blockers"))))</f>
        <v/>
      </c>
      <c r="P271" s="88">
        <f>IF($D271="","",SWITCH('Task Finder'!$C$6,"High Priority",AND($F271="High",$E271&lt;&gt;"Done",$E271&lt;&gt;"Archive"),"Due This Week",AND($I271&lt;&gt;"",$I271&gt;=TODAY(),$I271&lt;=TODAY()+7,$E271&lt;&gt;"Done"),"Quick Wins (15 mins or less)",AND($M271&lt;=15,$E271&lt;&gt;"Done",$E271&lt;&gt;"Blocked"),"Deep Thinking",AND($G271="Deep Thinking",$E271&lt;&gt;"Done"),"Processing",AND($G271="Processing",$E271&lt;&gt;"Done"),"Blocked",$E271="Blocked","Waiting",$E271="Waiting","Recently Updated",AND($L271&lt;&gt;"",$L271&gt;=TODAY()-7),"Keyword",AND('Task Finder'!$C$7&lt;&gt;"",OR(ISNUMBER(SEARCH('Task Finder'!$C$7,$A271)),ISNUMBER(SEARCH('Task Finder'!$C$7,$B271)),ISNUMBER(SEARCH('Task Finder'!$C$7,$C271)),ISNUMBER(SEARCH('Task Finder'!$C$7,$D271)),ISNUMBER(SEARCH('Task Finder'!$C$7,$K271)))),TRUE))</f>
        <v/>
      </c>
    </row>
    <row r="272">
      <c r="A272" s="19" t="n"/>
      <c r="B272" s="19" t="n"/>
      <c r="C272" s="19" t="n"/>
      <c r="D272" s="19" t="n"/>
      <c r="E272" s="19" t="n"/>
      <c r="F272" s="19" t="n"/>
      <c r="G272" s="19" t="n"/>
      <c r="H272" s="19" t="n"/>
      <c r="I272" s="19" t="n"/>
      <c r="J272" s="19" t="n"/>
      <c r="K272" s="19" t="n"/>
      <c r="L272" s="125" t="n"/>
      <c r="M272" s="88">
        <f>IF($D272="","",IFERROR(VLOOKUP($H272,Lists!$N$2:$O$6,2,FALSE),0))</f>
        <v/>
      </c>
      <c r="N272" s="88">
        <f>IF($D272="","",IF(OR($E272="Blocked",$E272="Done",$E272="Archive"),-9999,IF(AND($E272="Waiting",SUMPRODUCT((($E$5:$E$500="Next")+($E$5:$E$500="In Progress")+($E$5:$E$500="Captured"))*($D$5:$D$500&lt;&gt;""))&gt;0),-500,VLOOKUP($F272,Lists!$L$2:$M$4,2,FALSE)+IF($E272="In Progress",10,0)+IF(AND($I272&lt;&gt;"",$I272&lt;TODAY()),25,0)+IF(AND($I272&lt;&gt;"",$I272&gt;=TODAY(),$I272&lt;=TODAY()+7),15,0)+IF($H272="",0,IF($M272&lt;=VLOOKUP(Home!$C$7,Lists!$N$2:$O$6,2,FALSE),20,-10))+IF($G272=Home!$E$7,15,IF(Home!$E$7="",0,-5))-ROW()/100000)))</f>
        <v/>
      </c>
      <c r="O272" s="88">
        <f>IF($D272="","",IF($N272&lt;=-500,"Not recommended right now",IF($E272="Waiting","Nothing else actionable right now — Waiting on: "&amp;IF($K272="","this item",$K272),TEXTJOIN(" • ",TRUE,IF($F272="High","High Priority",""),IF(AND($I272&lt;&gt;"",$I272&lt;TODAY()),"Overdue",""),IF(AND($I272&lt;&gt;"",$I272&gt;=TODAY(),$I272&lt;=TODAY()+7),"Due This Week",""),IF(AND($H272&lt;&gt;"",$M272&lt;=VLOOKUP(Home!$C$7,Lists!$N$2:$O$6,2,FALSE)),$H272&amp;" Task",""),IF($G272=Home!$E$7,"Fits Current Energy",""),"No Blockers"))))</f>
        <v/>
      </c>
      <c r="P272" s="88">
        <f>IF($D272="","",SWITCH('Task Finder'!$C$6,"High Priority",AND($F272="High",$E272&lt;&gt;"Done",$E272&lt;&gt;"Archive"),"Due This Week",AND($I272&lt;&gt;"",$I272&gt;=TODAY(),$I272&lt;=TODAY()+7,$E272&lt;&gt;"Done"),"Quick Wins (15 mins or less)",AND($M272&lt;=15,$E272&lt;&gt;"Done",$E272&lt;&gt;"Blocked"),"Deep Thinking",AND($G272="Deep Thinking",$E272&lt;&gt;"Done"),"Processing",AND($G272="Processing",$E272&lt;&gt;"Done"),"Blocked",$E272="Blocked","Waiting",$E272="Waiting","Recently Updated",AND($L272&lt;&gt;"",$L272&gt;=TODAY()-7),"Keyword",AND('Task Finder'!$C$7&lt;&gt;"",OR(ISNUMBER(SEARCH('Task Finder'!$C$7,$A272)),ISNUMBER(SEARCH('Task Finder'!$C$7,$B272)),ISNUMBER(SEARCH('Task Finder'!$C$7,$C272)),ISNUMBER(SEARCH('Task Finder'!$C$7,$D272)),ISNUMBER(SEARCH('Task Finder'!$C$7,$K272)))),TRUE))</f>
        <v/>
      </c>
    </row>
    <row r="273">
      <c r="A273" s="19" t="n"/>
      <c r="B273" s="19" t="n"/>
      <c r="C273" s="19" t="n"/>
      <c r="D273" s="19" t="n"/>
      <c r="E273" s="19" t="n"/>
      <c r="F273" s="19" t="n"/>
      <c r="G273" s="19" t="n"/>
      <c r="H273" s="19" t="n"/>
      <c r="I273" s="19" t="n"/>
      <c r="J273" s="19" t="n"/>
      <c r="K273" s="19" t="n"/>
      <c r="L273" s="125" t="n"/>
      <c r="M273" s="88">
        <f>IF($D273="","",IFERROR(VLOOKUP($H273,Lists!$N$2:$O$6,2,FALSE),0))</f>
        <v/>
      </c>
      <c r="N273" s="88">
        <f>IF($D273="","",IF(OR($E273="Blocked",$E273="Done",$E273="Archive"),-9999,IF(AND($E273="Waiting",SUMPRODUCT((($E$5:$E$500="Next")+($E$5:$E$500="In Progress")+($E$5:$E$500="Captured"))*($D$5:$D$500&lt;&gt;""))&gt;0),-500,VLOOKUP($F273,Lists!$L$2:$M$4,2,FALSE)+IF($E273="In Progress",10,0)+IF(AND($I273&lt;&gt;"",$I273&lt;TODAY()),25,0)+IF(AND($I273&lt;&gt;"",$I273&gt;=TODAY(),$I273&lt;=TODAY()+7),15,0)+IF($H273="",0,IF($M273&lt;=VLOOKUP(Home!$C$7,Lists!$N$2:$O$6,2,FALSE),20,-10))+IF($G273=Home!$E$7,15,IF(Home!$E$7="",0,-5))-ROW()/100000)))</f>
        <v/>
      </c>
      <c r="O273" s="88">
        <f>IF($D273="","",IF($N273&lt;=-500,"Not recommended right now",IF($E273="Waiting","Nothing else actionable right now — Waiting on: "&amp;IF($K273="","this item",$K273),TEXTJOIN(" • ",TRUE,IF($F273="High","High Priority",""),IF(AND($I273&lt;&gt;"",$I273&lt;TODAY()),"Overdue",""),IF(AND($I273&lt;&gt;"",$I273&gt;=TODAY(),$I273&lt;=TODAY()+7),"Due This Week",""),IF(AND($H273&lt;&gt;"",$M273&lt;=VLOOKUP(Home!$C$7,Lists!$N$2:$O$6,2,FALSE)),$H273&amp;" Task",""),IF($G273=Home!$E$7,"Fits Current Energy",""),"No Blockers"))))</f>
        <v/>
      </c>
      <c r="P273" s="88">
        <f>IF($D273="","",SWITCH('Task Finder'!$C$6,"High Priority",AND($F273="High",$E273&lt;&gt;"Done",$E273&lt;&gt;"Archive"),"Due This Week",AND($I273&lt;&gt;"",$I273&gt;=TODAY(),$I273&lt;=TODAY()+7,$E273&lt;&gt;"Done"),"Quick Wins (15 mins or less)",AND($M273&lt;=15,$E273&lt;&gt;"Done",$E273&lt;&gt;"Blocked"),"Deep Thinking",AND($G273="Deep Thinking",$E273&lt;&gt;"Done"),"Processing",AND($G273="Processing",$E273&lt;&gt;"Done"),"Blocked",$E273="Blocked","Waiting",$E273="Waiting","Recently Updated",AND($L273&lt;&gt;"",$L273&gt;=TODAY()-7),"Keyword",AND('Task Finder'!$C$7&lt;&gt;"",OR(ISNUMBER(SEARCH('Task Finder'!$C$7,$A273)),ISNUMBER(SEARCH('Task Finder'!$C$7,$B273)),ISNUMBER(SEARCH('Task Finder'!$C$7,$C273)),ISNUMBER(SEARCH('Task Finder'!$C$7,$D273)),ISNUMBER(SEARCH('Task Finder'!$C$7,$K273)))),TRUE))</f>
        <v/>
      </c>
    </row>
    <row r="274">
      <c r="A274" s="19" t="n"/>
      <c r="B274" s="19" t="n"/>
      <c r="C274" s="19" t="n"/>
      <c r="D274" s="19" t="n"/>
      <c r="E274" s="19" t="n"/>
      <c r="F274" s="19" t="n"/>
      <c r="G274" s="19" t="n"/>
      <c r="H274" s="19" t="n"/>
      <c r="I274" s="19" t="n"/>
      <c r="J274" s="19" t="n"/>
      <c r="K274" s="19" t="n"/>
      <c r="L274" s="125" t="n"/>
      <c r="M274" s="88">
        <f>IF($D274="","",IFERROR(VLOOKUP($H274,Lists!$N$2:$O$6,2,FALSE),0))</f>
        <v/>
      </c>
      <c r="N274" s="88">
        <f>IF($D274="","",IF(OR($E274="Blocked",$E274="Done",$E274="Archive"),-9999,IF(AND($E274="Waiting",SUMPRODUCT((($E$5:$E$500="Next")+($E$5:$E$500="In Progress")+($E$5:$E$500="Captured"))*($D$5:$D$500&lt;&gt;""))&gt;0),-500,VLOOKUP($F274,Lists!$L$2:$M$4,2,FALSE)+IF($E274="In Progress",10,0)+IF(AND($I274&lt;&gt;"",$I274&lt;TODAY()),25,0)+IF(AND($I274&lt;&gt;"",$I274&gt;=TODAY(),$I274&lt;=TODAY()+7),15,0)+IF($H274="",0,IF($M274&lt;=VLOOKUP(Home!$C$7,Lists!$N$2:$O$6,2,FALSE),20,-10))+IF($G274=Home!$E$7,15,IF(Home!$E$7="",0,-5))-ROW()/100000)))</f>
        <v/>
      </c>
      <c r="O274" s="88">
        <f>IF($D274="","",IF($N274&lt;=-500,"Not recommended right now",IF($E274="Waiting","Nothing else actionable right now — Waiting on: "&amp;IF($K274="","this item",$K274),TEXTJOIN(" • ",TRUE,IF($F274="High","High Priority",""),IF(AND($I274&lt;&gt;"",$I274&lt;TODAY()),"Overdue",""),IF(AND($I274&lt;&gt;"",$I274&gt;=TODAY(),$I274&lt;=TODAY()+7),"Due This Week",""),IF(AND($H274&lt;&gt;"",$M274&lt;=VLOOKUP(Home!$C$7,Lists!$N$2:$O$6,2,FALSE)),$H274&amp;" Task",""),IF($G274=Home!$E$7,"Fits Current Energy",""),"No Blockers"))))</f>
        <v/>
      </c>
      <c r="P274" s="88">
        <f>IF($D274="","",SWITCH('Task Finder'!$C$6,"High Priority",AND($F274="High",$E274&lt;&gt;"Done",$E274&lt;&gt;"Archive"),"Due This Week",AND($I274&lt;&gt;"",$I274&gt;=TODAY(),$I274&lt;=TODAY()+7,$E274&lt;&gt;"Done"),"Quick Wins (15 mins or less)",AND($M274&lt;=15,$E274&lt;&gt;"Done",$E274&lt;&gt;"Blocked"),"Deep Thinking",AND($G274="Deep Thinking",$E274&lt;&gt;"Done"),"Processing",AND($G274="Processing",$E274&lt;&gt;"Done"),"Blocked",$E274="Blocked","Waiting",$E274="Waiting","Recently Updated",AND($L274&lt;&gt;"",$L274&gt;=TODAY()-7),"Keyword",AND('Task Finder'!$C$7&lt;&gt;"",OR(ISNUMBER(SEARCH('Task Finder'!$C$7,$A274)),ISNUMBER(SEARCH('Task Finder'!$C$7,$B274)),ISNUMBER(SEARCH('Task Finder'!$C$7,$C274)),ISNUMBER(SEARCH('Task Finder'!$C$7,$D274)),ISNUMBER(SEARCH('Task Finder'!$C$7,$K274)))),TRUE))</f>
        <v/>
      </c>
    </row>
    <row r="275">
      <c r="A275" s="19" t="n"/>
      <c r="B275" s="19" t="n"/>
      <c r="C275" s="19" t="n"/>
      <c r="D275" s="19" t="n"/>
      <c r="E275" s="19" t="n"/>
      <c r="F275" s="19" t="n"/>
      <c r="G275" s="19" t="n"/>
      <c r="H275" s="19" t="n"/>
      <c r="I275" s="19" t="n"/>
      <c r="J275" s="19" t="n"/>
      <c r="K275" s="19" t="n"/>
      <c r="L275" s="125" t="n"/>
      <c r="M275" s="88">
        <f>IF($D275="","",IFERROR(VLOOKUP($H275,Lists!$N$2:$O$6,2,FALSE),0))</f>
        <v/>
      </c>
      <c r="N275" s="88">
        <f>IF($D275="","",IF(OR($E275="Blocked",$E275="Done",$E275="Archive"),-9999,IF(AND($E275="Waiting",SUMPRODUCT((($E$5:$E$500="Next")+($E$5:$E$500="In Progress")+($E$5:$E$500="Captured"))*($D$5:$D$500&lt;&gt;""))&gt;0),-500,VLOOKUP($F275,Lists!$L$2:$M$4,2,FALSE)+IF($E275="In Progress",10,0)+IF(AND($I275&lt;&gt;"",$I275&lt;TODAY()),25,0)+IF(AND($I275&lt;&gt;"",$I275&gt;=TODAY(),$I275&lt;=TODAY()+7),15,0)+IF($H275="",0,IF($M275&lt;=VLOOKUP(Home!$C$7,Lists!$N$2:$O$6,2,FALSE),20,-10))+IF($G275=Home!$E$7,15,IF(Home!$E$7="",0,-5))-ROW()/100000)))</f>
        <v/>
      </c>
      <c r="O275" s="88">
        <f>IF($D275="","",IF($N275&lt;=-500,"Not recommended right now",IF($E275="Waiting","Nothing else actionable right now — Waiting on: "&amp;IF($K275="","this item",$K275),TEXTJOIN(" • ",TRUE,IF($F275="High","High Priority",""),IF(AND($I275&lt;&gt;"",$I275&lt;TODAY()),"Overdue",""),IF(AND($I275&lt;&gt;"",$I275&gt;=TODAY(),$I275&lt;=TODAY()+7),"Due This Week",""),IF(AND($H275&lt;&gt;"",$M275&lt;=VLOOKUP(Home!$C$7,Lists!$N$2:$O$6,2,FALSE)),$H275&amp;" Task",""),IF($G275=Home!$E$7,"Fits Current Energy",""),"No Blockers"))))</f>
        <v/>
      </c>
      <c r="P275" s="88">
        <f>IF($D275="","",SWITCH('Task Finder'!$C$6,"High Priority",AND($F275="High",$E275&lt;&gt;"Done",$E275&lt;&gt;"Archive"),"Due This Week",AND($I275&lt;&gt;"",$I275&gt;=TODAY(),$I275&lt;=TODAY()+7,$E275&lt;&gt;"Done"),"Quick Wins (15 mins or less)",AND($M275&lt;=15,$E275&lt;&gt;"Done",$E275&lt;&gt;"Blocked"),"Deep Thinking",AND($G275="Deep Thinking",$E275&lt;&gt;"Done"),"Processing",AND($G275="Processing",$E275&lt;&gt;"Done"),"Blocked",$E275="Blocked","Waiting",$E275="Waiting","Recently Updated",AND($L275&lt;&gt;"",$L275&gt;=TODAY()-7),"Keyword",AND('Task Finder'!$C$7&lt;&gt;"",OR(ISNUMBER(SEARCH('Task Finder'!$C$7,$A275)),ISNUMBER(SEARCH('Task Finder'!$C$7,$B275)),ISNUMBER(SEARCH('Task Finder'!$C$7,$C275)),ISNUMBER(SEARCH('Task Finder'!$C$7,$D275)),ISNUMBER(SEARCH('Task Finder'!$C$7,$K275)))),TRUE))</f>
        <v/>
      </c>
    </row>
    <row r="276">
      <c r="A276" s="19" t="n"/>
      <c r="B276" s="19" t="n"/>
      <c r="C276" s="19" t="n"/>
      <c r="D276" s="19" t="n"/>
      <c r="E276" s="19" t="n"/>
      <c r="F276" s="19" t="n"/>
      <c r="G276" s="19" t="n"/>
      <c r="H276" s="19" t="n"/>
      <c r="I276" s="19" t="n"/>
      <c r="J276" s="19" t="n"/>
      <c r="K276" s="19" t="n"/>
      <c r="L276" s="125" t="n"/>
      <c r="M276" s="88">
        <f>IF($D276="","",IFERROR(VLOOKUP($H276,Lists!$N$2:$O$6,2,FALSE),0))</f>
        <v/>
      </c>
      <c r="N276" s="88">
        <f>IF($D276="","",IF(OR($E276="Blocked",$E276="Done",$E276="Archive"),-9999,IF(AND($E276="Waiting",SUMPRODUCT((($E$5:$E$500="Next")+($E$5:$E$500="In Progress")+($E$5:$E$500="Captured"))*($D$5:$D$500&lt;&gt;""))&gt;0),-500,VLOOKUP($F276,Lists!$L$2:$M$4,2,FALSE)+IF($E276="In Progress",10,0)+IF(AND($I276&lt;&gt;"",$I276&lt;TODAY()),25,0)+IF(AND($I276&lt;&gt;"",$I276&gt;=TODAY(),$I276&lt;=TODAY()+7),15,0)+IF($H276="",0,IF($M276&lt;=VLOOKUP(Home!$C$7,Lists!$N$2:$O$6,2,FALSE),20,-10))+IF($G276=Home!$E$7,15,IF(Home!$E$7="",0,-5))-ROW()/100000)))</f>
        <v/>
      </c>
      <c r="O276" s="88">
        <f>IF($D276="","",IF($N276&lt;=-500,"Not recommended right now",IF($E276="Waiting","Nothing else actionable right now — Waiting on: "&amp;IF($K276="","this item",$K276),TEXTJOIN(" • ",TRUE,IF($F276="High","High Priority",""),IF(AND($I276&lt;&gt;"",$I276&lt;TODAY()),"Overdue",""),IF(AND($I276&lt;&gt;"",$I276&gt;=TODAY(),$I276&lt;=TODAY()+7),"Due This Week",""),IF(AND($H276&lt;&gt;"",$M276&lt;=VLOOKUP(Home!$C$7,Lists!$N$2:$O$6,2,FALSE)),$H276&amp;" Task",""),IF($G276=Home!$E$7,"Fits Current Energy",""),"No Blockers"))))</f>
        <v/>
      </c>
      <c r="P276" s="88">
        <f>IF($D276="","",SWITCH('Task Finder'!$C$6,"High Priority",AND($F276="High",$E276&lt;&gt;"Done",$E276&lt;&gt;"Archive"),"Due This Week",AND($I276&lt;&gt;"",$I276&gt;=TODAY(),$I276&lt;=TODAY()+7,$E276&lt;&gt;"Done"),"Quick Wins (15 mins or less)",AND($M276&lt;=15,$E276&lt;&gt;"Done",$E276&lt;&gt;"Blocked"),"Deep Thinking",AND($G276="Deep Thinking",$E276&lt;&gt;"Done"),"Processing",AND($G276="Processing",$E276&lt;&gt;"Done"),"Blocked",$E276="Blocked","Waiting",$E276="Waiting","Recently Updated",AND($L276&lt;&gt;"",$L276&gt;=TODAY()-7),"Keyword",AND('Task Finder'!$C$7&lt;&gt;"",OR(ISNUMBER(SEARCH('Task Finder'!$C$7,$A276)),ISNUMBER(SEARCH('Task Finder'!$C$7,$B276)),ISNUMBER(SEARCH('Task Finder'!$C$7,$C276)),ISNUMBER(SEARCH('Task Finder'!$C$7,$D276)),ISNUMBER(SEARCH('Task Finder'!$C$7,$K276)))),TRUE))</f>
        <v/>
      </c>
    </row>
    <row r="277">
      <c r="A277" s="19" t="n"/>
      <c r="B277" s="19" t="n"/>
      <c r="C277" s="19" t="n"/>
      <c r="D277" s="19" t="n"/>
      <c r="E277" s="19" t="n"/>
      <c r="F277" s="19" t="n"/>
      <c r="G277" s="19" t="n"/>
      <c r="H277" s="19" t="n"/>
      <c r="I277" s="19" t="n"/>
      <c r="J277" s="19" t="n"/>
      <c r="K277" s="19" t="n"/>
      <c r="L277" s="125" t="n"/>
      <c r="M277" s="88">
        <f>IF($D277="","",IFERROR(VLOOKUP($H277,Lists!$N$2:$O$6,2,FALSE),0))</f>
        <v/>
      </c>
      <c r="N277" s="88">
        <f>IF($D277="","",IF(OR($E277="Blocked",$E277="Done",$E277="Archive"),-9999,IF(AND($E277="Waiting",SUMPRODUCT((($E$5:$E$500="Next")+($E$5:$E$500="In Progress")+($E$5:$E$500="Captured"))*($D$5:$D$500&lt;&gt;""))&gt;0),-500,VLOOKUP($F277,Lists!$L$2:$M$4,2,FALSE)+IF($E277="In Progress",10,0)+IF(AND($I277&lt;&gt;"",$I277&lt;TODAY()),25,0)+IF(AND($I277&lt;&gt;"",$I277&gt;=TODAY(),$I277&lt;=TODAY()+7),15,0)+IF($H277="",0,IF($M277&lt;=VLOOKUP(Home!$C$7,Lists!$N$2:$O$6,2,FALSE),20,-10))+IF($G277=Home!$E$7,15,IF(Home!$E$7="",0,-5))-ROW()/100000)))</f>
        <v/>
      </c>
      <c r="O277" s="88">
        <f>IF($D277="","",IF($N277&lt;=-500,"Not recommended right now",IF($E277="Waiting","Nothing else actionable right now — Waiting on: "&amp;IF($K277="","this item",$K277),TEXTJOIN(" • ",TRUE,IF($F277="High","High Priority",""),IF(AND($I277&lt;&gt;"",$I277&lt;TODAY()),"Overdue",""),IF(AND($I277&lt;&gt;"",$I277&gt;=TODAY(),$I277&lt;=TODAY()+7),"Due This Week",""),IF(AND($H277&lt;&gt;"",$M277&lt;=VLOOKUP(Home!$C$7,Lists!$N$2:$O$6,2,FALSE)),$H277&amp;" Task",""),IF($G277=Home!$E$7,"Fits Current Energy",""),"No Blockers"))))</f>
        <v/>
      </c>
      <c r="P277" s="88">
        <f>IF($D277="","",SWITCH('Task Finder'!$C$6,"High Priority",AND($F277="High",$E277&lt;&gt;"Done",$E277&lt;&gt;"Archive"),"Due This Week",AND($I277&lt;&gt;"",$I277&gt;=TODAY(),$I277&lt;=TODAY()+7,$E277&lt;&gt;"Done"),"Quick Wins (15 mins or less)",AND($M277&lt;=15,$E277&lt;&gt;"Done",$E277&lt;&gt;"Blocked"),"Deep Thinking",AND($G277="Deep Thinking",$E277&lt;&gt;"Done"),"Processing",AND($G277="Processing",$E277&lt;&gt;"Done"),"Blocked",$E277="Blocked","Waiting",$E277="Waiting","Recently Updated",AND($L277&lt;&gt;"",$L277&gt;=TODAY()-7),"Keyword",AND('Task Finder'!$C$7&lt;&gt;"",OR(ISNUMBER(SEARCH('Task Finder'!$C$7,$A277)),ISNUMBER(SEARCH('Task Finder'!$C$7,$B277)),ISNUMBER(SEARCH('Task Finder'!$C$7,$C277)),ISNUMBER(SEARCH('Task Finder'!$C$7,$D277)),ISNUMBER(SEARCH('Task Finder'!$C$7,$K277)))),TRUE))</f>
        <v/>
      </c>
    </row>
    <row r="278">
      <c r="A278" s="19" t="n"/>
      <c r="B278" s="19" t="n"/>
      <c r="C278" s="19" t="n"/>
      <c r="D278" s="19" t="n"/>
      <c r="E278" s="19" t="n"/>
      <c r="F278" s="19" t="n"/>
      <c r="G278" s="19" t="n"/>
      <c r="H278" s="19" t="n"/>
      <c r="I278" s="19" t="n"/>
      <c r="J278" s="19" t="n"/>
      <c r="K278" s="19" t="n"/>
      <c r="L278" s="125" t="n"/>
      <c r="M278" s="88">
        <f>IF($D278="","",IFERROR(VLOOKUP($H278,Lists!$N$2:$O$6,2,FALSE),0))</f>
        <v/>
      </c>
      <c r="N278" s="88">
        <f>IF($D278="","",IF(OR($E278="Blocked",$E278="Done",$E278="Archive"),-9999,IF(AND($E278="Waiting",SUMPRODUCT((($E$5:$E$500="Next")+($E$5:$E$500="In Progress")+($E$5:$E$500="Captured"))*($D$5:$D$500&lt;&gt;""))&gt;0),-500,VLOOKUP($F278,Lists!$L$2:$M$4,2,FALSE)+IF($E278="In Progress",10,0)+IF(AND($I278&lt;&gt;"",$I278&lt;TODAY()),25,0)+IF(AND($I278&lt;&gt;"",$I278&gt;=TODAY(),$I278&lt;=TODAY()+7),15,0)+IF($H278="",0,IF($M278&lt;=VLOOKUP(Home!$C$7,Lists!$N$2:$O$6,2,FALSE),20,-10))+IF($G278=Home!$E$7,15,IF(Home!$E$7="",0,-5))-ROW()/100000)))</f>
        <v/>
      </c>
      <c r="O278" s="88">
        <f>IF($D278="","",IF($N278&lt;=-500,"Not recommended right now",IF($E278="Waiting","Nothing else actionable right now — Waiting on: "&amp;IF($K278="","this item",$K278),TEXTJOIN(" • ",TRUE,IF($F278="High","High Priority",""),IF(AND($I278&lt;&gt;"",$I278&lt;TODAY()),"Overdue",""),IF(AND($I278&lt;&gt;"",$I278&gt;=TODAY(),$I278&lt;=TODAY()+7),"Due This Week",""),IF(AND($H278&lt;&gt;"",$M278&lt;=VLOOKUP(Home!$C$7,Lists!$N$2:$O$6,2,FALSE)),$H278&amp;" Task",""),IF($G278=Home!$E$7,"Fits Current Energy",""),"No Blockers"))))</f>
        <v/>
      </c>
      <c r="P278" s="88">
        <f>IF($D278="","",SWITCH('Task Finder'!$C$6,"High Priority",AND($F278="High",$E278&lt;&gt;"Done",$E278&lt;&gt;"Archive"),"Due This Week",AND($I278&lt;&gt;"",$I278&gt;=TODAY(),$I278&lt;=TODAY()+7,$E278&lt;&gt;"Done"),"Quick Wins (15 mins or less)",AND($M278&lt;=15,$E278&lt;&gt;"Done",$E278&lt;&gt;"Blocked"),"Deep Thinking",AND($G278="Deep Thinking",$E278&lt;&gt;"Done"),"Processing",AND($G278="Processing",$E278&lt;&gt;"Done"),"Blocked",$E278="Blocked","Waiting",$E278="Waiting","Recently Updated",AND($L278&lt;&gt;"",$L278&gt;=TODAY()-7),"Keyword",AND('Task Finder'!$C$7&lt;&gt;"",OR(ISNUMBER(SEARCH('Task Finder'!$C$7,$A278)),ISNUMBER(SEARCH('Task Finder'!$C$7,$B278)),ISNUMBER(SEARCH('Task Finder'!$C$7,$C278)),ISNUMBER(SEARCH('Task Finder'!$C$7,$D278)),ISNUMBER(SEARCH('Task Finder'!$C$7,$K278)))),TRUE))</f>
        <v/>
      </c>
    </row>
    <row r="279">
      <c r="A279" s="19" t="n"/>
      <c r="B279" s="19" t="n"/>
      <c r="C279" s="19" t="n"/>
      <c r="D279" s="19" t="n"/>
      <c r="E279" s="19" t="n"/>
      <c r="F279" s="19" t="n"/>
      <c r="G279" s="19" t="n"/>
      <c r="H279" s="19" t="n"/>
      <c r="I279" s="19" t="n"/>
      <c r="J279" s="19" t="n"/>
      <c r="K279" s="19" t="n"/>
      <c r="L279" s="125" t="n"/>
      <c r="M279" s="88">
        <f>IF($D279="","",IFERROR(VLOOKUP($H279,Lists!$N$2:$O$6,2,FALSE),0))</f>
        <v/>
      </c>
      <c r="N279" s="88">
        <f>IF($D279="","",IF(OR($E279="Blocked",$E279="Done",$E279="Archive"),-9999,IF(AND($E279="Waiting",SUMPRODUCT((($E$5:$E$500="Next")+($E$5:$E$500="In Progress")+($E$5:$E$500="Captured"))*($D$5:$D$500&lt;&gt;""))&gt;0),-500,VLOOKUP($F279,Lists!$L$2:$M$4,2,FALSE)+IF($E279="In Progress",10,0)+IF(AND($I279&lt;&gt;"",$I279&lt;TODAY()),25,0)+IF(AND($I279&lt;&gt;"",$I279&gt;=TODAY(),$I279&lt;=TODAY()+7),15,0)+IF($H279="",0,IF($M279&lt;=VLOOKUP(Home!$C$7,Lists!$N$2:$O$6,2,FALSE),20,-10))+IF($G279=Home!$E$7,15,IF(Home!$E$7="",0,-5))-ROW()/100000)))</f>
        <v/>
      </c>
      <c r="O279" s="88">
        <f>IF($D279="","",IF($N279&lt;=-500,"Not recommended right now",IF($E279="Waiting","Nothing else actionable right now — Waiting on: "&amp;IF($K279="","this item",$K279),TEXTJOIN(" • ",TRUE,IF($F279="High","High Priority",""),IF(AND($I279&lt;&gt;"",$I279&lt;TODAY()),"Overdue",""),IF(AND($I279&lt;&gt;"",$I279&gt;=TODAY(),$I279&lt;=TODAY()+7),"Due This Week",""),IF(AND($H279&lt;&gt;"",$M279&lt;=VLOOKUP(Home!$C$7,Lists!$N$2:$O$6,2,FALSE)),$H279&amp;" Task",""),IF($G279=Home!$E$7,"Fits Current Energy",""),"No Blockers"))))</f>
        <v/>
      </c>
      <c r="P279" s="88">
        <f>IF($D279="","",SWITCH('Task Finder'!$C$6,"High Priority",AND($F279="High",$E279&lt;&gt;"Done",$E279&lt;&gt;"Archive"),"Due This Week",AND($I279&lt;&gt;"",$I279&gt;=TODAY(),$I279&lt;=TODAY()+7,$E279&lt;&gt;"Done"),"Quick Wins (15 mins or less)",AND($M279&lt;=15,$E279&lt;&gt;"Done",$E279&lt;&gt;"Blocked"),"Deep Thinking",AND($G279="Deep Thinking",$E279&lt;&gt;"Done"),"Processing",AND($G279="Processing",$E279&lt;&gt;"Done"),"Blocked",$E279="Blocked","Waiting",$E279="Waiting","Recently Updated",AND($L279&lt;&gt;"",$L279&gt;=TODAY()-7),"Keyword",AND('Task Finder'!$C$7&lt;&gt;"",OR(ISNUMBER(SEARCH('Task Finder'!$C$7,$A279)),ISNUMBER(SEARCH('Task Finder'!$C$7,$B279)),ISNUMBER(SEARCH('Task Finder'!$C$7,$C279)),ISNUMBER(SEARCH('Task Finder'!$C$7,$D279)),ISNUMBER(SEARCH('Task Finder'!$C$7,$K279)))),TRUE))</f>
        <v/>
      </c>
    </row>
    <row r="280">
      <c r="A280" s="19" t="n"/>
      <c r="B280" s="19" t="n"/>
      <c r="C280" s="19" t="n"/>
      <c r="D280" s="19" t="n"/>
      <c r="E280" s="19" t="n"/>
      <c r="F280" s="19" t="n"/>
      <c r="G280" s="19" t="n"/>
      <c r="H280" s="19" t="n"/>
      <c r="I280" s="19" t="n"/>
      <c r="J280" s="19" t="n"/>
      <c r="K280" s="19" t="n"/>
      <c r="L280" s="125" t="n"/>
      <c r="M280" s="88">
        <f>IF($D280="","",IFERROR(VLOOKUP($H280,Lists!$N$2:$O$6,2,FALSE),0))</f>
        <v/>
      </c>
      <c r="N280" s="88">
        <f>IF($D280="","",IF(OR($E280="Blocked",$E280="Done",$E280="Archive"),-9999,IF(AND($E280="Waiting",SUMPRODUCT((($E$5:$E$500="Next")+($E$5:$E$500="In Progress")+($E$5:$E$500="Captured"))*($D$5:$D$500&lt;&gt;""))&gt;0),-500,VLOOKUP($F280,Lists!$L$2:$M$4,2,FALSE)+IF($E280="In Progress",10,0)+IF(AND($I280&lt;&gt;"",$I280&lt;TODAY()),25,0)+IF(AND($I280&lt;&gt;"",$I280&gt;=TODAY(),$I280&lt;=TODAY()+7),15,0)+IF($H280="",0,IF($M280&lt;=VLOOKUP(Home!$C$7,Lists!$N$2:$O$6,2,FALSE),20,-10))+IF($G280=Home!$E$7,15,IF(Home!$E$7="",0,-5))-ROW()/100000)))</f>
        <v/>
      </c>
      <c r="O280" s="88">
        <f>IF($D280="","",IF($N280&lt;=-500,"Not recommended right now",IF($E280="Waiting","Nothing else actionable right now — Waiting on: "&amp;IF($K280="","this item",$K280),TEXTJOIN(" • ",TRUE,IF($F280="High","High Priority",""),IF(AND($I280&lt;&gt;"",$I280&lt;TODAY()),"Overdue",""),IF(AND($I280&lt;&gt;"",$I280&gt;=TODAY(),$I280&lt;=TODAY()+7),"Due This Week",""),IF(AND($H280&lt;&gt;"",$M280&lt;=VLOOKUP(Home!$C$7,Lists!$N$2:$O$6,2,FALSE)),$H280&amp;" Task",""),IF($G280=Home!$E$7,"Fits Current Energy",""),"No Blockers"))))</f>
        <v/>
      </c>
      <c r="P280" s="88">
        <f>IF($D280="","",SWITCH('Task Finder'!$C$6,"High Priority",AND($F280="High",$E280&lt;&gt;"Done",$E280&lt;&gt;"Archive"),"Due This Week",AND($I280&lt;&gt;"",$I280&gt;=TODAY(),$I280&lt;=TODAY()+7,$E280&lt;&gt;"Done"),"Quick Wins (15 mins or less)",AND($M280&lt;=15,$E280&lt;&gt;"Done",$E280&lt;&gt;"Blocked"),"Deep Thinking",AND($G280="Deep Thinking",$E280&lt;&gt;"Done"),"Processing",AND($G280="Processing",$E280&lt;&gt;"Done"),"Blocked",$E280="Blocked","Waiting",$E280="Waiting","Recently Updated",AND($L280&lt;&gt;"",$L280&gt;=TODAY()-7),"Keyword",AND('Task Finder'!$C$7&lt;&gt;"",OR(ISNUMBER(SEARCH('Task Finder'!$C$7,$A280)),ISNUMBER(SEARCH('Task Finder'!$C$7,$B280)),ISNUMBER(SEARCH('Task Finder'!$C$7,$C280)),ISNUMBER(SEARCH('Task Finder'!$C$7,$D280)),ISNUMBER(SEARCH('Task Finder'!$C$7,$K280)))),TRUE))</f>
        <v/>
      </c>
    </row>
    <row r="281">
      <c r="A281" s="19" t="n"/>
      <c r="B281" s="19" t="n"/>
      <c r="C281" s="19" t="n"/>
      <c r="D281" s="19" t="n"/>
      <c r="E281" s="19" t="n"/>
      <c r="F281" s="19" t="n"/>
      <c r="G281" s="19" t="n"/>
      <c r="H281" s="19" t="n"/>
      <c r="I281" s="19" t="n"/>
      <c r="J281" s="19" t="n"/>
      <c r="K281" s="19" t="n"/>
      <c r="L281" s="125" t="n"/>
      <c r="M281" s="88">
        <f>IF($D281="","",IFERROR(VLOOKUP($H281,Lists!$N$2:$O$6,2,FALSE),0))</f>
        <v/>
      </c>
      <c r="N281" s="88">
        <f>IF($D281="","",IF(OR($E281="Blocked",$E281="Done",$E281="Archive"),-9999,IF(AND($E281="Waiting",SUMPRODUCT((($E$5:$E$500="Next")+($E$5:$E$500="In Progress")+($E$5:$E$500="Captured"))*($D$5:$D$500&lt;&gt;""))&gt;0),-500,VLOOKUP($F281,Lists!$L$2:$M$4,2,FALSE)+IF($E281="In Progress",10,0)+IF(AND($I281&lt;&gt;"",$I281&lt;TODAY()),25,0)+IF(AND($I281&lt;&gt;"",$I281&gt;=TODAY(),$I281&lt;=TODAY()+7),15,0)+IF($H281="",0,IF($M281&lt;=VLOOKUP(Home!$C$7,Lists!$N$2:$O$6,2,FALSE),20,-10))+IF($G281=Home!$E$7,15,IF(Home!$E$7="",0,-5))-ROW()/100000)))</f>
        <v/>
      </c>
      <c r="O281" s="88">
        <f>IF($D281="","",IF($N281&lt;=-500,"Not recommended right now",IF($E281="Waiting","Nothing else actionable right now — Waiting on: "&amp;IF($K281="","this item",$K281),TEXTJOIN(" • ",TRUE,IF($F281="High","High Priority",""),IF(AND($I281&lt;&gt;"",$I281&lt;TODAY()),"Overdue",""),IF(AND($I281&lt;&gt;"",$I281&gt;=TODAY(),$I281&lt;=TODAY()+7),"Due This Week",""),IF(AND($H281&lt;&gt;"",$M281&lt;=VLOOKUP(Home!$C$7,Lists!$N$2:$O$6,2,FALSE)),$H281&amp;" Task",""),IF($G281=Home!$E$7,"Fits Current Energy",""),"No Blockers"))))</f>
        <v/>
      </c>
      <c r="P281" s="88">
        <f>IF($D281="","",SWITCH('Task Finder'!$C$6,"High Priority",AND($F281="High",$E281&lt;&gt;"Done",$E281&lt;&gt;"Archive"),"Due This Week",AND($I281&lt;&gt;"",$I281&gt;=TODAY(),$I281&lt;=TODAY()+7,$E281&lt;&gt;"Done"),"Quick Wins (15 mins or less)",AND($M281&lt;=15,$E281&lt;&gt;"Done",$E281&lt;&gt;"Blocked"),"Deep Thinking",AND($G281="Deep Thinking",$E281&lt;&gt;"Done"),"Processing",AND($G281="Processing",$E281&lt;&gt;"Done"),"Blocked",$E281="Blocked","Waiting",$E281="Waiting","Recently Updated",AND($L281&lt;&gt;"",$L281&gt;=TODAY()-7),"Keyword",AND('Task Finder'!$C$7&lt;&gt;"",OR(ISNUMBER(SEARCH('Task Finder'!$C$7,$A281)),ISNUMBER(SEARCH('Task Finder'!$C$7,$B281)),ISNUMBER(SEARCH('Task Finder'!$C$7,$C281)),ISNUMBER(SEARCH('Task Finder'!$C$7,$D281)),ISNUMBER(SEARCH('Task Finder'!$C$7,$K281)))),TRUE))</f>
        <v/>
      </c>
    </row>
    <row r="282">
      <c r="A282" s="19" t="n"/>
      <c r="B282" s="19" t="n"/>
      <c r="C282" s="19" t="n"/>
      <c r="D282" s="19" t="n"/>
      <c r="E282" s="19" t="n"/>
      <c r="F282" s="19" t="n"/>
      <c r="G282" s="19" t="n"/>
      <c r="H282" s="19" t="n"/>
      <c r="I282" s="19" t="n"/>
      <c r="J282" s="19" t="n"/>
      <c r="K282" s="19" t="n"/>
      <c r="L282" s="125" t="n"/>
      <c r="M282" s="88">
        <f>IF($D282="","",IFERROR(VLOOKUP($H282,Lists!$N$2:$O$6,2,FALSE),0))</f>
        <v/>
      </c>
      <c r="N282" s="88">
        <f>IF($D282="","",IF(OR($E282="Blocked",$E282="Done",$E282="Archive"),-9999,IF(AND($E282="Waiting",SUMPRODUCT((($E$5:$E$500="Next")+($E$5:$E$500="In Progress")+($E$5:$E$500="Captured"))*($D$5:$D$500&lt;&gt;""))&gt;0),-500,VLOOKUP($F282,Lists!$L$2:$M$4,2,FALSE)+IF($E282="In Progress",10,0)+IF(AND($I282&lt;&gt;"",$I282&lt;TODAY()),25,0)+IF(AND($I282&lt;&gt;"",$I282&gt;=TODAY(),$I282&lt;=TODAY()+7),15,0)+IF($H282="",0,IF($M282&lt;=VLOOKUP(Home!$C$7,Lists!$N$2:$O$6,2,FALSE),20,-10))+IF($G282=Home!$E$7,15,IF(Home!$E$7="",0,-5))-ROW()/100000)))</f>
        <v/>
      </c>
      <c r="O282" s="88">
        <f>IF($D282="","",IF($N282&lt;=-500,"Not recommended right now",IF($E282="Waiting","Nothing else actionable right now — Waiting on: "&amp;IF($K282="","this item",$K282),TEXTJOIN(" • ",TRUE,IF($F282="High","High Priority",""),IF(AND($I282&lt;&gt;"",$I282&lt;TODAY()),"Overdue",""),IF(AND($I282&lt;&gt;"",$I282&gt;=TODAY(),$I282&lt;=TODAY()+7),"Due This Week",""),IF(AND($H282&lt;&gt;"",$M282&lt;=VLOOKUP(Home!$C$7,Lists!$N$2:$O$6,2,FALSE)),$H282&amp;" Task",""),IF($G282=Home!$E$7,"Fits Current Energy",""),"No Blockers"))))</f>
        <v/>
      </c>
      <c r="P282" s="88">
        <f>IF($D282="","",SWITCH('Task Finder'!$C$6,"High Priority",AND($F282="High",$E282&lt;&gt;"Done",$E282&lt;&gt;"Archive"),"Due This Week",AND($I282&lt;&gt;"",$I282&gt;=TODAY(),$I282&lt;=TODAY()+7,$E282&lt;&gt;"Done"),"Quick Wins (15 mins or less)",AND($M282&lt;=15,$E282&lt;&gt;"Done",$E282&lt;&gt;"Blocked"),"Deep Thinking",AND($G282="Deep Thinking",$E282&lt;&gt;"Done"),"Processing",AND($G282="Processing",$E282&lt;&gt;"Done"),"Blocked",$E282="Blocked","Waiting",$E282="Waiting","Recently Updated",AND($L282&lt;&gt;"",$L282&gt;=TODAY()-7),"Keyword",AND('Task Finder'!$C$7&lt;&gt;"",OR(ISNUMBER(SEARCH('Task Finder'!$C$7,$A282)),ISNUMBER(SEARCH('Task Finder'!$C$7,$B282)),ISNUMBER(SEARCH('Task Finder'!$C$7,$C282)),ISNUMBER(SEARCH('Task Finder'!$C$7,$D282)),ISNUMBER(SEARCH('Task Finder'!$C$7,$K282)))),TRUE))</f>
        <v/>
      </c>
    </row>
    <row r="283">
      <c r="A283" s="19" t="n"/>
      <c r="B283" s="19" t="n"/>
      <c r="C283" s="19" t="n"/>
      <c r="D283" s="19" t="n"/>
      <c r="E283" s="19" t="n"/>
      <c r="F283" s="19" t="n"/>
      <c r="G283" s="19" t="n"/>
      <c r="H283" s="19" t="n"/>
      <c r="I283" s="19" t="n"/>
      <c r="J283" s="19" t="n"/>
      <c r="K283" s="19" t="n"/>
      <c r="L283" s="125" t="n"/>
      <c r="M283" s="88">
        <f>IF($D283="","",IFERROR(VLOOKUP($H283,Lists!$N$2:$O$6,2,FALSE),0))</f>
        <v/>
      </c>
      <c r="N283" s="88">
        <f>IF($D283="","",IF(OR($E283="Blocked",$E283="Done",$E283="Archive"),-9999,IF(AND($E283="Waiting",SUMPRODUCT((($E$5:$E$500="Next")+($E$5:$E$500="In Progress")+($E$5:$E$500="Captured"))*($D$5:$D$500&lt;&gt;""))&gt;0),-500,VLOOKUP($F283,Lists!$L$2:$M$4,2,FALSE)+IF($E283="In Progress",10,0)+IF(AND($I283&lt;&gt;"",$I283&lt;TODAY()),25,0)+IF(AND($I283&lt;&gt;"",$I283&gt;=TODAY(),$I283&lt;=TODAY()+7),15,0)+IF($H283="",0,IF($M283&lt;=VLOOKUP(Home!$C$7,Lists!$N$2:$O$6,2,FALSE),20,-10))+IF($G283=Home!$E$7,15,IF(Home!$E$7="",0,-5))-ROW()/100000)))</f>
        <v/>
      </c>
      <c r="O283" s="88">
        <f>IF($D283="","",IF($N283&lt;=-500,"Not recommended right now",IF($E283="Waiting","Nothing else actionable right now — Waiting on: "&amp;IF($K283="","this item",$K283),TEXTJOIN(" • ",TRUE,IF($F283="High","High Priority",""),IF(AND($I283&lt;&gt;"",$I283&lt;TODAY()),"Overdue",""),IF(AND($I283&lt;&gt;"",$I283&gt;=TODAY(),$I283&lt;=TODAY()+7),"Due This Week",""),IF(AND($H283&lt;&gt;"",$M283&lt;=VLOOKUP(Home!$C$7,Lists!$N$2:$O$6,2,FALSE)),$H283&amp;" Task",""),IF($G283=Home!$E$7,"Fits Current Energy",""),"No Blockers"))))</f>
        <v/>
      </c>
      <c r="P283" s="88">
        <f>IF($D283="","",SWITCH('Task Finder'!$C$6,"High Priority",AND($F283="High",$E283&lt;&gt;"Done",$E283&lt;&gt;"Archive"),"Due This Week",AND($I283&lt;&gt;"",$I283&gt;=TODAY(),$I283&lt;=TODAY()+7,$E283&lt;&gt;"Done"),"Quick Wins (15 mins or less)",AND($M283&lt;=15,$E283&lt;&gt;"Done",$E283&lt;&gt;"Blocked"),"Deep Thinking",AND($G283="Deep Thinking",$E283&lt;&gt;"Done"),"Processing",AND($G283="Processing",$E283&lt;&gt;"Done"),"Blocked",$E283="Blocked","Waiting",$E283="Waiting","Recently Updated",AND($L283&lt;&gt;"",$L283&gt;=TODAY()-7),"Keyword",AND('Task Finder'!$C$7&lt;&gt;"",OR(ISNUMBER(SEARCH('Task Finder'!$C$7,$A283)),ISNUMBER(SEARCH('Task Finder'!$C$7,$B283)),ISNUMBER(SEARCH('Task Finder'!$C$7,$C283)),ISNUMBER(SEARCH('Task Finder'!$C$7,$D283)),ISNUMBER(SEARCH('Task Finder'!$C$7,$K283)))),TRUE))</f>
        <v/>
      </c>
    </row>
    <row r="284">
      <c r="A284" s="19" t="n"/>
      <c r="B284" s="19" t="n"/>
      <c r="C284" s="19" t="n"/>
      <c r="D284" s="19" t="n"/>
      <c r="E284" s="19" t="n"/>
      <c r="F284" s="19" t="n"/>
      <c r="G284" s="19" t="n"/>
      <c r="H284" s="19" t="n"/>
      <c r="I284" s="19" t="n"/>
      <c r="J284" s="19" t="n"/>
      <c r="K284" s="19" t="n"/>
      <c r="L284" s="125" t="n"/>
      <c r="M284" s="88">
        <f>IF($D284="","",IFERROR(VLOOKUP($H284,Lists!$N$2:$O$6,2,FALSE),0))</f>
        <v/>
      </c>
      <c r="N284" s="88">
        <f>IF($D284="","",IF(OR($E284="Blocked",$E284="Done",$E284="Archive"),-9999,IF(AND($E284="Waiting",SUMPRODUCT((($E$5:$E$500="Next")+($E$5:$E$500="In Progress")+($E$5:$E$500="Captured"))*($D$5:$D$500&lt;&gt;""))&gt;0),-500,VLOOKUP($F284,Lists!$L$2:$M$4,2,FALSE)+IF($E284="In Progress",10,0)+IF(AND($I284&lt;&gt;"",$I284&lt;TODAY()),25,0)+IF(AND($I284&lt;&gt;"",$I284&gt;=TODAY(),$I284&lt;=TODAY()+7),15,0)+IF($H284="",0,IF($M284&lt;=VLOOKUP(Home!$C$7,Lists!$N$2:$O$6,2,FALSE),20,-10))+IF($G284=Home!$E$7,15,IF(Home!$E$7="",0,-5))-ROW()/100000)))</f>
        <v/>
      </c>
      <c r="O284" s="88">
        <f>IF($D284="","",IF($N284&lt;=-500,"Not recommended right now",IF($E284="Waiting","Nothing else actionable right now — Waiting on: "&amp;IF($K284="","this item",$K284),TEXTJOIN(" • ",TRUE,IF($F284="High","High Priority",""),IF(AND($I284&lt;&gt;"",$I284&lt;TODAY()),"Overdue",""),IF(AND($I284&lt;&gt;"",$I284&gt;=TODAY(),$I284&lt;=TODAY()+7),"Due This Week",""),IF(AND($H284&lt;&gt;"",$M284&lt;=VLOOKUP(Home!$C$7,Lists!$N$2:$O$6,2,FALSE)),$H284&amp;" Task",""),IF($G284=Home!$E$7,"Fits Current Energy",""),"No Blockers"))))</f>
        <v/>
      </c>
      <c r="P284" s="88">
        <f>IF($D284="","",SWITCH('Task Finder'!$C$6,"High Priority",AND($F284="High",$E284&lt;&gt;"Done",$E284&lt;&gt;"Archive"),"Due This Week",AND($I284&lt;&gt;"",$I284&gt;=TODAY(),$I284&lt;=TODAY()+7,$E284&lt;&gt;"Done"),"Quick Wins (15 mins or less)",AND($M284&lt;=15,$E284&lt;&gt;"Done",$E284&lt;&gt;"Blocked"),"Deep Thinking",AND($G284="Deep Thinking",$E284&lt;&gt;"Done"),"Processing",AND($G284="Processing",$E284&lt;&gt;"Done"),"Blocked",$E284="Blocked","Waiting",$E284="Waiting","Recently Updated",AND($L284&lt;&gt;"",$L284&gt;=TODAY()-7),"Keyword",AND('Task Finder'!$C$7&lt;&gt;"",OR(ISNUMBER(SEARCH('Task Finder'!$C$7,$A284)),ISNUMBER(SEARCH('Task Finder'!$C$7,$B284)),ISNUMBER(SEARCH('Task Finder'!$C$7,$C284)),ISNUMBER(SEARCH('Task Finder'!$C$7,$D284)),ISNUMBER(SEARCH('Task Finder'!$C$7,$K284)))),TRUE))</f>
        <v/>
      </c>
    </row>
    <row r="285">
      <c r="A285" s="19" t="n"/>
      <c r="B285" s="19" t="n"/>
      <c r="C285" s="19" t="n"/>
      <c r="D285" s="19" t="n"/>
      <c r="E285" s="19" t="n"/>
      <c r="F285" s="19" t="n"/>
      <c r="G285" s="19" t="n"/>
      <c r="H285" s="19" t="n"/>
      <c r="I285" s="19" t="n"/>
      <c r="J285" s="19" t="n"/>
      <c r="K285" s="19" t="n"/>
      <c r="L285" s="125" t="n"/>
      <c r="M285" s="88">
        <f>IF($D285="","",IFERROR(VLOOKUP($H285,Lists!$N$2:$O$6,2,FALSE),0))</f>
        <v/>
      </c>
      <c r="N285" s="88">
        <f>IF($D285="","",IF(OR($E285="Blocked",$E285="Done",$E285="Archive"),-9999,IF(AND($E285="Waiting",SUMPRODUCT((($E$5:$E$500="Next")+($E$5:$E$500="In Progress")+($E$5:$E$500="Captured"))*($D$5:$D$500&lt;&gt;""))&gt;0),-500,VLOOKUP($F285,Lists!$L$2:$M$4,2,FALSE)+IF($E285="In Progress",10,0)+IF(AND($I285&lt;&gt;"",$I285&lt;TODAY()),25,0)+IF(AND($I285&lt;&gt;"",$I285&gt;=TODAY(),$I285&lt;=TODAY()+7),15,0)+IF($H285="",0,IF($M285&lt;=VLOOKUP(Home!$C$7,Lists!$N$2:$O$6,2,FALSE),20,-10))+IF($G285=Home!$E$7,15,IF(Home!$E$7="",0,-5))-ROW()/100000)))</f>
        <v/>
      </c>
      <c r="O285" s="88">
        <f>IF($D285="","",IF($N285&lt;=-500,"Not recommended right now",IF($E285="Waiting","Nothing else actionable right now — Waiting on: "&amp;IF($K285="","this item",$K285),TEXTJOIN(" • ",TRUE,IF($F285="High","High Priority",""),IF(AND($I285&lt;&gt;"",$I285&lt;TODAY()),"Overdue",""),IF(AND($I285&lt;&gt;"",$I285&gt;=TODAY(),$I285&lt;=TODAY()+7),"Due This Week",""),IF(AND($H285&lt;&gt;"",$M285&lt;=VLOOKUP(Home!$C$7,Lists!$N$2:$O$6,2,FALSE)),$H285&amp;" Task",""),IF($G285=Home!$E$7,"Fits Current Energy",""),"No Blockers"))))</f>
        <v/>
      </c>
      <c r="P285" s="88">
        <f>IF($D285="","",SWITCH('Task Finder'!$C$6,"High Priority",AND($F285="High",$E285&lt;&gt;"Done",$E285&lt;&gt;"Archive"),"Due This Week",AND($I285&lt;&gt;"",$I285&gt;=TODAY(),$I285&lt;=TODAY()+7,$E285&lt;&gt;"Done"),"Quick Wins (15 mins or less)",AND($M285&lt;=15,$E285&lt;&gt;"Done",$E285&lt;&gt;"Blocked"),"Deep Thinking",AND($G285="Deep Thinking",$E285&lt;&gt;"Done"),"Processing",AND($G285="Processing",$E285&lt;&gt;"Done"),"Blocked",$E285="Blocked","Waiting",$E285="Waiting","Recently Updated",AND($L285&lt;&gt;"",$L285&gt;=TODAY()-7),"Keyword",AND('Task Finder'!$C$7&lt;&gt;"",OR(ISNUMBER(SEARCH('Task Finder'!$C$7,$A285)),ISNUMBER(SEARCH('Task Finder'!$C$7,$B285)),ISNUMBER(SEARCH('Task Finder'!$C$7,$C285)),ISNUMBER(SEARCH('Task Finder'!$C$7,$D285)),ISNUMBER(SEARCH('Task Finder'!$C$7,$K285)))),TRUE))</f>
        <v/>
      </c>
    </row>
    <row r="286">
      <c r="A286" s="19" t="n"/>
      <c r="B286" s="19" t="n"/>
      <c r="C286" s="19" t="n"/>
      <c r="D286" s="19" t="n"/>
      <c r="E286" s="19" t="n"/>
      <c r="F286" s="19" t="n"/>
      <c r="G286" s="19" t="n"/>
      <c r="H286" s="19" t="n"/>
      <c r="I286" s="19" t="n"/>
      <c r="J286" s="19" t="n"/>
      <c r="K286" s="19" t="n"/>
      <c r="L286" s="125" t="n"/>
      <c r="M286" s="88">
        <f>IF($D286="","",IFERROR(VLOOKUP($H286,Lists!$N$2:$O$6,2,FALSE),0))</f>
        <v/>
      </c>
      <c r="N286" s="88">
        <f>IF($D286="","",IF(OR($E286="Blocked",$E286="Done",$E286="Archive"),-9999,IF(AND($E286="Waiting",SUMPRODUCT((($E$5:$E$500="Next")+($E$5:$E$500="In Progress")+($E$5:$E$500="Captured"))*($D$5:$D$500&lt;&gt;""))&gt;0),-500,VLOOKUP($F286,Lists!$L$2:$M$4,2,FALSE)+IF($E286="In Progress",10,0)+IF(AND($I286&lt;&gt;"",$I286&lt;TODAY()),25,0)+IF(AND($I286&lt;&gt;"",$I286&gt;=TODAY(),$I286&lt;=TODAY()+7),15,0)+IF($H286="",0,IF($M286&lt;=VLOOKUP(Home!$C$7,Lists!$N$2:$O$6,2,FALSE),20,-10))+IF($G286=Home!$E$7,15,IF(Home!$E$7="",0,-5))-ROW()/100000)))</f>
        <v/>
      </c>
      <c r="O286" s="88">
        <f>IF($D286="","",IF($N286&lt;=-500,"Not recommended right now",IF($E286="Waiting","Nothing else actionable right now — Waiting on: "&amp;IF($K286="","this item",$K286),TEXTJOIN(" • ",TRUE,IF($F286="High","High Priority",""),IF(AND($I286&lt;&gt;"",$I286&lt;TODAY()),"Overdue",""),IF(AND($I286&lt;&gt;"",$I286&gt;=TODAY(),$I286&lt;=TODAY()+7),"Due This Week",""),IF(AND($H286&lt;&gt;"",$M286&lt;=VLOOKUP(Home!$C$7,Lists!$N$2:$O$6,2,FALSE)),$H286&amp;" Task",""),IF($G286=Home!$E$7,"Fits Current Energy",""),"No Blockers"))))</f>
        <v/>
      </c>
      <c r="P286" s="88">
        <f>IF($D286="","",SWITCH('Task Finder'!$C$6,"High Priority",AND($F286="High",$E286&lt;&gt;"Done",$E286&lt;&gt;"Archive"),"Due This Week",AND($I286&lt;&gt;"",$I286&gt;=TODAY(),$I286&lt;=TODAY()+7,$E286&lt;&gt;"Done"),"Quick Wins (15 mins or less)",AND($M286&lt;=15,$E286&lt;&gt;"Done",$E286&lt;&gt;"Blocked"),"Deep Thinking",AND($G286="Deep Thinking",$E286&lt;&gt;"Done"),"Processing",AND($G286="Processing",$E286&lt;&gt;"Done"),"Blocked",$E286="Blocked","Waiting",$E286="Waiting","Recently Updated",AND($L286&lt;&gt;"",$L286&gt;=TODAY()-7),"Keyword",AND('Task Finder'!$C$7&lt;&gt;"",OR(ISNUMBER(SEARCH('Task Finder'!$C$7,$A286)),ISNUMBER(SEARCH('Task Finder'!$C$7,$B286)),ISNUMBER(SEARCH('Task Finder'!$C$7,$C286)),ISNUMBER(SEARCH('Task Finder'!$C$7,$D286)),ISNUMBER(SEARCH('Task Finder'!$C$7,$K286)))),TRUE))</f>
        <v/>
      </c>
    </row>
    <row r="287">
      <c r="A287" s="19" t="n"/>
      <c r="B287" s="19" t="n"/>
      <c r="C287" s="19" t="n"/>
      <c r="D287" s="19" t="n"/>
      <c r="E287" s="19" t="n"/>
      <c r="F287" s="19" t="n"/>
      <c r="G287" s="19" t="n"/>
      <c r="H287" s="19" t="n"/>
      <c r="I287" s="19" t="n"/>
      <c r="J287" s="19" t="n"/>
      <c r="K287" s="19" t="n"/>
      <c r="L287" s="125" t="n"/>
      <c r="M287" s="88">
        <f>IF($D287="","",IFERROR(VLOOKUP($H287,Lists!$N$2:$O$6,2,FALSE),0))</f>
        <v/>
      </c>
      <c r="N287" s="88">
        <f>IF($D287="","",IF(OR($E287="Blocked",$E287="Done",$E287="Archive"),-9999,IF(AND($E287="Waiting",SUMPRODUCT((($E$5:$E$500="Next")+($E$5:$E$500="In Progress")+($E$5:$E$500="Captured"))*($D$5:$D$500&lt;&gt;""))&gt;0),-500,VLOOKUP($F287,Lists!$L$2:$M$4,2,FALSE)+IF($E287="In Progress",10,0)+IF(AND($I287&lt;&gt;"",$I287&lt;TODAY()),25,0)+IF(AND($I287&lt;&gt;"",$I287&gt;=TODAY(),$I287&lt;=TODAY()+7),15,0)+IF($H287="",0,IF($M287&lt;=VLOOKUP(Home!$C$7,Lists!$N$2:$O$6,2,FALSE),20,-10))+IF($G287=Home!$E$7,15,IF(Home!$E$7="",0,-5))-ROW()/100000)))</f>
        <v/>
      </c>
      <c r="O287" s="88">
        <f>IF($D287="","",IF($N287&lt;=-500,"Not recommended right now",IF($E287="Waiting","Nothing else actionable right now — Waiting on: "&amp;IF($K287="","this item",$K287),TEXTJOIN(" • ",TRUE,IF($F287="High","High Priority",""),IF(AND($I287&lt;&gt;"",$I287&lt;TODAY()),"Overdue",""),IF(AND($I287&lt;&gt;"",$I287&gt;=TODAY(),$I287&lt;=TODAY()+7),"Due This Week",""),IF(AND($H287&lt;&gt;"",$M287&lt;=VLOOKUP(Home!$C$7,Lists!$N$2:$O$6,2,FALSE)),$H287&amp;" Task",""),IF($G287=Home!$E$7,"Fits Current Energy",""),"No Blockers"))))</f>
        <v/>
      </c>
      <c r="P287" s="88">
        <f>IF($D287="","",SWITCH('Task Finder'!$C$6,"High Priority",AND($F287="High",$E287&lt;&gt;"Done",$E287&lt;&gt;"Archive"),"Due This Week",AND($I287&lt;&gt;"",$I287&gt;=TODAY(),$I287&lt;=TODAY()+7,$E287&lt;&gt;"Done"),"Quick Wins (15 mins or less)",AND($M287&lt;=15,$E287&lt;&gt;"Done",$E287&lt;&gt;"Blocked"),"Deep Thinking",AND($G287="Deep Thinking",$E287&lt;&gt;"Done"),"Processing",AND($G287="Processing",$E287&lt;&gt;"Done"),"Blocked",$E287="Blocked","Waiting",$E287="Waiting","Recently Updated",AND($L287&lt;&gt;"",$L287&gt;=TODAY()-7),"Keyword",AND('Task Finder'!$C$7&lt;&gt;"",OR(ISNUMBER(SEARCH('Task Finder'!$C$7,$A287)),ISNUMBER(SEARCH('Task Finder'!$C$7,$B287)),ISNUMBER(SEARCH('Task Finder'!$C$7,$C287)),ISNUMBER(SEARCH('Task Finder'!$C$7,$D287)),ISNUMBER(SEARCH('Task Finder'!$C$7,$K287)))),TRUE))</f>
        <v/>
      </c>
    </row>
    <row r="288">
      <c r="A288" s="19" t="n"/>
      <c r="B288" s="19" t="n"/>
      <c r="C288" s="19" t="n"/>
      <c r="D288" s="19" t="n"/>
      <c r="E288" s="19" t="n"/>
      <c r="F288" s="19" t="n"/>
      <c r="G288" s="19" t="n"/>
      <c r="H288" s="19" t="n"/>
      <c r="I288" s="19" t="n"/>
      <c r="J288" s="19" t="n"/>
      <c r="K288" s="19" t="n"/>
      <c r="L288" s="125" t="n"/>
      <c r="M288" s="88">
        <f>IF($D288="","",IFERROR(VLOOKUP($H288,Lists!$N$2:$O$6,2,FALSE),0))</f>
        <v/>
      </c>
      <c r="N288" s="88">
        <f>IF($D288="","",IF(OR($E288="Blocked",$E288="Done",$E288="Archive"),-9999,IF(AND($E288="Waiting",SUMPRODUCT((($E$5:$E$500="Next")+($E$5:$E$500="In Progress")+($E$5:$E$500="Captured"))*($D$5:$D$500&lt;&gt;""))&gt;0),-500,VLOOKUP($F288,Lists!$L$2:$M$4,2,FALSE)+IF($E288="In Progress",10,0)+IF(AND($I288&lt;&gt;"",$I288&lt;TODAY()),25,0)+IF(AND($I288&lt;&gt;"",$I288&gt;=TODAY(),$I288&lt;=TODAY()+7),15,0)+IF($H288="",0,IF($M288&lt;=VLOOKUP(Home!$C$7,Lists!$N$2:$O$6,2,FALSE),20,-10))+IF($G288=Home!$E$7,15,IF(Home!$E$7="",0,-5))-ROW()/100000)))</f>
        <v/>
      </c>
      <c r="O288" s="88">
        <f>IF($D288="","",IF($N288&lt;=-500,"Not recommended right now",IF($E288="Waiting","Nothing else actionable right now — Waiting on: "&amp;IF($K288="","this item",$K288),TEXTJOIN(" • ",TRUE,IF($F288="High","High Priority",""),IF(AND($I288&lt;&gt;"",$I288&lt;TODAY()),"Overdue",""),IF(AND($I288&lt;&gt;"",$I288&gt;=TODAY(),$I288&lt;=TODAY()+7),"Due This Week",""),IF(AND($H288&lt;&gt;"",$M288&lt;=VLOOKUP(Home!$C$7,Lists!$N$2:$O$6,2,FALSE)),$H288&amp;" Task",""),IF($G288=Home!$E$7,"Fits Current Energy",""),"No Blockers"))))</f>
        <v/>
      </c>
      <c r="P288" s="88">
        <f>IF($D288="","",SWITCH('Task Finder'!$C$6,"High Priority",AND($F288="High",$E288&lt;&gt;"Done",$E288&lt;&gt;"Archive"),"Due This Week",AND($I288&lt;&gt;"",$I288&gt;=TODAY(),$I288&lt;=TODAY()+7,$E288&lt;&gt;"Done"),"Quick Wins (15 mins or less)",AND($M288&lt;=15,$E288&lt;&gt;"Done",$E288&lt;&gt;"Blocked"),"Deep Thinking",AND($G288="Deep Thinking",$E288&lt;&gt;"Done"),"Processing",AND($G288="Processing",$E288&lt;&gt;"Done"),"Blocked",$E288="Blocked","Waiting",$E288="Waiting","Recently Updated",AND($L288&lt;&gt;"",$L288&gt;=TODAY()-7),"Keyword",AND('Task Finder'!$C$7&lt;&gt;"",OR(ISNUMBER(SEARCH('Task Finder'!$C$7,$A288)),ISNUMBER(SEARCH('Task Finder'!$C$7,$B288)),ISNUMBER(SEARCH('Task Finder'!$C$7,$C288)),ISNUMBER(SEARCH('Task Finder'!$C$7,$D288)),ISNUMBER(SEARCH('Task Finder'!$C$7,$K288)))),TRUE))</f>
        <v/>
      </c>
    </row>
    <row r="289">
      <c r="A289" s="19" t="n"/>
      <c r="B289" s="19" t="n"/>
      <c r="C289" s="19" t="n"/>
      <c r="D289" s="19" t="n"/>
      <c r="E289" s="19" t="n"/>
      <c r="F289" s="19" t="n"/>
      <c r="G289" s="19" t="n"/>
      <c r="H289" s="19" t="n"/>
      <c r="I289" s="19" t="n"/>
      <c r="J289" s="19" t="n"/>
      <c r="K289" s="19" t="n"/>
      <c r="L289" s="125" t="n"/>
      <c r="M289" s="88">
        <f>IF($D289="","",IFERROR(VLOOKUP($H289,Lists!$N$2:$O$6,2,FALSE),0))</f>
        <v/>
      </c>
      <c r="N289" s="88">
        <f>IF($D289="","",IF(OR($E289="Blocked",$E289="Done",$E289="Archive"),-9999,IF(AND($E289="Waiting",SUMPRODUCT((($E$5:$E$500="Next")+($E$5:$E$500="In Progress")+($E$5:$E$500="Captured"))*($D$5:$D$500&lt;&gt;""))&gt;0),-500,VLOOKUP($F289,Lists!$L$2:$M$4,2,FALSE)+IF($E289="In Progress",10,0)+IF(AND($I289&lt;&gt;"",$I289&lt;TODAY()),25,0)+IF(AND($I289&lt;&gt;"",$I289&gt;=TODAY(),$I289&lt;=TODAY()+7),15,0)+IF($H289="",0,IF($M289&lt;=VLOOKUP(Home!$C$7,Lists!$N$2:$O$6,2,FALSE),20,-10))+IF($G289=Home!$E$7,15,IF(Home!$E$7="",0,-5))-ROW()/100000)))</f>
        <v/>
      </c>
      <c r="O289" s="88">
        <f>IF($D289="","",IF($N289&lt;=-500,"Not recommended right now",IF($E289="Waiting","Nothing else actionable right now — Waiting on: "&amp;IF($K289="","this item",$K289),TEXTJOIN(" • ",TRUE,IF($F289="High","High Priority",""),IF(AND($I289&lt;&gt;"",$I289&lt;TODAY()),"Overdue",""),IF(AND($I289&lt;&gt;"",$I289&gt;=TODAY(),$I289&lt;=TODAY()+7),"Due This Week",""),IF(AND($H289&lt;&gt;"",$M289&lt;=VLOOKUP(Home!$C$7,Lists!$N$2:$O$6,2,FALSE)),$H289&amp;" Task",""),IF($G289=Home!$E$7,"Fits Current Energy",""),"No Blockers"))))</f>
        <v/>
      </c>
      <c r="P289" s="88">
        <f>IF($D289="","",SWITCH('Task Finder'!$C$6,"High Priority",AND($F289="High",$E289&lt;&gt;"Done",$E289&lt;&gt;"Archive"),"Due This Week",AND($I289&lt;&gt;"",$I289&gt;=TODAY(),$I289&lt;=TODAY()+7,$E289&lt;&gt;"Done"),"Quick Wins (15 mins or less)",AND($M289&lt;=15,$E289&lt;&gt;"Done",$E289&lt;&gt;"Blocked"),"Deep Thinking",AND($G289="Deep Thinking",$E289&lt;&gt;"Done"),"Processing",AND($G289="Processing",$E289&lt;&gt;"Done"),"Blocked",$E289="Blocked","Waiting",$E289="Waiting","Recently Updated",AND($L289&lt;&gt;"",$L289&gt;=TODAY()-7),"Keyword",AND('Task Finder'!$C$7&lt;&gt;"",OR(ISNUMBER(SEARCH('Task Finder'!$C$7,$A289)),ISNUMBER(SEARCH('Task Finder'!$C$7,$B289)),ISNUMBER(SEARCH('Task Finder'!$C$7,$C289)),ISNUMBER(SEARCH('Task Finder'!$C$7,$D289)),ISNUMBER(SEARCH('Task Finder'!$C$7,$K289)))),TRUE))</f>
        <v/>
      </c>
    </row>
    <row r="290">
      <c r="A290" s="19" t="n"/>
      <c r="B290" s="19" t="n"/>
      <c r="C290" s="19" t="n"/>
      <c r="D290" s="19" t="n"/>
      <c r="E290" s="19" t="n"/>
      <c r="F290" s="19" t="n"/>
      <c r="G290" s="19" t="n"/>
      <c r="H290" s="19" t="n"/>
      <c r="I290" s="19" t="n"/>
      <c r="J290" s="19" t="n"/>
      <c r="K290" s="19" t="n"/>
      <c r="L290" s="125" t="n"/>
      <c r="M290" s="88">
        <f>IF($D290="","",IFERROR(VLOOKUP($H290,Lists!$N$2:$O$6,2,FALSE),0))</f>
        <v/>
      </c>
      <c r="N290" s="88">
        <f>IF($D290="","",IF(OR($E290="Blocked",$E290="Done",$E290="Archive"),-9999,IF(AND($E290="Waiting",SUMPRODUCT((($E$5:$E$500="Next")+($E$5:$E$500="In Progress")+($E$5:$E$500="Captured"))*($D$5:$D$500&lt;&gt;""))&gt;0),-500,VLOOKUP($F290,Lists!$L$2:$M$4,2,FALSE)+IF($E290="In Progress",10,0)+IF(AND($I290&lt;&gt;"",$I290&lt;TODAY()),25,0)+IF(AND($I290&lt;&gt;"",$I290&gt;=TODAY(),$I290&lt;=TODAY()+7),15,0)+IF($H290="",0,IF($M290&lt;=VLOOKUP(Home!$C$7,Lists!$N$2:$O$6,2,FALSE),20,-10))+IF($G290=Home!$E$7,15,IF(Home!$E$7="",0,-5))-ROW()/100000)))</f>
        <v/>
      </c>
      <c r="O290" s="88">
        <f>IF($D290="","",IF($N290&lt;=-500,"Not recommended right now",IF($E290="Waiting","Nothing else actionable right now — Waiting on: "&amp;IF($K290="","this item",$K290),TEXTJOIN(" • ",TRUE,IF($F290="High","High Priority",""),IF(AND($I290&lt;&gt;"",$I290&lt;TODAY()),"Overdue",""),IF(AND($I290&lt;&gt;"",$I290&gt;=TODAY(),$I290&lt;=TODAY()+7),"Due This Week",""),IF(AND($H290&lt;&gt;"",$M290&lt;=VLOOKUP(Home!$C$7,Lists!$N$2:$O$6,2,FALSE)),$H290&amp;" Task",""),IF($G290=Home!$E$7,"Fits Current Energy",""),"No Blockers"))))</f>
        <v/>
      </c>
      <c r="P290" s="88">
        <f>IF($D290="","",SWITCH('Task Finder'!$C$6,"High Priority",AND($F290="High",$E290&lt;&gt;"Done",$E290&lt;&gt;"Archive"),"Due This Week",AND($I290&lt;&gt;"",$I290&gt;=TODAY(),$I290&lt;=TODAY()+7,$E290&lt;&gt;"Done"),"Quick Wins (15 mins or less)",AND($M290&lt;=15,$E290&lt;&gt;"Done",$E290&lt;&gt;"Blocked"),"Deep Thinking",AND($G290="Deep Thinking",$E290&lt;&gt;"Done"),"Processing",AND($G290="Processing",$E290&lt;&gt;"Done"),"Blocked",$E290="Blocked","Waiting",$E290="Waiting","Recently Updated",AND($L290&lt;&gt;"",$L290&gt;=TODAY()-7),"Keyword",AND('Task Finder'!$C$7&lt;&gt;"",OR(ISNUMBER(SEARCH('Task Finder'!$C$7,$A290)),ISNUMBER(SEARCH('Task Finder'!$C$7,$B290)),ISNUMBER(SEARCH('Task Finder'!$C$7,$C290)),ISNUMBER(SEARCH('Task Finder'!$C$7,$D290)),ISNUMBER(SEARCH('Task Finder'!$C$7,$K290)))),TRUE))</f>
        <v/>
      </c>
    </row>
    <row r="291">
      <c r="A291" s="19" t="n"/>
      <c r="B291" s="19" t="n"/>
      <c r="C291" s="19" t="n"/>
      <c r="D291" s="19" t="n"/>
      <c r="E291" s="19" t="n"/>
      <c r="F291" s="19" t="n"/>
      <c r="G291" s="19" t="n"/>
      <c r="H291" s="19" t="n"/>
      <c r="I291" s="19" t="n"/>
      <c r="J291" s="19" t="n"/>
      <c r="K291" s="19" t="n"/>
      <c r="L291" s="125" t="n"/>
      <c r="M291" s="88">
        <f>IF($D291="","",IFERROR(VLOOKUP($H291,Lists!$N$2:$O$6,2,FALSE),0))</f>
        <v/>
      </c>
      <c r="N291" s="88">
        <f>IF($D291="","",IF(OR($E291="Blocked",$E291="Done",$E291="Archive"),-9999,IF(AND($E291="Waiting",SUMPRODUCT((($E$5:$E$500="Next")+($E$5:$E$500="In Progress")+($E$5:$E$500="Captured"))*($D$5:$D$500&lt;&gt;""))&gt;0),-500,VLOOKUP($F291,Lists!$L$2:$M$4,2,FALSE)+IF($E291="In Progress",10,0)+IF(AND($I291&lt;&gt;"",$I291&lt;TODAY()),25,0)+IF(AND($I291&lt;&gt;"",$I291&gt;=TODAY(),$I291&lt;=TODAY()+7),15,0)+IF($H291="",0,IF($M291&lt;=VLOOKUP(Home!$C$7,Lists!$N$2:$O$6,2,FALSE),20,-10))+IF($G291=Home!$E$7,15,IF(Home!$E$7="",0,-5))-ROW()/100000)))</f>
        <v/>
      </c>
      <c r="O291" s="88">
        <f>IF($D291="","",IF($N291&lt;=-500,"Not recommended right now",IF($E291="Waiting","Nothing else actionable right now — Waiting on: "&amp;IF($K291="","this item",$K291),TEXTJOIN(" • ",TRUE,IF($F291="High","High Priority",""),IF(AND($I291&lt;&gt;"",$I291&lt;TODAY()),"Overdue",""),IF(AND($I291&lt;&gt;"",$I291&gt;=TODAY(),$I291&lt;=TODAY()+7),"Due This Week",""),IF(AND($H291&lt;&gt;"",$M291&lt;=VLOOKUP(Home!$C$7,Lists!$N$2:$O$6,2,FALSE)),$H291&amp;" Task",""),IF($G291=Home!$E$7,"Fits Current Energy",""),"No Blockers"))))</f>
        <v/>
      </c>
      <c r="P291" s="88">
        <f>IF($D291="","",SWITCH('Task Finder'!$C$6,"High Priority",AND($F291="High",$E291&lt;&gt;"Done",$E291&lt;&gt;"Archive"),"Due This Week",AND($I291&lt;&gt;"",$I291&gt;=TODAY(),$I291&lt;=TODAY()+7,$E291&lt;&gt;"Done"),"Quick Wins (15 mins or less)",AND($M291&lt;=15,$E291&lt;&gt;"Done",$E291&lt;&gt;"Blocked"),"Deep Thinking",AND($G291="Deep Thinking",$E291&lt;&gt;"Done"),"Processing",AND($G291="Processing",$E291&lt;&gt;"Done"),"Blocked",$E291="Blocked","Waiting",$E291="Waiting","Recently Updated",AND($L291&lt;&gt;"",$L291&gt;=TODAY()-7),"Keyword",AND('Task Finder'!$C$7&lt;&gt;"",OR(ISNUMBER(SEARCH('Task Finder'!$C$7,$A291)),ISNUMBER(SEARCH('Task Finder'!$C$7,$B291)),ISNUMBER(SEARCH('Task Finder'!$C$7,$C291)),ISNUMBER(SEARCH('Task Finder'!$C$7,$D291)),ISNUMBER(SEARCH('Task Finder'!$C$7,$K291)))),TRUE))</f>
        <v/>
      </c>
    </row>
    <row r="292">
      <c r="A292" s="19" t="n"/>
      <c r="B292" s="19" t="n"/>
      <c r="C292" s="19" t="n"/>
      <c r="D292" s="19" t="n"/>
      <c r="E292" s="19" t="n"/>
      <c r="F292" s="19" t="n"/>
      <c r="G292" s="19" t="n"/>
      <c r="H292" s="19" t="n"/>
      <c r="I292" s="19" t="n"/>
      <c r="J292" s="19" t="n"/>
      <c r="K292" s="19" t="n"/>
      <c r="L292" s="125" t="n"/>
      <c r="M292" s="88">
        <f>IF($D292="","",IFERROR(VLOOKUP($H292,Lists!$N$2:$O$6,2,FALSE),0))</f>
        <v/>
      </c>
      <c r="N292" s="88">
        <f>IF($D292="","",IF(OR($E292="Blocked",$E292="Done",$E292="Archive"),-9999,IF(AND($E292="Waiting",SUMPRODUCT((($E$5:$E$500="Next")+($E$5:$E$500="In Progress")+($E$5:$E$500="Captured"))*($D$5:$D$500&lt;&gt;""))&gt;0),-500,VLOOKUP($F292,Lists!$L$2:$M$4,2,FALSE)+IF($E292="In Progress",10,0)+IF(AND($I292&lt;&gt;"",$I292&lt;TODAY()),25,0)+IF(AND($I292&lt;&gt;"",$I292&gt;=TODAY(),$I292&lt;=TODAY()+7),15,0)+IF($H292="",0,IF($M292&lt;=VLOOKUP(Home!$C$7,Lists!$N$2:$O$6,2,FALSE),20,-10))+IF($G292=Home!$E$7,15,IF(Home!$E$7="",0,-5))-ROW()/100000)))</f>
        <v/>
      </c>
      <c r="O292" s="88">
        <f>IF($D292="","",IF($N292&lt;=-500,"Not recommended right now",IF($E292="Waiting","Nothing else actionable right now — Waiting on: "&amp;IF($K292="","this item",$K292),TEXTJOIN(" • ",TRUE,IF($F292="High","High Priority",""),IF(AND($I292&lt;&gt;"",$I292&lt;TODAY()),"Overdue",""),IF(AND($I292&lt;&gt;"",$I292&gt;=TODAY(),$I292&lt;=TODAY()+7),"Due This Week",""),IF(AND($H292&lt;&gt;"",$M292&lt;=VLOOKUP(Home!$C$7,Lists!$N$2:$O$6,2,FALSE)),$H292&amp;" Task",""),IF($G292=Home!$E$7,"Fits Current Energy",""),"No Blockers"))))</f>
        <v/>
      </c>
      <c r="P292" s="88">
        <f>IF($D292="","",SWITCH('Task Finder'!$C$6,"High Priority",AND($F292="High",$E292&lt;&gt;"Done",$E292&lt;&gt;"Archive"),"Due This Week",AND($I292&lt;&gt;"",$I292&gt;=TODAY(),$I292&lt;=TODAY()+7,$E292&lt;&gt;"Done"),"Quick Wins (15 mins or less)",AND($M292&lt;=15,$E292&lt;&gt;"Done",$E292&lt;&gt;"Blocked"),"Deep Thinking",AND($G292="Deep Thinking",$E292&lt;&gt;"Done"),"Processing",AND($G292="Processing",$E292&lt;&gt;"Done"),"Blocked",$E292="Blocked","Waiting",$E292="Waiting","Recently Updated",AND($L292&lt;&gt;"",$L292&gt;=TODAY()-7),"Keyword",AND('Task Finder'!$C$7&lt;&gt;"",OR(ISNUMBER(SEARCH('Task Finder'!$C$7,$A292)),ISNUMBER(SEARCH('Task Finder'!$C$7,$B292)),ISNUMBER(SEARCH('Task Finder'!$C$7,$C292)),ISNUMBER(SEARCH('Task Finder'!$C$7,$D292)),ISNUMBER(SEARCH('Task Finder'!$C$7,$K292)))),TRUE))</f>
        <v/>
      </c>
    </row>
    <row r="293">
      <c r="A293" s="19" t="n"/>
      <c r="B293" s="19" t="n"/>
      <c r="C293" s="19" t="n"/>
      <c r="D293" s="19" t="n"/>
      <c r="E293" s="19" t="n"/>
      <c r="F293" s="19" t="n"/>
      <c r="G293" s="19" t="n"/>
      <c r="H293" s="19" t="n"/>
      <c r="I293" s="19" t="n"/>
      <c r="J293" s="19" t="n"/>
      <c r="K293" s="19" t="n"/>
      <c r="L293" s="125" t="n"/>
      <c r="M293" s="88">
        <f>IF($D293="","",IFERROR(VLOOKUP($H293,Lists!$N$2:$O$6,2,FALSE),0))</f>
        <v/>
      </c>
      <c r="N293" s="88">
        <f>IF($D293="","",IF(OR($E293="Blocked",$E293="Done",$E293="Archive"),-9999,IF(AND($E293="Waiting",SUMPRODUCT((($E$5:$E$500="Next")+($E$5:$E$500="In Progress")+($E$5:$E$500="Captured"))*($D$5:$D$500&lt;&gt;""))&gt;0),-500,VLOOKUP($F293,Lists!$L$2:$M$4,2,FALSE)+IF($E293="In Progress",10,0)+IF(AND($I293&lt;&gt;"",$I293&lt;TODAY()),25,0)+IF(AND($I293&lt;&gt;"",$I293&gt;=TODAY(),$I293&lt;=TODAY()+7),15,0)+IF($H293="",0,IF($M293&lt;=VLOOKUP(Home!$C$7,Lists!$N$2:$O$6,2,FALSE),20,-10))+IF($G293=Home!$E$7,15,IF(Home!$E$7="",0,-5))-ROW()/100000)))</f>
        <v/>
      </c>
      <c r="O293" s="88">
        <f>IF($D293="","",IF($N293&lt;=-500,"Not recommended right now",IF($E293="Waiting","Nothing else actionable right now — Waiting on: "&amp;IF($K293="","this item",$K293),TEXTJOIN(" • ",TRUE,IF($F293="High","High Priority",""),IF(AND($I293&lt;&gt;"",$I293&lt;TODAY()),"Overdue",""),IF(AND($I293&lt;&gt;"",$I293&gt;=TODAY(),$I293&lt;=TODAY()+7),"Due This Week",""),IF(AND($H293&lt;&gt;"",$M293&lt;=VLOOKUP(Home!$C$7,Lists!$N$2:$O$6,2,FALSE)),$H293&amp;" Task",""),IF($G293=Home!$E$7,"Fits Current Energy",""),"No Blockers"))))</f>
        <v/>
      </c>
      <c r="P293" s="88">
        <f>IF($D293="","",SWITCH('Task Finder'!$C$6,"High Priority",AND($F293="High",$E293&lt;&gt;"Done",$E293&lt;&gt;"Archive"),"Due This Week",AND($I293&lt;&gt;"",$I293&gt;=TODAY(),$I293&lt;=TODAY()+7,$E293&lt;&gt;"Done"),"Quick Wins (15 mins or less)",AND($M293&lt;=15,$E293&lt;&gt;"Done",$E293&lt;&gt;"Blocked"),"Deep Thinking",AND($G293="Deep Thinking",$E293&lt;&gt;"Done"),"Processing",AND($G293="Processing",$E293&lt;&gt;"Done"),"Blocked",$E293="Blocked","Waiting",$E293="Waiting","Recently Updated",AND($L293&lt;&gt;"",$L293&gt;=TODAY()-7),"Keyword",AND('Task Finder'!$C$7&lt;&gt;"",OR(ISNUMBER(SEARCH('Task Finder'!$C$7,$A293)),ISNUMBER(SEARCH('Task Finder'!$C$7,$B293)),ISNUMBER(SEARCH('Task Finder'!$C$7,$C293)),ISNUMBER(SEARCH('Task Finder'!$C$7,$D293)),ISNUMBER(SEARCH('Task Finder'!$C$7,$K293)))),TRUE))</f>
        <v/>
      </c>
    </row>
    <row r="294">
      <c r="A294" s="19" t="n"/>
      <c r="B294" s="19" t="n"/>
      <c r="C294" s="19" t="n"/>
      <c r="D294" s="19" t="n"/>
      <c r="E294" s="19" t="n"/>
      <c r="F294" s="19" t="n"/>
      <c r="G294" s="19" t="n"/>
      <c r="H294" s="19" t="n"/>
      <c r="I294" s="19" t="n"/>
      <c r="J294" s="19" t="n"/>
      <c r="K294" s="19" t="n"/>
      <c r="L294" s="125" t="n"/>
      <c r="M294" s="88">
        <f>IF($D294="","",IFERROR(VLOOKUP($H294,Lists!$N$2:$O$6,2,FALSE),0))</f>
        <v/>
      </c>
      <c r="N294" s="88">
        <f>IF($D294="","",IF(OR($E294="Blocked",$E294="Done",$E294="Archive"),-9999,IF(AND($E294="Waiting",SUMPRODUCT((($E$5:$E$500="Next")+($E$5:$E$500="In Progress")+($E$5:$E$500="Captured"))*($D$5:$D$500&lt;&gt;""))&gt;0),-500,VLOOKUP($F294,Lists!$L$2:$M$4,2,FALSE)+IF($E294="In Progress",10,0)+IF(AND($I294&lt;&gt;"",$I294&lt;TODAY()),25,0)+IF(AND($I294&lt;&gt;"",$I294&gt;=TODAY(),$I294&lt;=TODAY()+7),15,0)+IF($H294="",0,IF($M294&lt;=VLOOKUP(Home!$C$7,Lists!$N$2:$O$6,2,FALSE),20,-10))+IF($G294=Home!$E$7,15,IF(Home!$E$7="",0,-5))-ROW()/100000)))</f>
        <v/>
      </c>
      <c r="O294" s="88">
        <f>IF($D294="","",IF($N294&lt;=-500,"Not recommended right now",IF($E294="Waiting","Nothing else actionable right now — Waiting on: "&amp;IF($K294="","this item",$K294),TEXTJOIN(" • ",TRUE,IF($F294="High","High Priority",""),IF(AND($I294&lt;&gt;"",$I294&lt;TODAY()),"Overdue",""),IF(AND($I294&lt;&gt;"",$I294&gt;=TODAY(),$I294&lt;=TODAY()+7),"Due This Week",""),IF(AND($H294&lt;&gt;"",$M294&lt;=VLOOKUP(Home!$C$7,Lists!$N$2:$O$6,2,FALSE)),$H294&amp;" Task",""),IF($G294=Home!$E$7,"Fits Current Energy",""),"No Blockers"))))</f>
        <v/>
      </c>
      <c r="P294" s="88">
        <f>IF($D294="","",SWITCH('Task Finder'!$C$6,"High Priority",AND($F294="High",$E294&lt;&gt;"Done",$E294&lt;&gt;"Archive"),"Due This Week",AND($I294&lt;&gt;"",$I294&gt;=TODAY(),$I294&lt;=TODAY()+7,$E294&lt;&gt;"Done"),"Quick Wins (15 mins or less)",AND($M294&lt;=15,$E294&lt;&gt;"Done",$E294&lt;&gt;"Blocked"),"Deep Thinking",AND($G294="Deep Thinking",$E294&lt;&gt;"Done"),"Processing",AND($G294="Processing",$E294&lt;&gt;"Done"),"Blocked",$E294="Blocked","Waiting",$E294="Waiting","Recently Updated",AND($L294&lt;&gt;"",$L294&gt;=TODAY()-7),"Keyword",AND('Task Finder'!$C$7&lt;&gt;"",OR(ISNUMBER(SEARCH('Task Finder'!$C$7,$A294)),ISNUMBER(SEARCH('Task Finder'!$C$7,$B294)),ISNUMBER(SEARCH('Task Finder'!$C$7,$C294)),ISNUMBER(SEARCH('Task Finder'!$C$7,$D294)),ISNUMBER(SEARCH('Task Finder'!$C$7,$K294)))),TRUE))</f>
        <v/>
      </c>
    </row>
    <row r="295">
      <c r="A295" s="19" t="n"/>
      <c r="B295" s="19" t="n"/>
      <c r="C295" s="19" t="n"/>
      <c r="D295" s="19" t="n"/>
      <c r="E295" s="19" t="n"/>
      <c r="F295" s="19" t="n"/>
      <c r="G295" s="19" t="n"/>
      <c r="H295" s="19" t="n"/>
      <c r="I295" s="19" t="n"/>
      <c r="J295" s="19" t="n"/>
      <c r="K295" s="19" t="n"/>
      <c r="L295" s="125" t="n"/>
      <c r="M295" s="88">
        <f>IF($D295="","",IFERROR(VLOOKUP($H295,Lists!$N$2:$O$6,2,FALSE),0))</f>
        <v/>
      </c>
      <c r="N295" s="88">
        <f>IF($D295="","",IF(OR($E295="Blocked",$E295="Done",$E295="Archive"),-9999,IF(AND($E295="Waiting",SUMPRODUCT((($E$5:$E$500="Next")+($E$5:$E$500="In Progress")+($E$5:$E$500="Captured"))*($D$5:$D$500&lt;&gt;""))&gt;0),-500,VLOOKUP($F295,Lists!$L$2:$M$4,2,FALSE)+IF($E295="In Progress",10,0)+IF(AND($I295&lt;&gt;"",$I295&lt;TODAY()),25,0)+IF(AND($I295&lt;&gt;"",$I295&gt;=TODAY(),$I295&lt;=TODAY()+7),15,0)+IF($H295="",0,IF($M295&lt;=VLOOKUP(Home!$C$7,Lists!$N$2:$O$6,2,FALSE),20,-10))+IF($G295=Home!$E$7,15,IF(Home!$E$7="",0,-5))-ROW()/100000)))</f>
        <v/>
      </c>
      <c r="O295" s="88">
        <f>IF($D295="","",IF($N295&lt;=-500,"Not recommended right now",IF($E295="Waiting","Nothing else actionable right now — Waiting on: "&amp;IF($K295="","this item",$K295),TEXTJOIN(" • ",TRUE,IF($F295="High","High Priority",""),IF(AND($I295&lt;&gt;"",$I295&lt;TODAY()),"Overdue",""),IF(AND($I295&lt;&gt;"",$I295&gt;=TODAY(),$I295&lt;=TODAY()+7),"Due This Week",""),IF(AND($H295&lt;&gt;"",$M295&lt;=VLOOKUP(Home!$C$7,Lists!$N$2:$O$6,2,FALSE)),$H295&amp;" Task",""),IF($G295=Home!$E$7,"Fits Current Energy",""),"No Blockers"))))</f>
        <v/>
      </c>
      <c r="P295" s="88">
        <f>IF($D295="","",SWITCH('Task Finder'!$C$6,"High Priority",AND($F295="High",$E295&lt;&gt;"Done",$E295&lt;&gt;"Archive"),"Due This Week",AND($I295&lt;&gt;"",$I295&gt;=TODAY(),$I295&lt;=TODAY()+7,$E295&lt;&gt;"Done"),"Quick Wins (15 mins or less)",AND($M295&lt;=15,$E295&lt;&gt;"Done",$E295&lt;&gt;"Blocked"),"Deep Thinking",AND($G295="Deep Thinking",$E295&lt;&gt;"Done"),"Processing",AND($G295="Processing",$E295&lt;&gt;"Done"),"Blocked",$E295="Blocked","Waiting",$E295="Waiting","Recently Updated",AND($L295&lt;&gt;"",$L295&gt;=TODAY()-7),"Keyword",AND('Task Finder'!$C$7&lt;&gt;"",OR(ISNUMBER(SEARCH('Task Finder'!$C$7,$A295)),ISNUMBER(SEARCH('Task Finder'!$C$7,$B295)),ISNUMBER(SEARCH('Task Finder'!$C$7,$C295)),ISNUMBER(SEARCH('Task Finder'!$C$7,$D295)),ISNUMBER(SEARCH('Task Finder'!$C$7,$K295)))),TRUE))</f>
        <v/>
      </c>
    </row>
    <row r="296">
      <c r="A296" s="19" t="n"/>
      <c r="B296" s="19" t="n"/>
      <c r="C296" s="19" t="n"/>
      <c r="D296" s="19" t="n"/>
      <c r="E296" s="19" t="n"/>
      <c r="F296" s="19" t="n"/>
      <c r="G296" s="19" t="n"/>
      <c r="H296" s="19" t="n"/>
      <c r="I296" s="19" t="n"/>
      <c r="J296" s="19" t="n"/>
      <c r="K296" s="19" t="n"/>
      <c r="L296" s="125" t="n"/>
      <c r="M296" s="88">
        <f>IF($D296="","",IFERROR(VLOOKUP($H296,Lists!$N$2:$O$6,2,FALSE),0))</f>
        <v/>
      </c>
      <c r="N296" s="88">
        <f>IF($D296="","",IF(OR($E296="Blocked",$E296="Done",$E296="Archive"),-9999,IF(AND($E296="Waiting",SUMPRODUCT((($E$5:$E$500="Next")+($E$5:$E$500="In Progress")+($E$5:$E$500="Captured"))*($D$5:$D$500&lt;&gt;""))&gt;0),-500,VLOOKUP($F296,Lists!$L$2:$M$4,2,FALSE)+IF($E296="In Progress",10,0)+IF(AND($I296&lt;&gt;"",$I296&lt;TODAY()),25,0)+IF(AND($I296&lt;&gt;"",$I296&gt;=TODAY(),$I296&lt;=TODAY()+7),15,0)+IF($H296="",0,IF($M296&lt;=VLOOKUP(Home!$C$7,Lists!$N$2:$O$6,2,FALSE),20,-10))+IF($G296=Home!$E$7,15,IF(Home!$E$7="",0,-5))-ROW()/100000)))</f>
        <v/>
      </c>
      <c r="O296" s="88">
        <f>IF($D296="","",IF($N296&lt;=-500,"Not recommended right now",IF($E296="Waiting","Nothing else actionable right now — Waiting on: "&amp;IF($K296="","this item",$K296),TEXTJOIN(" • ",TRUE,IF($F296="High","High Priority",""),IF(AND($I296&lt;&gt;"",$I296&lt;TODAY()),"Overdue",""),IF(AND($I296&lt;&gt;"",$I296&gt;=TODAY(),$I296&lt;=TODAY()+7),"Due This Week",""),IF(AND($H296&lt;&gt;"",$M296&lt;=VLOOKUP(Home!$C$7,Lists!$N$2:$O$6,2,FALSE)),$H296&amp;" Task",""),IF($G296=Home!$E$7,"Fits Current Energy",""),"No Blockers"))))</f>
        <v/>
      </c>
      <c r="P296" s="88">
        <f>IF($D296="","",SWITCH('Task Finder'!$C$6,"High Priority",AND($F296="High",$E296&lt;&gt;"Done",$E296&lt;&gt;"Archive"),"Due This Week",AND($I296&lt;&gt;"",$I296&gt;=TODAY(),$I296&lt;=TODAY()+7,$E296&lt;&gt;"Done"),"Quick Wins (15 mins or less)",AND($M296&lt;=15,$E296&lt;&gt;"Done",$E296&lt;&gt;"Blocked"),"Deep Thinking",AND($G296="Deep Thinking",$E296&lt;&gt;"Done"),"Processing",AND($G296="Processing",$E296&lt;&gt;"Done"),"Blocked",$E296="Blocked","Waiting",$E296="Waiting","Recently Updated",AND($L296&lt;&gt;"",$L296&gt;=TODAY()-7),"Keyword",AND('Task Finder'!$C$7&lt;&gt;"",OR(ISNUMBER(SEARCH('Task Finder'!$C$7,$A296)),ISNUMBER(SEARCH('Task Finder'!$C$7,$B296)),ISNUMBER(SEARCH('Task Finder'!$C$7,$C296)),ISNUMBER(SEARCH('Task Finder'!$C$7,$D296)),ISNUMBER(SEARCH('Task Finder'!$C$7,$K296)))),TRUE))</f>
        <v/>
      </c>
    </row>
    <row r="297">
      <c r="A297" s="19" t="n"/>
      <c r="B297" s="19" t="n"/>
      <c r="C297" s="19" t="n"/>
      <c r="D297" s="19" t="n"/>
      <c r="E297" s="19" t="n"/>
      <c r="F297" s="19" t="n"/>
      <c r="G297" s="19" t="n"/>
      <c r="H297" s="19" t="n"/>
      <c r="I297" s="19" t="n"/>
      <c r="J297" s="19" t="n"/>
      <c r="K297" s="19" t="n"/>
      <c r="L297" s="125" t="n"/>
      <c r="M297" s="88">
        <f>IF($D297="","",IFERROR(VLOOKUP($H297,Lists!$N$2:$O$6,2,FALSE),0))</f>
        <v/>
      </c>
      <c r="N297" s="88">
        <f>IF($D297="","",IF(OR($E297="Blocked",$E297="Done",$E297="Archive"),-9999,IF(AND($E297="Waiting",SUMPRODUCT((($E$5:$E$500="Next")+($E$5:$E$500="In Progress")+($E$5:$E$500="Captured"))*($D$5:$D$500&lt;&gt;""))&gt;0),-500,VLOOKUP($F297,Lists!$L$2:$M$4,2,FALSE)+IF($E297="In Progress",10,0)+IF(AND($I297&lt;&gt;"",$I297&lt;TODAY()),25,0)+IF(AND($I297&lt;&gt;"",$I297&gt;=TODAY(),$I297&lt;=TODAY()+7),15,0)+IF($H297="",0,IF($M297&lt;=VLOOKUP(Home!$C$7,Lists!$N$2:$O$6,2,FALSE),20,-10))+IF($G297=Home!$E$7,15,IF(Home!$E$7="",0,-5))-ROW()/100000)))</f>
        <v/>
      </c>
      <c r="O297" s="88">
        <f>IF($D297="","",IF($N297&lt;=-500,"Not recommended right now",IF($E297="Waiting","Nothing else actionable right now — Waiting on: "&amp;IF($K297="","this item",$K297),TEXTJOIN(" • ",TRUE,IF($F297="High","High Priority",""),IF(AND($I297&lt;&gt;"",$I297&lt;TODAY()),"Overdue",""),IF(AND($I297&lt;&gt;"",$I297&gt;=TODAY(),$I297&lt;=TODAY()+7),"Due This Week",""),IF(AND($H297&lt;&gt;"",$M297&lt;=VLOOKUP(Home!$C$7,Lists!$N$2:$O$6,2,FALSE)),$H297&amp;" Task",""),IF($G297=Home!$E$7,"Fits Current Energy",""),"No Blockers"))))</f>
        <v/>
      </c>
      <c r="P297" s="88">
        <f>IF($D297="","",SWITCH('Task Finder'!$C$6,"High Priority",AND($F297="High",$E297&lt;&gt;"Done",$E297&lt;&gt;"Archive"),"Due This Week",AND($I297&lt;&gt;"",$I297&gt;=TODAY(),$I297&lt;=TODAY()+7,$E297&lt;&gt;"Done"),"Quick Wins (15 mins or less)",AND($M297&lt;=15,$E297&lt;&gt;"Done",$E297&lt;&gt;"Blocked"),"Deep Thinking",AND($G297="Deep Thinking",$E297&lt;&gt;"Done"),"Processing",AND($G297="Processing",$E297&lt;&gt;"Done"),"Blocked",$E297="Blocked","Waiting",$E297="Waiting","Recently Updated",AND($L297&lt;&gt;"",$L297&gt;=TODAY()-7),"Keyword",AND('Task Finder'!$C$7&lt;&gt;"",OR(ISNUMBER(SEARCH('Task Finder'!$C$7,$A297)),ISNUMBER(SEARCH('Task Finder'!$C$7,$B297)),ISNUMBER(SEARCH('Task Finder'!$C$7,$C297)),ISNUMBER(SEARCH('Task Finder'!$C$7,$D297)),ISNUMBER(SEARCH('Task Finder'!$C$7,$K297)))),TRUE))</f>
        <v/>
      </c>
    </row>
    <row r="298">
      <c r="A298" s="19" t="n"/>
      <c r="B298" s="19" t="n"/>
      <c r="C298" s="19" t="n"/>
      <c r="D298" s="19" t="n"/>
      <c r="E298" s="19" t="n"/>
      <c r="F298" s="19" t="n"/>
      <c r="G298" s="19" t="n"/>
      <c r="H298" s="19" t="n"/>
      <c r="I298" s="19" t="n"/>
      <c r="J298" s="19" t="n"/>
      <c r="K298" s="19" t="n"/>
      <c r="L298" s="125" t="n"/>
      <c r="M298" s="88">
        <f>IF($D298="","",IFERROR(VLOOKUP($H298,Lists!$N$2:$O$6,2,FALSE),0))</f>
        <v/>
      </c>
      <c r="N298" s="88">
        <f>IF($D298="","",IF(OR($E298="Blocked",$E298="Done",$E298="Archive"),-9999,IF(AND($E298="Waiting",SUMPRODUCT((($E$5:$E$500="Next")+($E$5:$E$500="In Progress")+($E$5:$E$500="Captured"))*($D$5:$D$500&lt;&gt;""))&gt;0),-500,VLOOKUP($F298,Lists!$L$2:$M$4,2,FALSE)+IF($E298="In Progress",10,0)+IF(AND($I298&lt;&gt;"",$I298&lt;TODAY()),25,0)+IF(AND($I298&lt;&gt;"",$I298&gt;=TODAY(),$I298&lt;=TODAY()+7),15,0)+IF($H298="",0,IF($M298&lt;=VLOOKUP(Home!$C$7,Lists!$N$2:$O$6,2,FALSE),20,-10))+IF($G298=Home!$E$7,15,IF(Home!$E$7="",0,-5))-ROW()/100000)))</f>
        <v/>
      </c>
      <c r="O298" s="88">
        <f>IF($D298="","",IF($N298&lt;=-500,"Not recommended right now",IF($E298="Waiting","Nothing else actionable right now — Waiting on: "&amp;IF($K298="","this item",$K298),TEXTJOIN(" • ",TRUE,IF($F298="High","High Priority",""),IF(AND($I298&lt;&gt;"",$I298&lt;TODAY()),"Overdue",""),IF(AND($I298&lt;&gt;"",$I298&gt;=TODAY(),$I298&lt;=TODAY()+7),"Due This Week",""),IF(AND($H298&lt;&gt;"",$M298&lt;=VLOOKUP(Home!$C$7,Lists!$N$2:$O$6,2,FALSE)),$H298&amp;" Task",""),IF($G298=Home!$E$7,"Fits Current Energy",""),"No Blockers"))))</f>
        <v/>
      </c>
      <c r="P298" s="88">
        <f>IF($D298="","",SWITCH('Task Finder'!$C$6,"High Priority",AND($F298="High",$E298&lt;&gt;"Done",$E298&lt;&gt;"Archive"),"Due This Week",AND($I298&lt;&gt;"",$I298&gt;=TODAY(),$I298&lt;=TODAY()+7,$E298&lt;&gt;"Done"),"Quick Wins (15 mins or less)",AND($M298&lt;=15,$E298&lt;&gt;"Done",$E298&lt;&gt;"Blocked"),"Deep Thinking",AND($G298="Deep Thinking",$E298&lt;&gt;"Done"),"Processing",AND($G298="Processing",$E298&lt;&gt;"Done"),"Blocked",$E298="Blocked","Waiting",$E298="Waiting","Recently Updated",AND($L298&lt;&gt;"",$L298&gt;=TODAY()-7),"Keyword",AND('Task Finder'!$C$7&lt;&gt;"",OR(ISNUMBER(SEARCH('Task Finder'!$C$7,$A298)),ISNUMBER(SEARCH('Task Finder'!$C$7,$B298)),ISNUMBER(SEARCH('Task Finder'!$C$7,$C298)),ISNUMBER(SEARCH('Task Finder'!$C$7,$D298)),ISNUMBER(SEARCH('Task Finder'!$C$7,$K298)))),TRUE))</f>
        <v/>
      </c>
    </row>
    <row r="299">
      <c r="A299" s="19" t="n"/>
      <c r="B299" s="19" t="n"/>
      <c r="C299" s="19" t="n"/>
      <c r="D299" s="19" t="n"/>
      <c r="E299" s="19" t="n"/>
      <c r="F299" s="19" t="n"/>
      <c r="G299" s="19" t="n"/>
      <c r="H299" s="19" t="n"/>
      <c r="I299" s="19" t="n"/>
      <c r="J299" s="19" t="n"/>
      <c r="K299" s="19" t="n"/>
      <c r="L299" s="125" t="n"/>
      <c r="M299" s="88">
        <f>IF($D299="","",IFERROR(VLOOKUP($H299,Lists!$N$2:$O$6,2,FALSE),0))</f>
        <v/>
      </c>
      <c r="N299" s="88">
        <f>IF($D299="","",IF(OR($E299="Blocked",$E299="Done",$E299="Archive"),-9999,IF(AND($E299="Waiting",SUMPRODUCT((($E$5:$E$500="Next")+($E$5:$E$500="In Progress")+($E$5:$E$500="Captured"))*($D$5:$D$500&lt;&gt;""))&gt;0),-500,VLOOKUP($F299,Lists!$L$2:$M$4,2,FALSE)+IF($E299="In Progress",10,0)+IF(AND($I299&lt;&gt;"",$I299&lt;TODAY()),25,0)+IF(AND($I299&lt;&gt;"",$I299&gt;=TODAY(),$I299&lt;=TODAY()+7),15,0)+IF($H299="",0,IF($M299&lt;=VLOOKUP(Home!$C$7,Lists!$N$2:$O$6,2,FALSE),20,-10))+IF($G299=Home!$E$7,15,IF(Home!$E$7="",0,-5))-ROW()/100000)))</f>
        <v/>
      </c>
      <c r="O299" s="88">
        <f>IF($D299="","",IF($N299&lt;=-500,"Not recommended right now",IF($E299="Waiting","Nothing else actionable right now — Waiting on: "&amp;IF($K299="","this item",$K299),TEXTJOIN(" • ",TRUE,IF($F299="High","High Priority",""),IF(AND($I299&lt;&gt;"",$I299&lt;TODAY()),"Overdue",""),IF(AND($I299&lt;&gt;"",$I299&gt;=TODAY(),$I299&lt;=TODAY()+7),"Due This Week",""),IF(AND($H299&lt;&gt;"",$M299&lt;=VLOOKUP(Home!$C$7,Lists!$N$2:$O$6,2,FALSE)),$H299&amp;" Task",""),IF($G299=Home!$E$7,"Fits Current Energy",""),"No Blockers"))))</f>
        <v/>
      </c>
      <c r="P299" s="88">
        <f>IF($D299="","",SWITCH('Task Finder'!$C$6,"High Priority",AND($F299="High",$E299&lt;&gt;"Done",$E299&lt;&gt;"Archive"),"Due This Week",AND($I299&lt;&gt;"",$I299&gt;=TODAY(),$I299&lt;=TODAY()+7,$E299&lt;&gt;"Done"),"Quick Wins (15 mins or less)",AND($M299&lt;=15,$E299&lt;&gt;"Done",$E299&lt;&gt;"Blocked"),"Deep Thinking",AND($G299="Deep Thinking",$E299&lt;&gt;"Done"),"Processing",AND($G299="Processing",$E299&lt;&gt;"Done"),"Blocked",$E299="Blocked","Waiting",$E299="Waiting","Recently Updated",AND($L299&lt;&gt;"",$L299&gt;=TODAY()-7),"Keyword",AND('Task Finder'!$C$7&lt;&gt;"",OR(ISNUMBER(SEARCH('Task Finder'!$C$7,$A299)),ISNUMBER(SEARCH('Task Finder'!$C$7,$B299)),ISNUMBER(SEARCH('Task Finder'!$C$7,$C299)),ISNUMBER(SEARCH('Task Finder'!$C$7,$D299)),ISNUMBER(SEARCH('Task Finder'!$C$7,$K299)))),TRUE))</f>
        <v/>
      </c>
    </row>
    <row r="300">
      <c r="A300" s="19" t="n"/>
      <c r="B300" s="19" t="n"/>
      <c r="C300" s="19" t="n"/>
      <c r="D300" s="19" t="n"/>
      <c r="E300" s="19" t="n"/>
      <c r="F300" s="19" t="n"/>
      <c r="G300" s="19" t="n"/>
      <c r="H300" s="19" t="n"/>
      <c r="I300" s="19" t="n"/>
      <c r="J300" s="19" t="n"/>
      <c r="K300" s="19" t="n"/>
      <c r="L300" s="125" t="n"/>
      <c r="M300" s="88">
        <f>IF($D300="","",IFERROR(VLOOKUP($H300,Lists!$N$2:$O$6,2,FALSE),0))</f>
        <v/>
      </c>
      <c r="N300" s="88">
        <f>IF($D300="","",IF(OR($E300="Blocked",$E300="Done",$E300="Archive"),-9999,IF(AND($E300="Waiting",SUMPRODUCT((($E$5:$E$500="Next")+($E$5:$E$500="In Progress")+($E$5:$E$500="Captured"))*($D$5:$D$500&lt;&gt;""))&gt;0),-500,VLOOKUP($F300,Lists!$L$2:$M$4,2,FALSE)+IF($E300="In Progress",10,0)+IF(AND($I300&lt;&gt;"",$I300&lt;TODAY()),25,0)+IF(AND($I300&lt;&gt;"",$I300&gt;=TODAY(),$I300&lt;=TODAY()+7),15,0)+IF($H300="",0,IF($M300&lt;=VLOOKUP(Home!$C$7,Lists!$N$2:$O$6,2,FALSE),20,-10))+IF($G300=Home!$E$7,15,IF(Home!$E$7="",0,-5))-ROW()/100000)))</f>
        <v/>
      </c>
      <c r="O300" s="88">
        <f>IF($D300="","",IF($N300&lt;=-500,"Not recommended right now",IF($E300="Waiting","Nothing else actionable right now — Waiting on: "&amp;IF($K300="","this item",$K300),TEXTJOIN(" • ",TRUE,IF($F300="High","High Priority",""),IF(AND($I300&lt;&gt;"",$I300&lt;TODAY()),"Overdue",""),IF(AND($I300&lt;&gt;"",$I300&gt;=TODAY(),$I300&lt;=TODAY()+7),"Due This Week",""),IF(AND($H300&lt;&gt;"",$M300&lt;=VLOOKUP(Home!$C$7,Lists!$N$2:$O$6,2,FALSE)),$H300&amp;" Task",""),IF($G300=Home!$E$7,"Fits Current Energy",""),"No Blockers"))))</f>
        <v/>
      </c>
      <c r="P300" s="88">
        <f>IF($D300="","",SWITCH('Task Finder'!$C$6,"High Priority",AND($F300="High",$E300&lt;&gt;"Done",$E300&lt;&gt;"Archive"),"Due This Week",AND($I300&lt;&gt;"",$I300&gt;=TODAY(),$I300&lt;=TODAY()+7,$E300&lt;&gt;"Done"),"Quick Wins (15 mins or less)",AND($M300&lt;=15,$E300&lt;&gt;"Done",$E300&lt;&gt;"Blocked"),"Deep Thinking",AND($G300="Deep Thinking",$E300&lt;&gt;"Done"),"Processing",AND($G300="Processing",$E300&lt;&gt;"Done"),"Blocked",$E300="Blocked","Waiting",$E300="Waiting","Recently Updated",AND($L300&lt;&gt;"",$L300&gt;=TODAY()-7),"Keyword",AND('Task Finder'!$C$7&lt;&gt;"",OR(ISNUMBER(SEARCH('Task Finder'!$C$7,$A300)),ISNUMBER(SEARCH('Task Finder'!$C$7,$B300)),ISNUMBER(SEARCH('Task Finder'!$C$7,$C300)),ISNUMBER(SEARCH('Task Finder'!$C$7,$D300)),ISNUMBER(SEARCH('Task Finder'!$C$7,$K300)))),TRUE))</f>
        <v/>
      </c>
    </row>
    <row r="301">
      <c r="A301" s="19" t="n"/>
      <c r="B301" s="19" t="n"/>
      <c r="C301" s="19" t="n"/>
      <c r="D301" s="19" t="n"/>
      <c r="E301" s="19" t="n"/>
      <c r="F301" s="19" t="n"/>
      <c r="G301" s="19" t="n"/>
      <c r="H301" s="19" t="n"/>
      <c r="I301" s="19" t="n"/>
      <c r="J301" s="19" t="n"/>
      <c r="K301" s="19" t="n"/>
      <c r="L301" s="125" t="n"/>
      <c r="M301" s="88">
        <f>IF($D301="","",IFERROR(VLOOKUP($H301,Lists!$N$2:$O$6,2,FALSE),0))</f>
        <v/>
      </c>
      <c r="N301" s="88">
        <f>IF($D301="","",IF(OR($E301="Blocked",$E301="Done",$E301="Archive"),-9999,IF(AND($E301="Waiting",SUMPRODUCT((($E$5:$E$500="Next")+($E$5:$E$500="In Progress")+($E$5:$E$500="Captured"))*($D$5:$D$500&lt;&gt;""))&gt;0),-500,VLOOKUP($F301,Lists!$L$2:$M$4,2,FALSE)+IF($E301="In Progress",10,0)+IF(AND($I301&lt;&gt;"",$I301&lt;TODAY()),25,0)+IF(AND($I301&lt;&gt;"",$I301&gt;=TODAY(),$I301&lt;=TODAY()+7),15,0)+IF($H301="",0,IF($M301&lt;=VLOOKUP(Home!$C$7,Lists!$N$2:$O$6,2,FALSE),20,-10))+IF($G301=Home!$E$7,15,IF(Home!$E$7="",0,-5))-ROW()/100000)))</f>
        <v/>
      </c>
      <c r="O301" s="88">
        <f>IF($D301="","",IF($N301&lt;=-500,"Not recommended right now",IF($E301="Waiting","Nothing else actionable right now — Waiting on: "&amp;IF($K301="","this item",$K301),TEXTJOIN(" • ",TRUE,IF($F301="High","High Priority",""),IF(AND($I301&lt;&gt;"",$I301&lt;TODAY()),"Overdue",""),IF(AND($I301&lt;&gt;"",$I301&gt;=TODAY(),$I301&lt;=TODAY()+7),"Due This Week",""),IF(AND($H301&lt;&gt;"",$M301&lt;=VLOOKUP(Home!$C$7,Lists!$N$2:$O$6,2,FALSE)),$H301&amp;" Task",""),IF($G301=Home!$E$7,"Fits Current Energy",""),"No Blockers"))))</f>
        <v/>
      </c>
      <c r="P301" s="88">
        <f>IF($D301="","",SWITCH('Task Finder'!$C$6,"High Priority",AND($F301="High",$E301&lt;&gt;"Done",$E301&lt;&gt;"Archive"),"Due This Week",AND($I301&lt;&gt;"",$I301&gt;=TODAY(),$I301&lt;=TODAY()+7,$E301&lt;&gt;"Done"),"Quick Wins (15 mins or less)",AND($M301&lt;=15,$E301&lt;&gt;"Done",$E301&lt;&gt;"Blocked"),"Deep Thinking",AND($G301="Deep Thinking",$E301&lt;&gt;"Done"),"Processing",AND($G301="Processing",$E301&lt;&gt;"Done"),"Blocked",$E301="Blocked","Waiting",$E301="Waiting","Recently Updated",AND($L301&lt;&gt;"",$L301&gt;=TODAY()-7),"Keyword",AND('Task Finder'!$C$7&lt;&gt;"",OR(ISNUMBER(SEARCH('Task Finder'!$C$7,$A301)),ISNUMBER(SEARCH('Task Finder'!$C$7,$B301)),ISNUMBER(SEARCH('Task Finder'!$C$7,$C301)),ISNUMBER(SEARCH('Task Finder'!$C$7,$D301)),ISNUMBER(SEARCH('Task Finder'!$C$7,$K301)))),TRUE))</f>
        <v/>
      </c>
    </row>
    <row r="302">
      <c r="A302" s="19" t="n"/>
      <c r="B302" s="19" t="n"/>
      <c r="C302" s="19" t="n"/>
      <c r="D302" s="19" t="n"/>
      <c r="E302" s="19" t="n"/>
      <c r="F302" s="19" t="n"/>
      <c r="G302" s="19" t="n"/>
      <c r="H302" s="19" t="n"/>
      <c r="I302" s="19" t="n"/>
      <c r="J302" s="19" t="n"/>
      <c r="K302" s="19" t="n"/>
      <c r="L302" s="125" t="n"/>
      <c r="M302" s="88">
        <f>IF($D302="","",IFERROR(VLOOKUP($H302,Lists!$N$2:$O$6,2,FALSE),0))</f>
        <v/>
      </c>
      <c r="N302" s="88">
        <f>IF($D302="","",IF(OR($E302="Blocked",$E302="Done",$E302="Archive"),-9999,IF(AND($E302="Waiting",SUMPRODUCT((($E$5:$E$500="Next")+($E$5:$E$500="In Progress")+($E$5:$E$500="Captured"))*($D$5:$D$500&lt;&gt;""))&gt;0),-500,VLOOKUP($F302,Lists!$L$2:$M$4,2,FALSE)+IF($E302="In Progress",10,0)+IF(AND($I302&lt;&gt;"",$I302&lt;TODAY()),25,0)+IF(AND($I302&lt;&gt;"",$I302&gt;=TODAY(),$I302&lt;=TODAY()+7),15,0)+IF($H302="",0,IF($M302&lt;=VLOOKUP(Home!$C$7,Lists!$N$2:$O$6,2,FALSE),20,-10))+IF($G302=Home!$E$7,15,IF(Home!$E$7="",0,-5))-ROW()/100000)))</f>
        <v/>
      </c>
      <c r="O302" s="88">
        <f>IF($D302="","",IF($N302&lt;=-500,"Not recommended right now",IF($E302="Waiting","Nothing else actionable right now — Waiting on: "&amp;IF($K302="","this item",$K302),TEXTJOIN(" • ",TRUE,IF($F302="High","High Priority",""),IF(AND($I302&lt;&gt;"",$I302&lt;TODAY()),"Overdue",""),IF(AND($I302&lt;&gt;"",$I302&gt;=TODAY(),$I302&lt;=TODAY()+7),"Due This Week",""),IF(AND($H302&lt;&gt;"",$M302&lt;=VLOOKUP(Home!$C$7,Lists!$N$2:$O$6,2,FALSE)),$H302&amp;" Task",""),IF($G302=Home!$E$7,"Fits Current Energy",""),"No Blockers"))))</f>
        <v/>
      </c>
      <c r="P302" s="88">
        <f>IF($D302="","",SWITCH('Task Finder'!$C$6,"High Priority",AND($F302="High",$E302&lt;&gt;"Done",$E302&lt;&gt;"Archive"),"Due This Week",AND($I302&lt;&gt;"",$I302&gt;=TODAY(),$I302&lt;=TODAY()+7,$E302&lt;&gt;"Done"),"Quick Wins (15 mins or less)",AND($M302&lt;=15,$E302&lt;&gt;"Done",$E302&lt;&gt;"Blocked"),"Deep Thinking",AND($G302="Deep Thinking",$E302&lt;&gt;"Done"),"Processing",AND($G302="Processing",$E302&lt;&gt;"Done"),"Blocked",$E302="Blocked","Waiting",$E302="Waiting","Recently Updated",AND($L302&lt;&gt;"",$L302&gt;=TODAY()-7),"Keyword",AND('Task Finder'!$C$7&lt;&gt;"",OR(ISNUMBER(SEARCH('Task Finder'!$C$7,$A302)),ISNUMBER(SEARCH('Task Finder'!$C$7,$B302)),ISNUMBER(SEARCH('Task Finder'!$C$7,$C302)),ISNUMBER(SEARCH('Task Finder'!$C$7,$D302)),ISNUMBER(SEARCH('Task Finder'!$C$7,$K302)))),TRUE))</f>
        <v/>
      </c>
    </row>
    <row r="303">
      <c r="A303" s="19" t="n"/>
      <c r="B303" s="19" t="n"/>
      <c r="C303" s="19" t="n"/>
      <c r="D303" s="19" t="n"/>
      <c r="E303" s="19" t="n"/>
      <c r="F303" s="19" t="n"/>
      <c r="G303" s="19" t="n"/>
      <c r="H303" s="19" t="n"/>
      <c r="I303" s="19" t="n"/>
      <c r="J303" s="19" t="n"/>
      <c r="K303" s="19" t="n"/>
      <c r="L303" s="125" t="n"/>
      <c r="M303" s="88">
        <f>IF($D303="","",IFERROR(VLOOKUP($H303,Lists!$N$2:$O$6,2,FALSE),0))</f>
        <v/>
      </c>
      <c r="N303" s="88">
        <f>IF($D303="","",IF(OR($E303="Blocked",$E303="Done",$E303="Archive"),-9999,IF(AND($E303="Waiting",SUMPRODUCT((($E$5:$E$500="Next")+($E$5:$E$500="In Progress")+($E$5:$E$500="Captured"))*($D$5:$D$500&lt;&gt;""))&gt;0),-500,VLOOKUP($F303,Lists!$L$2:$M$4,2,FALSE)+IF($E303="In Progress",10,0)+IF(AND($I303&lt;&gt;"",$I303&lt;TODAY()),25,0)+IF(AND($I303&lt;&gt;"",$I303&gt;=TODAY(),$I303&lt;=TODAY()+7),15,0)+IF($H303="",0,IF($M303&lt;=VLOOKUP(Home!$C$7,Lists!$N$2:$O$6,2,FALSE),20,-10))+IF($G303=Home!$E$7,15,IF(Home!$E$7="",0,-5))-ROW()/100000)))</f>
        <v/>
      </c>
      <c r="O303" s="88">
        <f>IF($D303="","",IF($N303&lt;=-500,"Not recommended right now",IF($E303="Waiting","Nothing else actionable right now — Waiting on: "&amp;IF($K303="","this item",$K303),TEXTJOIN(" • ",TRUE,IF($F303="High","High Priority",""),IF(AND($I303&lt;&gt;"",$I303&lt;TODAY()),"Overdue",""),IF(AND($I303&lt;&gt;"",$I303&gt;=TODAY(),$I303&lt;=TODAY()+7),"Due This Week",""),IF(AND($H303&lt;&gt;"",$M303&lt;=VLOOKUP(Home!$C$7,Lists!$N$2:$O$6,2,FALSE)),$H303&amp;" Task",""),IF($G303=Home!$E$7,"Fits Current Energy",""),"No Blockers"))))</f>
        <v/>
      </c>
      <c r="P303" s="88">
        <f>IF($D303="","",SWITCH('Task Finder'!$C$6,"High Priority",AND($F303="High",$E303&lt;&gt;"Done",$E303&lt;&gt;"Archive"),"Due This Week",AND($I303&lt;&gt;"",$I303&gt;=TODAY(),$I303&lt;=TODAY()+7,$E303&lt;&gt;"Done"),"Quick Wins (15 mins or less)",AND($M303&lt;=15,$E303&lt;&gt;"Done",$E303&lt;&gt;"Blocked"),"Deep Thinking",AND($G303="Deep Thinking",$E303&lt;&gt;"Done"),"Processing",AND($G303="Processing",$E303&lt;&gt;"Done"),"Blocked",$E303="Blocked","Waiting",$E303="Waiting","Recently Updated",AND($L303&lt;&gt;"",$L303&gt;=TODAY()-7),"Keyword",AND('Task Finder'!$C$7&lt;&gt;"",OR(ISNUMBER(SEARCH('Task Finder'!$C$7,$A303)),ISNUMBER(SEARCH('Task Finder'!$C$7,$B303)),ISNUMBER(SEARCH('Task Finder'!$C$7,$C303)),ISNUMBER(SEARCH('Task Finder'!$C$7,$D303)),ISNUMBER(SEARCH('Task Finder'!$C$7,$K303)))),TRUE))</f>
        <v/>
      </c>
    </row>
    <row r="304">
      <c r="A304" s="19" t="n"/>
      <c r="B304" s="19" t="n"/>
      <c r="C304" s="19" t="n"/>
      <c r="D304" s="19" t="n"/>
      <c r="E304" s="19" t="n"/>
      <c r="F304" s="19" t="n"/>
      <c r="G304" s="19" t="n"/>
      <c r="H304" s="19" t="n"/>
      <c r="I304" s="19" t="n"/>
      <c r="J304" s="19" t="n"/>
      <c r="K304" s="19" t="n"/>
      <c r="L304" s="125" t="n"/>
      <c r="M304" s="88">
        <f>IF($D304="","",IFERROR(VLOOKUP($H304,Lists!$N$2:$O$6,2,FALSE),0))</f>
        <v/>
      </c>
      <c r="N304" s="88">
        <f>IF($D304="","",IF(OR($E304="Blocked",$E304="Done",$E304="Archive"),-9999,IF(AND($E304="Waiting",SUMPRODUCT((($E$5:$E$500="Next")+($E$5:$E$500="In Progress")+($E$5:$E$500="Captured"))*($D$5:$D$500&lt;&gt;""))&gt;0),-500,VLOOKUP($F304,Lists!$L$2:$M$4,2,FALSE)+IF($E304="In Progress",10,0)+IF(AND($I304&lt;&gt;"",$I304&lt;TODAY()),25,0)+IF(AND($I304&lt;&gt;"",$I304&gt;=TODAY(),$I304&lt;=TODAY()+7),15,0)+IF($H304="",0,IF($M304&lt;=VLOOKUP(Home!$C$7,Lists!$N$2:$O$6,2,FALSE),20,-10))+IF($G304=Home!$E$7,15,IF(Home!$E$7="",0,-5))-ROW()/100000)))</f>
        <v/>
      </c>
      <c r="O304" s="88">
        <f>IF($D304="","",IF($N304&lt;=-500,"Not recommended right now",IF($E304="Waiting","Nothing else actionable right now — Waiting on: "&amp;IF($K304="","this item",$K304),TEXTJOIN(" • ",TRUE,IF($F304="High","High Priority",""),IF(AND($I304&lt;&gt;"",$I304&lt;TODAY()),"Overdue",""),IF(AND($I304&lt;&gt;"",$I304&gt;=TODAY(),$I304&lt;=TODAY()+7),"Due This Week",""),IF(AND($H304&lt;&gt;"",$M304&lt;=VLOOKUP(Home!$C$7,Lists!$N$2:$O$6,2,FALSE)),$H304&amp;" Task",""),IF($G304=Home!$E$7,"Fits Current Energy",""),"No Blockers"))))</f>
        <v/>
      </c>
      <c r="P304" s="88">
        <f>IF($D304="","",SWITCH('Task Finder'!$C$6,"High Priority",AND($F304="High",$E304&lt;&gt;"Done",$E304&lt;&gt;"Archive"),"Due This Week",AND($I304&lt;&gt;"",$I304&gt;=TODAY(),$I304&lt;=TODAY()+7,$E304&lt;&gt;"Done"),"Quick Wins (15 mins or less)",AND($M304&lt;=15,$E304&lt;&gt;"Done",$E304&lt;&gt;"Blocked"),"Deep Thinking",AND($G304="Deep Thinking",$E304&lt;&gt;"Done"),"Processing",AND($G304="Processing",$E304&lt;&gt;"Done"),"Blocked",$E304="Blocked","Waiting",$E304="Waiting","Recently Updated",AND($L304&lt;&gt;"",$L304&gt;=TODAY()-7),"Keyword",AND('Task Finder'!$C$7&lt;&gt;"",OR(ISNUMBER(SEARCH('Task Finder'!$C$7,$A304)),ISNUMBER(SEARCH('Task Finder'!$C$7,$B304)),ISNUMBER(SEARCH('Task Finder'!$C$7,$C304)),ISNUMBER(SEARCH('Task Finder'!$C$7,$D304)),ISNUMBER(SEARCH('Task Finder'!$C$7,$K304)))),TRUE))</f>
        <v/>
      </c>
    </row>
    <row r="305">
      <c r="A305" s="19" t="n"/>
      <c r="B305" s="19" t="n"/>
      <c r="C305" s="19" t="n"/>
      <c r="D305" s="19" t="n"/>
      <c r="E305" s="19" t="n"/>
      <c r="F305" s="19" t="n"/>
      <c r="G305" s="19" t="n"/>
      <c r="H305" s="19" t="n"/>
      <c r="I305" s="19" t="n"/>
      <c r="J305" s="19" t="n"/>
      <c r="K305" s="19" t="n"/>
      <c r="L305" s="125" t="n"/>
      <c r="M305" s="88">
        <f>IF($D305="","",IFERROR(VLOOKUP($H305,Lists!$N$2:$O$6,2,FALSE),0))</f>
        <v/>
      </c>
      <c r="N305" s="88">
        <f>IF($D305="","",IF(OR($E305="Blocked",$E305="Done",$E305="Archive"),-9999,IF(AND($E305="Waiting",SUMPRODUCT((($E$5:$E$500="Next")+($E$5:$E$500="In Progress")+($E$5:$E$500="Captured"))*($D$5:$D$500&lt;&gt;""))&gt;0),-500,VLOOKUP($F305,Lists!$L$2:$M$4,2,FALSE)+IF($E305="In Progress",10,0)+IF(AND($I305&lt;&gt;"",$I305&lt;TODAY()),25,0)+IF(AND($I305&lt;&gt;"",$I305&gt;=TODAY(),$I305&lt;=TODAY()+7),15,0)+IF($H305="",0,IF($M305&lt;=VLOOKUP(Home!$C$7,Lists!$N$2:$O$6,2,FALSE),20,-10))+IF($G305=Home!$E$7,15,IF(Home!$E$7="",0,-5))-ROW()/100000)))</f>
        <v/>
      </c>
      <c r="O305" s="88">
        <f>IF($D305="","",IF($N305&lt;=-500,"Not recommended right now",IF($E305="Waiting","Nothing else actionable right now — Waiting on: "&amp;IF($K305="","this item",$K305),TEXTJOIN(" • ",TRUE,IF($F305="High","High Priority",""),IF(AND($I305&lt;&gt;"",$I305&lt;TODAY()),"Overdue",""),IF(AND($I305&lt;&gt;"",$I305&gt;=TODAY(),$I305&lt;=TODAY()+7),"Due This Week",""),IF(AND($H305&lt;&gt;"",$M305&lt;=VLOOKUP(Home!$C$7,Lists!$N$2:$O$6,2,FALSE)),$H305&amp;" Task",""),IF($G305=Home!$E$7,"Fits Current Energy",""),"No Blockers"))))</f>
        <v/>
      </c>
      <c r="P305" s="88">
        <f>IF($D305="","",SWITCH('Task Finder'!$C$6,"High Priority",AND($F305="High",$E305&lt;&gt;"Done",$E305&lt;&gt;"Archive"),"Due This Week",AND($I305&lt;&gt;"",$I305&gt;=TODAY(),$I305&lt;=TODAY()+7,$E305&lt;&gt;"Done"),"Quick Wins (15 mins or less)",AND($M305&lt;=15,$E305&lt;&gt;"Done",$E305&lt;&gt;"Blocked"),"Deep Thinking",AND($G305="Deep Thinking",$E305&lt;&gt;"Done"),"Processing",AND($G305="Processing",$E305&lt;&gt;"Done"),"Blocked",$E305="Blocked","Waiting",$E305="Waiting","Recently Updated",AND($L305&lt;&gt;"",$L305&gt;=TODAY()-7),"Keyword",AND('Task Finder'!$C$7&lt;&gt;"",OR(ISNUMBER(SEARCH('Task Finder'!$C$7,$A305)),ISNUMBER(SEARCH('Task Finder'!$C$7,$B305)),ISNUMBER(SEARCH('Task Finder'!$C$7,$C305)),ISNUMBER(SEARCH('Task Finder'!$C$7,$D305)),ISNUMBER(SEARCH('Task Finder'!$C$7,$K305)))),TRUE))</f>
        <v/>
      </c>
    </row>
    <row r="306">
      <c r="A306" s="19" t="n"/>
      <c r="B306" s="19" t="n"/>
      <c r="C306" s="19" t="n"/>
      <c r="D306" s="19" t="n"/>
      <c r="E306" s="19" t="n"/>
      <c r="F306" s="19" t="n"/>
      <c r="G306" s="19" t="n"/>
      <c r="H306" s="19" t="n"/>
      <c r="I306" s="19" t="n"/>
      <c r="J306" s="19" t="n"/>
      <c r="K306" s="19" t="n"/>
      <c r="L306" s="125" t="n"/>
      <c r="M306" s="88">
        <f>IF($D306="","",IFERROR(VLOOKUP($H306,Lists!$N$2:$O$6,2,FALSE),0))</f>
        <v/>
      </c>
      <c r="N306" s="88">
        <f>IF($D306="","",IF(OR($E306="Blocked",$E306="Done",$E306="Archive"),-9999,IF(AND($E306="Waiting",SUMPRODUCT((($E$5:$E$500="Next")+($E$5:$E$500="In Progress")+($E$5:$E$500="Captured"))*($D$5:$D$500&lt;&gt;""))&gt;0),-500,VLOOKUP($F306,Lists!$L$2:$M$4,2,FALSE)+IF($E306="In Progress",10,0)+IF(AND($I306&lt;&gt;"",$I306&lt;TODAY()),25,0)+IF(AND($I306&lt;&gt;"",$I306&gt;=TODAY(),$I306&lt;=TODAY()+7),15,0)+IF($H306="",0,IF($M306&lt;=VLOOKUP(Home!$C$7,Lists!$N$2:$O$6,2,FALSE),20,-10))+IF($G306=Home!$E$7,15,IF(Home!$E$7="",0,-5))-ROW()/100000)))</f>
        <v/>
      </c>
      <c r="O306" s="88">
        <f>IF($D306="","",IF($N306&lt;=-500,"Not recommended right now",IF($E306="Waiting","Nothing else actionable right now — Waiting on: "&amp;IF($K306="","this item",$K306),TEXTJOIN(" • ",TRUE,IF($F306="High","High Priority",""),IF(AND($I306&lt;&gt;"",$I306&lt;TODAY()),"Overdue",""),IF(AND($I306&lt;&gt;"",$I306&gt;=TODAY(),$I306&lt;=TODAY()+7),"Due This Week",""),IF(AND($H306&lt;&gt;"",$M306&lt;=VLOOKUP(Home!$C$7,Lists!$N$2:$O$6,2,FALSE)),$H306&amp;" Task",""),IF($G306=Home!$E$7,"Fits Current Energy",""),"No Blockers"))))</f>
        <v/>
      </c>
      <c r="P306" s="88">
        <f>IF($D306="","",SWITCH('Task Finder'!$C$6,"High Priority",AND($F306="High",$E306&lt;&gt;"Done",$E306&lt;&gt;"Archive"),"Due This Week",AND($I306&lt;&gt;"",$I306&gt;=TODAY(),$I306&lt;=TODAY()+7,$E306&lt;&gt;"Done"),"Quick Wins (15 mins or less)",AND($M306&lt;=15,$E306&lt;&gt;"Done",$E306&lt;&gt;"Blocked"),"Deep Thinking",AND($G306="Deep Thinking",$E306&lt;&gt;"Done"),"Processing",AND($G306="Processing",$E306&lt;&gt;"Done"),"Blocked",$E306="Blocked","Waiting",$E306="Waiting","Recently Updated",AND($L306&lt;&gt;"",$L306&gt;=TODAY()-7),"Keyword",AND('Task Finder'!$C$7&lt;&gt;"",OR(ISNUMBER(SEARCH('Task Finder'!$C$7,$A306)),ISNUMBER(SEARCH('Task Finder'!$C$7,$B306)),ISNUMBER(SEARCH('Task Finder'!$C$7,$C306)),ISNUMBER(SEARCH('Task Finder'!$C$7,$D306)),ISNUMBER(SEARCH('Task Finder'!$C$7,$K306)))),TRUE))</f>
        <v/>
      </c>
    </row>
    <row r="307">
      <c r="A307" s="19" t="n"/>
      <c r="B307" s="19" t="n"/>
      <c r="C307" s="19" t="n"/>
      <c r="D307" s="19" t="n"/>
      <c r="E307" s="19" t="n"/>
      <c r="F307" s="19" t="n"/>
      <c r="G307" s="19" t="n"/>
      <c r="H307" s="19" t="n"/>
      <c r="I307" s="19" t="n"/>
      <c r="J307" s="19" t="n"/>
      <c r="K307" s="19" t="n"/>
      <c r="L307" s="125" t="n"/>
      <c r="M307" s="88">
        <f>IF($D307="","",IFERROR(VLOOKUP($H307,Lists!$N$2:$O$6,2,FALSE),0))</f>
        <v/>
      </c>
      <c r="N307" s="88">
        <f>IF($D307="","",IF(OR($E307="Blocked",$E307="Done",$E307="Archive"),-9999,IF(AND($E307="Waiting",SUMPRODUCT((($E$5:$E$500="Next")+($E$5:$E$500="In Progress")+($E$5:$E$500="Captured"))*($D$5:$D$500&lt;&gt;""))&gt;0),-500,VLOOKUP($F307,Lists!$L$2:$M$4,2,FALSE)+IF($E307="In Progress",10,0)+IF(AND($I307&lt;&gt;"",$I307&lt;TODAY()),25,0)+IF(AND($I307&lt;&gt;"",$I307&gt;=TODAY(),$I307&lt;=TODAY()+7),15,0)+IF($H307="",0,IF($M307&lt;=VLOOKUP(Home!$C$7,Lists!$N$2:$O$6,2,FALSE),20,-10))+IF($G307=Home!$E$7,15,IF(Home!$E$7="",0,-5))-ROW()/100000)))</f>
        <v/>
      </c>
      <c r="O307" s="88">
        <f>IF($D307="","",IF($N307&lt;=-500,"Not recommended right now",IF($E307="Waiting","Nothing else actionable right now — Waiting on: "&amp;IF($K307="","this item",$K307),TEXTJOIN(" • ",TRUE,IF($F307="High","High Priority",""),IF(AND($I307&lt;&gt;"",$I307&lt;TODAY()),"Overdue",""),IF(AND($I307&lt;&gt;"",$I307&gt;=TODAY(),$I307&lt;=TODAY()+7),"Due This Week",""),IF(AND($H307&lt;&gt;"",$M307&lt;=VLOOKUP(Home!$C$7,Lists!$N$2:$O$6,2,FALSE)),$H307&amp;" Task",""),IF($G307=Home!$E$7,"Fits Current Energy",""),"No Blockers"))))</f>
        <v/>
      </c>
      <c r="P307" s="88">
        <f>IF($D307="","",SWITCH('Task Finder'!$C$6,"High Priority",AND($F307="High",$E307&lt;&gt;"Done",$E307&lt;&gt;"Archive"),"Due This Week",AND($I307&lt;&gt;"",$I307&gt;=TODAY(),$I307&lt;=TODAY()+7,$E307&lt;&gt;"Done"),"Quick Wins (15 mins or less)",AND($M307&lt;=15,$E307&lt;&gt;"Done",$E307&lt;&gt;"Blocked"),"Deep Thinking",AND($G307="Deep Thinking",$E307&lt;&gt;"Done"),"Processing",AND($G307="Processing",$E307&lt;&gt;"Done"),"Blocked",$E307="Blocked","Waiting",$E307="Waiting","Recently Updated",AND($L307&lt;&gt;"",$L307&gt;=TODAY()-7),"Keyword",AND('Task Finder'!$C$7&lt;&gt;"",OR(ISNUMBER(SEARCH('Task Finder'!$C$7,$A307)),ISNUMBER(SEARCH('Task Finder'!$C$7,$B307)),ISNUMBER(SEARCH('Task Finder'!$C$7,$C307)),ISNUMBER(SEARCH('Task Finder'!$C$7,$D307)),ISNUMBER(SEARCH('Task Finder'!$C$7,$K307)))),TRUE))</f>
        <v/>
      </c>
    </row>
    <row r="308">
      <c r="A308" s="19" t="n"/>
      <c r="B308" s="19" t="n"/>
      <c r="C308" s="19" t="n"/>
      <c r="D308" s="19" t="n"/>
      <c r="E308" s="19" t="n"/>
      <c r="F308" s="19" t="n"/>
      <c r="G308" s="19" t="n"/>
      <c r="H308" s="19" t="n"/>
      <c r="I308" s="19" t="n"/>
      <c r="J308" s="19" t="n"/>
      <c r="K308" s="19" t="n"/>
      <c r="L308" s="125" t="n"/>
      <c r="M308" s="88">
        <f>IF($D308="","",IFERROR(VLOOKUP($H308,Lists!$N$2:$O$6,2,FALSE),0))</f>
        <v/>
      </c>
      <c r="N308" s="88">
        <f>IF($D308="","",IF(OR($E308="Blocked",$E308="Done",$E308="Archive"),-9999,IF(AND($E308="Waiting",SUMPRODUCT((($E$5:$E$500="Next")+($E$5:$E$500="In Progress")+($E$5:$E$500="Captured"))*($D$5:$D$500&lt;&gt;""))&gt;0),-500,VLOOKUP($F308,Lists!$L$2:$M$4,2,FALSE)+IF($E308="In Progress",10,0)+IF(AND($I308&lt;&gt;"",$I308&lt;TODAY()),25,0)+IF(AND($I308&lt;&gt;"",$I308&gt;=TODAY(),$I308&lt;=TODAY()+7),15,0)+IF($H308="",0,IF($M308&lt;=VLOOKUP(Home!$C$7,Lists!$N$2:$O$6,2,FALSE),20,-10))+IF($G308=Home!$E$7,15,IF(Home!$E$7="",0,-5))-ROW()/100000)))</f>
        <v/>
      </c>
      <c r="O308" s="88">
        <f>IF($D308="","",IF($N308&lt;=-500,"Not recommended right now",IF($E308="Waiting","Nothing else actionable right now — Waiting on: "&amp;IF($K308="","this item",$K308),TEXTJOIN(" • ",TRUE,IF($F308="High","High Priority",""),IF(AND($I308&lt;&gt;"",$I308&lt;TODAY()),"Overdue",""),IF(AND($I308&lt;&gt;"",$I308&gt;=TODAY(),$I308&lt;=TODAY()+7),"Due This Week",""),IF(AND($H308&lt;&gt;"",$M308&lt;=VLOOKUP(Home!$C$7,Lists!$N$2:$O$6,2,FALSE)),$H308&amp;" Task",""),IF($G308=Home!$E$7,"Fits Current Energy",""),"No Blockers"))))</f>
        <v/>
      </c>
      <c r="P308" s="88">
        <f>IF($D308="","",SWITCH('Task Finder'!$C$6,"High Priority",AND($F308="High",$E308&lt;&gt;"Done",$E308&lt;&gt;"Archive"),"Due This Week",AND($I308&lt;&gt;"",$I308&gt;=TODAY(),$I308&lt;=TODAY()+7,$E308&lt;&gt;"Done"),"Quick Wins (15 mins or less)",AND($M308&lt;=15,$E308&lt;&gt;"Done",$E308&lt;&gt;"Blocked"),"Deep Thinking",AND($G308="Deep Thinking",$E308&lt;&gt;"Done"),"Processing",AND($G308="Processing",$E308&lt;&gt;"Done"),"Blocked",$E308="Blocked","Waiting",$E308="Waiting","Recently Updated",AND($L308&lt;&gt;"",$L308&gt;=TODAY()-7),"Keyword",AND('Task Finder'!$C$7&lt;&gt;"",OR(ISNUMBER(SEARCH('Task Finder'!$C$7,$A308)),ISNUMBER(SEARCH('Task Finder'!$C$7,$B308)),ISNUMBER(SEARCH('Task Finder'!$C$7,$C308)),ISNUMBER(SEARCH('Task Finder'!$C$7,$D308)),ISNUMBER(SEARCH('Task Finder'!$C$7,$K308)))),TRUE))</f>
        <v/>
      </c>
    </row>
    <row r="309">
      <c r="A309" s="19" t="n"/>
      <c r="B309" s="19" t="n"/>
      <c r="C309" s="19" t="n"/>
      <c r="D309" s="19" t="n"/>
      <c r="E309" s="19" t="n"/>
      <c r="F309" s="19" t="n"/>
      <c r="G309" s="19" t="n"/>
      <c r="H309" s="19" t="n"/>
      <c r="I309" s="19" t="n"/>
      <c r="J309" s="19" t="n"/>
      <c r="K309" s="19" t="n"/>
      <c r="L309" s="125" t="n"/>
      <c r="M309" s="88">
        <f>IF($D309="","",IFERROR(VLOOKUP($H309,Lists!$N$2:$O$6,2,FALSE),0))</f>
        <v/>
      </c>
      <c r="N309" s="88">
        <f>IF($D309="","",IF(OR($E309="Blocked",$E309="Done",$E309="Archive"),-9999,IF(AND($E309="Waiting",SUMPRODUCT((($E$5:$E$500="Next")+($E$5:$E$500="In Progress")+($E$5:$E$500="Captured"))*($D$5:$D$500&lt;&gt;""))&gt;0),-500,VLOOKUP($F309,Lists!$L$2:$M$4,2,FALSE)+IF($E309="In Progress",10,0)+IF(AND($I309&lt;&gt;"",$I309&lt;TODAY()),25,0)+IF(AND($I309&lt;&gt;"",$I309&gt;=TODAY(),$I309&lt;=TODAY()+7),15,0)+IF($H309="",0,IF($M309&lt;=VLOOKUP(Home!$C$7,Lists!$N$2:$O$6,2,FALSE),20,-10))+IF($G309=Home!$E$7,15,IF(Home!$E$7="",0,-5))-ROW()/100000)))</f>
        <v/>
      </c>
      <c r="O309" s="88">
        <f>IF($D309="","",IF($N309&lt;=-500,"Not recommended right now",IF($E309="Waiting","Nothing else actionable right now — Waiting on: "&amp;IF($K309="","this item",$K309),TEXTJOIN(" • ",TRUE,IF($F309="High","High Priority",""),IF(AND($I309&lt;&gt;"",$I309&lt;TODAY()),"Overdue",""),IF(AND($I309&lt;&gt;"",$I309&gt;=TODAY(),$I309&lt;=TODAY()+7),"Due This Week",""),IF(AND($H309&lt;&gt;"",$M309&lt;=VLOOKUP(Home!$C$7,Lists!$N$2:$O$6,2,FALSE)),$H309&amp;" Task",""),IF($G309=Home!$E$7,"Fits Current Energy",""),"No Blockers"))))</f>
        <v/>
      </c>
      <c r="P309" s="88">
        <f>IF($D309="","",SWITCH('Task Finder'!$C$6,"High Priority",AND($F309="High",$E309&lt;&gt;"Done",$E309&lt;&gt;"Archive"),"Due This Week",AND($I309&lt;&gt;"",$I309&gt;=TODAY(),$I309&lt;=TODAY()+7,$E309&lt;&gt;"Done"),"Quick Wins (15 mins or less)",AND($M309&lt;=15,$E309&lt;&gt;"Done",$E309&lt;&gt;"Blocked"),"Deep Thinking",AND($G309="Deep Thinking",$E309&lt;&gt;"Done"),"Processing",AND($G309="Processing",$E309&lt;&gt;"Done"),"Blocked",$E309="Blocked","Waiting",$E309="Waiting","Recently Updated",AND($L309&lt;&gt;"",$L309&gt;=TODAY()-7),"Keyword",AND('Task Finder'!$C$7&lt;&gt;"",OR(ISNUMBER(SEARCH('Task Finder'!$C$7,$A309)),ISNUMBER(SEARCH('Task Finder'!$C$7,$B309)),ISNUMBER(SEARCH('Task Finder'!$C$7,$C309)),ISNUMBER(SEARCH('Task Finder'!$C$7,$D309)),ISNUMBER(SEARCH('Task Finder'!$C$7,$K309)))),TRUE))</f>
        <v/>
      </c>
    </row>
    <row r="310">
      <c r="A310" s="19" t="n"/>
      <c r="B310" s="19" t="n"/>
      <c r="C310" s="19" t="n"/>
      <c r="D310" s="19" t="n"/>
      <c r="E310" s="19" t="n"/>
      <c r="F310" s="19" t="n"/>
      <c r="G310" s="19" t="n"/>
      <c r="H310" s="19" t="n"/>
      <c r="I310" s="19" t="n"/>
      <c r="J310" s="19" t="n"/>
      <c r="K310" s="19" t="n"/>
      <c r="L310" s="125" t="n"/>
      <c r="M310" s="88">
        <f>IF($D310="","",IFERROR(VLOOKUP($H310,Lists!$N$2:$O$6,2,FALSE),0))</f>
        <v/>
      </c>
      <c r="N310" s="88">
        <f>IF($D310="","",IF(OR($E310="Blocked",$E310="Done",$E310="Archive"),-9999,IF(AND($E310="Waiting",SUMPRODUCT((($E$5:$E$500="Next")+($E$5:$E$500="In Progress")+($E$5:$E$500="Captured"))*($D$5:$D$500&lt;&gt;""))&gt;0),-500,VLOOKUP($F310,Lists!$L$2:$M$4,2,FALSE)+IF($E310="In Progress",10,0)+IF(AND($I310&lt;&gt;"",$I310&lt;TODAY()),25,0)+IF(AND($I310&lt;&gt;"",$I310&gt;=TODAY(),$I310&lt;=TODAY()+7),15,0)+IF($H310="",0,IF($M310&lt;=VLOOKUP(Home!$C$7,Lists!$N$2:$O$6,2,FALSE),20,-10))+IF($G310=Home!$E$7,15,IF(Home!$E$7="",0,-5))-ROW()/100000)))</f>
        <v/>
      </c>
      <c r="O310" s="88">
        <f>IF($D310="","",IF($N310&lt;=-500,"Not recommended right now",IF($E310="Waiting","Nothing else actionable right now — Waiting on: "&amp;IF($K310="","this item",$K310),TEXTJOIN(" • ",TRUE,IF($F310="High","High Priority",""),IF(AND($I310&lt;&gt;"",$I310&lt;TODAY()),"Overdue",""),IF(AND($I310&lt;&gt;"",$I310&gt;=TODAY(),$I310&lt;=TODAY()+7),"Due This Week",""),IF(AND($H310&lt;&gt;"",$M310&lt;=VLOOKUP(Home!$C$7,Lists!$N$2:$O$6,2,FALSE)),$H310&amp;" Task",""),IF($G310=Home!$E$7,"Fits Current Energy",""),"No Blockers"))))</f>
        <v/>
      </c>
      <c r="P310" s="88">
        <f>IF($D310="","",SWITCH('Task Finder'!$C$6,"High Priority",AND($F310="High",$E310&lt;&gt;"Done",$E310&lt;&gt;"Archive"),"Due This Week",AND($I310&lt;&gt;"",$I310&gt;=TODAY(),$I310&lt;=TODAY()+7,$E310&lt;&gt;"Done"),"Quick Wins (15 mins or less)",AND($M310&lt;=15,$E310&lt;&gt;"Done",$E310&lt;&gt;"Blocked"),"Deep Thinking",AND($G310="Deep Thinking",$E310&lt;&gt;"Done"),"Processing",AND($G310="Processing",$E310&lt;&gt;"Done"),"Blocked",$E310="Blocked","Waiting",$E310="Waiting","Recently Updated",AND($L310&lt;&gt;"",$L310&gt;=TODAY()-7),"Keyword",AND('Task Finder'!$C$7&lt;&gt;"",OR(ISNUMBER(SEARCH('Task Finder'!$C$7,$A310)),ISNUMBER(SEARCH('Task Finder'!$C$7,$B310)),ISNUMBER(SEARCH('Task Finder'!$C$7,$C310)),ISNUMBER(SEARCH('Task Finder'!$C$7,$D310)),ISNUMBER(SEARCH('Task Finder'!$C$7,$K310)))),TRUE))</f>
        <v/>
      </c>
    </row>
    <row r="311">
      <c r="A311" s="19" t="n"/>
      <c r="B311" s="19" t="n"/>
      <c r="C311" s="19" t="n"/>
      <c r="D311" s="19" t="n"/>
      <c r="E311" s="19" t="n"/>
      <c r="F311" s="19" t="n"/>
      <c r="G311" s="19" t="n"/>
      <c r="H311" s="19" t="n"/>
      <c r="I311" s="19" t="n"/>
      <c r="J311" s="19" t="n"/>
      <c r="K311" s="19" t="n"/>
      <c r="L311" s="125" t="n"/>
      <c r="M311" s="88">
        <f>IF($D311="","",IFERROR(VLOOKUP($H311,Lists!$N$2:$O$6,2,FALSE),0))</f>
        <v/>
      </c>
      <c r="N311" s="88">
        <f>IF($D311="","",IF(OR($E311="Blocked",$E311="Done",$E311="Archive"),-9999,IF(AND($E311="Waiting",SUMPRODUCT((($E$5:$E$500="Next")+($E$5:$E$500="In Progress")+($E$5:$E$500="Captured"))*($D$5:$D$500&lt;&gt;""))&gt;0),-500,VLOOKUP($F311,Lists!$L$2:$M$4,2,FALSE)+IF($E311="In Progress",10,0)+IF(AND($I311&lt;&gt;"",$I311&lt;TODAY()),25,0)+IF(AND($I311&lt;&gt;"",$I311&gt;=TODAY(),$I311&lt;=TODAY()+7),15,0)+IF($H311="",0,IF($M311&lt;=VLOOKUP(Home!$C$7,Lists!$N$2:$O$6,2,FALSE),20,-10))+IF($G311=Home!$E$7,15,IF(Home!$E$7="",0,-5))-ROW()/100000)))</f>
        <v/>
      </c>
      <c r="O311" s="88">
        <f>IF($D311="","",IF($N311&lt;=-500,"Not recommended right now",IF($E311="Waiting","Nothing else actionable right now — Waiting on: "&amp;IF($K311="","this item",$K311),TEXTJOIN(" • ",TRUE,IF($F311="High","High Priority",""),IF(AND($I311&lt;&gt;"",$I311&lt;TODAY()),"Overdue",""),IF(AND($I311&lt;&gt;"",$I311&gt;=TODAY(),$I311&lt;=TODAY()+7),"Due This Week",""),IF(AND($H311&lt;&gt;"",$M311&lt;=VLOOKUP(Home!$C$7,Lists!$N$2:$O$6,2,FALSE)),$H311&amp;" Task",""),IF($G311=Home!$E$7,"Fits Current Energy",""),"No Blockers"))))</f>
        <v/>
      </c>
      <c r="P311" s="88">
        <f>IF($D311="","",SWITCH('Task Finder'!$C$6,"High Priority",AND($F311="High",$E311&lt;&gt;"Done",$E311&lt;&gt;"Archive"),"Due This Week",AND($I311&lt;&gt;"",$I311&gt;=TODAY(),$I311&lt;=TODAY()+7,$E311&lt;&gt;"Done"),"Quick Wins (15 mins or less)",AND($M311&lt;=15,$E311&lt;&gt;"Done",$E311&lt;&gt;"Blocked"),"Deep Thinking",AND($G311="Deep Thinking",$E311&lt;&gt;"Done"),"Processing",AND($G311="Processing",$E311&lt;&gt;"Done"),"Blocked",$E311="Blocked","Waiting",$E311="Waiting","Recently Updated",AND($L311&lt;&gt;"",$L311&gt;=TODAY()-7),"Keyword",AND('Task Finder'!$C$7&lt;&gt;"",OR(ISNUMBER(SEARCH('Task Finder'!$C$7,$A311)),ISNUMBER(SEARCH('Task Finder'!$C$7,$B311)),ISNUMBER(SEARCH('Task Finder'!$C$7,$C311)),ISNUMBER(SEARCH('Task Finder'!$C$7,$D311)),ISNUMBER(SEARCH('Task Finder'!$C$7,$K311)))),TRUE))</f>
        <v/>
      </c>
    </row>
    <row r="312">
      <c r="A312" s="19" t="n"/>
      <c r="B312" s="19" t="n"/>
      <c r="C312" s="19" t="n"/>
      <c r="D312" s="19" t="n"/>
      <c r="E312" s="19" t="n"/>
      <c r="F312" s="19" t="n"/>
      <c r="G312" s="19" t="n"/>
      <c r="H312" s="19" t="n"/>
      <c r="I312" s="19" t="n"/>
      <c r="J312" s="19" t="n"/>
      <c r="K312" s="19" t="n"/>
      <c r="L312" s="125" t="n"/>
      <c r="M312" s="88">
        <f>IF($D312="","",IFERROR(VLOOKUP($H312,Lists!$N$2:$O$6,2,FALSE),0))</f>
        <v/>
      </c>
      <c r="N312" s="88">
        <f>IF($D312="","",IF(OR($E312="Blocked",$E312="Done",$E312="Archive"),-9999,IF(AND($E312="Waiting",SUMPRODUCT((($E$5:$E$500="Next")+($E$5:$E$500="In Progress")+($E$5:$E$500="Captured"))*($D$5:$D$500&lt;&gt;""))&gt;0),-500,VLOOKUP($F312,Lists!$L$2:$M$4,2,FALSE)+IF($E312="In Progress",10,0)+IF(AND($I312&lt;&gt;"",$I312&lt;TODAY()),25,0)+IF(AND($I312&lt;&gt;"",$I312&gt;=TODAY(),$I312&lt;=TODAY()+7),15,0)+IF($H312="",0,IF($M312&lt;=VLOOKUP(Home!$C$7,Lists!$N$2:$O$6,2,FALSE),20,-10))+IF($G312=Home!$E$7,15,IF(Home!$E$7="",0,-5))-ROW()/100000)))</f>
        <v/>
      </c>
      <c r="O312" s="88">
        <f>IF($D312="","",IF($N312&lt;=-500,"Not recommended right now",IF($E312="Waiting","Nothing else actionable right now — Waiting on: "&amp;IF($K312="","this item",$K312),TEXTJOIN(" • ",TRUE,IF($F312="High","High Priority",""),IF(AND($I312&lt;&gt;"",$I312&lt;TODAY()),"Overdue",""),IF(AND($I312&lt;&gt;"",$I312&gt;=TODAY(),$I312&lt;=TODAY()+7),"Due This Week",""),IF(AND($H312&lt;&gt;"",$M312&lt;=VLOOKUP(Home!$C$7,Lists!$N$2:$O$6,2,FALSE)),$H312&amp;" Task",""),IF($G312=Home!$E$7,"Fits Current Energy",""),"No Blockers"))))</f>
        <v/>
      </c>
      <c r="P312" s="88">
        <f>IF($D312="","",SWITCH('Task Finder'!$C$6,"High Priority",AND($F312="High",$E312&lt;&gt;"Done",$E312&lt;&gt;"Archive"),"Due This Week",AND($I312&lt;&gt;"",$I312&gt;=TODAY(),$I312&lt;=TODAY()+7,$E312&lt;&gt;"Done"),"Quick Wins (15 mins or less)",AND($M312&lt;=15,$E312&lt;&gt;"Done",$E312&lt;&gt;"Blocked"),"Deep Thinking",AND($G312="Deep Thinking",$E312&lt;&gt;"Done"),"Processing",AND($G312="Processing",$E312&lt;&gt;"Done"),"Blocked",$E312="Blocked","Waiting",$E312="Waiting","Recently Updated",AND($L312&lt;&gt;"",$L312&gt;=TODAY()-7),"Keyword",AND('Task Finder'!$C$7&lt;&gt;"",OR(ISNUMBER(SEARCH('Task Finder'!$C$7,$A312)),ISNUMBER(SEARCH('Task Finder'!$C$7,$B312)),ISNUMBER(SEARCH('Task Finder'!$C$7,$C312)),ISNUMBER(SEARCH('Task Finder'!$C$7,$D312)),ISNUMBER(SEARCH('Task Finder'!$C$7,$K312)))),TRUE))</f>
        <v/>
      </c>
    </row>
    <row r="313">
      <c r="A313" s="19" t="n"/>
      <c r="B313" s="19" t="n"/>
      <c r="C313" s="19" t="n"/>
      <c r="D313" s="19" t="n"/>
      <c r="E313" s="19" t="n"/>
      <c r="F313" s="19" t="n"/>
      <c r="G313" s="19" t="n"/>
      <c r="H313" s="19" t="n"/>
      <c r="I313" s="19" t="n"/>
      <c r="J313" s="19" t="n"/>
      <c r="K313" s="19" t="n"/>
      <c r="L313" s="125" t="n"/>
      <c r="M313" s="88">
        <f>IF($D313="","",IFERROR(VLOOKUP($H313,Lists!$N$2:$O$6,2,FALSE),0))</f>
        <v/>
      </c>
      <c r="N313" s="88">
        <f>IF($D313="","",IF(OR($E313="Blocked",$E313="Done",$E313="Archive"),-9999,IF(AND($E313="Waiting",SUMPRODUCT((($E$5:$E$500="Next")+($E$5:$E$500="In Progress")+($E$5:$E$500="Captured"))*($D$5:$D$500&lt;&gt;""))&gt;0),-500,VLOOKUP($F313,Lists!$L$2:$M$4,2,FALSE)+IF($E313="In Progress",10,0)+IF(AND($I313&lt;&gt;"",$I313&lt;TODAY()),25,0)+IF(AND($I313&lt;&gt;"",$I313&gt;=TODAY(),$I313&lt;=TODAY()+7),15,0)+IF($H313="",0,IF($M313&lt;=VLOOKUP(Home!$C$7,Lists!$N$2:$O$6,2,FALSE),20,-10))+IF($G313=Home!$E$7,15,IF(Home!$E$7="",0,-5))-ROW()/100000)))</f>
        <v/>
      </c>
      <c r="O313" s="88">
        <f>IF($D313="","",IF($N313&lt;=-500,"Not recommended right now",IF($E313="Waiting","Nothing else actionable right now — Waiting on: "&amp;IF($K313="","this item",$K313),TEXTJOIN(" • ",TRUE,IF($F313="High","High Priority",""),IF(AND($I313&lt;&gt;"",$I313&lt;TODAY()),"Overdue",""),IF(AND($I313&lt;&gt;"",$I313&gt;=TODAY(),$I313&lt;=TODAY()+7),"Due This Week",""),IF(AND($H313&lt;&gt;"",$M313&lt;=VLOOKUP(Home!$C$7,Lists!$N$2:$O$6,2,FALSE)),$H313&amp;" Task",""),IF($G313=Home!$E$7,"Fits Current Energy",""),"No Blockers"))))</f>
        <v/>
      </c>
      <c r="P313" s="88">
        <f>IF($D313="","",SWITCH('Task Finder'!$C$6,"High Priority",AND($F313="High",$E313&lt;&gt;"Done",$E313&lt;&gt;"Archive"),"Due This Week",AND($I313&lt;&gt;"",$I313&gt;=TODAY(),$I313&lt;=TODAY()+7,$E313&lt;&gt;"Done"),"Quick Wins (15 mins or less)",AND($M313&lt;=15,$E313&lt;&gt;"Done",$E313&lt;&gt;"Blocked"),"Deep Thinking",AND($G313="Deep Thinking",$E313&lt;&gt;"Done"),"Processing",AND($G313="Processing",$E313&lt;&gt;"Done"),"Blocked",$E313="Blocked","Waiting",$E313="Waiting","Recently Updated",AND($L313&lt;&gt;"",$L313&gt;=TODAY()-7),"Keyword",AND('Task Finder'!$C$7&lt;&gt;"",OR(ISNUMBER(SEARCH('Task Finder'!$C$7,$A313)),ISNUMBER(SEARCH('Task Finder'!$C$7,$B313)),ISNUMBER(SEARCH('Task Finder'!$C$7,$C313)),ISNUMBER(SEARCH('Task Finder'!$C$7,$D313)),ISNUMBER(SEARCH('Task Finder'!$C$7,$K313)))),TRUE))</f>
        <v/>
      </c>
    </row>
    <row r="314">
      <c r="A314" s="19" t="n"/>
      <c r="B314" s="19" t="n"/>
      <c r="C314" s="19" t="n"/>
      <c r="D314" s="19" t="n"/>
      <c r="E314" s="19" t="n"/>
      <c r="F314" s="19" t="n"/>
      <c r="G314" s="19" t="n"/>
      <c r="H314" s="19" t="n"/>
      <c r="I314" s="19" t="n"/>
      <c r="J314" s="19" t="n"/>
      <c r="K314" s="19" t="n"/>
      <c r="L314" s="125" t="n"/>
      <c r="M314" s="88">
        <f>IF($D314="","",IFERROR(VLOOKUP($H314,Lists!$N$2:$O$6,2,FALSE),0))</f>
        <v/>
      </c>
      <c r="N314" s="88">
        <f>IF($D314="","",IF(OR($E314="Blocked",$E314="Done",$E314="Archive"),-9999,IF(AND($E314="Waiting",SUMPRODUCT((($E$5:$E$500="Next")+($E$5:$E$500="In Progress")+($E$5:$E$500="Captured"))*($D$5:$D$500&lt;&gt;""))&gt;0),-500,VLOOKUP($F314,Lists!$L$2:$M$4,2,FALSE)+IF($E314="In Progress",10,0)+IF(AND($I314&lt;&gt;"",$I314&lt;TODAY()),25,0)+IF(AND($I314&lt;&gt;"",$I314&gt;=TODAY(),$I314&lt;=TODAY()+7),15,0)+IF($H314="",0,IF($M314&lt;=VLOOKUP(Home!$C$7,Lists!$N$2:$O$6,2,FALSE),20,-10))+IF($G314=Home!$E$7,15,IF(Home!$E$7="",0,-5))-ROW()/100000)))</f>
        <v/>
      </c>
      <c r="O314" s="88">
        <f>IF($D314="","",IF($N314&lt;=-500,"Not recommended right now",IF($E314="Waiting","Nothing else actionable right now — Waiting on: "&amp;IF($K314="","this item",$K314),TEXTJOIN(" • ",TRUE,IF($F314="High","High Priority",""),IF(AND($I314&lt;&gt;"",$I314&lt;TODAY()),"Overdue",""),IF(AND($I314&lt;&gt;"",$I314&gt;=TODAY(),$I314&lt;=TODAY()+7),"Due This Week",""),IF(AND($H314&lt;&gt;"",$M314&lt;=VLOOKUP(Home!$C$7,Lists!$N$2:$O$6,2,FALSE)),$H314&amp;" Task",""),IF($G314=Home!$E$7,"Fits Current Energy",""),"No Blockers"))))</f>
        <v/>
      </c>
      <c r="P314" s="88">
        <f>IF($D314="","",SWITCH('Task Finder'!$C$6,"High Priority",AND($F314="High",$E314&lt;&gt;"Done",$E314&lt;&gt;"Archive"),"Due This Week",AND($I314&lt;&gt;"",$I314&gt;=TODAY(),$I314&lt;=TODAY()+7,$E314&lt;&gt;"Done"),"Quick Wins (15 mins or less)",AND($M314&lt;=15,$E314&lt;&gt;"Done",$E314&lt;&gt;"Blocked"),"Deep Thinking",AND($G314="Deep Thinking",$E314&lt;&gt;"Done"),"Processing",AND($G314="Processing",$E314&lt;&gt;"Done"),"Blocked",$E314="Blocked","Waiting",$E314="Waiting","Recently Updated",AND($L314&lt;&gt;"",$L314&gt;=TODAY()-7),"Keyword",AND('Task Finder'!$C$7&lt;&gt;"",OR(ISNUMBER(SEARCH('Task Finder'!$C$7,$A314)),ISNUMBER(SEARCH('Task Finder'!$C$7,$B314)),ISNUMBER(SEARCH('Task Finder'!$C$7,$C314)),ISNUMBER(SEARCH('Task Finder'!$C$7,$D314)),ISNUMBER(SEARCH('Task Finder'!$C$7,$K314)))),TRUE))</f>
        <v/>
      </c>
    </row>
    <row r="315">
      <c r="A315" s="19" t="n"/>
      <c r="B315" s="19" t="n"/>
      <c r="C315" s="19" t="n"/>
      <c r="D315" s="19" t="n"/>
      <c r="E315" s="19" t="n"/>
      <c r="F315" s="19" t="n"/>
      <c r="G315" s="19" t="n"/>
      <c r="H315" s="19" t="n"/>
      <c r="I315" s="19" t="n"/>
      <c r="J315" s="19" t="n"/>
      <c r="K315" s="19" t="n"/>
      <c r="L315" s="125" t="n"/>
      <c r="M315" s="88">
        <f>IF($D315="","",IFERROR(VLOOKUP($H315,Lists!$N$2:$O$6,2,FALSE),0))</f>
        <v/>
      </c>
      <c r="N315" s="88">
        <f>IF($D315="","",IF(OR($E315="Blocked",$E315="Done",$E315="Archive"),-9999,IF(AND($E315="Waiting",SUMPRODUCT((($E$5:$E$500="Next")+($E$5:$E$500="In Progress")+($E$5:$E$500="Captured"))*($D$5:$D$500&lt;&gt;""))&gt;0),-500,VLOOKUP($F315,Lists!$L$2:$M$4,2,FALSE)+IF($E315="In Progress",10,0)+IF(AND($I315&lt;&gt;"",$I315&lt;TODAY()),25,0)+IF(AND($I315&lt;&gt;"",$I315&gt;=TODAY(),$I315&lt;=TODAY()+7),15,0)+IF($H315="",0,IF($M315&lt;=VLOOKUP(Home!$C$7,Lists!$N$2:$O$6,2,FALSE),20,-10))+IF($G315=Home!$E$7,15,IF(Home!$E$7="",0,-5))-ROW()/100000)))</f>
        <v/>
      </c>
      <c r="O315" s="88">
        <f>IF($D315="","",IF($N315&lt;=-500,"Not recommended right now",IF($E315="Waiting","Nothing else actionable right now — Waiting on: "&amp;IF($K315="","this item",$K315),TEXTJOIN(" • ",TRUE,IF($F315="High","High Priority",""),IF(AND($I315&lt;&gt;"",$I315&lt;TODAY()),"Overdue",""),IF(AND($I315&lt;&gt;"",$I315&gt;=TODAY(),$I315&lt;=TODAY()+7),"Due This Week",""),IF(AND($H315&lt;&gt;"",$M315&lt;=VLOOKUP(Home!$C$7,Lists!$N$2:$O$6,2,FALSE)),$H315&amp;" Task",""),IF($G315=Home!$E$7,"Fits Current Energy",""),"No Blockers"))))</f>
        <v/>
      </c>
      <c r="P315" s="88">
        <f>IF($D315="","",SWITCH('Task Finder'!$C$6,"High Priority",AND($F315="High",$E315&lt;&gt;"Done",$E315&lt;&gt;"Archive"),"Due This Week",AND($I315&lt;&gt;"",$I315&gt;=TODAY(),$I315&lt;=TODAY()+7,$E315&lt;&gt;"Done"),"Quick Wins (15 mins or less)",AND($M315&lt;=15,$E315&lt;&gt;"Done",$E315&lt;&gt;"Blocked"),"Deep Thinking",AND($G315="Deep Thinking",$E315&lt;&gt;"Done"),"Processing",AND($G315="Processing",$E315&lt;&gt;"Done"),"Blocked",$E315="Blocked","Waiting",$E315="Waiting","Recently Updated",AND($L315&lt;&gt;"",$L315&gt;=TODAY()-7),"Keyword",AND('Task Finder'!$C$7&lt;&gt;"",OR(ISNUMBER(SEARCH('Task Finder'!$C$7,$A315)),ISNUMBER(SEARCH('Task Finder'!$C$7,$B315)),ISNUMBER(SEARCH('Task Finder'!$C$7,$C315)),ISNUMBER(SEARCH('Task Finder'!$C$7,$D315)),ISNUMBER(SEARCH('Task Finder'!$C$7,$K315)))),TRUE))</f>
        <v/>
      </c>
    </row>
    <row r="316">
      <c r="A316" s="19" t="n"/>
      <c r="B316" s="19" t="n"/>
      <c r="C316" s="19" t="n"/>
      <c r="D316" s="19" t="n"/>
      <c r="E316" s="19" t="n"/>
      <c r="F316" s="19" t="n"/>
      <c r="G316" s="19" t="n"/>
      <c r="H316" s="19" t="n"/>
      <c r="I316" s="19" t="n"/>
      <c r="J316" s="19" t="n"/>
      <c r="K316" s="19" t="n"/>
      <c r="L316" s="125" t="n"/>
      <c r="M316" s="88">
        <f>IF($D316="","",IFERROR(VLOOKUP($H316,Lists!$N$2:$O$6,2,FALSE),0))</f>
        <v/>
      </c>
      <c r="N316" s="88">
        <f>IF($D316="","",IF(OR($E316="Blocked",$E316="Done",$E316="Archive"),-9999,IF(AND($E316="Waiting",SUMPRODUCT((($E$5:$E$500="Next")+($E$5:$E$500="In Progress")+($E$5:$E$500="Captured"))*($D$5:$D$500&lt;&gt;""))&gt;0),-500,VLOOKUP($F316,Lists!$L$2:$M$4,2,FALSE)+IF($E316="In Progress",10,0)+IF(AND($I316&lt;&gt;"",$I316&lt;TODAY()),25,0)+IF(AND($I316&lt;&gt;"",$I316&gt;=TODAY(),$I316&lt;=TODAY()+7),15,0)+IF($H316="",0,IF($M316&lt;=VLOOKUP(Home!$C$7,Lists!$N$2:$O$6,2,FALSE),20,-10))+IF($G316=Home!$E$7,15,IF(Home!$E$7="",0,-5))-ROW()/100000)))</f>
        <v/>
      </c>
      <c r="O316" s="88">
        <f>IF($D316="","",IF($N316&lt;=-500,"Not recommended right now",IF($E316="Waiting","Nothing else actionable right now — Waiting on: "&amp;IF($K316="","this item",$K316),TEXTJOIN(" • ",TRUE,IF($F316="High","High Priority",""),IF(AND($I316&lt;&gt;"",$I316&lt;TODAY()),"Overdue",""),IF(AND($I316&lt;&gt;"",$I316&gt;=TODAY(),$I316&lt;=TODAY()+7),"Due This Week",""),IF(AND($H316&lt;&gt;"",$M316&lt;=VLOOKUP(Home!$C$7,Lists!$N$2:$O$6,2,FALSE)),$H316&amp;" Task",""),IF($G316=Home!$E$7,"Fits Current Energy",""),"No Blockers"))))</f>
        <v/>
      </c>
      <c r="P316" s="88">
        <f>IF($D316="","",SWITCH('Task Finder'!$C$6,"High Priority",AND($F316="High",$E316&lt;&gt;"Done",$E316&lt;&gt;"Archive"),"Due This Week",AND($I316&lt;&gt;"",$I316&gt;=TODAY(),$I316&lt;=TODAY()+7,$E316&lt;&gt;"Done"),"Quick Wins (15 mins or less)",AND($M316&lt;=15,$E316&lt;&gt;"Done",$E316&lt;&gt;"Blocked"),"Deep Thinking",AND($G316="Deep Thinking",$E316&lt;&gt;"Done"),"Processing",AND($G316="Processing",$E316&lt;&gt;"Done"),"Blocked",$E316="Blocked","Waiting",$E316="Waiting","Recently Updated",AND($L316&lt;&gt;"",$L316&gt;=TODAY()-7),"Keyword",AND('Task Finder'!$C$7&lt;&gt;"",OR(ISNUMBER(SEARCH('Task Finder'!$C$7,$A316)),ISNUMBER(SEARCH('Task Finder'!$C$7,$B316)),ISNUMBER(SEARCH('Task Finder'!$C$7,$C316)),ISNUMBER(SEARCH('Task Finder'!$C$7,$D316)),ISNUMBER(SEARCH('Task Finder'!$C$7,$K316)))),TRUE))</f>
        <v/>
      </c>
    </row>
    <row r="317">
      <c r="A317" s="19" t="n"/>
      <c r="B317" s="19" t="n"/>
      <c r="C317" s="19" t="n"/>
      <c r="D317" s="19" t="n"/>
      <c r="E317" s="19" t="n"/>
      <c r="F317" s="19" t="n"/>
      <c r="G317" s="19" t="n"/>
      <c r="H317" s="19" t="n"/>
      <c r="I317" s="19" t="n"/>
      <c r="J317" s="19" t="n"/>
      <c r="K317" s="19" t="n"/>
      <c r="L317" s="125" t="n"/>
      <c r="M317" s="88">
        <f>IF($D317="","",IFERROR(VLOOKUP($H317,Lists!$N$2:$O$6,2,FALSE),0))</f>
        <v/>
      </c>
      <c r="N317" s="88">
        <f>IF($D317="","",IF(OR($E317="Blocked",$E317="Done",$E317="Archive"),-9999,IF(AND($E317="Waiting",SUMPRODUCT((($E$5:$E$500="Next")+($E$5:$E$500="In Progress")+($E$5:$E$500="Captured"))*($D$5:$D$500&lt;&gt;""))&gt;0),-500,VLOOKUP($F317,Lists!$L$2:$M$4,2,FALSE)+IF($E317="In Progress",10,0)+IF(AND($I317&lt;&gt;"",$I317&lt;TODAY()),25,0)+IF(AND($I317&lt;&gt;"",$I317&gt;=TODAY(),$I317&lt;=TODAY()+7),15,0)+IF($H317="",0,IF($M317&lt;=VLOOKUP(Home!$C$7,Lists!$N$2:$O$6,2,FALSE),20,-10))+IF($G317=Home!$E$7,15,IF(Home!$E$7="",0,-5))-ROW()/100000)))</f>
        <v/>
      </c>
      <c r="O317" s="88">
        <f>IF($D317="","",IF($N317&lt;=-500,"Not recommended right now",IF($E317="Waiting","Nothing else actionable right now — Waiting on: "&amp;IF($K317="","this item",$K317),TEXTJOIN(" • ",TRUE,IF($F317="High","High Priority",""),IF(AND($I317&lt;&gt;"",$I317&lt;TODAY()),"Overdue",""),IF(AND($I317&lt;&gt;"",$I317&gt;=TODAY(),$I317&lt;=TODAY()+7),"Due This Week",""),IF(AND($H317&lt;&gt;"",$M317&lt;=VLOOKUP(Home!$C$7,Lists!$N$2:$O$6,2,FALSE)),$H317&amp;" Task",""),IF($G317=Home!$E$7,"Fits Current Energy",""),"No Blockers"))))</f>
        <v/>
      </c>
      <c r="P317" s="88">
        <f>IF($D317="","",SWITCH('Task Finder'!$C$6,"High Priority",AND($F317="High",$E317&lt;&gt;"Done",$E317&lt;&gt;"Archive"),"Due This Week",AND($I317&lt;&gt;"",$I317&gt;=TODAY(),$I317&lt;=TODAY()+7,$E317&lt;&gt;"Done"),"Quick Wins (15 mins or less)",AND($M317&lt;=15,$E317&lt;&gt;"Done",$E317&lt;&gt;"Blocked"),"Deep Thinking",AND($G317="Deep Thinking",$E317&lt;&gt;"Done"),"Processing",AND($G317="Processing",$E317&lt;&gt;"Done"),"Blocked",$E317="Blocked","Waiting",$E317="Waiting","Recently Updated",AND($L317&lt;&gt;"",$L317&gt;=TODAY()-7),"Keyword",AND('Task Finder'!$C$7&lt;&gt;"",OR(ISNUMBER(SEARCH('Task Finder'!$C$7,$A317)),ISNUMBER(SEARCH('Task Finder'!$C$7,$B317)),ISNUMBER(SEARCH('Task Finder'!$C$7,$C317)),ISNUMBER(SEARCH('Task Finder'!$C$7,$D317)),ISNUMBER(SEARCH('Task Finder'!$C$7,$K317)))),TRUE))</f>
        <v/>
      </c>
    </row>
    <row r="318">
      <c r="A318" s="19" t="n"/>
      <c r="B318" s="19" t="n"/>
      <c r="C318" s="19" t="n"/>
      <c r="D318" s="19" t="n"/>
      <c r="E318" s="19" t="n"/>
      <c r="F318" s="19" t="n"/>
      <c r="G318" s="19" t="n"/>
      <c r="H318" s="19" t="n"/>
      <c r="I318" s="19" t="n"/>
      <c r="J318" s="19" t="n"/>
      <c r="K318" s="19" t="n"/>
      <c r="L318" s="125" t="n"/>
      <c r="M318" s="88">
        <f>IF($D318="","",IFERROR(VLOOKUP($H318,Lists!$N$2:$O$6,2,FALSE),0))</f>
        <v/>
      </c>
      <c r="N318" s="88">
        <f>IF($D318="","",IF(OR($E318="Blocked",$E318="Done",$E318="Archive"),-9999,IF(AND($E318="Waiting",SUMPRODUCT((($E$5:$E$500="Next")+($E$5:$E$500="In Progress")+($E$5:$E$500="Captured"))*($D$5:$D$500&lt;&gt;""))&gt;0),-500,VLOOKUP($F318,Lists!$L$2:$M$4,2,FALSE)+IF($E318="In Progress",10,0)+IF(AND($I318&lt;&gt;"",$I318&lt;TODAY()),25,0)+IF(AND($I318&lt;&gt;"",$I318&gt;=TODAY(),$I318&lt;=TODAY()+7),15,0)+IF($H318="",0,IF($M318&lt;=VLOOKUP(Home!$C$7,Lists!$N$2:$O$6,2,FALSE),20,-10))+IF($G318=Home!$E$7,15,IF(Home!$E$7="",0,-5))-ROW()/100000)))</f>
        <v/>
      </c>
      <c r="O318" s="88">
        <f>IF($D318="","",IF($N318&lt;=-500,"Not recommended right now",IF($E318="Waiting","Nothing else actionable right now — Waiting on: "&amp;IF($K318="","this item",$K318),TEXTJOIN(" • ",TRUE,IF($F318="High","High Priority",""),IF(AND($I318&lt;&gt;"",$I318&lt;TODAY()),"Overdue",""),IF(AND($I318&lt;&gt;"",$I318&gt;=TODAY(),$I318&lt;=TODAY()+7),"Due This Week",""),IF(AND($H318&lt;&gt;"",$M318&lt;=VLOOKUP(Home!$C$7,Lists!$N$2:$O$6,2,FALSE)),$H318&amp;" Task",""),IF($G318=Home!$E$7,"Fits Current Energy",""),"No Blockers"))))</f>
        <v/>
      </c>
      <c r="P318" s="88">
        <f>IF($D318="","",SWITCH('Task Finder'!$C$6,"High Priority",AND($F318="High",$E318&lt;&gt;"Done",$E318&lt;&gt;"Archive"),"Due This Week",AND($I318&lt;&gt;"",$I318&gt;=TODAY(),$I318&lt;=TODAY()+7,$E318&lt;&gt;"Done"),"Quick Wins (15 mins or less)",AND($M318&lt;=15,$E318&lt;&gt;"Done",$E318&lt;&gt;"Blocked"),"Deep Thinking",AND($G318="Deep Thinking",$E318&lt;&gt;"Done"),"Processing",AND($G318="Processing",$E318&lt;&gt;"Done"),"Blocked",$E318="Blocked","Waiting",$E318="Waiting","Recently Updated",AND($L318&lt;&gt;"",$L318&gt;=TODAY()-7),"Keyword",AND('Task Finder'!$C$7&lt;&gt;"",OR(ISNUMBER(SEARCH('Task Finder'!$C$7,$A318)),ISNUMBER(SEARCH('Task Finder'!$C$7,$B318)),ISNUMBER(SEARCH('Task Finder'!$C$7,$C318)),ISNUMBER(SEARCH('Task Finder'!$C$7,$D318)),ISNUMBER(SEARCH('Task Finder'!$C$7,$K318)))),TRUE))</f>
        <v/>
      </c>
    </row>
    <row r="319">
      <c r="A319" s="19" t="n"/>
      <c r="B319" s="19" t="n"/>
      <c r="C319" s="19" t="n"/>
      <c r="D319" s="19" t="n"/>
      <c r="E319" s="19" t="n"/>
      <c r="F319" s="19" t="n"/>
      <c r="G319" s="19" t="n"/>
      <c r="H319" s="19" t="n"/>
      <c r="I319" s="19" t="n"/>
      <c r="J319" s="19" t="n"/>
      <c r="K319" s="19" t="n"/>
      <c r="L319" s="125" t="n"/>
      <c r="M319" s="88">
        <f>IF($D319="","",IFERROR(VLOOKUP($H319,Lists!$N$2:$O$6,2,FALSE),0))</f>
        <v/>
      </c>
      <c r="N319" s="88">
        <f>IF($D319="","",IF(OR($E319="Blocked",$E319="Done",$E319="Archive"),-9999,IF(AND($E319="Waiting",SUMPRODUCT((($E$5:$E$500="Next")+($E$5:$E$500="In Progress")+($E$5:$E$500="Captured"))*($D$5:$D$500&lt;&gt;""))&gt;0),-500,VLOOKUP($F319,Lists!$L$2:$M$4,2,FALSE)+IF($E319="In Progress",10,0)+IF(AND($I319&lt;&gt;"",$I319&lt;TODAY()),25,0)+IF(AND($I319&lt;&gt;"",$I319&gt;=TODAY(),$I319&lt;=TODAY()+7),15,0)+IF($H319="",0,IF($M319&lt;=VLOOKUP(Home!$C$7,Lists!$N$2:$O$6,2,FALSE),20,-10))+IF($G319=Home!$E$7,15,IF(Home!$E$7="",0,-5))-ROW()/100000)))</f>
        <v/>
      </c>
      <c r="O319" s="88">
        <f>IF($D319="","",IF($N319&lt;=-500,"Not recommended right now",IF($E319="Waiting","Nothing else actionable right now — Waiting on: "&amp;IF($K319="","this item",$K319),TEXTJOIN(" • ",TRUE,IF($F319="High","High Priority",""),IF(AND($I319&lt;&gt;"",$I319&lt;TODAY()),"Overdue",""),IF(AND($I319&lt;&gt;"",$I319&gt;=TODAY(),$I319&lt;=TODAY()+7),"Due This Week",""),IF(AND($H319&lt;&gt;"",$M319&lt;=VLOOKUP(Home!$C$7,Lists!$N$2:$O$6,2,FALSE)),$H319&amp;" Task",""),IF($G319=Home!$E$7,"Fits Current Energy",""),"No Blockers"))))</f>
        <v/>
      </c>
      <c r="P319" s="88">
        <f>IF($D319="","",SWITCH('Task Finder'!$C$6,"High Priority",AND($F319="High",$E319&lt;&gt;"Done",$E319&lt;&gt;"Archive"),"Due This Week",AND($I319&lt;&gt;"",$I319&gt;=TODAY(),$I319&lt;=TODAY()+7,$E319&lt;&gt;"Done"),"Quick Wins (15 mins or less)",AND($M319&lt;=15,$E319&lt;&gt;"Done",$E319&lt;&gt;"Blocked"),"Deep Thinking",AND($G319="Deep Thinking",$E319&lt;&gt;"Done"),"Processing",AND($G319="Processing",$E319&lt;&gt;"Done"),"Blocked",$E319="Blocked","Waiting",$E319="Waiting","Recently Updated",AND($L319&lt;&gt;"",$L319&gt;=TODAY()-7),"Keyword",AND('Task Finder'!$C$7&lt;&gt;"",OR(ISNUMBER(SEARCH('Task Finder'!$C$7,$A319)),ISNUMBER(SEARCH('Task Finder'!$C$7,$B319)),ISNUMBER(SEARCH('Task Finder'!$C$7,$C319)),ISNUMBER(SEARCH('Task Finder'!$C$7,$D319)),ISNUMBER(SEARCH('Task Finder'!$C$7,$K319)))),TRUE))</f>
        <v/>
      </c>
    </row>
    <row r="320">
      <c r="A320" s="19" t="n"/>
      <c r="B320" s="19" t="n"/>
      <c r="C320" s="19" t="n"/>
      <c r="D320" s="19" t="n"/>
      <c r="E320" s="19" t="n"/>
      <c r="F320" s="19" t="n"/>
      <c r="G320" s="19" t="n"/>
      <c r="H320" s="19" t="n"/>
      <c r="I320" s="19" t="n"/>
      <c r="J320" s="19" t="n"/>
      <c r="K320" s="19" t="n"/>
      <c r="L320" s="125" t="n"/>
      <c r="M320" s="88">
        <f>IF($D320="","",IFERROR(VLOOKUP($H320,Lists!$N$2:$O$6,2,FALSE),0))</f>
        <v/>
      </c>
      <c r="N320" s="88">
        <f>IF($D320="","",IF(OR($E320="Blocked",$E320="Done",$E320="Archive"),-9999,IF(AND($E320="Waiting",SUMPRODUCT((($E$5:$E$500="Next")+($E$5:$E$500="In Progress")+($E$5:$E$500="Captured"))*($D$5:$D$500&lt;&gt;""))&gt;0),-500,VLOOKUP($F320,Lists!$L$2:$M$4,2,FALSE)+IF($E320="In Progress",10,0)+IF(AND($I320&lt;&gt;"",$I320&lt;TODAY()),25,0)+IF(AND($I320&lt;&gt;"",$I320&gt;=TODAY(),$I320&lt;=TODAY()+7),15,0)+IF($H320="",0,IF($M320&lt;=VLOOKUP(Home!$C$7,Lists!$N$2:$O$6,2,FALSE),20,-10))+IF($G320=Home!$E$7,15,IF(Home!$E$7="",0,-5))-ROW()/100000)))</f>
        <v/>
      </c>
      <c r="O320" s="88">
        <f>IF($D320="","",IF($N320&lt;=-500,"Not recommended right now",IF($E320="Waiting","Nothing else actionable right now — Waiting on: "&amp;IF($K320="","this item",$K320),TEXTJOIN(" • ",TRUE,IF($F320="High","High Priority",""),IF(AND($I320&lt;&gt;"",$I320&lt;TODAY()),"Overdue",""),IF(AND($I320&lt;&gt;"",$I320&gt;=TODAY(),$I320&lt;=TODAY()+7),"Due This Week",""),IF(AND($H320&lt;&gt;"",$M320&lt;=VLOOKUP(Home!$C$7,Lists!$N$2:$O$6,2,FALSE)),$H320&amp;" Task",""),IF($G320=Home!$E$7,"Fits Current Energy",""),"No Blockers"))))</f>
        <v/>
      </c>
      <c r="P320" s="88">
        <f>IF($D320="","",SWITCH('Task Finder'!$C$6,"High Priority",AND($F320="High",$E320&lt;&gt;"Done",$E320&lt;&gt;"Archive"),"Due This Week",AND($I320&lt;&gt;"",$I320&gt;=TODAY(),$I320&lt;=TODAY()+7,$E320&lt;&gt;"Done"),"Quick Wins (15 mins or less)",AND($M320&lt;=15,$E320&lt;&gt;"Done",$E320&lt;&gt;"Blocked"),"Deep Thinking",AND($G320="Deep Thinking",$E320&lt;&gt;"Done"),"Processing",AND($G320="Processing",$E320&lt;&gt;"Done"),"Blocked",$E320="Blocked","Waiting",$E320="Waiting","Recently Updated",AND($L320&lt;&gt;"",$L320&gt;=TODAY()-7),"Keyword",AND('Task Finder'!$C$7&lt;&gt;"",OR(ISNUMBER(SEARCH('Task Finder'!$C$7,$A320)),ISNUMBER(SEARCH('Task Finder'!$C$7,$B320)),ISNUMBER(SEARCH('Task Finder'!$C$7,$C320)),ISNUMBER(SEARCH('Task Finder'!$C$7,$D320)),ISNUMBER(SEARCH('Task Finder'!$C$7,$K320)))),TRUE))</f>
        <v/>
      </c>
    </row>
    <row r="321">
      <c r="A321" s="19" t="n"/>
      <c r="B321" s="19" t="n"/>
      <c r="C321" s="19" t="n"/>
      <c r="D321" s="19" t="n"/>
      <c r="E321" s="19" t="n"/>
      <c r="F321" s="19" t="n"/>
      <c r="G321" s="19" t="n"/>
      <c r="H321" s="19" t="n"/>
      <c r="I321" s="19" t="n"/>
      <c r="J321" s="19" t="n"/>
      <c r="K321" s="19" t="n"/>
      <c r="L321" s="125" t="n"/>
      <c r="M321" s="88">
        <f>IF($D321="","",IFERROR(VLOOKUP($H321,Lists!$N$2:$O$6,2,FALSE),0))</f>
        <v/>
      </c>
      <c r="N321" s="88">
        <f>IF($D321="","",IF(OR($E321="Blocked",$E321="Done",$E321="Archive"),-9999,IF(AND($E321="Waiting",SUMPRODUCT((($E$5:$E$500="Next")+($E$5:$E$500="In Progress")+($E$5:$E$500="Captured"))*($D$5:$D$500&lt;&gt;""))&gt;0),-500,VLOOKUP($F321,Lists!$L$2:$M$4,2,FALSE)+IF($E321="In Progress",10,0)+IF(AND($I321&lt;&gt;"",$I321&lt;TODAY()),25,0)+IF(AND($I321&lt;&gt;"",$I321&gt;=TODAY(),$I321&lt;=TODAY()+7),15,0)+IF($H321="",0,IF($M321&lt;=VLOOKUP(Home!$C$7,Lists!$N$2:$O$6,2,FALSE),20,-10))+IF($G321=Home!$E$7,15,IF(Home!$E$7="",0,-5))-ROW()/100000)))</f>
        <v/>
      </c>
      <c r="O321" s="88">
        <f>IF($D321="","",IF($N321&lt;=-500,"Not recommended right now",IF($E321="Waiting","Nothing else actionable right now — Waiting on: "&amp;IF($K321="","this item",$K321),TEXTJOIN(" • ",TRUE,IF($F321="High","High Priority",""),IF(AND($I321&lt;&gt;"",$I321&lt;TODAY()),"Overdue",""),IF(AND($I321&lt;&gt;"",$I321&gt;=TODAY(),$I321&lt;=TODAY()+7),"Due This Week",""),IF(AND($H321&lt;&gt;"",$M321&lt;=VLOOKUP(Home!$C$7,Lists!$N$2:$O$6,2,FALSE)),$H321&amp;" Task",""),IF($G321=Home!$E$7,"Fits Current Energy",""),"No Blockers"))))</f>
        <v/>
      </c>
      <c r="P321" s="88">
        <f>IF($D321="","",SWITCH('Task Finder'!$C$6,"High Priority",AND($F321="High",$E321&lt;&gt;"Done",$E321&lt;&gt;"Archive"),"Due This Week",AND($I321&lt;&gt;"",$I321&gt;=TODAY(),$I321&lt;=TODAY()+7,$E321&lt;&gt;"Done"),"Quick Wins (15 mins or less)",AND($M321&lt;=15,$E321&lt;&gt;"Done",$E321&lt;&gt;"Blocked"),"Deep Thinking",AND($G321="Deep Thinking",$E321&lt;&gt;"Done"),"Processing",AND($G321="Processing",$E321&lt;&gt;"Done"),"Blocked",$E321="Blocked","Waiting",$E321="Waiting","Recently Updated",AND($L321&lt;&gt;"",$L321&gt;=TODAY()-7),"Keyword",AND('Task Finder'!$C$7&lt;&gt;"",OR(ISNUMBER(SEARCH('Task Finder'!$C$7,$A321)),ISNUMBER(SEARCH('Task Finder'!$C$7,$B321)),ISNUMBER(SEARCH('Task Finder'!$C$7,$C321)),ISNUMBER(SEARCH('Task Finder'!$C$7,$D321)),ISNUMBER(SEARCH('Task Finder'!$C$7,$K321)))),TRUE))</f>
        <v/>
      </c>
    </row>
    <row r="322">
      <c r="A322" s="19" t="n"/>
      <c r="B322" s="19" t="n"/>
      <c r="C322" s="19" t="n"/>
      <c r="D322" s="19" t="n"/>
      <c r="E322" s="19" t="n"/>
      <c r="F322" s="19" t="n"/>
      <c r="G322" s="19" t="n"/>
      <c r="H322" s="19" t="n"/>
      <c r="I322" s="19" t="n"/>
      <c r="J322" s="19" t="n"/>
      <c r="K322" s="19" t="n"/>
      <c r="L322" s="125" t="n"/>
      <c r="M322" s="88">
        <f>IF($D322="","",IFERROR(VLOOKUP($H322,Lists!$N$2:$O$6,2,FALSE),0))</f>
        <v/>
      </c>
      <c r="N322" s="88">
        <f>IF($D322="","",IF(OR($E322="Blocked",$E322="Done",$E322="Archive"),-9999,IF(AND($E322="Waiting",SUMPRODUCT((($E$5:$E$500="Next")+($E$5:$E$500="In Progress")+($E$5:$E$500="Captured"))*($D$5:$D$500&lt;&gt;""))&gt;0),-500,VLOOKUP($F322,Lists!$L$2:$M$4,2,FALSE)+IF($E322="In Progress",10,0)+IF(AND($I322&lt;&gt;"",$I322&lt;TODAY()),25,0)+IF(AND($I322&lt;&gt;"",$I322&gt;=TODAY(),$I322&lt;=TODAY()+7),15,0)+IF($H322="",0,IF($M322&lt;=VLOOKUP(Home!$C$7,Lists!$N$2:$O$6,2,FALSE),20,-10))+IF($G322=Home!$E$7,15,IF(Home!$E$7="",0,-5))-ROW()/100000)))</f>
        <v/>
      </c>
      <c r="O322" s="88">
        <f>IF($D322="","",IF($N322&lt;=-500,"Not recommended right now",IF($E322="Waiting","Nothing else actionable right now — Waiting on: "&amp;IF($K322="","this item",$K322),TEXTJOIN(" • ",TRUE,IF($F322="High","High Priority",""),IF(AND($I322&lt;&gt;"",$I322&lt;TODAY()),"Overdue",""),IF(AND($I322&lt;&gt;"",$I322&gt;=TODAY(),$I322&lt;=TODAY()+7),"Due This Week",""),IF(AND($H322&lt;&gt;"",$M322&lt;=VLOOKUP(Home!$C$7,Lists!$N$2:$O$6,2,FALSE)),$H322&amp;" Task",""),IF($G322=Home!$E$7,"Fits Current Energy",""),"No Blockers"))))</f>
        <v/>
      </c>
      <c r="P322" s="88">
        <f>IF($D322="","",SWITCH('Task Finder'!$C$6,"High Priority",AND($F322="High",$E322&lt;&gt;"Done",$E322&lt;&gt;"Archive"),"Due This Week",AND($I322&lt;&gt;"",$I322&gt;=TODAY(),$I322&lt;=TODAY()+7,$E322&lt;&gt;"Done"),"Quick Wins (15 mins or less)",AND($M322&lt;=15,$E322&lt;&gt;"Done",$E322&lt;&gt;"Blocked"),"Deep Thinking",AND($G322="Deep Thinking",$E322&lt;&gt;"Done"),"Processing",AND($G322="Processing",$E322&lt;&gt;"Done"),"Blocked",$E322="Blocked","Waiting",$E322="Waiting","Recently Updated",AND($L322&lt;&gt;"",$L322&gt;=TODAY()-7),"Keyword",AND('Task Finder'!$C$7&lt;&gt;"",OR(ISNUMBER(SEARCH('Task Finder'!$C$7,$A322)),ISNUMBER(SEARCH('Task Finder'!$C$7,$B322)),ISNUMBER(SEARCH('Task Finder'!$C$7,$C322)),ISNUMBER(SEARCH('Task Finder'!$C$7,$D322)),ISNUMBER(SEARCH('Task Finder'!$C$7,$K322)))),TRUE))</f>
        <v/>
      </c>
    </row>
    <row r="323">
      <c r="A323" s="19" t="n"/>
      <c r="B323" s="19" t="n"/>
      <c r="C323" s="19" t="n"/>
      <c r="D323" s="19" t="n"/>
      <c r="E323" s="19" t="n"/>
      <c r="F323" s="19" t="n"/>
      <c r="G323" s="19" t="n"/>
      <c r="H323" s="19" t="n"/>
      <c r="I323" s="19" t="n"/>
      <c r="J323" s="19" t="n"/>
      <c r="K323" s="19" t="n"/>
      <c r="L323" s="125" t="n"/>
      <c r="M323" s="88">
        <f>IF($D323="","",IFERROR(VLOOKUP($H323,Lists!$N$2:$O$6,2,FALSE),0))</f>
        <v/>
      </c>
      <c r="N323" s="88">
        <f>IF($D323="","",IF(OR($E323="Blocked",$E323="Done",$E323="Archive"),-9999,IF(AND($E323="Waiting",SUMPRODUCT((($E$5:$E$500="Next")+($E$5:$E$500="In Progress")+($E$5:$E$500="Captured"))*($D$5:$D$500&lt;&gt;""))&gt;0),-500,VLOOKUP($F323,Lists!$L$2:$M$4,2,FALSE)+IF($E323="In Progress",10,0)+IF(AND($I323&lt;&gt;"",$I323&lt;TODAY()),25,0)+IF(AND($I323&lt;&gt;"",$I323&gt;=TODAY(),$I323&lt;=TODAY()+7),15,0)+IF($H323="",0,IF($M323&lt;=VLOOKUP(Home!$C$7,Lists!$N$2:$O$6,2,FALSE),20,-10))+IF($G323=Home!$E$7,15,IF(Home!$E$7="",0,-5))-ROW()/100000)))</f>
        <v/>
      </c>
      <c r="O323" s="88">
        <f>IF($D323="","",IF($N323&lt;=-500,"Not recommended right now",IF($E323="Waiting","Nothing else actionable right now — Waiting on: "&amp;IF($K323="","this item",$K323),TEXTJOIN(" • ",TRUE,IF($F323="High","High Priority",""),IF(AND($I323&lt;&gt;"",$I323&lt;TODAY()),"Overdue",""),IF(AND($I323&lt;&gt;"",$I323&gt;=TODAY(),$I323&lt;=TODAY()+7),"Due This Week",""),IF(AND($H323&lt;&gt;"",$M323&lt;=VLOOKUP(Home!$C$7,Lists!$N$2:$O$6,2,FALSE)),$H323&amp;" Task",""),IF($G323=Home!$E$7,"Fits Current Energy",""),"No Blockers"))))</f>
        <v/>
      </c>
      <c r="P323" s="88">
        <f>IF($D323="","",SWITCH('Task Finder'!$C$6,"High Priority",AND($F323="High",$E323&lt;&gt;"Done",$E323&lt;&gt;"Archive"),"Due This Week",AND($I323&lt;&gt;"",$I323&gt;=TODAY(),$I323&lt;=TODAY()+7,$E323&lt;&gt;"Done"),"Quick Wins (15 mins or less)",AND($M323&lt;=15,$E323&lt;&gt;"Done",$E323&lt;&gt;"Blocked"),"Deep Thinking",AND($G323="Deep Thinking",$E323&lt;&gt;"Done"),"Processing",AND($G323="Processing",$E323&lt;&gt;"Done"),"Blocked",$E323="Blocked","Waiting",$E323="Waiting","Recently Updated",AND($L323&lt;&gt;"",$L323&gt;=TODAY()-7),"Keyword",AND('Task Finder'!$C$7&lt;&gt;"",OR(ISNUMBER(SEARCH('Task Finder'!$C$7,$A323)),ISNUMBER(SEARCH('Task Finder'!$C$7,$B323)),ISNUMBER(SEARCH('Task Finder'!$C$7,$C323)),ISNUMBER(SEARCH('Task Finder'!$C$7,$D323)),ISNUMBER(SEARCH('Task Finder'!$C$7,$K323)))),TRUE))</f>
        <v/>
      </c>
    </row>
    <row r="324">
      <c r="A324" s="19" t="n"/>
      <c r="B324" s="19" t="n"/>
      <c r="C324" s="19" t="n"/>
      <c r="D324" s="19" t="n"/>
      <c r="E324" s="19" t="n"/>
      <c r="F324" s="19" t="n"/>
      <c r="G324" s="19" t="n"/>
      <c r="H324" s="19" t="n"/>
      <c r="I324" s="19" t="n"/>
      <c r="J324" s="19" t="n"/>
      <c r="K324" s="19" t="n"/>
      <c r="L324" s="125" t="n"/>
      <c r="M324" s="88">
        <f>IF($D324="","",IFERROR(VLOOKUP($H324,Lists!$N$2:$O$6,2,FALSE),0))</f>
        <v/>
      </c>
      <c r="N324" s="88">
        <f>IF($D324="","",IF(OR($E324="Blocked",$E324="Done",$E324="Archive"),-9999,IF(AND($E324="Waiting",SUMPRODUCT((($E$5:$E$500="Next")+($E$5:$E$500="In Progress")+($E$5:$E$500="Captured"))*($D$5:$D$500&lt;&gt;""))&gt;0),-500,VLOOKUP($F324,Lists!$L$2:$M$4,2,FALSE)+IF($E324="In Progress",10,0)+IF(AND($I324&lt;&gt;"",$I324&lt;TODAY()),25,0)+IF(AND($I324&lt;&gt;"",$I324&gt;=TODAY(),$I324&lt;=TODAY()+7),15,0)+IF($H324="",0,IF($M324&lt;=VLOOKUP(Home!$C$7,Lists!$N$2:$O$6,2,FALSE),20,-10))+IF($G324=Home!$E$7,15,IF(Home!$E$7="",0,-5))-ROW()/100000)))</f>
        <v/>
      </c>
      <c r="O324" s="88">
        <f>IF($D324="","",IF($N324&lt;=-500,"Not recommended right now",IF($E324="Waiting","Nothing else actionable right now — Waiting on: "&amp;IF($K324="","this item",$K324),TEXTJOIN(" • ",TRUE,IF($F324="High","High Priority",""),IF(AND($I324&lt;&gt;"",$I324&lt;TODAY()),"Overdue",""),IF(AND($I324&lt;&gt;"",$I324&gt;=TODAY(),$I324&lt;=TODAY()+7),"Due This Week",""),IF(AND($H324&lt;&gt;"",$M324&lt;=VLOOKUP(Home!$C$7,Lists!$N$2:$O$6,2,FALSE)),$H324&amp;" Task",""),IF($G324=Home!$E$7,"Fits Current Energy",""),"No Blockers"))))</f>
        <v/>
      </c>
      <c r="P324" s="88">
        <f>IF($D324="","",SWITCH('Task Finder'!$C$6,"High Priority",AND($F324="High",$E324&lt;&gt;"Done",$E324&lt;&gt;"Archive"),"Due This Week",AND($I324&lt;&gt;"",$I324&gt;=TODAY(),$I324&lt;=TODAY()+7,$E324&lt;&gt;"Done"),"Quick Wins (15 mins or less)",AND($M324&lt;=15,$E324&lt;&gt;"Done",$E324&lt;&gt;"Blocked"),"Deep Thinking",AND($G324="Deep Thinking",$E324&lt;&gt;"Done"),"Processing",AND($G324="Processing",$E324&lt;&gt;"Done"),"Blocked",$E324="Blocked","Waiting",$E324="Waiting","Recently Updated",AND($L324&lt;&gt;"",$L324&gt;=TODAY()-7),"Keyword",AND('Task Finder'!$C$7&lt;&gt;"",OR(ISNUMBER(SEARCH('Task Finder'!$C$7,$A324)),ISNUMBER(SEARCH('Task Finder'!$C$7,$B324)),ISNUMBER(SEARCH('Task Finder'!$C$7,$C324)),ISNUMBER(SEARCH('Task Finder'!$C$7,$D324)),ISNUMBER(SEARCH('Task Finder'!$C$7,$K324)))),TRUE))</f>
        <v/>
      </c>
    </row>
    <row r="325">
      <c r="A325" s="19" t="n"/>
      <c r="B325" s="19" t="n"/>
      <c r="C325" s="19" t="n"/>
      <c r="D325" s="19" t="n"/>
      <c r="E325" s="19" t="n"/>
      <c r="F325" s="19" t="n"/>
      <c r="G325" s="19" t="n"/>
      <c r="H325" s="19" t="n"/>
      <c r="I325" s="19" t="n"/>
      <c r="J325" s="19" t="n"/>
      <c r="K325" s="19" t="n"/>
      <c r="L325" s="125" t="n"/>
      <c r="M325" s="88">
        <f>IF($D325="","",IFERROR(VLOOKUP($H325,Lists!$N$2:$O$6,2,FALSE),0))</f>
        <v/>
      </c>
      <c r="N325" s="88">
        <f>IF($D325="","",IF(OR($E325="Blocked",$E325="Done",$E325="Archive"),-9999,IF(AND($E325="Waiting",SUMPRODUCT((($E$5:$E$500="Next")+($E$5:$E$500="In Progress")+($E$5:$E$500="Captured"))*($D$5:$D$500&lt;&gt;""))&gt;0),-500,VLOOKUP($F325,Lists!$L$2:$M$4,2,FALSE)+IF($E325="In Progress",10,0)+IF(AND($I325&lt;&gt;"",$I325&lt;TODAY()),25,0)+IF(AND($I325&lt;&gt;"",$I325&gt;=TODAY(),$I325&lt;=TODAY()+7),15,0)+IF($H325="",0,IF($M325&lt;=VLOOKUP(Home!$C$7,Lists!$N$2:$O$6,2,FALSE),20,-10))+IF($G325=Home!$E$7,15,IF(Home!$E$7="",0,-5))-ROW()/100000)))</f>
        <v/>
      </c>
      <c r="O325" s="88">
        <f>IF($D325="","",IF($N325&lt;=-500,"Not recommended right now",IF($E325="Waiting","Nothing else actionable right now — Waiting on: "&amp;IF($K325="","this item",$K325),TEXTJOIN(" • ",TRUE,IF($F325="High","High Priority",""),IF(AND($I325&lt;&gt;"",$I325&lt;TODAY()),"Overdue",""),IF(AND($I325&lt;&gt;"",$I325&gt;=TODAY(),$I325&lt;=TODAY()+7),"Due This Week",""),IF(AND($H325&lt;&gt;"",$M325&lt;=VLOOKUP(Home!$C$7,Lists!$N$2:$O$6,2,FALSE)),$H325&amp;" Task",""),IF($G325=Home!$E$7,"Fits Current Energy",""),"No Blockers"))))</f>
        <v/>
      </c>
      <c r="P325" s="88">
        <f>IF($D325="","",SWITCH('Task Finder'!$C$6,"High Priority",AND($F325="High",$E325&lt;&gt;"Done",$E325&lt;&gt;"Archive"),"Due This Week",AND($I325&lt;&gt;"",$I325&gt;=TODAY(),$I325&lt;=TODAY()+7,$E325&lt;&gt;"Done"),"Quick Wins (15 mins or less)",AND($M325&lt;=15,$E325&lt;&gt;"Done",$E325&lt;&gt;"Blocked"),"Deep Thinking",AND($G325="Deep Thinking",$E325&lt;&gt;"Done"),"Processing",AND($G325="Processing",$E325&lt;&gt;"Done"),"Blocked",$E325="Blocked","Waiting",$E325="Waiting","Recently Updated",AND($L325&lt;&gt;"",$L325&gt;=TODAY()-7),"Keyword",AND('Task Finder'!$C$7&lt;&gt;"",OR(ISNUMBER(SEARCH('Task Finder'!$C$7,$A325)),ISNUMBER(SEARCH('Task Finder'!$C$7,$B325)),ISNUMBER(SEARCH('Task Finder'!$C$7,$C325)),ISNUMBER(SEARCH('Task Finder'!$C$7,$D325)),ISNUMBER(SEARCH('Task Finder'!$C$7,$K325)))),TRUE))</f>
        <v/>
      </c>
    </row>
    <row r="326">
      <c r="A326" s="19" t="n"/>
      <c r="B326" s="19" t="n"/>
      <c r="C326" s="19" t="n"/>
      <c r="D326" s="19" t="n"/>
      <c r="E326" s="19" t="n"/>
      <c r="F326" s="19" t="n"/>
      <c r="G326" s="19" t="n"/>
      <c r="H326" s="19" t="n"/>
      <c r="I326" s="19" t="n"/>
      <c r="J326" s="19" t="n"/>
      <c r="K326" s="19" t="n"/>
      <c r="L326" s="125" t="n"/>
      <c r="M326" s="88">
        <f>IF($D326="","",IFERROR(VLOOKUP($H326,Lists!$N$2:$O$6,2,FALSE),0))</f>
        <v/>
      </c>
      <c r="N326" s="88">
        <f>IF($D326="","",IF(OR($E326="Blocked",$E326="Done",$E326="Archive"),-9999,IF(AND($E326="Waiting",SUMPRODUCT((($E$5:$E$500="Next")+($E$5:$E$500="In Progress")+($E$5:$E$500="Captured"))*($D$5:$D$500&lt;&gt;""))&gt;0),-500,VLOOKUP($F326,Lists!$L$2:$M$4,2,FALSE)+IF($E326="In Progress",10,0)+IF(AND($I326&lt;&gt;"",$I326&lt;TODAY()),25,0)+IF(AND($I326&lt;&gt;"",$I326&gt;=TODAY(),$I326&lt;=TODAY()+7),15,0)+IF($H326="",0,IF($M326&lt;=VLOOKUP(Home!$C$7,Lists!$N$2:$O$6,2,FALSE),20,-10))+IF($G326=Home!$E$7,15,IF(Home!$E$7="",0,-5))-ROW()/100000)))</f>
        <v/>
      </c>
      <c r="O326" s="88">
        <f>IF($D326="","",IF($N326&lt;=-500,"Not recommended right now",IF($E326="Waiting","Nothing else actionable right now — Waiting on: "&amp;IF($K326="","this item",$K326),TEXTJOIN(" • ",TRUE,IF($F326="High","High Priority",""),IF(AND($I326&lt;&gt;"",$I326&lt;TODAY()),"Overdue",""),IF(AND($I326&lt;&gt;"",$I326&gt;=TODAY(),$I326&lt;=TODAY()+7),"Due This Week",""),IF(AND($H326&lt;&gt;"",$M326&lt;=VLOOKUP(Home!$C$7,Lists!$N$2:$O$6,2,FALSE)),$H326&amp;" Task",""),IF($G326=Home!$E$7,"Fits Current Energy",""),"No Blockers"))))</f>
        <v/>
      </c>
      <c r="P326" s="88">
        <f>IF($D326="","",SWITCH('Task Finder'!$C$6,"High Priority",AND($F326="High",$E326&lt;&gt;"Done",$E326&lt;&gt;"Archive"),"Due This Week",AND($I326&lt;&gt;"",$I326&gt;=TODAY(),$I326&lt;=TODAY()+7,$E326&lt;&gt;"Done"),"Quick Wins (15 mins or less)",AND($M326&lt;=15,$E326&lt;&gt;"Done",$E326&lt;&gt;"Blocked"),"Deep Thinking",AND($G326="Deep Thinking",$E326&lt;&gt;"Done"),"Processing",AND($G326="Processing",$E326&lt;&gt;"Done"),"Blocked",$E326="Blocked","Waiting",$E326="Waiting","Recently Updated",AND($L326&lt;&gt;"",$L326&gt;=TODAY()-7),"Keyword",AND('Task Finder'!$C$7&lt;&gt;"",OR(ISNUMBER(SEARCH('Task Finder'!$C$7,$A326)),ISNUMBER(SEARCH('Task Finder'!$C$7,$B326)),ISNUMBER(SEARCH('Task Finder'!$C$7,$C326)),ISNUMBER(SEARCH('Task Finder'!$C$7,$D326)),ISNUMBER(SEARCH('Task Finder'!$C$7,$K326)))),TRUE))</f>
        <v/>
      </c>
    </row>
    <row r="327">
      <c r="A327" s="19" t="n"/>
      <c r="B327" s="19" t="n"/>
      <c r="C327" s="19" t="n"/>
      <c r="D327" s="19" t="n"/>
      <c r="E327" s="19" t="n"/>
      <c r="F327" s="19" t="n"/>
      <c r="G327" s="19" t="n"/>
      <c r="H327" s="19" t="n"/>
      <c r="I327" s="19" t="n"/>
      <c r="J327" s="19" t="n"/>
      <c r="K327" s="19" t="n"/>
      <c r="L327" s="125" t="n"/>
      <c r="M327" s="88">
        <f>IF($D327="","",IFERROR(VLOOKUP($H327,Lists!$N$2:$O$6,2,FALSE),0))</f>
        <v/>
      </c>
      <c r="N327" s="88">
        <f>IF($D327="","",IF(OR($E327="Blocked",$E327="Done",$E327="Archive"),-9999,IF(AND($E327="Waiting",SUMPRODUCT((($E$5:$E$500="Next")+($E$5:$E$500="In Progress")+($E$5:$E$500="Captured"))*($D$5:$D$500&lt;&gt;""))&gt;0),-500,VLOOKUP($F327,Lists!$L$2:$M$4,2,FALSE)+IF($E327="In Progress",10,0)+IF(AND($I327&lt;&gt;"",$I327&lt;TODAY()),25,0)+IF(AND($I327&lt;&gt;"",$I327&gt;=TODAY(),$I327&lt;=TODAY()+7),15,0)+IF($H327="",0,IF($M327&lt;=VLOOKUP(Home!$C$7,Lists!$N$2:$O$6,2,FALSE),20,-10))+IF($G327=Home!$E$7,15,IF(Home!$E$7="",0,-5))-ROW()/100000)))</f>
        <v/>
      </c>
      <c r="O327" s="88">
        <f>IF($D327="","",IF($N327&lt;=-500,"Not recommended right now",IF($E327="Waiting","Nothing else actionable right now — Waiting on: "&amp;IF($K327="","this item",$K327),TEXTJOIN(" • ",TRUE,IF($F327="High","High Priority",""),IF(AND($I327&lt;&gt;"",$I327&lt;TODAY()),"Overdue",""),IF(AND($I327&lt;&gt;"",$I327&gt;=TODAY(),$I327&lt;=TODAY()+7),"Due This Week",""),IF(AND($H327&lt;&gt;"",$M327&lt;=VLOOKUP(Home!$C$7,Lists!$N$2:$O$6,2,FALSE)),$H327&amp;" Task",""),IF($G327=Home!$E$7,"Fits Current Energy",""),"No Blockers"))))</f>
        <v/>
      </c>
      <c r="P327" s="88">
        <f>IF($D327="","",SWITCH('Task Finder'!$C$6,"High Priority",AND($F327="High",$E327&lt;&gt;"Done",$E327&lt;&gt;"Archive"),"Due This Week",AND($I327&lt;&gt;"",$I327&gt;=TODAY(),$I327&lt;=TODAY()+7,$E327&lt;&gt;"Done"),"Quick Wins (15 mins or less)",AND($M327&lt;=15,$E327&lt;&gt;"Done",$E327&lt;&gt;"Blocked"),"Deep Thinking",AND($G327="Deep Thinking",$E327&lt;&gt;"Done"),"Processing",AND($G327="Processing",$E327&lt;&gt;"Done"),"Blocked",$E327="Blocked","Waiting",$E327="Waiting","Recently Updated",AND($L327&lt;&gt;"",$L327&gt;=TODAY()-7),"Keyword",AND('Task Finder'!$C$7&lt;&gt;"",OR(ISNUMBER(SEARCH('Task Finder'!$C$7,$A327)),ISNUMBER(SEARCH('Task Finder'!$C$7,$B327)),ISNUMBER(SEARCH('Task Finder'!$C$7,$C327)),ISNUMBER(SEARCH('Task Finder'!$C$7,$D327)),ISNUMBER(SEARCH('Task Finder'!$C$7,$K327)))),TRUE))</f>
        <v/>
      </c>
    </row>
    <row r="328">
      <c r="A328" s="19" t="n"/>
      <c r="B328" s="19" t="n"/>
      <c r="C328" s="19" t="n"/>
      <c r="D328" s="19" t="n"/>
      <c r="E328" s="19" t="n"/>
      <c r="F328" s="19" t="n"/>
      <c r="G328" s="19" t="n"/>
      <c r="H328" s="19" t="n"/>
      <c r="I328" s="19" t="n"/>
      <c r="J328" s="19" t="n"/>
      <c r="K328" s="19" t="n"/>
      <c r="L328" s="125" t="n"/>
      <c r="M328" s="88">
        <f>IF($D328="","",IFERROR(VLOOKUP($H328,Lists!$N$2:$O$6,2,FALSE),0))</f>
        <v/>
      </c>
      <c r="N328" s="88">
        <f>IF($D328="","",IF(OR($E328="Blocked",$E328="Done",$E328="Archive"),-9999,IF(AND($E328="Waiting",SUMPRODUCT((($E$5:$E$500="Next")+($E$5:$E$500="In Progress")+($E$5:$E$500="Captured"))*($D$5:$D$500&lt;&gt;""))&gt;0),-500,VLOOKUP($F328,Lists!$L$2:$M$4,2,FALSE)+IF($E328="In Progress",10,0)+IF(AND($I328&lt;&gt;"",$I328&lt;TODAY()),25,0)+IF(AND($I328&lt;&gt;"",$I328&gt;=TODAY(),$I328&lt;=TODAY()+7),15,0)+IF($H328="",0,IF($M328&lt;=VLOOKUP(Home!$C$7,Lists!$N$2:$O$6,2,FALSE),20,-10))+IF($G328=Home!$E$7,15,IF(Home!$E$7="",0,-5))-ROW()/100000)))</f>
        <v/>
      </c>
      <c r="O328" s="88">
        <f>IF($D328="","",IF($N328&lt;=-500,"Not recommended right now",IF($E328="Waiting","Nothing else actionable right now — Waiting on: "&amp;IF($K328="","this item",$K328),TEXTJOIN(" • ",TRUE,IF($F328="High","High Priority",""),IF(AND($I328&lt;&gt;"",$I328&lt;TODAY()),"Overdue",""),IF(AND($I328&lt;&gt;"",$I328&gt;=TODAY(),$I328&lt;=TODAY()+7),"Due This Week",""),IF(AND($H328&lt;&gt;"",$M328&lt;=VLOOKUP(Home!$C$7,Lists!$N$2:$O$6,2,FALSE)),$H328&amp;" Task",""),IF($G328=Home!$E$7,"Fits Current Energy",""),"No Blockers"))))</f>
        <v/>
      </c>
      <c r="P328" s="88">
        <f>IF($D328="","",SWITCH('Task Finder'!$C$6,"High Priority",AND($F328="High",$E328&lt;&gt;"Done",$E328&lt;&gt;"Archive"),"Due This Week",AND($I328&lt;&gt;"",$I328&gt;=TODAY(),$I328&lt;=TODAY()+7,$E328&lt;&gt;"Done"),"Quick Wins (15 mins or less)",AND($M328&lt;=15,$E328&lt;&gt;"Done",$E328&lt;&gt;"Blocked"),"Deep Thinking",AND($G328="Deep Thinking",$E328&lt;&gt;"Done"),"Processing",AND($G328="Processing",$E328&lt;&gt;"Done"),"Blocked",$E328="Blocked","Waiting",$E328="Waiting","Recently Updated",AND($L328&lt;&gt;"",$L328&gt;=TODAY()-7),"Keyword",AND('Task Finder'!$C$7&lt;&gt;"",OR(ISNUMBER(SEARCH('Task Finder'!$C$7,$A328)),ISNUMBER(SEARCH('Task Finder'!$C$7,$B328)),ISNUMBER(SEARCH('Task Finder'!$C$7,$C328)),ISNUMBER(SEARCH('Task Finder'!$C$7,$D328)),ISNUMBER(SEARCH('Task Finder'!$C$7,$K328)))),TRUE))</f>
        <v/>
      </c>
    </row>
    <row r="329">
      <c r="A329" s="19" t="n"/>
      <c r="B329" s="19" t="n"/>
      <c r="C329" s="19" t="n"/>
      <c r="D329" s="19" t="n"/>
      <c r="E329" s="19" t="n"/>
      <c r="F329" s="19" t="n"/>
      <c r="G329" s="19" t="n"/>
      <c r="H329" s="19" t="n"/>
      <c r="I329" s="19" t="n"/>
      <c r="J329" s="19" t="n"/>
      <c r="K329" s="19" t="n"/>
      <c r="L329" s="125" t="n"/>
      <c r="M329" s="88">
        <f>IF($D329="","",IFERROR(VLOOKUP($H329,Lists!$N$2:$O$6,2,FALSE),0))</f>
        <v/>
      </c>
      <c r="N329" s="88">
        <f>IF($D329="","",IF(OR($E329="Blocked",$E329="Done",$E329="Archive"),-9999,IF(AND($E329="Waiting",SUMPRODUCT((($E$5:$E$500="Next")+($E$5:$E$500="In Progress")+($E$5:$E$500="Captured"))*($D$5:$D$500&lt;&gt;""))&gt;0),-500,VLOOKUP($F329,Lists!$L$2:$M$4,2,FALSE)+IF($E329="In Progress",10,0)+IF(AND($I329&lt;&gt;"",$I329&lt;TODAY()),25,0)+IF(AND($I329&lt;&gt;"",$I329&gt;=TODAY(),$I329&lt;=TODAY()+7),15,0)+IF($H329="",0,IF($M329&lt;=VLOOKUP(Home!$C$7,Lists!$N$2:$O$6,2,FALSE),20,-10))+IF($G329=Home!$E$7,15,IF(Home!$E$7="",0,-5))-ROW()/100000)))</f>
        <v/>
      </c>
      <c r="O329" s="88">
        <f>IF($D329="","",IF($N329&lt;=-500,"Not recommended right now",IF($E329="Waiting","Nothing else actionable right now — Waiting on: "&amp;IF($K329="","this item",$K329),TEXTJOIN(" • ",TRUE,IF($F329="High","High Priority",""),IF(AND($I329&lt;&gt;"",$I329&lt;TODAY()),"Overdue",""),IF(AND($I329&lt;&gt;"",$I329&gt;=TODAY(),$I329&lt;=TODAY()+7),"Due This Week",""),IF(AND($H329&lt;&gt;"",$M329&lt;=VLOOKUP(Home!$C$7,Lists!$N$2:$O$6,2,FALSE)),$H329&amp;" Task",""),IF($G329=Home!$E$7,"Fits Current Energy",""),"No Blockers"))))</f>
        <v/>
      </c>
      <c r="P329" s="88">
        <f>IF($D329="","",SWITCH('Task Finder'!$C$6,"High Priority",AND($F329="High",$E329&lt;&gt;"Done",$E329&lt;&gt;"Archive"),"Due This Week",AND($I329&lt;&gt;"",$I329&gt;=TODAY(),$I329&lt;=TODAY()+7,$E329&lt;&gt;"Done"),"Quick Wins (15 mins or less)",AND($M329&lt;=15,$E329&lt;&gt;"Done",$E329&lt;&gt;"Blocked"),"Deep Thinking",AND($G329="Deep Thinking",$E329&lt;&gt;"Done"),"Processing",AND($G329="Processing",$E329&lt;&gt;"Done"),"Blocked",$E329="Blocked","Waiting",$E329="Waiting","Recently Updated",AND($L329&lt;&gt;"",$L329&gt;=TODAY()-7),"Keyword",AND('Task Finder'!$C$7&lt;&gt;"",OR(ISNUMBER(SEARCH('Task Finder'!$C$7,$A329)),ISNUMBER(SEARCH('Task Finder'!$C$7,$B329)),ISNUMBER(SEARCH('Task Finder'!$C$7,$C329)),ISNUMBER(SEARCH('Task Finder'!$C$7,$D329)),ISNUMBER(SEARCH('Task Finder'!$C$7,$K329)))),TRUE))</f>
        <v/>
      </c>
    </row>
    <row r="330">
      <c r="A330" s="19" t="n"/>
      <c r="B330" s="19" t="n"/>
      <c r="C330" s="19" t="n"/>
      <c r="D330" s="19" t="n"/>
      <c r="E330" s="19" t="n"/>
      <c r="F330" s="19" t="n"/>
      <c r="G330" s="19" t="n"/>
      <c r="H330" s="19" t="n"/>
      <c r="I330" s="19" t="n"/>
      <c r="J330" s="19" t="n"/>
      <c r="K330" s="19" t="n"/>
      <c r="L330" s="125" t="n"/>
      <c r="M330" s="88">
        <f>IF($D330="","",IFERROR(VLOOKUP($H330,Lists!$N$2:$O$6,2,FALSE),0))</f>
        <v/>
      </c>
      <c r="N330" s="88">
        <f>IF($D330="","",IF(OR($E330="Blocked",$E330="Done",$E330="Archive"),-9999,IF(AND($E330="Waiting",SUMPRODUCT((($E$5:$E$500="Next")+($E$5:$E$500="In Progress")+($E$5:$E$500="Captured"))*($D$5:$D$500&lt;&gt;""))&gt;0),-500,VLOOKUP($F330,Lists!$L$2:$M$4,2,FALSE)+IF($E330="In Progress",10,0)+IF(AND($I330&lt;&gt;"",$I330&lt;TODAY()),25,0)+IF(AND($I330&lt;&gt;"",$I330&gt;=TODAY(),$I330&lt;=TODAY()+7),15,0)+IF($H330="",0,IF($M330&lt;=VLOOKUP(Home!$C$7,Lists!$N$2:$O$6,2,FALSE),20,-10))+IF($G330=Home!$E$7,15,IF(Home!$E$7="",0,-5))-ROW()/100000)))</f>
        <v/>
      </c>
      <c r="O330" s="88">
        <f>IF($D330="","",IF($N330&lt;=-500,"Not recommended right now",IF($E330="Waiting","Nothing else actionable right now — Waiting on: "&amp;IF($K330="","this item",$K330),TEXTJOIN(" • ",TRUE,IF($F330="High","High Priority",""),IF(AND($I330&lt;&gt;"",$I330&lt;TODAY()),"Overdue",""),IF(AND($I330&lt;&gt;"",$I330&gt;=TODAY(),$I330&lt;=TODAY()+7),"Due This Week",""),IF(AND($H330&lt;&gt;"",$M330&lt;=VLOOKUP(Home!$C$7,Lists!$N$2:$O$6,2,FALSE)),$H330&amp;" Task",""),IF($G330=Home!$E$7,"Fits Current Energy",""),"No Blockers"))))</f>
        <v/>
      </c>
      <c r="P330" s="88">
        <f>IF($D330="","",SWITCH('Task Finder'!$C$6,"High Priority",AND($F330="High",$E330&lt;&gt;"Done",$E330&lt;&gt;"Archive"),"Due This Week",AND($I330&lt;&gt;"",$I330&gt;=TODAY(),$I330&lt;=TODAY()+7,$E330&lt;&gt;"Done"),"Quick Wins (15 mins or less)",AND($M330&lt;=15,$E330&lt;&gt;"Done",$E330&lt;&gt;"Blocked"),"Deep Thinking",AND($G330="Deep Thinking",$E330&lt;&gt;"Done"),"Processing",AND($G330="Processing",$E330&lt;&gt;"Done"),"Blocked",$E330="Blocked","Waiting",$E330="Waiting","Recently Updated",AND($L330&lt;&gt;"",$L330&gt;=TODAY()-7),"Keyword",AND('Task Finder'!$C$7&lt;&gt;"",OR(ISNUMBER(SEARCH('Task Finder'!$C$7,$A330)),ISNUMBER(SEARCH('Task Finder'!$C$7,$B330)),ISNUMBER(SEARCH('Task Finder'!$C$7,$C330)),ISNUMBER(SEARCH('Task Finder'!$C$7,$D330)),ISNUMBER(SEARCH('Task Finder'!$C$7,$K330)))),TRUE))</f>
        <v/>
      </c>
    </row>
    <row r="331">
      <c r="A331" s="19" t="n"/>
      <c r="B331" s="19" t="n"/>
      <c r="C331" s="19" t="n"/>
      <c r="D331" s="19" t="n"/>
      <c r="E331" s="19" t="n"/>
      <c r="F331" s="19" t="n"/>
      <c r="G331" s="19" t="n"/>
      <c r="H331" s="19" t="n"/>
      <c r="I331" s="19" t="n"/>
      <c r="J331" s="19" t="n"/>
      <c r="K331" s="19" t="n"/>
      <c r="L331" s="125" t="n"/>
      <c r="M331" s="88">
        <f>IF($D331="","",IFERROR(VLOOKUP($H331,Lists!$N$2:$O$6,2,FALSE),0))</f>
        <v/>
      </c>
      <c r="N331" s="88">
        <f>IF($D331="","",IF(OR($E331="Blocked",$E331="Done",$E331="Archive"),-9999,IF(AND($E331="Waiting",SUMPRODUCT((($E$5:$E$500="Next")+($E$5:$E$500="In Progress")+($E$5:$E$500="Captured"))*($D$5:$D$500&lt;&gt;""))&gt;0),-500,VLOOKUP($F331,Lists!$L$2:$M$4,2,FALSE)+IF($E331="In Progress",10,0)+IF(AND($I331&lt;&gt;"",$I331&lt;TODAY()),25,0)+IF(AND($I331&lt;&gt;"",$I331&gt;=TODAY(),$I331&lt;=TODAY()+7),15,0)+IF($H331="",0,IF($M331&lt;=VLOOKUP(Home!$C$7,Lists!$N$2:$O$6,2,FALSE),20,-10))+IF($G331=Home!$E$7,15,IF(Home!$E$7="",0,-5))-ROW()/100000)))</f>
        <v/>
      </c>
      <c r="O331" s="88">
        <f>IF($D331="","",IF($N331&lt;=-500,"Not recommended right now",IF($E331="Waiting","Nothing else actionable right now — Waiting on: "&amp;IF($K331="","this item",$K331),TEXTJOIN(" • ",TRUE,IF($F331="High","High Priority",""),IF(AND($I331&lt;&gt;"",$I331&lt;TODAY()),"Overdue",""),IF(AND($I331&lt;&gt;"",$I331&gt;=TODAY(),$I331&lt;=TODAY()+7),"Due This Week",""),IF(AND($H331&lt;&gt;"",$M331&lt;=VLOOKUP(Home!$C$7,Lists!$N$2:$O$6,2,FALSE)),$H331&amp;" Task",""),IF($G331=Home!$E$7,"Fits Current Energy",""),"No Blockers"))))</f>
        <v/>
      </c>
      <c r="P331" s="88">
        <f>IF($D331="","",SWITCH('Task Finder'!$C$6,"High Priority",AND($F331="High",$E331&lt;&gt;"Done",$E331&lt;&gt;"Archive"),"Due This Week",AND($I331&lt;&gt;"",$I331&gt;=TODAY(),$I331&lt;=TODAY()+7,$E331&lt;&gt;"Done"),"Quick Wins (15 mins or less)",AND($M331&lt;=15,$E331&lt;&gt;"Done",$E331&lt;&gt;"Blocked"),"Deep Thinking",AND($G331="Deep Thinking",$E331&lt;&gt;"Done"),"Processing",AND($G331="Processing",$E331&lt;&gt;"Done"),"Blocked",$E331="Blocked","Waiting",$E331="Waiting","Recently Updated",AND($L331&lt;&gt;"",$L331&gt;=TODAY()-7),"Keyword",AND('Task Finder'!$C$7&lt;&gt;"",OR(ISNUMBER(SEARCH('Task Finder'!$C$7,$A331)),ISNUMBER(SEARCH('Task Finder'!$C$7,$B331)),ISNUMBER(SEARCH('Task Finder'!$C$7,$C331)),ISNUMBER(SEARCH('Task Finder'!$C$7,$D331)),ISNUMBER(SEARCH('Task Finder'!$C$7,$K331)))),TRUE))</f>
        <v/>
      </c>
    </row>
    <row r="332">
      <c r="A332" s="19" t="n"/>
      <c r="B332" s="19" t="n"/>
      <c r="C332" s="19" t="n"/>
      <c r="D332" s="19" t="n"/>
      <c r="E332" s="19" t="n"/>
      <c r="F332" s="19" t="n"/>
      <c r="G332" s="19" t="n"/>
      <c r="H332" s="19" t="n"/>
      <c r="I332" s="19" t="n"/>
      <c r="J332" s="19" t="n"/>
      <c r="K332" s="19" t="n"/>
      <c r="L332" s="125" t="n"/>
      <c r="M332" s="88">
        <f>IF($D332="","",IFERROR(VLOOKUP($H332,Lists!$N$2:$O$6,2,FALSE),0))</f>
        <v/>
      </c>
      <c r="N332" s="88">
        <f>IF($D332="","",IF(OR($E332="Blocked",$E332="Done",$E332="Archive"),-9999,IF(AND($E332="Waiting",SUMPRODUCT((($E$5:$E$500="Next")+($E$5:$E$500="In Progress")+($E$5:$E$500="Captured"))*($D$5:$D$500&lt;&gt;""))&gt;0),-500,VLOOKUP($F332,Lists!$L$2:$M$4,2,FALSE)+IF($E332="In Progress",10,0)+IF(AND($I332&lt;&gt;"",$I332&lt;TODAY()),25,0)+IF(AND($I332&lt;&gt;"",$I332&gt;=TODAY(),$I332&lt;=TODAY()+7),15,0)+IF($H332="",0,IF($M332&lt;=VLOOKUP(Home!$C$7,Lists!$N$2:$O$6,2,FALSE),20,-10))+IF($G332=Home!$E$7,15,IF(Home!$E$7="",0,-5))-ROW()/100000)))</f>
        <v/>
      </c>
      <c r="O332" s="88">
        <f>IF($D332="","",IF($N332&lt;=-500,"Not recommended right now",IF($E332="Waiting","Nothing else actionable right now — Waiting on: "&amp;IF($K332="","this item",$K332),TEXTJOIN(" • ",TRUE,IF($F332="High","High Priority",""),IF(AND($I332&lt;&gt;"",$I332&lt;TODAY()),"Overdue",""),IF(AND($I332&lt;&gt;"",$I332&gt;=TODAY(),$I332&lt;=TODAY()+7),"Due This Week",""),IF(AND($H332&lt;&gt;"",$M332&lt;=VLOOKUP(Home!$C$7,Lists!$N$2:$O$6,2,FALSE)),$H332&amp;" Task",""),IF($G332=Home!$E$7,"Fits Current Energy",""),"No Blockers"))))</f>
        <v/>
      </c>
      <c r="P332" s="88">
        <f>IF($D332="","",SWITCH('Task Finder'!$C$6,"High Priority",AND($F332="High",$E332&lt;&gt;"Done",$E332&lt;&gt;"Archive"),"Due This Week",AND($I332&lt;&gt;"",$I332&gt;=TODAY(),$I332&lt;=TODAY()+7,$E332&lt;&gt;"Done"),"Quick Wins (15 mins or less)",AND($M332&lt;=15,$E332&lt;&gt;"Done",$E332&lt;&gt;"Blocked"),"Deep Thinking",AND($G332="Deep Thinking",$E332&lt;&gt;"Done"),"Processing",AND($G332="Processing",$E332&lt;&gt;"Done"),"Blocked",$E332="Blocked","Waiting",$E332="Waiting","Recently Updated",AND($L332&lt;&gt;"",$L332&gt;=TODAY()-7),"Keyword",AND('Task Finder'!$C$7&lt;&gt;"",OR(ISNUMBER(SEARCH('Task Finder'!$C$7,$A332)),ISNUMBER(SEARCH('Task Finder'!$C$7,$B332)),ISNUMBER(SEARCH('Task Finder'!$C$7,$C332)),ISNUMBER(SEARCH('Task Finder'!$C$7,$D332)),ISNUMBER(SEARCH('Task Finder'!$C$7,$K332)))),TRUE))</f>
        <v/>
      </c>
    </row>
    <row r="333">
      <c r="A333" s="19" t="n"/>
      <c r="B333" s="19" t="n"/>
      <c r="C333" s="19" t="n"/>
      <c r="D333" s="19" t="n"/>
      <c r="E333" s="19" t="n"/>
      <c r="F333" s="19" t="n"/>
      <c r="G333" s="19" t="n"/>
      <c r="H333" s="19" t="n"/>
      <c r="I333" s="19" t="n"/>
      <c r="J333" s="19" t="n"/>
      <c r="K333" s="19" t="n"/>
      <c r="L333" s="125" t="n"/>
      <c r="M333" s="88">
        <f>IF($D333="","",IFERROR(VLOOKUP($H333,Lists!$N$2:$O$6,2,FALSE),0))</f>
        <v/>
      </c>
      <c r="N333" s="88">
        <f>IF($D333="","",IF(OR($E333="Blocked",$E333="Done",$E333="Archive"),-9999,IF(AND($E333="Waiting",SUMPRODUCT((($E$5:$E$500="Next")+($E$5:$E$500="In Progress")+($E$5:$E$500="Captured"))*($D$5:$D$500&lt;&gt;""))&gt;0),-500,VLOOKUP($F333,Lists!$L$2:$M$4,2,FALSE)+IF($E333="In Progress",10,0)+IF(AND($I333&lt;&gt;"",$I333&lt;TODAY()),25,0)+IF(AND($I333&lt;&gt;"",$I333&gt;=TODAY(),$I333&lt;=TODAY()+7),15,0)+IF($H333="",0,IF($M333&lt;=VLOOKUP(Home!$C$7,Lists!$N$2:$O$6,2,FALSE),20,-10))+IF($G333=Home!$E$7,15,IF(Home!$E$7="",0,-5))-ROW()/100000)))</f>
        <v/>
      </c>
      <c r="O333" s="88">
        <f>IF($D333="","",IF($N333&lt;=-500,"Not recommended right now",IF($E333="Waiting","Nothing else actionable right now — Waiting on: "&amp;IF($K333="","this item",$K333),TEXTJOIN(" • ",TRUE,IF($F333="High","High Priority",""),IF(AND($I333&lt;&gt;"",$I333&lt;TODAY()),"Overdue",""),IF(AND($I333&lt;&gt;"",$I333&gt;=TODAY(),$I333&lt;=TODAY()+7),"Due This Week",""),IF(AND($H333&lt;&gt;"",$M333&lt;=VLOOKUP(Home!$C$7,Lists!$N$2:$O$6,2,FALSE)),$H333&amp;" Task",""),IF($G333=Home!$E$7,"Fits Current Energy",""),"No Blockers"))))</f>
        <v/>
      </c>
      <c r="P333" s="88">
        <f>IF($D333="","",SWITCH('Task Finder'!$C$6,"High Priority",AND($F333="High",$E333&lt;&gt;"Done",$E333&lt;&gt;"Archive"),"Due This Week",AND($I333&lt;&gt;"",$I333&gt;=TODAY(),$I333&lt;=TODAY()+7,$E333&lt;&gt;"Done"),"Quick Wins (15 mins or less)",AND($M333&lt;=15,$E333&lt;&gt;"Done",$E333&lt;&gt;"Blocked"),"Deep Thinking",AND($G333="Deep Thinking",$E333&lt;&gt;"Done"),"Processing",AND($G333="Processing",$E333&lt;&gt;"Done"),"Blocked",$E333="Blocked","Waiting",$E333="Waiting","Recently Updated",AND($L333&lt;&gt;"",$L333&gt;=TODAY()-7),"Keyword",AND('Task Finder'!$C$7&lt;&gt;"",OR(ISNUMBER(SEARCH('Task Finder'!$C$7,$A333)),ISNUMBER(SEARCH('Task Finder'!$C$7,$B333)),ISNUMBER(SEARCH('Task Finder'!$C$7,$C333)),ISNUMBER(SEARCH('Task Finder'!$C$7,$D333)),ISNUMBER(SEARCH('Task Finder'!$C$7,$K333)))),TRUE))</f>
        <v/>
      </c>
    </row>
    <row r="334">
      <c r="A334" s="19" t="n"/>
      <c r="B334" s="19" t="n"/>
      <c r="C334" s="19" t="n"/>
      <c r="D334" s="19" t="n"/>
      <c r="E334" s="19" t="n"/>
      <c r="F334" s="19" t="n"/>
      <c r="G334" s="19" t="n"/>
      <c r="H334" s="19" t="n"/>
      <c r="I334" s="19" t="n"/>
      <c r="J334" s="19" t="n"/>
      <c r="K334" s="19" t="n"/>
      <c r="L334" s="125" t="n"/>
      <c r="M334" s="88">
        <f>IF($D334="","",IFERROR(VLOOKUP($H334,Lists!$N$2:$O$6,2,FALSE),0))</f>
        <v/>
      </c>
      <c r="N334" s="88">
        <f>IF($D334="","",IF(OR($E334="Blocked",$E334="Done",$E334="Archive"),-9999,IF(AND($E334="Waiting",SUMPRODUCT((($E$5:$E$500="Next")+($E$5:$E$500="In Progress")+($E$5:$E$500="Captured"))*($D$5:$D$500&lt;&gt;""))&gt;0),-500,VLOOKUP($F334,Lists!$L$2:$M$4,2,FALSE)+IF($E334="In Progress",10,0)+IF(AND($I334&lt;&gt;"",$I334&lt;TODAY()),25,0)+IF(AND($I334&lt;&gt;"",$I334&gt;=TODAY(),$I334&lt;=TODAY()+7),15,0)+IF($H334="",0,IF($M334&lt;=VLOOKUP(Home!$C$7,Lists!$N$2:$O$6,2,FALSE),20,-10))+IF($G334=Home!$E$7,15,IF(Home!$E$7="",0,-5))-ROW()/100000)))</f>
        <v/>
      </c>
      <c r="O334" s="88">
        <f>IF($D334="","",IF($N334&lt;=-500,"Not recommended right now",IF($E334="Waiting","Nothing else actionable right now — Waiting on: "&amp;IF($K334="","this item",$K334),TEXTJOIN(" • ",TRUE,IF($F334="High","High Priority",""),IF(AND($I334&lt;&gt;"",$I334&lt;TODAY()),"Overdue",""),IF(AND($I334&lt;&gt;"",$I334&gt;=TODAY(),$I334&lt;=TODAY()+7),"Due This Week",""),IF(AND($H334&lt;&gt;"",$M334&lt;=VLOOKUP(Home!$C$7,Lists!$N$2:$O$6,2,FALSE)),$H334&amp;" Task",""),IF($G334=Home!$E$7,"Fits Current Energy",""),"No Blockers"))))</f>
        <v/>
      </c>
      <c r="P334" s="88">
        <f>IF($D334="","",SWITCH('Task Finder'!$C$6,"High Priority",AND($F334="High",$E334&lt;&gt;"Done",$E334&lt;&gt;"Archive"),"Due This Week",AND($I334&lt;&gt;"",$I334&gt;=TODAY(),$I334&lt;=TODAY()+7,$E334&lt;&gt;"Done"),"Quick Wins (15 mins or less)",AND($M334&lt;=15,$E334&lt;&gt;"Done",$E334&lt;&gt;"Blocked"),"Deep Thinking",AND($G334="Deep Thinking",$E334&lt;&gt;"Done"),"Processing",AND($G334="Processing",$E334&lt;&gt;"Done"),"Blocked",$E334="Blocked","Waiting",$E334="Waiting","Recently Updated",AND($L334&lt;&gt;"",$L334&gt;=TODAY()-7),"Keyword",AND('Task Finder'!$C$7&lt;&gt;"",OR(ISNUMBER(SEARCH('Task Finder'!$C$7,$A334)),ISNUMBER(SEARCH('Task Finder'!$C$7,$B334)),ISNUMBER(SEARCH('Task Finder'!$C$7,$C334)),ISNUMBER(SEARCH('Task Finder'!$C$7,$D334)),ISNUMBER(SEARCH('Task Finder'!$C$7,$K334)))),TRUE))</f>
        <v/>
      </c>
    </row>
    <row r="335">
      <c r="A335" s="19" t="n"/>
      <c r="B335" s="19" t="n"/>
      <c r="C335" s="19" t="n"/>
      <c r="D335" s="19" t="n"/>
      <c r="E335" s="19" t="n"/>
      <c r="F335" s="19" t="n"/>
      <c r="G335" s="19" t="n"/>
      <c r="H335" s="19" t="n"/>
      <c r="I335" s="19" t="n"/>
      <c r="J335" s="19" t="n"/>
      <c r="K335" s="19" t="n"/>
      <c r="L335" s="125" t="n"/>
      <c r="M335" s="88">
        <f>IF($D335="","",IFERROR(VLOOKUP($H335,Lists!$N$2:$O$6,2,FALSE),0))</f>
        <v/>
      </c>
      <c r="N335" s="88">
        <f>IF($D335="","",IF(OR($E335="Blocked",$E335="Done",$E335="Archive"),-9999,IF(AND($E335="Waiting",SUMPRODUCT((($E$5:$E$500="Next")+($E$5:$E$500="In Progress")+($E$5:$E$500="Captured"))*($D$5:$D$500&lt;&gt;""))&gt;0),-500,VLOOKUP($F335,Lists!$L$2:$M$4,2,FALSE)+IF($E335="In Progress",10,0)+IF(AND($I335&lt;&gt;"",$I335&lt;TODAY()),25,0)+IF(AND($I335&lt;&gt;"",$I335&gt;=TODAY(),$I335&lt;=TODAY()+7),15,0)+IF($H335="",0,IF($M335&lt;=VLOOKUP(Home!$C$7,Lists!$N$2:$O$6,2,FALSE),20,-10))+IF($G335=Home!$E$7,15,IF(Home!$E$7="",0,-5))-ROW()/100000)))</f>
        <v/>
      </c>
      <c r="O335" s="88">
        <f>IF($D335="","",IF($N335&lt;=-500,"Not recommended right now",IF($E335="Waiting","Nothing else actionable right now — Waiting on: "&amp;IF($K335="","this item",$K335),TEXTJOIN(" • ",TRUE,IF($F335="High","High Priority",""),IF(AND($I335&lt;&gt;"",$I335&lt;TODAY()),"Overdue",""),IF(AND($I335&lt;&gt;"",$I335&gt;=TODAY(),$I335&lt;=TODAY()+7),"Due This Week",""),IF(AND($H335&lt;&gt;"",$M335&lt;=VLOOKUP(Home!$C$7,Lists!$N$2:$O$6,2,FALSE)),$H335&amp;" Task",""),IF($G335=Home!$E$7,"Fits Current Energy",""),"No Blockers"))))</f>
        <v/>
      </c>
      <c r="P335" s="88">
        <f>IF($D335="","",SWITCH('Task Finder'!$C$6,"High Priority",AND($F335="High",$E335&lt;&gt;"Done",$E335&lt;&gt;"Archive"),"Due This Week",AND($I335&lt;&gt;"",$I335&gt;=TODAY(),$I335&lt;=TODAY()+7,$E335&lt;&gt;"Done"),"Quick Wins (15 mins or less)",AND($M335&lt;=15,$E335&lt;&gt;"Done",$E335&lt;&gt;"Blocked"),"Deep Thinking",AND($G335="Deep Thinking",$E335&lt;&gt;"Done"),"Processing",AND($G335="Processing",$E335&lt;&gt;"Done"),"Blocked",$E335="Blocked","Waiting",$E335="Waiting","Recently Updated",AND($L335&lt;&gt;"",$L335&gt;=TODAY()-7),"Keyword",AND('Task Finder'!$C$7&lt;&gt;"",OR(ISNUMBER(SEARCH('Task Finder'!$C$7,$A335)),ISNUMBER(SEARCH('Task Finder'!$C$7,$B335)),ISNUMBER(SEARCH('Task Finder'!$C$7,$C335)),ISNUMBER(SEARCH('Task Finder'!$C$7,$D335)),ISNUMBER(SEARCH('Task Finder'!$C$7,$K335)))),TRUE))</f>
        <v/>
      </c>
    </row>
    <row r="336">
      <c r="A336" s="19" t="n"/>
      <c r="B336" s="19" t="n"/>
      <c r="C336" s="19" t="n"/>
      <c r="D336" s="19" t="n"/>
      <c r="E336" s="19" t="n"/>
      <c r="F336" s="19" t="n"/>
      <c r="G336" s="19" t="n"/>
      <c r="H336" s="19" t="n"/>
      <c r="I336" s="19" t="n"/>
      <c r="J336" s="19" t="n"/>
      <c r="K336" s="19" t="n"/>
      <c r="L336" s="125" t="n"/>
      <c r="M336" s="88">
        <f>IF($D336="","",IFERROR(VLOOKUP($H336,Lists!$N$2:$O$6,2,FALSE),0))</f>
        <v/>
      </c>
      <c r="N336" s="88">
        <f>IF($D336="","",IF(OR($E336="Blocked",$E336="Done",$E336="Archive"),-9999,IF(AND($E336="Waiting",SUMPRODUCT((($E$5:$E$500="Next")+($E$5:$E$500="In Progress")+($E$5:$E$500="Captured"))*($D$5:$D$500&lt;&gt;""))&gt;0),-500,VLOOKUP($F336,Lists!$L$2:$M$4,2,FALSE)+IF($E336="In Progress",10,0)+IF(AND($I336&lt;&gt;"",$I336&lt;TODAY()),25,0)+IF(AND($I336&lt;&gt;"",$I336&gt;=TODAY(),$I336&lt;=TODAY()+7),15,0)+IF($H336="",0,IF($M336&lt;=VLOOKUP(Home!$C$7,Lists!$N$2:$O$6,2,FALSE),20,-10))+IF($G336=Home!$E$7,15,IF(Home!$E$7="",0,-5))-ROW()/100000)))</f>
        <v/>
      </c>
      <c r="O336" s="88">
        <f>IF($D336="","",IF($N336&lt;=-500,"Not recommended right now",IF($E336="Waiting","Nothing else actionable right now — Waiting on: "&amp;IF($K336="","this item",$K336),TEXTJOIN(" • ",TRUE,IF($F336="High","High Priority",""),IF(AND($I336&lt;&gt;"",$I336&lt;TODAY()),"Overdue",""),IF(AND($I336&lt;&gt;"",$I336&gt;=TODAY(),$I336&lt;=TODAY()+7),"Due This Week",""),IF(AND($H336&lt;&gt;"",$M336&lt;=VLOOKUP(Home!$C$7,Lists!$N$2:$O$6,2,FALSE)),$H336&amp;" Task",""),IF($G336=Home!$E$7,"Fits Current Energy",""),"No Blockers"))))</f>
        <v/>
      </c>
      <c r="P336" s="88">
        <f>IF($D336="","",SWITCH('Task Finder'!$C$6,"High Priority",AND($F336="High",$E336&lt;&gt;"Done",$E336&lt;&gt;"Archive"),"Due This Week",AND($I336&lt;&gt;"",$I336&gt;=TODAY(),$I336&lt;=TODAY()+7,$E336&lt;&gt;"Done"),"Quick Wins (15 mins or less)",AND($M336&lt;=15,$E336&lt;&gt;"Done",$E336&lt;&gt;"Blocked"),"Deep Thinking",AND($G336="Deep Thinking",$E336&lt;&gt;"Done"),"Processing",AND($G336="Processing",$E336&lt;&gt;"Done"),"Blocked",$E336="Blocked","Waiting",$E336="Waiting","Recently Updated",AND($L336&lt;&gt;"",$L336&gt;=TODAY()-7),"Keyword",AND('Task Finder'!$C$7&lt;&gt;"",OR(ISNUMBER(SEARCH('Task Finder'!$C$7,$A336)),ISNUMBER(SEARCH('Task Finder'!$C$7,$B336)),ISNUMBER(SEARCH('Task Finder'!$C$7,$C336)),ISNUMBER(SEARCH('Task Finder'!$C$7,$D336)),ISNUMBER(SEARCH('Task Finder'!$C$7,$K336)))),TRUE))</f>
        <v/>
      </c>
    </row>
    <row r="337">
      <c r="A337" s="19" t="n"/>
      <c r="B337" s="19" t="n"/>
      <c r="C337" s="19" t="n"/>
      <c r="D337" s="19" t="n"/>
      <c r="E337" s="19" t="n"/>
      <c r="F337" s="19" t="n"/>
      <c r="G337" s="19" t="n"/>
      <c r="H337" s="19" t="n"/>
      <c r="I337" s="19" t="n"/>
      <c r="J337" s="19" t="n"/>
      <c r="K337" s="19" t="n"/>
      <c r="L337" s="125" t="n"/>
      <c r="M337" s="88">
        <f>IF($D337="","",IFERROR(VLOOKUP($H337,Lists!$N$2:$O$6,2,FALSE),0))</f>
        <v/>
      </c>
      <c r="N337" s="88">
        <f>IF($D337="","",IF(OR($E337="Blocked",$E337="Done",$E337="Archive"),-9999,IF(AND($E337="Waiting",SUMPRODUCT((($E$5:$E$500="Next")+($E$5:$E$500="In Progress")+($E$5:$E$500="Captured"))*($D$5:$D$500&lt;&gt;""))&gt;0),-500,VLOOKUP($F337,Lists!$L$2:$M$4,2,FALSE)+IF($E337="In Progress",10,0)+IF(AND($I337&lt;&gt;"",$I337&lt;TODAY()),25,0)+IF(AND($I337&lt;&gt;"",$I337&gt;=TODAY(),$I337&lt;=TODAY()+7),15,0)+IF($H337="",0,IF($M337&lt;=VLOOKUP(Home!$C$7,Lists!$N$2:$O$6,2,FALSE),20,-10))+IF($G337=Home!$E$7,15,IF(Home!$E$7="",0,-5))-ROW()/100000)))</f>
        <v/>
      </c>
      <c r="O337" s="88">
        <f>IF($D337="","",IF($N337&lt;=-500,"Not recommended right now",IF($E337="Waiting","Nothing else actionable right now — Waiting on: "&amp;IF($K337="","this item",$K337),TEXTJOIN(" • ",TRUE,IF($F337="High","High Priority",""),IF(AND($I337&lt;&gt;"",$I337&lt;TODAY()),"Overdue",""),IF(AND($I337&lt;&gt;"",$I337&gt;=TODAY(),$I337&lt;=TODAY()+7),"Due This Week",""),IF(AND($H337&lt;&gt;"",$M337&lt;=VLOOKUP(Home!$C$7,Lists!$N$2:$O$6,2,FALSE)),$H337&amp;" Task",""),IF($G337=Home!$E$7,"Fits Current Energy",""),"No Blockers"))))</f>
        <v/>
      </c>
      <c r="P337" s="88">
        <f>IF($D337="","",SWITCH('Task Finder'!$C$6,"High Priority",AND($F337="High",$E337&lt;&gt;"Done",$E337&lt;&gt;"Archive"),"Due This Week",AND($I337&lt;&gt;"",$I337&gt;=TODAY(),$I337&lt;=TODAY()+7,$E337&lt;&gt;"Done"),"Quick Wins (15 mins or less)",AND($M337&lt;=15,$E337&lt;&gt;"Done",$E337&lt;&gt;"Blocked"),"Deep Thinking",AND($G337="Deep Thinking",$E337&lt;&gt;"Done"),"Processing",AND($G337="Processing",$E337&lt;&gt;"Done"),"Blocked",$E337="Blocked","Waiting",$E337="Waiting","Recently Updated",AND($L337&lt;&gt;"",$L337&gt;=TODAY()-7),"Keyword",AND('Task Finder'!$C$7&lt;&gt;"",OR(ISNUMBER(SEARCH('Task Finder'!$C$7,$A337)),ISNUMBER(SEARCH('Task Finder'!$C$7,$B337)),ISNUMBER(SEARCH('Task Finder'!$C$7,$C337)),ISNUMBER(SEARCH('Task Finder'!$C$7,$D337)),ISNUMBER(SEARCH('Task Finder'!$C$7,$K337)))),TRUE))</f>
        <v/>
      </c>
    </row>
    <row r="338">
      <c r="A338" s="19" t="n"/>
      <c r="B338" s="19" t="n"/>
      <c r="C338" s="19" t="n"/>
      <c r="D338" s="19" t="n"/>
      <c r="E338" s="19" t="n"/>
      <c r="F338" s="19" t="n"/>
      <c r="G338" s="19" t="n"/>
      <c r="H338" s="19" t="n"/>
      <c r="I338" s="19" t="n"/>
      <c r="J338" s="19" t="n"/>
      <c r="K338" s="19" t="n"/>
      <c r="L338" s="125" t="n"/>
      <c r="M338" s="88">
        <f>IF($D338="","",IFERROR(VLOOKUP($H338,Lists!$N$2:$O$6,2,FALSE),0))</f>
        <v/>
      </c>
      <c r="N338" s="88">
        <f>IF($D338="","",IF(OR($E338="Blocked",$E338="Done",$E338="Archive"),-9999,IF(AND($E338="Waiting",SUMPRODUCT((($E$5:$E$500="Next")+($E$5:$E$500="In Progress")+($E$5:$E$500="Captured"))*($D$5:$D$500&lt;&gt;""))&gt;0),-500,VLOOKUP($F338,Lists!$L$2:$M$4,2,FALSE)+IF($E338="In Progress",10,0)+IF(AND($I338&lt;&gt;"",$I338&lt;TODAY()),25,0)+IF(AND($I338&lt;&gt;"",$I338&gt;=TODAY(),$I338&lt;=TODAY()+7),15,0)+IF($H338="",0,IF($M338&lt;=VLOOKUP(Home!$C$7,Lists!$N$2:$O$6,2,FALSE),20,-10))+IF($G338=Home!$E$7,15,IF(Home!$E$7="",0,-5))-ROW()/100000)))</f>
        <v/>
      </c>
      <c r="O338" s="88">
        <f>IF($D338="","",IF($N338&lt;=-500,"Not recommended right now",IF($E338="Waiting","Nothing else actionable right now — Waiting on: "&amp;IF($K338="","this item",$K338),TEXTJOIN(" • ",TRUE,IF($F338="High","High Priority",""),IF(AND($I338&lt;&gt;"",$I338&lt;TODAY()),"Overdue",""),IF(AND($I338&lt;&gt;"",$I338&gt;=TODAY(),$I338&lt;=TODAY()+7),"Due This Week",""),IF(AND($H338&lt;&gt;"",$M338&lt;=VLOOKUP(Home!$C$7,Lists!$N$2:$O$6,2,FALSE)),$H338&amp;" Task",""),IF($G338=Home!$E$7,"Fits Current Energy",""),"No Blockers"))))</f>
        <v/>
      </c>
      <c r="P338" s="88">
        <f>IF($D338="","",SWITCH('Task Finder'!$C$6,"High Priority",AND($F338="High",$E338&lt;&gt;"Done",$E338&lt;&gt;"Archive"),"Due This Week",AND($I338&lt;&gt;"",$I338&gt;=TODAY(),$I338&lt;=TODAY()+7,$E338&lt;&gt;"Done"),"Quick Wins (15 mins or less)",AND($M338&lt;=15,$E338&lt;&gt;"Done",$E338&lt;&gt;"Blocked"),"Deep Thinking",AND($G338="Deep Thinking",$E338&lt;&gt;"Done"),"Processing",AND($G338="Processing",$E338&lt;&gt;"Done"),"Blocked",$E338="Blocked","Waiting",$E338="Waiting","Recently Updated",AND($L338&lt;&gt;"",$L338&gt;=TODAY()-7),"Keyword",AND('Task Finder'!$C$7&lt;&gt;"",OR(ISNUMBER(SEARCH('Task Finder'!$C$7,$A338)),ISNUMBER(SEARCH('Task Finder'!$C$7,$B338)),ISNUMBER(SEARCH('Task Finder'!$C$7,$C338)),ISNUMBER(SEARCH('Task Finder'!$C$7,$D338)),ISNUMBER(SEARCH('Task Finder'!$C$7,$K338)))),TRUE))</f>
        <v/>
      </c>
    </row>
    <row r="339">
      <c r="A339" s="19" t="n"/>
      <c r="B339" s="19" t="n"/>
      <c r="C339" s="19" t="n"/>
      <c r="D339" s="19" t="n"/>
      <c r="E339" s="19" t="n"/>
      <c r="F339" s="19" t="n"/>
      <c r="G339" s="19" t="n"/>
      <c r="H339" s="19" t="n"/>
      <c r="I339" s="19" t="n"/>
      <c r="J339" s="19" t="n"/>
      <c r="K339" s="19" t="n"/>
      <c r="L339" s="125" t="n"/>
      <c r="M339" s="88">
        <f>IF($D339="","",IFERROR(VLOOKUP($H339,Lists!$N$2:$O$6,2,FALSE),0))</f>
        <v/>
      </c>
      <c r="N339" s="88">
        <f>IF($D339="","",IF(OR($E339="Blocked",$E339="Done",$E339="Archive"),-9999,IF(AND($E339="Waiting",SUMPRODUCT((($E$5:$E$500="Next")+($E$5:$E$500="In Progress")+($E$5:$E$500="Captured"))*($D$5:$D$500&lt;&gt;""))&gt;0),-500,VLOOKUP($F339,Lists!$L$2:$M$4,2,FALSE)+IF($E339="In Progress",10,0)+IF(AND($I339&lt;&gt;"",$I339&lt;TODAY()),25,0)+IF(AND($I339&lt;&gt;"",$I339&gt;=TODAY(),$I339&lt;=TODAY()+7),15,0)+IF($H339="",0,IF($M339&lt;=VLOOKUP(Home!$C$7,Lists!$N$2:$O$6,2,FALSE),20,-10))+IF($G339=Home!$E$7,15,IF(Home!$E$7="",0,-5))-ROW()/100000)))</f>
        <v/>
      </c>
      <c r="O339" s="88">
        <f>IF($D339="","",IF($N339&lt;=-500,"Not recommended right now",IF($E339="Waiting","Nothing else actionable right now — Waiting on: "&amp;IF($K339="","this item",$K339),TEXTJOIN(" • ",TRUE,IF($F339="High","High Priority",""),IF(AND($I339&lt;&gt;"",$I339&lt;TODAY()),"Overdue",""),IF(AND($I339&lt;&gt;"",$I339&gt;=TODAY(),$I339&lt;=TODAY()+7),"Due This Week",""),IF(AND($H339&lt;&gt;"",$M339&lt;=VLOOKUP(Home!$C$7,Lists!$N$2:$O$6,2,FALSE)),$H339&amp;" Task",""),IF($G339=Home!$E$7,"Fits Current Energy",""),"No Blockers"))))</f>
        <v/>
      </c>
      <c r="P339" s="88">
        <f>IF($D339="","",SWITCH('Task Finder'!$C$6,"High Priority",AND($F339="High",$E339&lt;&gt;"Done",$E339&lt;&gt;"Archive"),"Due This Week",AND($I339&lt;&gt;"",$I339&gt;=TODAY(),$I339&lt;=TODAY()+7,$E339&lt;&gt;"Done"),"Quick Wins (15 mins or less)",AND($M339&lt;=15,$E339&lt;&gt;"Done",$E339&lt;&gt;"Blocked"),"Deep Thinking",AND($G339="Deep Thinking",$E339&lt;&gt;"Done"),"Processing",AND($G339="Processing",$E339&lt;&gt;"Done"),"Blocked",$E339="Blocked","Waiting",$E339="Waiting","Recently Updated",AND($L339&lt;&gt;"",$L339&gt;=TODAY()-7),"Keyword",AND('Task Finder'!$C$7&lt;&gt;"",OR(ISNUMBER(SEARCH('Task Finder'!$C$7,$A339)),ISNUMBER(SEARCH('Task Finder'!$C$7,$B339)),ISNUMBER(SEARCH('Task Finder'!$C$7,$C339)),ISNUMBER(SEARCH('Task Finder'!$C$7,$D339)),ISNUMBER(SEARCH('Task Finder'!$C$7,$K339)))),TRUE))</f>
        <v/>
      </c>
    </row>
    <row r="340">
      <c r="A340" s="19" t="n"/>
      <c r="B340" s="19" t="n"/>
      <c r="C340" s="19" t="n"/>
      <c r="D340" s="19" t="n"/>
      <c r="E340" s="19" t="n"/>
      <c r="F340" s="19" t="n"/>
      <c r="G340" s="19" t="n"/>
      <c r="H340" s="19" t="n"/>
      <c r="I340" s="19" t="n"/>
      <c r="J340" s="19" t="n"/>
      <c r="K340" s="19" t="n"/>
      <c r="L340" s="125" t="n"/>
      <c r="M340" s="88">
        <f>IF($D340="","",IFERROR(VLOOKUP($H340,Lists!$N$2:$O$6,2,FALSE),0))</f>
        <v/>
      </c>
      <c r="N340" s="88">
        <f>IF($D340="","",IF(OR($E340="Blocked",$E340="Done",$E340="Archive"),-9999,IF(AND($E340="Waiting",SUMPRODUCT((($E$5:$E$500="Next")+($E$5:$E$500="In Progress")+($E$5:$E$500="Captured"))*($D$5:$D$500&lt;&gt;""))&gt;0),-500,VLOOKUP($F340,Lists!$L$2:$M$4,2,FALSE)+IF($E340="In Progress",10,0)+IF(AND($I340&lt;&gt;"",$I340&lt;TODAY()),25,0)+IF(AND($I340&lt;&gt;"",$I340&gt;=TODAY(),$I340&lt;=TODAY()+7),15,0)+IF($H340="",0,IF($M340&lt;=VLOOKUP(Home!$C$7,Lists!$N$2:$O$6,2,FALSE),20,-10))+IF($G340=Home!$E$7,15,IF(Home!$E$7="",0,-5))-ROW()/100000)))</f>
        <v/>
      </c>
      <c r="O340" s="88">
        <f>IF($D340="","",IF($N340&lt;=-500,"Not recommended right now",IF($E340="Waiting","Nothing else actionable right now — Waiting on: "&amp;IF($K340="","this item",$K340),TEXTJOIN(" • ",TRUE,IF($F340="High","High Priority",""),IF(AND($I340&lt;&gt;"",$I340&lt;TODAY()),"Overdue",""),IF(AND($I340&lt;&gt;"",$I340&gt;=TODAY(),$I340&lt;=TODAY()+7),"Due This Week",""),IF(AND($H340&lt;&gt;"",$M340&lt;=VLOOKUP(Home!$C$7,Lists!$N$2:$O$6,2,FALSE)),$H340&amp;" Task",""),IF($G340=Home!$E$7,"Fits Current Energy",""),"No Blockers"))))</f>
        <v/>
      </c>
      <c r="P340" s="88">
        <f>IF($D340="","",SWITCH('Task Finder'!$C$6,"High Priority",AND($F340="High",$E340&lt;&gt;"Done",$E340&lt;&gt;"Archive"),"Due This Week",AND($I340&lt;&gt;"",$I340&gt;=TODAY(),$I340&lt;=TODAY()+7,$E340&lt;&gt;"Done"),"Quick Wins (15 mins or less)",AND($M340&lt;=15,$E340&lt;&gt;"Done",$E340&lt;&gt;"Blocked"),"Deep Thinking",AND($G340="Deep Thinking",$E340&lt;&gt;"Done"),"Processing",AND($G340="Processing",$E340&lt;&gt;"Done"),"Blocked",$E340="Blocked","Waiting",$E340="Waiting","Recently Updated",AND($L340&lt;&gt;"",$L340&gt;=TODAY()-7),"Keyword",AND('Task Finder'!$C$7&lt;&gt;"",OR(ISNUMBER(SEARCH('Task Finder'!$C$7,$A340)),ISNUMBER(SEARCH('Task Finder'!$C$7,$B340)),ISNUMBER(SEARCH('Task Finder'!$C$7,$C340)),ISNUMBER(SEARCH('Task Finder'!$C$7,$D340)),ISNUMBER(SEARCH('Task Finder'!$C$7,$K340)))),TRUE))</f>
        <v/>
      </c>
    </row>
    <row r="341">
      <c r="A341" s="19" t="n"/>
      <c r="B341" s="19" t="n"/>
      <c r="C341" s="19" t="n"/>
      <c r="D341" s="19" t="n"/>
      <c r="E341" s="19" t="n"/>
      <c r="F341" s="19" t="n"/>
      <c r="G341" s="19" t="n"/>
      <c r="H341" s="19" t="n"/>
      <c r="I341" s="19" t="n"/>
      <c r="J341" s="19" t="n"/>
      <c r="K341" s="19" t="n"/>
      <c r="L341" s="125" t="n"/>
      <c r="M341" s="88">
        <f>IF($D341="","",IFERROR(VLOOKUP($H341,Lists!$N$2:$O$6,2,FALSE),0))</f>
        <v/>
      </c>
      <c r="N341" s="88">
        <f>IF($D341="","",IF(OR($E341="Blocked",$E341="Done",$E341="Archive"),-9999,IF(AND($E341="Waiting",SUMPRODUCT((($E$5:$E$500="Next")+($E$5:$E$500="In Progress")+($E$5:$E$500="Captured"))*($D$5:$D$500&lt;&gt;""))&gt;0),-500,VLOOKUP($F341,Lists!$L$2:$M$4,2,FALSE)+IF($E341="In Progress",10,0)+IF(AND($I341&lt;&gt;"",$I341&lt;TODAY()),25,0)+IF(AND($I341&lt;&gt;"",$I341&gt;=TODAY(),$I341&lt;=TODAY()+7),15,0)+IF($H341="",0,IF($M341&lt;=VLOOKUP(Home!$C$7,Lists!$N$2:$O$6,2,FALSE),20,-10))+IF($G341=Home!$E$7,15,IF(Home!$E$7="",0,-5))-ROW()/100000)))</f>
        <v/>
      </c>
      <c r="O341" s="88">
        <f>IF($D341="","",IF($N341&lt;=-500,"Not recommended right now",IF($E341="Waiting","Nothing else actionable right now — Waiting on: "&amp;IF($K341="","this item",$K341),TEXTJOIN(" • ",TRUE,IF($F341="High","High Priority",""),IF(AND($I341&lt;&gt;"",$I341&lt;TODAY()),"Overdue",""),IF(AND($I341&lt;&gt;"",$I341&gt;=TODAY(),$I341&lt;=TODAY()+7),"Due This Week",""),IF(AND($H341&lt;&gt;"",$M341&lt;=VLOOKUP(Home!$C$7,Lists!$N$2:$O$6,2,FALSE)),$H341&amp;" Task",""),IF($G341=Home!$E$7,"Fits Current Energy",""),"No Blockers"))))</f>
        <v/>
      </c>
      <c r="P341" s="88">
        <f>IF($D341="","",SWITCH('Task Finder'!$C$6,"High Priority",AND($F341="High",$E341&lt;&gt;"Done",$E341&lt;&gt;"Archive"),"Due This Week",AND($I341&lt;&gt;"",$I341&gt;=TODAY(),$I341&lt;=TODAY()+7,$E341&lt;&gt;"Done"),"Quick Wins (15 mins or less)",AND($M341&lt;=15,$E341&lt;&gt;"Done",$E341&lt;&gt;"Blocked"),"Deep Thinking",AND($G341="Deep Thinking",$E341&lt;&gt;"Done"),"Processing",AND($G341="Processing",$E341&lt;&gt;"Done"),"Blocked",$E341="Blocked","Waiting",$E341="Waiting","Recently Updated",AND($L341&lt;&gt;"",$L341&gt;=TODAY()-7),"Keyword",AND('Task Finder'!$C$7&lt;&gt;"",OR(ISNUMBER(SEARCH('Task Finder'!$C$7,$A341)),ISNUMBER(SEARCH('Task Finder'!$C$7,$B341)),ISNUMBER(SEARCH('Task Finder'!$C$7,$C341)),ISNUMBER(SEARCH('Task Finder'!$C$7,$D341)),ISNUMBER(SEARCH('Task Finder'!$C$7,$K341)))),TRUE))</f>
        <v/>
      </c>
    </row>
    <row r="342">
      <c r="A342" s="19" t="n"/>
      <c r="B342" s="19" t="n"/>
      <c r="C342" s="19" t="n"/>
      <c r="D342" s="19" t="n"/>
      <c r="E342" s="19" t="n"/>
      <c r="F342" s="19" t="n"/>
      <c r="G342" s="19" t="n"/>
      <c r="H342" s="19" t="n"/>
      <c r="I342" s="19" t="n"/>
      <c r="J342" s="19" t="n"/>
      <c r="K342" s="19" t="n"/>
      <c r="L342" s="125" t="n"/>
      <c r="M342" s="88">
        <f>IF($D342="","",IFERROR(VLOOKUP($H342,Lists!$N$2:$O$6,2,FALSE),0))</f>
        <v/>
      </c>
      <c r="N342" s="88">
        <f>IF($D342="","",IF(OR($E342="Blocked",$E342="Done",$E342="Archive"),-9999,IF(AND($E342="Waiting",SUMPRODUCT((($E$5:$E$500="Next")+($E$5:$E$500="In Progress")+($E$5:$E$500="Captured"))*($D$5:$D$500&lt;&gt;""))&gt;0),-500,VLOOKUP($F342,Lists!$L$2:$M$4,2,FALSE)+IF($E342="In Progress",10,0)+IF(AND($I342&lt;&gt;"",$I342&lt;TODAY()),25,0)+IF(AND($I342&lt;&gt;"",$I342&gt;=TODAY(),$I342&lt;=TODAY()+7),15,0)+IF($H342="",0,IF($M342&lt;=VLOOKUP(Home!$C$7,Lists!$N$2:$O$6,2,FALSE),20,-10))+IF($G342=Home!$E$7,15,IF(Home!$E$7="",0,-5))-ROW()/100000)))</f>
        <v/>
      </c>
      <c r="O342" s="88">
        <f>IF($D342="","",IF($N342&lt;=-500,"Not recommended right now",IF($E342="Waiting","Nothing else actionable right now — Waiting on: "&amp;IF($K342="","this item",$K342),TEXTJOIN(" • ",TRUE,IF($F342="High","High Priority",""),IF(AND($I342&lt;&gt;"",$I342&lt;TODAY()),"Overdue",""),IF(AND($I342&lt;&gt;"",$I342&gt;=TODAY(),$I342&lt;=TODAY()+7),"Due This Week",""),IF(AND($H342&lt;&gt;"",$M342&lt;=VLOOKUP(Home!$C$7,Lists!$N$2:$O$6,2,FALSE)),$H342&amp;" Task",""),IF($G342=Home!$E$7,"Fits Current Energy",""),"No Blockers"))))</f>
        <v/>
      </c>
      <c r="P342" s="88">
        <f>IF($D342="","",SWITCH('Task Finder'!$C$6,"High Priority",AND($F342="High",$E342&lt;&gt;"Done",$E342&lt;&gt;"Archive"),"Due This Week",AND($I342&lt;&gt;"",$I342&gt;=TODAY(),$I342&lt;=TODAY()+7,$E342&lt;&gt;"Done"),"Quick Wins (15 mins or less)",AND($M342&lt;=15,$E342&lt;&gt;"Done",$E342&lt;&gt;"Blocked"),"Deep Thinking",AND($G342="Deep Thinking",$E342&lt;&gt;"Done"),"Processing",AND($G342="Processing",$E342&lt;&gt;"Done"),"Blocked",$E342="Blocked","Waiting",$E342="Waiting","Recently Updated",AND($L342&lt;&gt;"",$L342&gt;=TODAY()-7),"Keyword",AND('Task Finder'!$C$7&lt;&gt;"",OR(ISNUMBER(SEARCH('Task Finder'!$C$7,$A342)),ISNUMBER(SEARCH('Task Finder'!$C$7,$B342)),ISNUMBER(SEARCH('Task Finder'!$C$7,$C342)),ISNUMBER(SEARCH('Task Finder'!$C$7,$D342)),ISNUMBER(SEARCH('Task Finder'!$C$7,$K342)))),TRUE))</f>
        <v/>
      </c>
    </row>
    <row r="343">
      <c r="A343" s="19" t="n"/>
      <c r="B343" s="19" t="n"/>
      <c r="C343" s="19" t="n"/>
      <c r="D343" s="19" t="n"/>
      <c r="E343" s="19" t="n"/>
      <c r="F343" s="19" t="n"/>
      <c r="G343" s="19" t="n"/>
      <c r="H343" s="19" t="n"/>
      <c r="I343" s="19" t="n"/>
      <c r="J343" s="19" t="n"/>
      <c r="K343" s="19" t="n"/>
      <c r="L343" s="125" t="n"/>
      <c r="M343" s="88">
        <f>IF($D343="","",IFERROR(VLOOKUP($H343,Lists!$N$2:$O$6,2,FALSE),0))</f>
        <v/>
      </c>
      <c r="N343" s="88">
        <f>IF($D343="","",IF(OR($E343="Blocked",$E343="Done",$E343="Archive"),-9999,IF(AND($E343="Waiting",SUMPRODUCT((($E$5:$E$500="Next")+($E$5:$E$500="In Progress")+($E$5:$E$500="Captured"))*($D$5:$D$500&lt;&gt;""))&gt;0),-500,VLOOKUP($F343,Lists!$L$2:$M$4,2,FALSE)+IF($E343="In Progress",10,0)+IF(AND($I343&lt;&gt;"",$I343&lt;TODAY()),25,0)+IF(AND($I343&lt;&gt;"",$I343&gt;=TODAY(),$I343&lt;=TODAY()+7),15,0)+IF($H343="",0,IF($M343&lt;=VLOOKUP(Home!$C$7,Lists!$N$2:$O$6,2,FALSE),20,-10))+IF($G343=Home!$E$7,15,IF(Home!$E$7="",0,-5))-ROW()/100000)))</f>
        <v/>
      </c>
      <c r="O343" s="88">
        <f>IF($D343="","",IF($N343&lt;=-500,"Not recommended right now",IF($E343="Waiting","Nothing else actionable right now — Waiting on: "&amp;IF($K343="","this item",$K343),TEXTJOIN(" • ",TRUE,IF($F343="High","High Priority",""),IF(AND($I343&lt;&gt;"",$I343&lt;TODAY()),"Overdue",""),IF(AND($I343&lt;&gt;"",$I343&gt;=TODAY(),$I343&lt;=TODAY()+7),"Due This Week",""),IF(AND($H343&lt;&gt;"",$M343&lt;=VLOOKUP(Home!$C$7,Lists!$N$2:$O$6,2,FALSE)),$H343&amp;" Task",""),IF($G343=Home!$E$7,"Fits Current Energy",""),"No Blockers"))))</f>
        <v/>
      </c>
      <c r="P343" s="88">
        <f>IF($D343="","",SWITCH('Task Finder'!$C$6,"High Priority",AND($F343="High",$E343&lt;&gt;"Done",$E343&lt;&gt;"Archive"),"Due This Week",AND($I343&lt;&gt;"",$I343&gt;=TODAY(),$I343&lt;=TODAY()+7,$E343&lt;&gt;"Done"),"Quick Wins (15 mins or less)",AND($M343&lt;=15,$E343&lt;&gt;"Done",$E343&lt;&gt;"Blocked"),"Deep Thinking",AND($G343="Deep Thinking",$E343&lt;&gt;"Done"),"Processing",AND($G343="Processing",$E343&lt;&gt;"Done"),"Blocked",$E343="Blocked","Waiting",$E343="Waiting","Recently Updated",AND($L343&lt;&gt;"",$L343&gt;=TODAY()-7),"Keyword",AND('Task Finder'!$C$7&lt;&gt;"",OR(ISNUMBER(SEARCH('Task Finder'!$C$7,$A343)),ISNUMBER(SEARCH('Task Finder'!$C$7,$B343)),ISNUMBER(SEARCH('Task Finder'!$C$7,$C343)),ISNUMBER(SEARCH('Task Finder'!$C$7,$D343)),ISNUMBER(SEARCH('Task Finder'!$C$7,$K343)))),TRUE))</f>
        <v/>
      </c>
    </row>
    <row r="344">
      <c r="A344" s="19" t="n"/>
      <c r="B344" s="19" t="n"/>
      <c r="C344" s="19" t="n"/>
      <c r="D344" s="19" t="n"/>
      <c r="E344" s="19" t="n"/>
      <c r="F344" s="19" t="n"/>
      <c r="G344" s="19" t="n"/>
      <c r="H344" s="19" t="n"/>
      <c r="I344" s="19" t="n"/>
      <c r="J344" s="19" t="n"/>
      <c r="K344" s="19" t="n"/>
      <c r="L344" s="125" t="n"/>
      <c r="M344" s="88">
        <f>IF($D344="","",IFERROR(VLOOKUP($H344,Lists!$N$2:$O$6,2,FALSE),0))</f>
        <v/>
      </c>
      <c r="N344" s="88">
        <f>IF($D344="","",IF(OR($E344="Blocked",$E344="Done",$E344="Archive"),-9999,IF(AND($E344="Waiting",SUMPRODUCT((($E$5:$E$500="Next")+($E$5:$E$500="In Progress")+($E$5:$E$500="Captured"))*($D$5:$D$500&lt;&gt;""))&gt;0),-500,VLOOKUP($F344,Lists!$L$2:$M$4,2,FALSE)+IF($E344="In Progress",10,0)+IF(AND($I344&lt;&gt;"",$I344&lt;TODAY()),25,0)+IF(AND($I344&lt;&gt;"",$I344&gt;=TODAY(),$I344&lt;=TODAY()+7),15,0)+IF($H344="",0,IF($M344&lt;=VLOOKUP(Home!$C$7,Lists!$N$2:$O$6,2,FALSE),20,-10))+IF($G344=Home!$E$7,15,IF(Home!$E$7="",0,-5))-ROW()/100000)))</f>
        <v/>
      </c>
      <c r="O344" s="88">
        <f>IF($D344="","",IF($N344&lt;=-500,"Not recommended right now",IF($E344="Waiting","Nothing else actionable right now — Waiting on: "&amp;IF($K344="","this item",$K344),TEXTJOIN(" • ",TRUE,IF($F344="High","High Priority",""),IF(AND($I344&lt;&gt;"",$I344&lt;TODAY()),"Overdue",""),IF(AND($I344&lt;&gt;"",$I344&gt;=TODAY(),$I344&lt;=TODAY()+7),"Due This Week",""),IF(AND($H344&lt;&gt;"",$M344&lt;=VLOOKUP(Home!$C$7,Lists!$N$2:$O$6,2,FALSE)),$H344&amp;" Task",""),IF($G344=Home!$E$7,"Fits Current Energy",""),"No Blockers"))))</f>
        <v/>
      </c>
      <c r="P344" s="88">
        <f>IF($D344="","",SWITCH('Task Finder'!$C$6,"High Priority",AND($F344="High",$E344&lt;&gt;"Done",$E344&lt;&gt;"Archive"),"Due This Week",AND($I344&lt;&gt;"",$I344&gt;=TODAY(),$I344&lt;=TODAY()+7,$E344&lt;&gt;"Done"),"Quick Wins (15 mins or less)",AND($M344&lt;=15,$E344&lt;&gt;"Done",$E344&lt;&gt;"Blocked"),"Deep Thinking",AND($G344="Deep Thinking",$E344&lt;&gt;"Done"),"Processing",AND($G344="Processing",$E344&lt;&gt;"Done"),"Blocked",$E344="Blocked","Waiting",$E344="Waiting","Recently Updated",AND($L344&lt;&gt;"",$L344&gt;=TODAY()-7),"Keyword",AND('Task Finder'!$C$7&lt;&gt;"",OR(ISNUMBER(SEARCH('Task Finder'!$C$7,$A344)),ISNUMBER(SEARCH('Task Finder'!$C$7,$B344)),ISNUMBER(SEARCH('Task Finder'!$C$7,$C344)),ISNUMBER(SEARCH('Task Finder'!$C$7,$D344)),ISNUMBER(SEARCH('Task Finder'!$C$7,$K344)))),TRUE))</f>
        <v/>
      </c>
    </row>
    <row r="345">
      <c r="A345" s="19" t="n"/>
      <c r="B345" s="19" t="n"/>
      <c r="C345" s="19" t="n"/>
      <c r="D345" s="19" t="n"/>
      <c r="E345" s="19" t="n"/>
      <c r="F345" s="19" t="n"/>
      <c r="G345" s="19" t="n"/>
      <c r="H345" s="19" t="n"/>
      <c r="I345" s="19" t="n"/>
      <c r="J345" s="19" t="n"/>
      <c r="K345" s="19" t="n"/>
      <c r="L345" s="125" t="n"/>
      <c r="M345" s="88">
        <f>IF($D345="","",IFERROR(VLOOKUP($H345,Lists!$N$2:$O$6,2,FALSE),0))</f>
        <v/>
      </c>
      <c r="N345" s="88">
        <f>IF($D345="","",IF(OR($E345="Blocked",$E345="Done",$E345="Archive"),-9999,IF(AND($E345="Waiting",SUMPRODUCT((($E$5:$E$500="Next")+($E$5:$E$500="In Progress")+($E$5:$E$500="Captured"))*($D$5:$D$500&lt;&gt;""))&gt;0),-500,VLOOKUP($F345,Lists!$L$2:$M$4,2,FALSE)+IF($E345="In Progress",10,0)+IF(AND($I345&lt;&gt;"",$I345&lt;TODAY()),25,0)+IF(AND($I345&lt;&gt;"",$I345&gt;=TODAY(),$I345&lt;=TODAY()+7),15,0)+IF($H345="",0,IF($M345&lt;=VLOOKUP(Home!$C$7,Lists!$N$2:$O$6,2,FALSE),20,-10))+IF($G345=Home!$E$7,15,IF(Home!$E$7="",0,-5))-ROW()/100000)))</f>
        <v/>
      </c>
      <c r="O345" s="88">
        <f>IF($D345="","",IF($N345&lt;=-500,"Not recommended right now",IF($E345="Waiting","Nothing else actionable right now — Waiting on: "&amp;IF($K345="","this item",$K345),TEXTJOIN(" • ",TRUE,IF($F345="High","High Priority",""),IF(AND($I345&lt;&gt;"",$I345&lt;TODAY()),"Overdue",""),IF(AND($I345&lt;&gt;"",$I345&gt;=TODAY(),$I345&lt;=TODAY()+7),"Due This Week",""),IF(AND($H345&lt;&gt;"",$M345&lt;=VLOOKUP(Home!$C$7,Lists!$N$2:$O$6,2,FALSE)),$H345&amp;" Task",""),IF($G345=Home!$E$7,"Fits Current Energy",""),"No Blockers"))))</f>
        <v/>
      </c>
      <c r="P345" s="88">
        <f>IF($D345="","",SWITCH('Task Finder'!$C$6,"High Priority",AND($F345="High",$E345&lt;&gt;"Done",$E345&lt;&gt;"Archive"),"Due This Week",AND($I345&lt;&gt;"",$I345&gt;=TODAY(),$I345&lt;=TODAY()+7,$E345&lt;&gt;"Done"),"Quick Wins (15 mins or less)",AND($M345&lt;=15,$E345&lt;&gt;"Done",$E345&lt;&gt;"Blocked"),"Deep Thinking",AND($G345="Deep Thinking",$E345&lt;&gt;"Done"),"Processing",AND($G345="Processing",$E345&lt;&gt;"Done"),"Blocked",$E345="Blocked","Waiting",$E345="Waiting","Recently Updated",AND($L345&lt;&gt;"",$L345&gt;=TODAY()-7),"Keyword",AND('Task Finder'!$C$7&lt;&gt;"",OR(ISNUMBER(SEARCH('Task Finder'!$C$7,$A345)),ISNUMBER(SEARCH('Task Finder'!$C$7,$B345)),ISNUMBER(SEARCH('Task Finder'!$C$7,$C345)),ISNUMBER(SEARCH('Task Finder'!$C$7,$D345)),ISNUMBER(SEARCH('Task Finder'!$C$7,$K345)))),TRUE))</f>
        <v/>
      </c>
    </row>
    <row r="346">
      <c r="A346" s="19" t="n"/>
      <c r="B346" s="19" t="n"/>
      <c r="C346" s="19" t="n"/>
      <c r="D346" s="19" t="n"/>
      <c r="E346" s="19" t="n"/>
      <c r="F346" s="19" t="n"/>
      <c r="G346" s="19" t="n"/>
      <c r="H346" s="19" t="n"/>
      <c r="I346" s="19" t="n"/>
      <c r="J346" s="19" t="n"/>
      <c r="K346" s="19" t="n"/>
      <c r="L346" s="125" t="n"/>
      <c r="M346" s="88">
        <f>IF($D346="","",IFERROR(VLOOKUP($H346,Lists!$N$2:$O$6,2,FALSE),0))</f>
        <v/>
      </c>
      <c r="N346" s="88">
        <f>IF($D346="","",IF(OR($E346="Blocked",$E346="Done",$E346="Archive"),-9999,IF(AND($E346="Waiting",SUMPRODUCT((($E$5:$E$500="Next")+($E$5:$E$500="In Progress")+($E$5:$E$500="Captured"))*($D$5:$D$500&lt;&gt;""))&gt;0),-500,VLOOKUP($F346,Lists!$L$2:$M$4,2,FALSE)+IF($E346="In Progress",10,0)+IF(AND($I346&lt;&gt;"",$I346&lt;TODAY()),25,0)+IF(AND($I346&lt;&gt;"",$I346&gt;=TODAY(),$I346&lt;=TODAY()+7),15,0)+IF($H346="",0,IF($M346&lt;=VLOOKUP(Home!$C$7,Lists!$N$2:$O$6,2,FALSE),20,-10))+IF($G346=Home!$E$7,15,IF(Home!$E$7="",0,-5))-ROW()/100000)))</f>
        <v/>
      </c>
      <c r="O346" s="88">
        <f>IF($D346="","",IF($N346&lt;=-500,"Not recommended right now",IF($E346="Waiting","Nothing else actionable right now — Waiting on: "&amp;IF($K346="","this item",$K346),TEXTJOIN(" • ",TRUE,IF($F346="High","High Priority",""),IF(AND($I346&lt;&gt;"",$I346&lt;TODAY()),"Overdue",""),IF(AND($I346&lt;&gt;"",$I346&gt;=TODAY(),$I346&lt;=TODAY()+7),"Due This Week",""),IF(AND($H346&lt;&gt;"",$M346&lt;=VLOOKUP(Home!$C$7,Lists!$N$2:$O$6,2,FALSE)),$H346&amp;" Task",""),IF($G346=Home!$E$7,"Fits Current Energy",""),"No Blockers"))))</f>
        <v/>
      </c>
      <c r="P346" s="88">
        <f>IF($D346="","",SWITCH('Task Finder'!$C$6,"High Priority",AND($F346="High",$E346&lt;&gt;"Done",$E346&lt;&gt;"Archive"),"Due This Week",AND($I346&lt;&gt;"",$I346&gt;=TODAY(),$I346&lt;=TODAY()+7,$E346&lt;&gt;"Done"),"Quick Wins (15 mins or less)",AND($M346&lt;=15,$E346&lt;&gt;"Done",$E346&lt;&gt;"Blocked"),"Deep Thinking",AND($G346="Deep Thinking",$E346&lt;&gt;"Done"),"Processing",AND($G346="Processing",$E346&lt;&gt;"Done"),"Blocked",$E346="Blocked","Waiting",$E346="Waiting","Recently Updated",AND($L346&lt;&gt;"",$L346&gt;=TODAY()-7),"Keyword",AND('Task Finder'!$C$7&lt;&gt;"",OR(ISNUMBER(SEARCH('Task Finder'!$C$7,$A346)),ISNUMBER(SEARCH('Task Finder'!$C$7,$B346)),ISNUMBER(SEARCH('Task Finder'!$C$7,$C346)),ISNUMBER(SEARCH('Task Finder'!$C$7,$D346)),ISNUMBER(SEARCH('Task Finder'!$C$7,$K346)))),TRUE))</f>
        <v/>
      </c>
    </row>
    <row r="347">
      <c r="A347" s="19" t="n"/>
      <c r="B347" s="19" t="n"/>
      <c r="C347" s="19" t="n"/>
      <c r="D347" s="19" t="n"/>
      <c r="E347" s="19" t="n"/>
      <c r="F347" s="19" t="n"/>
      <c r="G347" s="19" t="n"/>
      <c r="H347" s="19" t="n"/>
      <c r="I347" s="19" t="n"/>
      <c r="J347" s="19" t="n"/>
      <c r="K347" s="19" t="n"/>
      <c r="L347" s="125" t="n"/>
      <c r="M347" s="88">
        <f>IF($D347="","",IFERROR(VLOOKUP($H347,Lists!$N$2:$O$6,2,FALSE),0))</f>
        <v/>
      </c>
      <c r="N347" s="88">
        <f>IF($D347="","",IF(OR($E347="Blocked",$E347="Done",$E347="Archive"),-9999,IF(AND($E347="Waiting",SUMPRODUCT((($E$5:$E$500="Next")+($E$5:$E$500="In Progress")+($E$5:$E$500="Captured"))*($D$5:$D$500&lt;&gt;""))&gt;0),-500,VLOOKUP($F347,Lists!$L$2:$M$4,2,FALSE)+IF($E347="In Progress",10,0)+IF(AND($I347&lt;&gt;"",$I347&lt;TODAY()),25,0)+IF(AND($I347&lt;&gt;"",$I347&gt;=TODAY(),$I347&lt;=TODAY()+7),15,0)+IF($H347="",0,IF($M347&lt;=VLOOKUP(Home!$C$7,Lists!$N$2:$O$6,2,FALSE),20,-10))+IF($G347=Home!$E$7,15,IF(Home!$E$7="",0,-5))-ROW()/100000)))</f>
        <v/>
      </c>
      <c r="O347" s="88">
        <f>IF($D347="","",IF($N347&lt;=-500,"Not recommended right now",IF($E347="Waiting","Nothing else actionable right now — Waiting on: "&amp;IF($K347="","this item",$K347),TEXTJOIN(" • ",TRUE,IF($F347="High","High Priority",""),IF(AND($I347&lt;&gt;"",$I347&lt;TODAY()),"Overdue",""),IF(AND($I347&lt;&gt;"",$I347&gt;=TODAY(),$I347&lt;=TODAY()+7),"Due This Week",""),IF(AND($H347&lt;&gt;"",$M347&lt;=VLOOKUP(Home!$C$7,Lists!$N$2:$O$6,2,FALSE)),$H347&amp;" Task",""),IF($G347=Home!$E$7,"Fits Current Energy",""),"No Blockers"))))</f>
        <v/>
      </c>
      <c r="P347" s="88">
        <f>IF($D347="","",SWITCH('Task Finder'!$C$6,"High Priority",AND($F347="High",$E347&lt;&gt;"Done",$E347&lt;&gt;"Archive"),"Due This Week",AND($I347&lt;&gt;"",$I347&gt;=TODAY(),$I347&lt;=TODAY()+7,$E347&lt;&gt;"Done"),"Quick Wins (15 mins or less)",AND($M347&lt;=15,$E347&lt;&gt;"Done",$E347&lt;&gt;"Blocked"),"Deep Thinking",AND($G347="Deep Thinking",$E347&lt;&gt;"Done"),"Processing",AND($G347="Processing",$E347&lt;&gt;"Done"),"Blocked",$E347="Blocked","Waiting",$E347="Waiting","Recently Updated",AND($L347&lt;&gt;"",$L347&gt;=TODAY()-7),"Keyword",AND('Task Finder'!$C$7&lt;&gt;"",OR(ISNUMBER(SEARCH('Task Finder'!$C$7,$A347)),ISNUMBER(SEARCH('Task Finder'!$C$7,$B347)),ISNUMBER(SEARCH('Task Finder'!$C$7,$C347)),ISNUMBER(SEARCH('Task Finder'!$C$7,$D347)),ISNUMBER(SEARCH('Task Finder'!$C$7,$K347)))),TRUE))</f>
        <v/>
      </c>
    </row>
    <row r="348">
      <c r="A348" s="19" t="n"/>
      <c r="B348" s="19" t="n"/>
      <c r="C348" s="19" t="n"/>
      <c r="D348" s="19" t="n"/>
      <c r="E348" s="19" t="n"/>
      <c r="F348" s="19" t="n"/>
      <c r="G348" s="19" t="n"/>
      <c r="H348" s="19" t="n"/>
      <c r="I348" s="19" t="n"/>
      <c r="J348" s="19" t="n"/>
      <c r="K348" s="19" t="n"/>
      <c r="L348" s="125" t="n"/>
      <c r="M348" s="88">
        <f>IF($D348="","",IFERROR(VLOOKUP($H348,Lists!$N$2:$O$6,2,FALSE),0))</f>
        <v/>
      </c>
      <c r="N348" s="88">
        <f>IF($D348="","",IF(OR($E348="Blocked",$E348="Done",$E348="Archive"),-9999,IF(AND($E348="Waiting",SUMPRODUCT((($E$5:$E$500="Next")+($E$5:$E$500="In Progress")+($E$5:$E$500="Captured"))*($D$5:$D$500&lt;&gt;""))&gt;0),-500,VLOOKUP($F348,Lists!$L$2:$M$4,2,FALSE)+IF($E348="In Progress",10,0)+IF(AND($I348&lt;&gt;"",$I348&lt;TODAY()),25,0)+IF(AND($I348&lt;&gt;"",$I348&gt;=TODAY(),$I348&lt;=TODAY()+7),15,0)+IF($H348="",0,IF($M348&lt;=VLOOKUP(Home!$C$7,Lists!$N$2:$O$6,2,FALSE),20,-10))+IF($G348=Home!$E$7,15,IF(Home!$E$7="",0,-5))-ROW()/100000)))</f>
        <v/>
      </c>
      <c r="O348" s="88">
        <f>IF($D348="","",IF($N348&lt;=-500,"Not recommended right now",IF($E348="Waiting","Nothing else actionable right now — Waiting on: "&amp;IF($K348="","this item",$K348),TEXTJOIN(" • ",TRUE,IF($F348="High","High Priority",""),IF(AND($I348&lt;&gt;"",$I348&lt;TODAY()),"Overdue",""),IF(AND($I348&lt;&gt;"",$I348&gt;=TODAY(),$I348&lt;=TODAY()+7),"Due This Week",""),IF(AND($H348&lt;&gt;"",$M348&lt;=VLOOKUP(Home!$C$7,Lists!$N$2:$O$6,2,FALSE)),$H348&amp;" Task",""),IF($G348=Home!$E$7,"Fits Current Energy",""),"No Blockers"))))</f>
        <v/>
      </c>
      <c r="P348" s="88">
        <f>IF($D348="","",SWITCH('Task Finder'!$C$6,"High Priority",AND($F348="High",$E348&lt;&gt;"Done",$E348&lt;&gt;"Archive"),"Due This Week",AND($I348&lt;&gt;"",$I348&gt;=TODAY(),$I348&lt;=TODAY()+7,$E348&lt;&gt;"Done"),"Quick Wins (15 mins or less)",AND($M348&lt;=15,$E348&lt;&gt;"Done",$E348&lt;&gt;"Blocked"),"Deep Thinking",AND($G348="Deep Thinking",$E348&lt;&gt;"Done"),"Processing",AND($G348="Processing",$E348&lt;&gt;"Done"),"Blocked",$E348="Blocked","Waiting",$E348="Waiting","Recently Updated",AND($L348&lt;&gt;"",$L348&gt;=TODAY()-7),"Keyword",AND('Task Finder'!$C$7&lt;&gt;"",OR(ISNUMBER(SEARCH('Task Finder'!$C$7,$A348)),ISNUMBER(SEARCH('Task Finder'!$C$7,$B348)),ISNUMBER(SEARCH('Task Finder'!$C$7,$C348)),ISNUMBER(SEARCH('Task Finder'!$C$7,$D348)),ISNUMBER(SEARCH('Task Finder'!$C$7,$K348)))),TRUE))</f>
        <v/>
      </c>
    </row>
    <row r="349">
      <c r="A349" s="19" t="n"/>
      <c r="B349" s="19" t="n"/>
      <c r="C349" s="19" t="n"/>
      <c r="D349" s="19" t="n"/>
      <c r="E349" s="19" t="n"/>
      <c r="F349" s="19" t="n"/>
      <c r="G349" s="19" t="n"/>
      <c r="H349" s="19" t="n"/>
      <c r="I349" s="19" t="n"/>
      <c r="J349" s="19" t="n"/>
      <c r="K349" s="19" t="n"/>
      <c r="L349" s="125" t="n"/>
      <c r="M349" s="88">
        <f>IF($D349="","",IFERROR(VLOOKUP($H349,Lists!$N$2:$O$6,2,FALSE),0))</f>
        <v/>
      </c>
      <c r="N349" s="88">
        <f>IF($D349="","",IF(OR($E349="Blocked",$E349="Done",$E349="Archive"),-9999,IF(AND($E349="Waiting",SUMPRODUCT((($E$5:$E$500="Next")+($E$5:$E$500="In Progress")+($E$5:$E$500="Captured"))*($D$5:$D$500&lt;&gt;""))&gt;0),-500,VLOOKUP($F349,Lists!$L$2:$M$4,2,FALSE)+IF($E349="In Progress",10,0)+IF(AND($I349&lt;&gt;"",$I349&lt;TODAY()),25,0)+IF(AND($I349&lt;&gt;"",$I349&gt;=TODAY(),$I349&lt;=TODAY()+7),15,0)+IF($H349="",0,IF($M349&lt;=VLOOKUP(Home!$C$7,Lists!$N$2:$O$6,2,FALSE),20,-10))+IF($G349=Home!$E$7,15,IF(Home!$E$7="",0,-5))-ROW()/100000)))</f>
        <v/>
      </c>
      <c r="O349" s="88">
        <f>IF($D349="","",IF($N349&lt;=-500,"Not recommended right now",IF($E349="Waiting","Nothing else actionable right now — Waiting on: "&amp;IF($K349="","this item",$K349),TEXTJOIN(" • ",TRUE,IF($F349="High","High Priority",""),IF(AND($I349&lt;&gt;"",$I349&lt;TODAY()),"Overdue",""),IF(AND($I349&lt;&gt;"",$I349&gt;=TODAY(),$I349&lt;=TODAY()+7),"Due This Week",""),IF(AND($H349&lt;&gt;"",$M349&lt;=VLOOKUP(Home!$C$7,Lists!$N$2:$O$6,2,FALSE)),$H349&amp;" Task",""),IF($G349=Home!$E$7,"Fits Current Energy",""),"No Blockers"))))</f>
        <v/>
      </c>
      <c r="P349" s="88">
        <f>IF($D349="","",SWITCH('Task Finder'!$C$6,"High Priority",AND($F349="High",$E349&lt;&gt;"Done",$E349&lt;&gt;"Archive"),"Due This Week",AND($I349&lt;&gt;"",$I349&gt;=TODAY(),$I349&lt;=TODAY()+7,$E349&lt;&gt;"Done"),"Quick Wins (15 mins or less)",AND($M349&lt;=15,$E349&lt;&gt;"Done",$E349&lt;&gt;"Blocked"),"Deep Thinking",AND($G349="Deep Thinking",$E349&lt;&gt;"Done"),"Processing",AND($G349="Processing",$E349&lt;&gt;"Done"),"Blocked",$E349="Blocked","Waiting",$E349="Waiting","Recently Updated",AND($L349&lt;&gt;"",$L349&gt;=TODAY()-7),"Keyword",AND('Task Finder'!$C$7&lt;&gt;"",OR(ISNUMBER(SEARCH('Task Finder'!$C$7,$A349)),ISNUMBER(SEARCH('Task Finder'!$C$7,$B349)),ISNUMBER(SEARCH('Task Finder'!$C$7,$C349)),ISNUMBER(SEARCH('Task Finder'!$C$7,$D349)),ISNUMBER(SEARCH('Task Finder'!$C$7,$K349)))),TRUE))</f>
        <v/>
      </c>
    </row>
    <row r="350">
      <c r="A350" s="19" t="n"/>
      <c r="B350" s="19" t="n"/>
      <c r="C350" s="19" t="n"/>
      <c r="D350" s="19" t="n"/>
      <c r="E350" s="19" t="n"/>
      <c r="F350" s="19" t="n"/>
      <c r="G350" s="19" t="n"/>
      <c r="H350" s="19" t="n"/>
      <c r="I350" s="19" t="n"/>
      <c r="J350" s="19" t="n"/>
      <c r="K350" s="19" t="n"/>
      <c r="L350" s="125" t="n"/>
      <c r="M350" s="88">
        <f>IF($D350="","",IFERROR(VLOOKUP($H350,Lists!$N$2:$O$6,2,FALSE),0))</f>
        <v/>
      </c>
      <c r="N350" s="88">
        <f>IF($D350="","",IF(OR($E350="Blocked",$E350="Done",$E350="Archive"),-9999,IF(AND($E350="Waiting",SUMPRODUCT((($E$5:$E$500="Next")+($E$5:$E$500="In Progress")+($E$5:$E$500="Captured"))*($D$5:$D$500&lt;&gt;""))&gt;0),-500,VLOOKUP($F350,Lists!$L$2:$M$4,2,FALSE)+IF($E350="In Progress",10,0)+IF(AND($I350&lt;&gt;"",$I350&lt;TODAY()),25,0)+IF(AND($I350&lt;&gt;"",$I350&gt;=TODAY(),$I350&lt;=TODAY()+7),15,0)+IF($H350="",0,IF($M350&lt;=VLOOKUP(Home!$C$7,Lists!$N$2:$O$6,2,FALSE),20,-10))+IF($G350=Home!$E$7,15,IF(Home!$E$7="",0,-5))-ROW()/100000)))</f>
        <v/>
      </c>
      <c r="O350" s="88">
        <f>IF($D350="","",IF($N350&lt;=-500,"Not recommended right now",IF($E350="Waiting","Nothing else actionable right now — Waiting on: "&amp;IF($K350="","this item",$K350),TEXTJOIN(" • ",TRUE,IF($F350="High","High Priority",""),IF(AND($I350&lt;&gt;"",$I350&lt;TODAY()),"Overdue",""),IF(AND($I350&lt;&gt;"",$I350&gt;=TODAY(),$I350&lt;=TODAY()+7),"Due This Week",""),IF(AND($H350&lt;&gt;"",$M350&lt;=VLOOKUP(Home!$C$7,Lists!$N$2:$O$6,2,FALSE)),$H350&amp;" Task",""),IF($G350=Home!$E$7,"Fits Current Energy",""),"No Blockers"))))</f>
        <v/>
      </c>
      <c r="P350" s="88">
        <f>IF($D350="","",SWITCH('Task Finder'!$C$6,"High Priority",AND($F350="High",$E350&lt;&gt;"Done",$E350&lt;&gt;"Archive"),"Due This Week",AND($I350&lt;&gt;"",$I350&gt;=TODAY(),$I350&lt;=TODAY()+7,$E350&lt;&gt;"Done"),"Quick Wins (15 mins or less)",AND($M350&lt;=15,$E350&lt;&gt;"Done",$E350&lt;&gt;"Blocked"),"Deep Thinking",AND($G350="Deep Thinking",$E350&lt;&gt;"Done"),"Processing",AND($G350="Processing",$E350&lt;&gt;"Done"),"Blocked",$E350="Blocked","Waiting",$E350="Waiting","Recently Updated",AND($L350&lt;&gt;"",$L350&gt;=TODAY()-7),"Keyword",AND('Task Finder'!$C$7&lt;&gt;"",OR(ISNUMBER(SEARCH('Task Finder'!$C$7,$A350)),ISNUMBER(SEARCH('Task Finder'!$C$7,$B350)),ISNUMBER(SEARCH('Task Finder'!$C$7,$C350)),ISNUMBER(SEARCH('Task Finder'!$C$7,$D350)),ISNUMBER(SEARCH('Task Finder'!$C$7,$K350)))),TRUE))</f>
        <v/>
      </c>
    </row>
    <row r="351">
      <c r="A351" s="19" t="n"/>
      <c r="B351" s="19" t="n"/>
      <c r="C351" s="19" t="n"/>
      <c r="D351" s="19" t="n"/>
      <c r="E351" s="19" t="n"/>
      <c r="F351" s="19" t="n"/>
      <c r="G351" s="19" t="n"/>
      <c r="H351" s="19" t="n"/>
      <c r="I351" s="19" t="n"/>
      <c r="J351" s="19" t="n"/>
      <c r="K351" s="19" t="n"/>
      <c r="L351" s="125" t="n"/>
      <c r="M351" s="88">
        <f>IF($D351="","",IFERROR(VLOOKUP($H351,Lists!$N$2:$O$6,2,FALSE),0))</f>
        <v/>
      </c>
      <c r="N351" s="88">
        <f>IF($D351="","",IF(OR($E351="Blocked",$E351="Done",$E351="Archive"),-9999,IF(AND($E351="Waiting",SUMPRODUCT((($E$5:$E$500="Next")+($E$5:$E$500="In Progress")+($E$5:$E$500="Captured"))*($D$5:$D$500&lt;&gt;""))&gt;0),-500,VLOOKUP($F351,Lists!$L$2:$M$4,2,FALSE)+IF($E351="In Progress",10,0)+IF(AND($I351&lt;&gt;"",$I351&lt;TODAY()),25,0)+IF(AND($I351&lt;&gt;"",$I351&gt;=TODAY(),$I351&lt;=TODAY()+7),15,0)+IF($H351="",0,IF($M351&lt;=VLOOKUP(Home!$C$7,Lists!$N$2:$O$6,2,FALSE),20,-10))+IF($G351=Home!$E$7,15,IF(Home!$E$7="",0,-5))-ROW()/100000)))</f>
        <v/>
      </c>
      <c r="O351" s="88">
        <f>IF($D351="","",IF($N351&lt;=-500,"Not recommended right now",IF($E351="Waiting","Nothing else actionable right now — Waiting on: "&amp;IF($K351="","this item",$K351),TEXTJOIN(" • ",TRUE,IF($F351="High","High Priority",""),IF(AND($I351&lt;&gt;"",$I351&lt;TODAY()),"Overdue",""),IF(AND($I351&lt;&gt;"",$I351&gt;=TODAY(),$I351&lt;=TODAY()+7),"Due This Week",""),IF(AND($H351&lt;&gt;"",$M351&lt;=VLOOKUP(Home!$C$7,Lists!$N$2:$O$6,2,FALSE)),$H351&amp;" Task",""),IF($G351=Home!$E$7,"Fits Current Energy",""),"No Blockers"))))</f>
        <v/>
      </c>
      <c r="P351" s="88">
        <f>IF($D351="","",SWITCH('Task Finder'!$C$6,"High Priority",AND($F351="High",$E351&lt;&gt;"Done",$E351&lt;&gt;"Archive"),"Due This Week",AND($I351&lt;&gt;"",$I351&gt;=TODAY(),$I351&lt;=TODAY()+7,$E351&lt;&gt;"Done"),"Quick Wins (15 mins or less)",AND($M351&lt;=15,$E351&lt;&gt;"Done",$E351&lt;&gt;"Blocked"),"Deep Thinking",AND($G351="Deep Thinking",$E351&lt;&gt;"Done"),"Processing",AND($G351="Processing",$E351&lt;&gt;"Done"),"Blocked",$E351="Blocked","Waiting",$E351="Waiting","Recently Updated",AND($L351&lt;&gt;"",$L351&gt;=TODAY()-7),"Keyword",AND('Task Finder'!$C$7&lt;&gt;"",OR(ISNUMBER(SEARCH('Task Finder'!$C$7,$A351)),ISNUMBER(SEARCH('Task Finder'!$C$7,$B351)),ISNUMBER(SEARCH('Task Finder'!$C$7,$C351)),ISNUMBER(SEARCH('Task Finder'!$C$7,$D351)),ISNUMBER(SEARCH('Task Finder'!$C$7,$K351)))),TRUE))</f>
        <v/>
      </c>
    </row>
    <row r="352">
      <c r="A352" s="19" t="n"/>
      <c r="B352" s="19" t="n"/>
      <c r="C352" s="19" t="n"/>
      <c r="D352" s="19" t="n"/>
      <c r="E352" s="19" t="n"/>
      <c r="F352" s="19" t="n"/>
      <c r="G352" s="19" t="n"/>
      <c r="H352" s="19" t="n"/>
      <c r="I352" s="19" t="n"/>
      <c r="J352" s="19" t="n"/>
      <c r="K352" s="19" t="n"/>
      <c r="L352" s="125" t="n"/>
      <c r="M352" s="88">
        <f>IF($D352="","",IFERROR(VLOOKUP($H352,Lists!$N$2:$O$6,2,FALSE),0))</f>
        <v/>
      </c>
      <c r="N352" s="88">
        <f>IF($D352="","",IF(OR($E352="Blocked",$E352="Done",$E352="Archive"),-9999,IF(AND($E352="Waiting",SUMPRODUCT((($E$5:$E$500="Next")+($E$5:$E$500="In Progress")+($E$5:$E$500="Captured"))*($D$5:$D$500&lt;&gt;""))&gt;0),-500,VLOOKUP($F352,Lists!$L$2:$M$4,2,FALSE)+IF($E352="In Progress",10,0)+IF(AND($I352&lt;&gt;"",$I352&lt;TODAY()),25,0)+IF(AND($I352&lt;&gt;"",$I352&gt;=TODAY(),$I352&lt;=TODAY()+7),15,0)+IF($H352="",0,IF($M352&lt;=VLOOKUP(Home!$C$7,Lists!$N$2:$O$6,2,FALSE),20,-10))+IF($G352=Home!$E$7,15,IF(Home!$E$7="",0,-5))-ROW()/100000)))</f>
        <v/>
      </c>
      <c r="O352" s="88">
        <f>IF($D352="","",IF($N352&lt;=-500,"Not recommended right now",IF($E352="Waiting","Nothing else actionable right now — Waiting on: "&amp;IF($K352="","this item",$K352),TEXTJOIN(" • ",TRUE,IF($F352="High","High Priority",""),IF(AND($I352&lt;&gt;"",$I352&lt;TODAY()),"Overdue",""),IF(AND($I352&lt;&gt;"",$I352&gt;=TODAY(),$I352&lt;=TODAY()+7),"Due This Week",""),IF(AND($H352&lt;&gt;"",$M352&lt;=VLOOKUP(Home!$C$7,Lists!$N$2:$O$6,2,FALSE)),$H352&amp;" Task",""),IF($G352=Home!$E$7,"Fits Current Energy",""),"No Blockers"))))</f>
        <v/>
      </c>
      <c r="P352" s="88">
        <f>IF($D352="","",SWITCH('Task Finder'!$C$6,"High Priority",AND($F352="High",$E352&lt;&gt;"Done",$E352&lt;&gt;"Archive"),"Due This Week",AND($I352&lt;&gt;"",$I352&gt;=TODAY(),$I352&lt;=TODAY()+7,$E352&lt;&gt;"Done"),"Quick Wins (15 mins or less)",AND($M352&lt;=15,$E352&lt;&gt;"Done",$E352&lt;&gt;"Blocked"),"Deep Thinking",AND($G352="Deep Thinking",$E352&lt;&gt;"Done"),"Processing",AND($G352="Processing",$E352&lt;&gt;"Done"),"Blocked",$E352="Blocked","Waiting",$E352="Waiting","Recently Updated",AND($L352&lt;&gt;"",$L352&gt;=TODAY()-7),"Keyword",AND('Task Finder'!$C$7&lt;&gt;"",OR(ISNUMBER(SEARCH('Task Finder'!$C$7,$A352)),ISNUMBER(SEARCH('Task Finder'!$C$7,$B352)),ISNUMBER(SEARCH('Task Finder'!$C$7,$C352)),ISNUMBER(SEARCH('Task Finder'!$C$7,$D352)),ISNUMBER(SEARCH('Task Finder'!$C$7,$K352)))),TRUE))</f>
        <v/>
      </c>
    </row>
    <row r="353">
      <c r="A353" s="19" t="n"/>
      <c r="B353" s="19" t="n"/>
      <c r="C353" s="19" t="n"/>
      <c r="D353" s="19" t="n"/>
      <c r="E353" s="19" t="n"/>
      <c r="F353" s="19" t="n"/>
      <c r="G353" s="19" t="n"/>
      <c r="H353" s="19" t="n"/>
      <c r="I353" s="19" t="n"/>
      <c r="J353" s="19" t="n"/>
      <c r="K353" s="19" t="n"/>
      <c r="L353" s="125" t="n"/>
      <c r="M353" s="88">
        <f>IF($D353="","",IFERROR(VLOOKUP($H353,Lists!$N$2:$O$6,2,FALSE),0))</f>
        <v/>
      </c>
      <c r="N353" s="88">
        <f>IF($D353="","",IF(OR($E353="Blocked",$E353="Done",$E353="Archive"),-9999,IF(AND($E353="Waiting",SUMPRODUCT((($E$5:$E$500="Next")+($E$5:$E$500="In Progress")+($E$5:$E$500="Captured"))*($D$5:$D$500&lt;&gt;""))&gt;0),-500,VLOOKUP($F353,Lists!$L$2:$M$4,2,FALSE)+IF($E353="In Progress",10,0)+IF(AND($I353&lt;&gt;"",$I353&lt;TODAY()),25,0)+IF(AND($I353&lt;&gt;"",$I353&gt;=TODAY(),$I353&lt;=TODAY()+7),15,0)+IF($H353="",0,IF($M353&lt;=VLOOKUP(Home!$C$7,Lists!$N$2:$O$6,2,FALSE),20,-10))+IF($G353=Home!$E$7,15,IF(Home!$E$7="",0,-5))-ROW()/100000)))</f>
        <v/>
      </c>
      <c r="O353" s="88">
        <f>IF($D353="","",IF($N353&lt;=-500,"Not recommended right now",IF($E353="Waiting","Nothing else actionable right now — Waiting on: "&amp;IF($K353="","this item",$K353),TEXTJOIN(" • ",TRUE,IF($F353="High","High Priority",""),IF(AND($I353&lt;&gt;"",$I353&lt;TODAY()),"Overdue",""),IF(AND($I353&lt;&gt;"",$I353&gt;=TODAY(),$I353&lt;=TODAY()+7),"Due This Week",""),IF(AND($H353&lt;&gt;"",$M353&lt;=VLOOKUP(Home!$C$7,Lists!$N$2:$O$6,2,FALSE)),$H353&amp;" Task",""),IF($G353=Home!$E$7,"Fits Current Energy",""),"No Blockers"))))</f>
        <v/>
      </c>
      <c r="P353" s="88">
        <f>IF($D353="","",SWITCH('Task Finder'!$C$6,"High Priority",AND($F353="High",$E353&lt;&gt;"Done",$E353&lt;&gt;"Archive"),"Due This Week",AND($I353&lt;&gt;"",$I353&gt;=TODAY(),$I353&lt;=TODAY()+7,$E353&lt;&gt;"Done"),"Quick Wins (15 mins or less)",AND($M353&lt;=15,$E353&lt;&gt;"Done",$E353&lt;&gt;"Blocked"),"Deep Thinking",AND($G353="Deep Thinking",$E353&lt;&gt;"Done"),"Processing",AND($G353="Processing",$E353&lt;&gt;"Done"),"Blocked",$E353="Blocked","Waiting",$E353="Waiting","Recently Updated",AND($L353&lt;&gt;"",$L353&gt;=TODAY()-7),"Keyword",AND('Task Finder'!$C$7&lt;&gt;"",OR(ISNUMBER(SEARCH('Task Finder'!$C$7,$A353)),ISNUMBER(SEARCH('Task Finder'!$C$7,$B353)),ISNUMBER(SEARCH('Task Finder'!$C$7,$C353)),ISNUMBER(SEARCH('Task Finder'!$C$7,$D353)),ISNUMBER(SEARCH('Task Finder'!$C$7,$K353)))),TRUE))</f>
        <v/>
      </c>
    </row>
    <row r="354">
      <c r="A354" s="19" t="n"/>
      <c r="B354" s="19" t="n"/>
      <c r="C354" s="19" t="n"/>
      <c r="D354" s="19" t="n"/>
      <c r="E354" s="19" t="n"/>
      <c r="F354" s="19" t="n"/>
      <c r="G354" s="19" t="n"/>
      <c r="H354" s="19" t="n"/>
      <c r="I354" s="19" t="n"/>
      <c r="J354" s="19" t="n"/>
      <c r="K354" s="19" t="n"/>
      <c r="L354" s="125" t="n"/>
      <c r="M354" s="88">
        <f>IF($D354="","",IFERROR(VLOOKUP($H354,Lists!$N$2:$O$6,2,FALSE),0))</f>
        <v/>
      </c>
      <c r="N354" s="88">
        <f>IF($D354="","",IF(OR($E354="Blocked",$E354="Done",$E354="Archive"),-9999,IF(AND($E354="Waiting",SUMPRODUCT((($E$5:$E$500="Next")+($E$5:$E$500="In Progress")+($E$5:$E$500="Captured"))*($D$5:$D$500&lt;&gt;""))&gt;0),-500,VLOOKUP($F354,Lists!$L$2:$M$4,2,FALSE)+IF($E354="In Progress",10,0)+IF(AND($I354&lt;&gt;"",$I354&lt;TODAY()),25,0)+IF(AND($I354&lt;&gt;"",$I354&gt;=TODAY(),$I354&lt;=TODAY()+7),15,0)+IF($H354="",0,IF($M354&lt;=VLOOKUP(Home!$C$7,Lists!$N$2:$O$6,2,FALSE),20,-10))+IF($G354=Home!$E$7,15,IF(Home!$E$7="",0,-5))-ROW()/100000)))</f>
        <v/>
      </c>
      <c r="O354" s="88">
        <f>IF($D354="","",IF($N354&lt;=-500,"Not recommended right now",IF($E354="Waiting","Nothing else actionable right now — Waiting on: "&amp;IF($K354="","this item",$K354),TEXTJOIN(" • ",TRUE,IF($F354="High","High Priority",""),IF(AND($I354&lt;&gt;"",$I354&lt;TODAY()),"Overdue",""),IF(AND($I354&lt;&gt;"",$I354&gt;=TODAY(),$I354&lt;=TODAY()+7),"Due This Week",""),IF(AND($H354&lt;&gt;"",$M354&lt;=VLOOKUP(Home!$C$7,Lists!$N$2:$O$6,2,FALSE)),$H354&amp;" Task",""),IF($G354=Home!$E$7,"Fits Current Energy",""),"No Blockers"))))</f>
        <v/>
      </c>
      <c r="P354" s="88">
        <f>IF($D354="","",SWITCH('Task Finder'!$C$6,"High Priority",AND($F354="High",$E354&lt;&gt;"Done",$E354&lt;&gt;"Archive"),"Due This Week",AND($I354&lt;&gt;"",$I354&gt;=TODAY(),$I354&lt;=TODAY()+7,$E354&lt;&gt;"Done"),"Quick Wins (15 mins or less)",AND($M354&lt;=15,$E354&lt;&gt;"Done",$E354&lt;&gt;"Blocked"),"Deep Thinking",AND($G354="Deep Thinking",$E354&lt;&gt;"Done"),"Processing",AND($G354="Processing",$E354&lt;&gt;"Done"),"Blocked",$E354="Blocked","Waiting",$E354="Waiting","Recently Updated",AND($L354&lt;&gt;"",$L354&gt;=TODAY()-7),"Keyword",AND('Task Finder'!$C$7&lt;&gt;"",OR(ISNUMBER(SEARCH('Task Finder'!$C$7,$A354)),ISNUMBER(SEARCH('Task Finder'!$C$7,$B354)),ISNUMBER(SEARCH('Task Finder'!$C$7,$C354)),ISNUMBER(SEARCH('Task Finder'!$C$7,$D354)),ISNUMBER(SEARCH('Task Finder'!$C$7,$K354)))),TRUE))</f>
        <v/>
      </c>
    </row>
    <row r="355">
      <c r="A355" s="19" t="n"/>
      <c r="B355" s="19" t="n"/>
      <c r="C355" s="19" t="n"/>
      <c r="D355" s="19" t="n"/>
      <c r="E355" s="19" t="n"/>
      <c r="F355" s="19" t="n"/>
      <c r="G355" s="19" t="n"/>
      <c r="H355" s="19" t="n"/>
      <c r="I355" s="19" t="n"/>
      <c r="J355" s="19" t="n"/>
      <c r="K355" s="19" t="n"/>
      <c r="L355" s="125" t="n"/>
      <c r="M355" s="88">
        <f>IF($D355="","",IFERROR(VLOOKUP($H355,Lists!$N$2:$O$6,2,FALSE),0))</f>
        <v/>
      </c>
      <c r="N355" s="88">
        <f>IF($D355="","",IF(OR($E355="Blocked",$E355="Done",$E355="Archive"),-9999,IF(AND($E355="Waiting",SUMPRODUCT((($E$5:$E$500="Next")+($E$5:$E$500="In Progress")+($E$5:$E$500="Captured"))*($D$5:$D$500&lt;&gt;""))&gt;0),-500,VLOOKUP($F355,Lists!$L$2:$M$4,2,FALSE)+IF($E355="In Progress",10,0)+IF(AND($I355&lt;&gt;"",$I355&lt;TODAY()),25,0)+IF(AND($I355&lt;&gt;"",$I355&gt;=TODAY(),$I355&lt;=TODAY()+7),15,0)+IF($H355="",0,IF($M355&lt;=VLOOKUP(Home!$C$7,Lists!$N$2:$O$6,2,FALSE),20,-10))+IF($G355=Home!$E$7,15,IF(Home!$E$7="",0,-5))-ROW()/100000)))</f>
        <v/>
      </c>
      <c r="O355" s="88">
        <f>IF($D355="","",IF($N355&lt;=-500,"Not recommended right now",IF($E355="Waiting","Nothing else actionable right now — Waiting on: "&amp;IF($K355="","this item",$K355),TEXTJOIN(" • ",TRUE,IF($F355="High","High Priority",""),IF(AND($I355&lt;&gt;"",$I355&lt;TODAY()),"Overdue",""),IF(AND($I355&lt;&gt;"",$I355&gt;=TODAY(),$I355&lt;=TODAY()+7),"Due This Week",""),IF(AND($H355&lt;&gt;"",$M355&lt;=VLOOKUP(Home!$C$7,Lists!$N$2:$O$6,2,FALSE)),$H355&amp;" Task",""),IF($G355=Home!$E$7,"Fits Current Energy",""),"No Blockers"))))</f>
        <v/>
      </c>
      <c r="P355" s="88">
        <f>IF($D355="","",SWITCH('Task Finder'!$C$6,"High Priority",AND($F355="High",$E355&lt;&gt;"Done",$E355&lt;&gt;"Archive"),"Due This Week",AND($I355&lt;&gt;"",$I355&gt;=TODAY(),$I355&lt;=TODAY()+7,$E355&lt;&gt;"Done"),"Quick Wins (15 mins or less)",AND($M355&lt;=15,$E355&lt;&gt;"Done",$E355&lt;&gt;"Blocked"),"Deep Thinking",AND($G355="Deep Thinking",$E355&lt;&gt;"Done"),"Processing",AND($G355="Processing",$E355&lt;&gt;"Done"),"Blocked",$E355="Blocked","Waiting",$E355="Waiting","Recently Updated",AND($L355&lt;&gt;"",$L355&gt;=TODAY()-7),"Keyword",AND('Task Finder'!$C$7&lt;&gt;"",OR(ISNUMBER(SEARCH('Task Finder'!$C$7,$A355)),ISNUMBER(SEARCH('Task Finder'!$C$7,$B355)),ISNUMBER(SEARCH('Task Finder'!$C$7,$C355)),ISNUMBER(SEARCH('Task Finder'!$C$7,$D355)),ISNUMBER(SEARCH('Task Finder'!$C$7,$K355)))),TRUE))</f>
        <v/>
      </c>
    </row>
    <row r="356">
      <c r="A356" s="19" t="n"/>
      <c r="B356" s="19" t="n"/>
      <c r="C356" s="19" t="n"/>
      <c r="D356" s="19" t="n"/>
      <c r="E356" s="19" t="n"/>
      <c r="F356" s="19" t="n"/>
      <c r="G356" s="19" t="n"/>
      <c r="H356" s="19" t="n"/>
      <c r="I356" s="19" t="n"/>
      <c r="J356" s="19" t="n"/>
      <c r="K356" s="19" t="n"/>
      <c r="L356" s="125" t="n"/>
      <c r="M356" s="88">
        <f>IF($D356="","",IFERROR(VLOOKUP($H356,Lists!$N$2:$O$6,2,FALSE),0))</f>
        <v/>
      </c>
      <c r="N356" s="88">
        <f>IF($D356="","",IF(OR($E356="Blocked",$E356="Done",$E356="Archive"),-9999,IF(AND($E356="Waiting",SUMPRODUCT((($E$5:$E$500="Next")+($E$5:$E$500="In Progress")+($E$5:$E$500="Captured"))*($D$5:$D$500&lt;&gt;""))&gt;0),-500,VLOOKUP($F356,Lists!$L$2:$M$4,2,FALSE)+IF($E356="In Progress",10,0)+IF(AND($I356&lt;&gt;"",$I356&lt;TODAY()),25,0)+IF(AND($I356&lt;&gt;"",$I356&gt;=TODAY(),$I356&lt;=TODAY()+7),15,0)+IF($H356="",0,IF($M356&lt;=VLOOKUP(Home!$C$7,Lists!$N$2:$O$6,2,FALSE),20,-10))+IF($G356=Home!$E$7,15,IF(Home!$E$7="",0,-5))-ROW()/100000)))</f>
        <v/>
      </c>
      <c r="O356" s="88">
        <f>IF($D356="","",IF($N356&lt;=-500,"Not recommended right now",IF($E356="Waiting","Nothing else actionable right now — Waiting on: "&amp;IF($K356="","this item",$K356),TEXTJOIN(" • ",TRUE,IF($F356="High","High Priority",""),IF(AND($I356&lt;&gt;"",$I356&lt;TODAY()),"Overdue",""),IF(AND($I356&lt;&gt;"",$I356&gt;=TODAY(),$I356&lt;=TODAY()+7),"Due This Week",""),IF(AND($H356&lt;&gt;"",$M356&lt;=VLOOKUP(Home!$C$7,Lists!$N$2:$O$6,2,FALSE)),$H356&amp;" Task",""),IF($G356=Home!$E$7,"Fits Current Energy",""),"No Blockers"))))</f>
        <v/>
      </c>
      <c r="P356" s="88">
        <f>IF($D356="","",SWITCH('Task Finder'!$C$6,"High Priority",AND($F356="High",$E356&lt;&gt;"Done",$E356&lt;&gt;"Archive"),"Due This Week",AND($I356&lt;&gt;"",$I356&gt;=TODAY(),$I356&lt;=TODAY()+7,$E356&lt;&gt;"Done"),"Quick Wins (15 mins or less)",AND($M356&lt;=15,$E356&lt;&gt;"Done",$E356&lt;&gt;"Blocked"),"Deep Thinking",AND($G356="Deep Thinking",$E356&lt;&gt;"Done"),"Processing",AND($G356="Processing",$E356&lt;&gt;"Done"),"Blocked",$E356="Blocked","Waiting",$E356="Waiting","Recently Updated",AND($L356&lt;&gt;"",$L356&gt;=TODAY()-7),"Keyword",AND('Task Finder'!$C$7&lt;&gt;"",OR(ISNUMBER(SEARCH('Task Finder'!$C$7,$A356)),ISNUMBER(SEARCH('Task Finder'!$C$7,$B356)),ISNUMBER(SEARCH('Task Finder'!$C$7,$C356)),ISNUMBER(SEARCH('Task Finder'!$C$7,$D356)),ISNUMBER(SEARCH('Task Finder'!$C$7,$K356)))),TRUE))</f>
        <v/>
      </c>
    </row>
    <row r="357">
      <c r="A357" s="19" t="n"/>
      <c r="B357" s="19" t="n"/>
      <c r="C357" s="19" t="n"/>
      <c r="D357" s="19" t="n"/>
      <c r="E357" s="19" t="n"/>
      <c r="F357" s="19" t="n"/>
      <c r="G357" s="19" t="n"/>
      <c r="H357" s="19" t="n"/>
      <c r="I357" s="19" t="n"/>
      <c r="J357" s="19" t="n"/>
      <c r="K357" s="19" t="n"/>
      <c r="L357" s="125" t="n"/>
      <c r="M357" s="88">
        <f>IF($D357="","",IFERROR(VLOOKUP($H357,Lists!$N$2:$O$6,2,FALSE),0))</f>
        <v/>
      </c>
      <c r="N357" s="88">
        <f>IF($D357="","",IF(OR($E357="Blocked",$E357="Done",$E357="Archive"),-9999,IF(AND($E357="Waiting",SUMPRODUCT((($E$5:$E$500="Next")+($E$5:$E$500="In Progress")+($E$5:$E$500="Captured"))*($D$5:$D$500&lt;&gt;""))&gt;0),-500,VLOOKUP($F357,Lists!$L$2:$M$4,2,FALSE)+IF($E357="In Progress",10,0)+IF(AND($I357&lt;&gt;"",$I357&lt;TODAY()),25,0)+IF(AND($I357&lt;&gt;"",$I357&gt;=TODAY(),$I357&lt;=TODAY()+7),15,0)+IF($H357="",0,IF($M357&lt;=VLOOKUP(Home!$C$7,Lists!$N$2:$O$6,2,FALSE),20,-10))+IF($G357=Home!$E$7,15,IF(Home!$E$7="",0,-5))-ROW()/100000)))</f>
        <v/>
      </c>
      <c r="O357" s="88">
        <f>IF($D357="","",IF($N357&lt;=-500,"Not recommended right now",IF($E357="Waiting","Nothing else actionable right now — Waiting on: "&amp;IF($K357="","this item",$K357),TEXTJOIN(" • ",TRUE,IF($F357="High","High Priority",""),IF(AND($I357&lt;&gt;"",$I357&lt;TODAY()),"Overdue",""),IF(AND($I357&lt;&gt;"",$I357&gt;=TODAY(),$I357&lt;=TODAY()+7),"Due This Week",""),IF(AND($H357&lt;&gt;"",$M357&lt;=VLOOKUP(Home!$C$7,Lists!$N$2:$O$6,2,FALSE)),$H357&amp;" Task",""),IF($G357=Home!$E$7,"Fits Current Energy",""),"No Blockers"))))</f>
        <v/>
      </c>
      <c r="P357" s="88">
        <f>IF($D357="","",SWITCH('Task Finder'!$C$6,"High Priority",AND($F357="High",$E357&lt;&gt;"Done",$E357&lt;&gt;"Archive"),"Due This Week",AND($I357&lt;&gt;"",$I357&gt;=TODAY(),$I357&lt;=TODAY()+7,$E357&lt;&gt;"Done"),"Quick Wins (15 mins or less)",AND($M357&lt;=15,$E357&lt;&gt;"Done",$E357&lt;&gt;"Blocked"),"Deep Thinking",AND($G357="Deep Thinking",$E357&lt;&gt;"Done"),"Processing",AND($G357="Processing",$E357&lt;&gt;"Done"),"Blocked",$E357="Blocked","Waiting",$E357="Waiting","Recently Updated",AND($L357&lt;&gt;"",$L357&gt;=TODAY()-7),"Keyword",AND('Task Finder'!$C$7&lt;&gt;"",OR(ISNUMBER(SEARCH('Task Finder'!$C$7,$A357)),ISNUMBER(SEARCH('Task Finder'!$C$7,$B357)),ISNUMBER(SEARCH('Task Finder'!$C$7,$C357)),ISNUMBER(SEARCH('Task Finder'!$C$7,$D357)),ISNUMBER(SEARCH('Task Finder'!$C$7,$K357)))),TRUE))</f>
        <v/>
      </c>
    </row>
    <row r="358">
      <c r="A358" s="19" t="n"/>
      <c r="B358" s="19" t="n"/>
      <c r="C358" s="19" t="n"/>
      <c r="D358" s="19" t="n"/>
      <c r="E358" s="19" t="n"/>
      <c r="F358" s="19" t="n"/>
      <c r="G358" s="19" t="n"/>
      <c r="H358" s="19" t="n"/>
      <c r="I358" s="19" t="n"/>
      <c r="J358" s="19" t="n"/>
      <c r="K358" s="19" t="n"/>
      <c r="L358" s="125" t="n"/>
      <c r="M358" s="88">
        <f>IF($D358="","",IFERROR(VLOOKUP($H358,Lists!$N$2:$O$6,2,FALSE),0))</f>
        <v/>
      </c>
      <c r="N358" s="88">
        <f>IF($D358="","",IF(OR($E358="Blocked",$E358="Done",$E358="Archive"),-9999,IF(AND($E358="Waiting",SUMPRODUCT((($E$5:$E$500="Next")+($E$5:$E$500="In Progress")+($E$5:$E$500="Captured"))*($D$5:$D$500&lt;&gt;""))&gt;0),-500,VLOOKUP($F358,Lists!$L$2:$M$4,2,FALSE)+IF($E358="In Progress",10,0)+IF(AND($I358&lt;&gt;"",$I358&lt;TODAY()),25,0)+IF(AND($I358&lt;&gt;"",$I358&gt;=TODAY(),$I358&lt;=TODAY()+7),15,0)+IF($H358="",0,IF($M358&lt;=VLOOKUP(Home!$C$7,Lists!$N$2:$O$6,2,FALSE),20,-10))+IF($G358=Home!$E$7,15,IF(Home!$E$7="",0,-5))-ROW()/100000)))</f>
        <v/>
      </c>
      <c r="O358" s="88">
        <f>IF($D358="","",IF($N358&lt;=-500,"Not recommended right now",IF($E358="Waiting","Nothing else actionable right now — Waiting on: "&amp;IF($K358="","this item",$K358),TEXTJOIN(" • ",TRUE,IF($F358="High","High Priority",""),IF(AND($I358&lt;&gt;"",$I358&lt;TODAY()),"Overdue",""),IF(AND($I358&lt;&gt;"",$I358&gt;=TODAY(),$I358&lt;=TODAY()+7),"Due This Week",""),IF(AND($H358&lt;&gt;"",$M358&lt;=VLOOKUP(Home!$C$7,Lists!$N$2:$O$6,2,FALSE)),$H358&amp;" Task",""),IF($G358=Home!$E$7,"Fits Current Energy",""),"No Blockers"))))</f>
        <v/>
      </c>
      <c r="P358" s="88">
        <f>IF($D358="","",SWITCH('Task Finder'!$C$6,"High Priority",AND($F358="High",$E358&lt;&gt;"Done",$E358&lt;&gt;"Archive"),"Due This Week",AND($I358&lt;&gt;"",$I358&gt;=TODAY(),$I358&lt;=TODAY()+7,$E358&lt;&gt;"Done"),"Quick Wins (15 mins or less)",AND($M358&lt;=15,$E358&lt;&gt;"Done",$E358&lt;&gt;"Blocked"),"Deep Thinking",AND($G358="Deep Thinking",$E358&lt;&gt;"Done"),"Processing",AND($G358="Processing",$E358&lt;&gt;"Done"),"Blocked",$E358="Blocked","Waiting",$E358="Waiting","Recently Updated",AND($L358&lt;&gt;"",$L358&gt;=TODAY()-7),"Keyword",AND('Task Finder'!$C$7&lt;&gt;"",OR(ISNUMBER(SEARCH('Task Finder'!$C$7,$A358)),ISNUMBER(SEARCH('Task Finder'!$C$7,$B358)),ISNUMBER(SEARCH('Task Finder'!$C$7,$C358)),ISNUMBER(SEARCH('Task Finder'!$C$7,$D358)),ISNUMBER(SEARCH('Task Finder'!$C$7,$K358)))),TRUE))</f>
        <v/>
      </c>
    </row>
    <row r="359">
      <c r="A359" s="19" t="n"/>
      <c r="B359" s="19" t="n"/>
      <c r="C359" s="19" t="n"/>
      <c r="D359" s="19" t="n"/>
      <c r="E359" s="19" t="n"/>
      <c r="F359" s="19" t="n"/>
      <c r="G359" s="19" t="n"/>
      <c r="H359" s="19" t="n"/>
      <c r="I359" s="19" t="n"/>
      <c r="J359" s="19" t="n"/>
      <c r="K359" s="19" t="n"/>
      <c r="L359" s="125" t="n"/>
      <c r="M359" s="88">
        <f>IF($D359="","",IFERROR(VLOOKUP($H359,Lists!$N$2:$O$6,2,FALSE),0))</f>
        <v/>
      </c>
      <c r="N359" s="88">
        <f>IF($D359="","",IF(OR($E359="Blocked",$E359="Done",$E359="Archive"),-9999,IF(AND($E359="Waiting",SUMPRODUCT((($E$5:$E$500="Next")+($E$5:$E$500="In Progress")+($E$5:$E$500="Captured"))*($D$5:$D$500&lt;&gt;""))&gt;0),-500,VLOOKUP($F359,Lists!$L$2:$M$4,2,FALSE)+IF($E359="In Progress",10,0)+IF(AND($I359&lt;&gt;"",$I359&lt;TODAY()),25,0)+IF(AND($I359&lt;&gt;"",$I359&gt;=TODAY(),$I359&lt;=TODAY()+7),15,0)+IF($H359="",0,IF($M359&lt;=VLOOKUP(Home!$C$7,Lists!$N$2:$O$6,2,FALSE),20,-10))+IF($G359=Home!$E$7,15,IF(Home!$E$7="",0,-5))-ROW()/100000)))</f>
        <v/>
      </c>
      <c r="O359" s="88">
        <f>IF($D359="","",IF($N359&lt;=-500,"Not recommended right now",IF($E359="Waiting","Nothing else actionable right now — Waiting on: "&amp;IF($K359="","this item",$K359),TEXTJOIN(" • ",TRUE,IF($F359="High","High Priority",""),IF(AND($I359&lt;&gt;"",$I359&lt;TODAY()),"Overdue",""),IF(AND($I359&lt;&gt;"",$I359&gt;=TODAY(),$I359&lt;=TODAY()+7),"Due This Week",""),IF(AND($H359&lt;&gt;"",$M359&lt;=VLOOKUP(Home!$C$7,Lists!$N$2:$O$6,2,FALSE)),$H359&amp;" Task",""),IF($G359=Home!$E$7,"Fits Current Energy",""),"No Blockers"))))</f>
        <v/>
      </c>
      <c r="P359" s="88">
        <f>IF($D359="","",SWITCH('Task Finder'!$C$6,"High Priority",AND($F359="High",$E359&lt;&gt;"Done",$E359&lt;&gt;"Archive"),"Due This Week",AND($I359&lt;&gt;"",$I359&gt;=TODAY(),$I359&lt;=TODAY()+7,$E359&lt;&gt;"Done"),"Quick Wins (15 mins or less)",AND($M359&lt;=15,$E359&lt;&gt;"Done",$E359&lt;&gt;"Blocked"),"Deep Thinking",AND($G359="Deep Thinking",$E359&lt;&gt;"Done"),"Processing",AND($G359="Processing",$E359&lt;&gt;"Done"),"Blocked",$E359="Blocked","Waiting",$E359="Waiting","Recently Updated",AND($L359&lt;&gt;"",$L359&gt;=TODAY()-7),"Keyword",AND('Task Finder'!$C$7&lt;&gt;"",OR(ISNUMBER(SEARCH('Task Finder'!$C$7,$A359)),ISNUMBER(SEARCH('Task Finder'!$C$7,$B359)),ISNUMBER(SEARCH('Task Finder'!$C$7,$C359)),ISNUMBER(SEARCH('Task Finder'!$C$7,$D359)),ISNUMBER(SEARCH('Task Finder'!$C$7,$K359)))),TRUE))</f>
        <v/>
      </c>
    </row>
    <row r="360">
      <c r="A360" s="19" t="n"/>
      <c r="B360" s="19" t="n"/>
      <c r="C360" s="19" t="n"/>
      <c r="D360" s="19" t="n"/>
      <c r="E360" s="19" t="n"/>
      <c r="F360" s="19" t="n"/>
      <c r="G360" s="19" t="n"/>
      <c r="H360" s="19" t="n"/>
      <c r="I360" s="19" t="n"/>
      <c r="J360" s="19" t="n"/>
      <c r="K360" s="19" t="n"/>
      <c r="L360" s="125" t="n"/>
      <c r="M360" s="88">
        <f>IF($D360="","",IFERROR(VLOOKUP($H360,Lists!$N$2:$O$6,2,FALSE),0))</f>
        <v/>
      </c>
      <c r="N360" s="88">
        <f>IF($D360="","",IF(OR($E360="Blocked",$E360="Done",$E360="Archive"),-9999,IF(AND($E360="Waiting",SUMPRODUCT((($E$5:$E$500="Next")+($E$5:$E$500="In Progress")+($E$5:$E$500="Captured"))*($D$5:$D$500&lt;&gt;""))&gt;0),-500,VLOOKUP($F360,Lists!$L$2:$M$4,2,FALSE)+IF($E360="In Progress",10,0)+IF(AND($I360&lt;&gt;"",$I360&lt;TODAY()),25,0)+IF(AND($I360&lt;&gt;"",$I360&gt;=TODAY(),$I360&lt;=TODAY()+7),15,0)+IF($H360="",0,IF($M360&lt;=VLOOKUP(Home!$C$7,Lists!$N$2:$O$6,2,FALSE),20,-10))+IF($G360=Home!$E$7,15,IF(Home!$E$7="",0,-5))-ROW()/100000)))</f>
        <v/>
      </c>
      <c r="O360" s="88">
        <f>IF($D360="","",IF($N360&lt;=-500,"Not recommended right now",IF($E360="Waiting","Nothing else actionable right now — Waiting on: "&amp;IF($K360="","this item",$K360),TEXTJOIN(" • ",TRUE,IF($F360="High","High Priority",""),IF(AND($I360&lt;&gt;"",$I360&lt;TODAY()),"Overdue",""),IF(AND($I360&lt;&gt;"",$I360&gt;=TODAY(),$I360&lt;=TODAY()+7),"Due This Week",""),IF(AND($H360&lt;&gt;"",$M360&lt;=VLOOKUP(Home!$C$7,Lists!$N$2:$O$6,2,FALSE)),$H360&amp;" Task",""),IF($G360=Home!$E$7,"Fits Current Energy",""),"No Blockers"))))</f>
        <v/>
      </c>
      <c r="P360" s="88">
        <f>IF($D360="","",SWITCH('Task Finder'!$C$6,"High Priority",AND($F360="High",$E360&lt;&gt;"Done",$E360&lt;&gt;"Archive"),"Due This Week",AND($I360&lt;&gt;"",$I360&gt;=TODAY(),$I360&lt;=TODAY()+7,$E360&lt;&gt;"Done"),"Quick Wins (15 mins or less)",AND($M360&lt;=15,$E360&lt;&gt;"Done",$E360&lt;&gt;"Blocked"),"Deep Thinking",AND($G360="Deep Thinking",$E360&lt;&gt;"Done"),"Processing",AND($G360="Processing",$E360&lt;&gt;"Done"),"Blocked",$E360="Blocked","Waiting",$E360="Waiting","Recently Updated",AND($L360&lt;&gt;"",$L360&gt;=TODAY()-7),"Keyword",AND('Task Finder'!$C$7&lt;&gt;"",OR(ISNUMBER(SEARCH('Task Finder'!$C$7,$A360)),ISNUMBER(SEARCH('Task Finder'!$C$7,$B360)),ISNUMBER(SEARCH('Task Finder'!$C$7,$C360)),ISNUMBER(SEARCH('Task Finder'!$C$7,$D360)),ISNUMBER(SEARCH('Task Finder'!$C$7,$K360)))),TRUE))</f>
        <v/>
      </c>
    </row>
    <row r="361">
      <c r="A361" s="19" t="n"/>
      <c r="B361" s="19" t="n"/>
      <c r="C361" s="19" t="n"/>
      <c r="D361" s="19" t="n"/>
      <c r="E361" s="19" t="n"/>
      <c r="F361" s="19" t="n"/>
      <c r="G361" s="19" t="n"/>
      <c r="H361" s="19" t="n"/>
      <c r="I361" s="19" t="n"/>
      <c r="J361" s="19" t="n"/>
      <c r="K361" s="19" t="n"/>
      <c r="L361" s="125" t="n"/>
      <c r="M361" s="88">
        <f>IF($D361="","",IFERROR(VLOOKUP($H361,Lists!$N$2:$O$6,2,FALSE),0))</f>
        <v/>
      </c>
      <c r="N361" s="88">
        <f>IF($D361="","",IF(OR($E361="Blocked",$E361="Done",$E361="Archive"),-9999,IF(AND($E361="Waiting",SUMPRODUCT((($E$5:$E$500="Next")+($E$5:$E$500="In Progress")+($E$5:$E$500="Captured"))*($D$5:$D$500&lt;&gt;""))&gt;0),-500,VLOOKUP($F361,Lists!$L$2:$M$4,2,FALSE)+IF($E361="In Progress",10,0)+IF(AND($I361&lt;&gt;"",$I361&lt;TODAY()),25,0)+IF(AND($I361&lt;&gt;"",$I361&gt;=TODAY(),$I361&lt;=TODAY()+7),15,0)+IF($H361="",0,IF($M361&lt;=VLOOKUP(Home!$C$7,Lists!$N$2:$O$6,2,FALSE),20,-10))+IF($G361=Home!$E$7,15,IF(Home!$E$7="",0,-5))-ROW()/100000)))</f>
        <v/>
      </c>
      <c r="O361" s="88">
        <f>IF($D361="","",IF($N361&lt;=-500,"Not recommended right now",IF($E361="Waiting","Nothing else actionable right now — Waiting on: "&amp;IF($K361="","this item",$K361),TEXTJOIN(" • ",TRUE,IF($F361="High","High Priority",""),IF(AND($I361&lt;&gt;"",$I361&lt;TODAY()),"Overdue",""),IF(AND($I361&lt;&gt;"",$I361&gt;=TODAY(),$I361&lt;=TODAY()+7),"Due This Week",""),IF(AND($H361&lt;&gt;"",$M361&lt;=VLOOKUP(Home!$C$7,Lists!$N$2:$O$6,2,FALSE)),$H361&amp;" Task",""),IF($G361=Home!$E$7,"Fits Current Energy",""),"No Blockers"))))</f>
        <v/>
      </c>
      <c r="P361" s="88">
        <f>IF($D361="","",SWITCH('Task Finder'!$C$6,"High Priority",AND($F361="High",$E361&lt;&gt;"Done",$E361&lt;&gt;"Archive"),"Due This Week",AND($I361&lt;&gt;"",$I361&gt;=TODAY(),$I361&lt;=TODAY()+7,$E361&lt;&gt;"Done"),"Quick Wins (15 mins or less)",AND($M361&lt;=15,$E361&lt;&gt;"Done",$E361&lt;&gt;"Blocked"),"Deep Thinking",AND($G361="Deep Thinking",$E361&lt;&gt;"Done"),"Processing",AND($G361="Processing",$E361&lt;&gt;"Done"),"Blocked",$E361="Blocked","Waiting",$E361="Waiting","Recently Updated",AND($L361&lt;&gt;"",$L361&gt;=TODAY()-7),"Keyword",AND('Task Finder'!$C$7&lt;&gt;"",OR(ISNUMBER(SEARCH('Task Finder'!$C$7,$A361)),ISNUMBER(SEARCH('Task Finder'!$C$7,$B361)),ISNUMBER(SEARCH('Task Finder'!$C$7,$C361)),ISNUMBER(SEARCH('Task Finder'!$C$7,$D361)),ISNUMBER(SEARCH('Task Finder'!$C$7,$K361)))),TRUE))</f>
        <v/>
      </c>
    </row>
    <row r="362">
      <c r="A362" s="19" t="n"/>
      <c r="B362" s="19" t="n"/>
      <c r="C362" s="19" t="n"/>
      <c r="D362" s="19" t="n"/>
      <c r="E362" s="19" t="n"/>
      <c r="F362" s="19" t="n"/>
      <c r="G362" s="19" t="n"/>
      <c r="H362" s="19" t="n"/>
      <c r="I362" s="19" t="n"/>
      <c r="J362" s="19" t="n"/>
      <c r="K362" s="19" t="n"/>
      <c r="L362" s="125" t="n"/>
      <c r="M362" s="88">
        <f>IF($D362="","",IFERROR(VLOOKUP($H362,Lists!$N$2:$O$6,2,FALSE),0))</f>
        <v/>
      </c>
      <c r="N362" s="88">
        <f>IF($D362="","",IF(OR($E362="Blocked",$E362="Done",$E362="Archive"),-9999,IF(AND($E362="Waiting",SUMPRODUCT((($E$5:$E$500="Next")+($E$5:$E$500="In Progress")+($E$5:$E$500="Captured"))*($D$5:$D$500&lt;&gt;""))&gt;0),-500,VLOOKUP($F362,Lists!$L$2:$M$4,2,FALSE)+IF($E362="In Progress",10,0)+IF(AND($I362&lt;&gt;"",$I362&lt;TODAY()),25,0)+IF(AND($I362&lt;&gt;"",$I362&gt;=TODAY(),$I362&lt;=TODAY()+7),15,0)+IF($H362="",0,IF($M362&lt;=VLOOKUP(Home!$C$7,Lists!$N$2:$O$6,2,FALSE),20,-10))+IF($G362=Home!$E$7,15,IF(Home!$E$7="",0,-5))-ROW()/100000)))</f>
        <v/>
      </c>
      <c r="O362" s="88">
        <f>IF($D362="","",IF($N362&lt;=-500,"Not recommended right now",IF($E362="Waiting","Nothing else actionable right now — Waiting on: "&amp;IF($K362="","this item",$K362),TEXTJOIN(" • ",TRUE,IF($F362="High","High Priority",""),IF(AND($I362&lt;&gt;"",$I362&lt;TODAY()),"Overdue",""),IF(AND($I362&lt;&gt;"",$I362&gt;=TODAY(),$I362&lt;=TODAY()+7),"Due This Week",""),IF(AND($H362&lt;&gt;"",$M362&lt;=VLOOKUP(Home!$C$7,Lists!$N$2:$O$6,2,FALSE)),$H362&amp;" Task",""),IF($G362=Home!$E$7,"Fits Current Energy",""),"No Blockers"))))</f>
        <v/>
      </c>
      <c r="P362" s="88">
        <f>IF($D362="","",SWITCH('Task Finder'!$C$6,"High Priority",AND($F362="High",$E362&lt;&gt;"Done",$E362&lt;&gt;"Archive"),"Due This Week",AND($I362&lt;&gt;"",$I362&gt;=TODAY(),$I362&lt;=TODAY()+7,$E362&lt;&gt;"Done"),"Quick Wins (15 mins or less)",AND($M362&lt;=15,$E362&lt;&gt;"Done",$E362&lt;&gt;"Blocked"),"Deep Thinking",AND($G362="Deep Thinking",$E362&lt;&gt;"Done"),"Processing",AND($G362="Processing",$E362&lt;&gt;"Done"),"Blocked",$E362="Blocked","Waiting",$E362="Waiting","Recently Updated",AND($L362&lt;&gt;"",$L362&gt;=TODAY()-7),"Keyword",AND('Task Finder'!$C$7&lt;&gt;"",OR(ISNUMBER(SEARCH('Task Finder'!$C$7,$A362)),ISNUMBER(SEARCH('Task Finder'!$C$7,$B362)),ISNUMBER(SEARCH('Task Finder'!$C$7,$C362)),ISNUMBER(SEARCH('Task Finder'!$C$7,$D362)),ISNUMBER(SEARCH('Task Finder'!$C$7,$K362)))),TRUE))</f>
        <v/>
      </c>
    </row>
    <row r="363">
      <c r="A363" s="19" t="n"/>
      <c r="B363" s="19" t="n"/>
      <c r="C363" s="19" t="n"/>
      <c r="D363" s="19" t="n"/>
      <c r="E363" s="19" t="n"/>
      <c r="F363" s="19" t="n"/>
      <c r="G363" s="19" t="n"/>
      <c r="H363" s="19" t="n"/>
      <c r="I363" s="19" t="n"/>
      <c r="J363" s="19" t="n"/>
      <c r="K363" s="19" t="n"/>
      <c r="L363" s="125" t="n"/>
      <c r="M363" s="88">
        <f>IF($D363="","",IFERROR(VLOOKUP($H363,Lists!$N$2:$O$6,2,FALSE),0))</f>
        <v/>
      </c>
      <c r="N363" s="88">
        <f>IF($D363="","",IF(OR($E363="Blocked",$E363="Done",$E363="Archive"),-9999,IF(AND($E363="Waiting",SUMPRODUCT((($E$5:$E$500="Next")+($E$5:$E$500="In Progress")+($E$5:$E$500="Captured"))*($D$5:$D$500&lt;&gt;""))&gt;0),-500,VLOOKUP($F363,Lists!$L$2:$M$4,2,FALSE)+IF($E363="In Progress",10,0)+IF(AND($I363&lt;&gt;"",$I363&lt;TODAY()),25,0)+IF(AND($I363&lt;&gt;"",$I363&gt;=TODAY(),$I363&lt;=TODAY()+7),15,0)+IF($H363="",0,IF($M363&lt;=VLOOKUP(Home!$C$7,Lists!$N$2:$O$6,2,FALSE),20,-10))+IF($G363=Home!$E$7,15,IF(Home!$E$7="",0,-5))-ROW()/100000)))</f>
        <v/>
      </c>
      <c r="O363" s="88">
        <f>IF($D363="","",IF($N363&lt;=-500,"Not recommended right now",IF($E363="Waiting","Nothing else actionable right now — Waiting on: "&amp;IF($K363="","this item",$K363),TEXTJOIN(" • ",TRUE,IF($F363="High","High Priority",""),IF(AND($I363&lt;&gt;"",$I363&lt;TODAY()),"Overdue",""),IF(AND($I363&lt;&gt;"",$I363&gt;=TODAY(),$I363&lt;=TODAY()+7),"Due This Week",""),IF(AND($H363&lt;&gt;"",$M363&lt;=VLOOKUP(Home!$C$7,Lists!$N$2:$O$6,2,FALSE)),$H363&amp;" Task",""),IF($G363=Home!$E$7,"Fits Current Energy",""),"No Blockers"))))</f>
        <v/>
      </c>
      <c r="P363" s="88">
        <f>IF($D363="","",SWITCH('Task Finder'!$C$6,"High Priority",AND($F363="High",$E363&lt;&gt;"Done",$E363&lt;&gt;"Archive"),"Due This Week",AND($I363&lt;&gt;"",$I363&gt;=TODAY(),$I363&lt;=TODAY()+7,$E363&lt;&gt;"Done"),"Quick Wins (15 mins or less)",AND($M363&lt;=15,$E363&lt;&gt;"Done",$E363&lt;&gt;"Blocked"),"Deep Thinking",AND($G363="Deep Thinking",$E363&lt;&gt;"Done"),"Processing",AND($G363="Processing",$E363&lt;&gt;"Done"),"Blocked",$E363="Blocked","Waiting",$E363="Waiting","Recently Updated",AND($L363&lt;&gt;"",$L363&gt;=TODAY()-7),"Keyword",AND('Task Finder'!$C$7&lt;&gt;"",OR(ISNUMBER(SEARCH('Task Finder'!$C$7,$A363)),ISNUMBER(SEARCH('Task Finder'!$C$7,$B363)),ISNUMBER(SEARCH('Task Finder'!$C$7,$C363)),ISNUMBER(SEARCH('Task Finder'!$C$7,$D363)),ISNUMBER(SEARCH('Task Finder'!$C$7,$K363)))),TRUE))</f>
        <v/>
      </c>
    </row>
    <row r="364">
      <c r="A364" s="19" t="n"/>
      <c r="B364" s="19" t="n"/>
      <c r="C364" s="19" t="n"/>
      <c r="D364" s="19" t="n"/>
      <c r="E364" s="19" t="n"/>
      <c r="F364" s="19" t="n"/>
      <c r="G364" s="19" t="n"/>
      <c r="H364" s="19" t="n"/>
      <c r="I364" s="19" t="n"/>
      <c r="J364" s="19" t="n"/>
      <c r="K364" s="19" t="n"/>
      <c r="L364" s="125" t="n"/>
      <c r="M364" s="88">
        <f>IF($D364="","",IFERROR(VLOOKUP($H364,Lists!$N$2:$O$6,2,FALSE),0))</f>
        <v/>
      </c>
      <c r="N364" s="88">
        <f>IF($D364="","",IF(OR($E364="Blocked",$E364="Done",$E364="Archive"),-9999,IF(AND($E364="Waiting",SUMPRODUCT((($E$5:$E$500="Next")+($E$5:$E$500="In Progress")+($E$5:$E$500="Captured"))*($D$5:$D$500&lt;&gt;""))&gt;0),-500,VLOOKUP($F364,Lists!$L$2:$M$4,2,FALSE)+IF($E364="In Progress",10,0)+IF(AND($I364&lt;&gt;"",$I364&lt;TODAY()),25,0)+IF(AND($I364&lt;&gt;"",$I364&gt;=TODAY(),$I364&lt;=TODAY()+7),15,0)+IF($H364="",0,IF($M364&lt;=VLOOKUP(Home!$C$7,Lists!$N$2:$O$6,2,FALSE),20,-10))+IF($G364=Home!$E$7,15,IF(Home!$E$7="",0,-5))-ROW()/100000)))</f>
        <v/>
      </c>
      <c r="O364" s="88">
        <f>IF($D364="","",IF($N364&lt;=-500,"Not recommended right now",IF($E364="Waiting","Nothing else actionable right now — Waiting on: "&amp;IF($K364="","this item",$K364),TEXTJOIN(" • ",TRUE,IF($F364="High","High Priority",""),IF(AND($I364&lt;&gt;"",$I364&lt;TODAY()),"Overdue",""),IF(AND($I364&lt;&gt;"",$I364&gt;=TODAY(),$I364&lt;=TODAY()+7),"Due This Week",""),IF(AND($H364&lt;&gt;"",$M364&lt;=VLOOKUP(Home!$C$7,Lists!$N$2:$O$6,2,FALSE)),$H364&amp;" Task",""),IF($G364=Home!$E$7,"Fits Current Energy",""),"No Blockers"))))</f>
        <v/>
      </c>
      <c r="P364" s="88">
        <f>IF($D364="","",SWITCH('Task Finder'!$C$6,"High Priority",AND($F364="High",$E364&lt;&gt;"Done",$E364&lt;&gt;"Archive"),"Due This Week",AND($I364&lt;&gt;"",$I364&gt;=TODAY(),$I364&lt;=TODAY()+7,$E364&lt;&gt;"Done"),"Quick Wins (15 mins or less)",AND($M364&lt;=15,$E364&lt;&gt;"Done",$E364&lt;&gt;"Blocked"),"Deep Thinking",AND($G364="Deep Thinking",$E364&lt;&gt;"Done"),"Processing",AND($G364="Processing",$E364&lt;&gt;"Done"),"Blocked",$E364="Blocked","Waiting",$E364="Waiting","Recently Updated",AND($L364&lt;&gt;"",$L364&gt;=TODAY()-7),"Keyword",AND('Task Finder'!$C$7&lt;&gt;"",OR(ISNUMBER(SEARCH('Task Finder'!$C$7,$A364)),ISNUMBER(SEARCH('Task Finder'!$C$7,$B364)),ISNUMBER(SEARCH('Task Finder'!$C$7,$C364)),ISNUMBER(SEARCH('Task Finder'!$C$7,$D364)),ISNUMBER(SEARCH('Task Finder'!$C$7,$K364)))),TRUE))</f>
        <v/>
      </c>
    </row>
    <row r="365">
      <c r="A365" s="19" t="n"/>
      <c r="B365" s="19" t="n"/>
      <c r="C365" s="19" t="n"/>
      <c r="D365" s="19" t="n"/>
      <c r="E365" s="19" t="n"/>
      <c r="F365" s="19" t="n"/>
      <c r="G365" s="19" t="n"/>
      <c r="H365" s="19" t="n"/>
      <c r="I365" s="19" t="n"/>
      <c r="J365" s="19" t="n"/>
      <c r="K365" s="19" t="n"/>
      <c r="L365" s="125" t="n"/>
      <c r="M365" s="88">
        <f>IF($D365="","",IFERROR(VLOOKUP($H365,Lists!$N$2:$O$6,2,FALSE),0))</f>
        <v/>
      </c>
      <c r="N365" s="88">
        <f>IF($D365="","",IF(OR($E365="Blocked",$E365="Done",$E365="Archive"),-9999,IF(AND($E365="Waiting",SUMPRODUCT((($E$5:$E$500="Next")+($E$5:$E$500="In Progress")+($E$5:$E$500="Captured"))*($D$5:$D$500&lt;&gt;""))&gt;0),-500,VLOOKUP($F365,Lists!$L$2:$M$4,2,FALSE)+IF($E365="In Progress",10,0)+IF(AND($I365&lt;&gt;"",$I365&lt;TODAY()),25,0)+IF(AND($I365&lt;&gt;"",$I365&gt;=TODAY(),$I365&lt;=TODAY()+7),15,0)+IF($H365="",0,IF($M365&lt;=VLOOKUP(Home!$C$7,Lists!$N$2:$O$6,2,FALSE),20,-10))+IF($G365=Home!$E$7,15,IF(Home!$E$7="",0,-5))-ROW()/100000)))</f>
        <v/>
      </c>
      <c r="O365" s="88">
        <f>IF($D365="","",IF($N365&lt;=-500,"Not recommended right now",IF($E365="Waiting","Nothing else actionable right now — Waiting on: "&amp;IF($K365="","this item",$K365),TEXTJOIN(" • ",TRUE,IF($F365="High","High Priority",""),IF(AND($I365&lt;&gt;"",$I365&lt;TODAY()),"Overdue",""),IF(AND($I365&lt;&gt;"",$I365&gt;=TODAY(),$I365&lt;=TODAY()+7),"Due This Week",""),IF(AND($H365&lt;&gt;"",$M365&lt;=VLOOKUP(Home!$C$7,Lists!$N$2:$O$6,2,FALSE)),$H365&amp;" Task",""),IF($G365=Home!$E$7,"Fits Current Energy",""),"No Blockers"))))</f>
        <v/>
      </c>
      <c r="P365" s="88">
        <f>IF($D365="","",SWITCH('Task Finder'!$C$6,"High Priority",AND($F365="High",$E365&lt;&gt;"Done",$E365&lt;&gt;"Archive"),"Due This Week",AND($I365&lt;&gt;"",$I365&gt;=TODAY(),$I365&lt;=TODAY()+7,$E365&lt;&gt;"Done"),"Quick Wins (15 mins or less)",AND($M365&lt;=15,$E365&lt;&gt;"Done",$E365&lt;&gt;"Blocked"),"Deep Thinking",AND($G365="Deep Thinking",$E365&lt;&gt;"Done"),"Processing",AND($G365="Processing",$E365&lt;&gt;"Done"),"Blocked",$E365="Blocked","Waiting",$E365="Waiting","Recently Updated",AND($L365&lt;&gt;"",$L365&gt;=TODAY()-7),"Keyword",AND('Task Finder'!$C$7&lt;&gt;"",OR(ISNUMBER(SEARCH('Task Finder'!$C$7,$A365)),ISNUMBER(SEARCH('Task Finder'!$C$7,$B365)),ISNUMBER(SEARCH('Task Finder'!$C$7,$C365)),ISNUMBER(SEARCH('Task Finder'!$C$7,$D365)),ISNUMBER(SEARCH('Task Finder'!$C$7,$K365)))),TRUE))</f>
        <v/>
      </c>
    </row>
    <row r="366">
      <c r="A366" s="19" t="n"/>
      <c r="B366" s="19" t="n"/>
      <c r="C366" s="19" t="n"/>
      <c r="D366" s="19" t="n"/>
      <c r="E366" s="19" t="n"/>
      <c r="F366" s="19" t="n"/>
      <c r="G366" s="19" t="n"/>
      <c r="H366" s="19" t="n"/>
      <c r="I366" s="19" t="n"/>
      <c r="J366" s="19" t="n"/>
      <c r="K366" s="19" t="n"/>
      <c r="L366" s="125" t="n"/>
      <c r="M366" s="88">
        <f>IF($D366="","",IFERROR(VLOOKUP($H366,Lists!$N$2:$O$6,2,FALSE),0))</f>
        <v/>
      </c>
      <c r="N366" s="88">
        <f>IF($D366="","",IF(OR($E366="Blocked",$E366="Done",$E366="Archive"),-9999,IF(AND($E366="Waiting",SUMPRODUCT((($E$5:$E$500="Next")+($E$5:$E$500="In Progress")+($E$5:$E$500="Captured"))*($D$5:$D$500&lt;&gt;""))&gt;0),-500,VLOOKUP($F366,Lists!$L$2:$M$4,2,FALSE)+IF($E366="In Progress",10,0)+IF(AND($I366&lt;&gt;"",$I366&lt;TODAY()),25,0)+IF(AND($I366&lt;&gt;"",$I366&gt;=TODAY(),$I366&lt;=TODAY()+7),15,0)+IF($H366="",0,IF($M366&lt;=VLOOKUP(Home!$C$7,Lists!$N$2:$O$6,2,FALSE),20,-10))+IF($G366=Home!$E$7,15,IF(Home!$E$7="",0,-5))-ROW()/100000)))</f>
        <v/>
      </c>
      <c r="O366" s="88">
        <f>IF($D366="","",IF($N366&lt;=-500,"Not recommended right now",IF($E366="Waiting","Nothing else actionable right now — Waiting on: "&amp;IF($K366="","this item",$K366),TEXTJOIN(" • ",TRUE,IF($F366="High","High Priority",""),IF(AND($I366&lt;&gt;"",$I366&lt;TODAY()),"Overdue",""),IF(AND($I366&lt;&gt;"",$I366&gt;=TODAY(),$I366&lt;=TODAY()+7),"Due This Week",""),IF(AND($H366&lt;&gt;"",$M366&lt;=VLOOKUP(Home!$C$7,Lists!$N$2:$O$6,2,FALSE)),$H366&amp;" Task",""),IF($G366=Home!$E$7,"Fits Current Energy",""),"No Blockers"))))</f>
        <v/>
      </c>
      <c r="P366" s="88">
        <f>IF($D366="","",SWITCH('Task Finder'!$C$6,"High Priority",AND($F366="High",$E366&lt;&gt;"Done",$E366&lt;&gt;"Archive"),"Due This Week",AND($I366&lt;&gt;"",$I366&gt;=TODAY(),$I366&lt;=TODAY()+7,$E366&lt;&gt;"Done"),"Quick Wins (15 mins or less)",AND($M366&lt;=15,$E366&lt;&gt;"Done",$E366&lt;&gt;"Blocked"),"Deep Thinking",AND($G366="Deep Thinking",$E366&lt;&gt;"Done"),"Processing",AND($G366="Processing",$E366&lt;&gt;"Done"),"Blocked",$E366="Blocked","Waiting",$E366="Waiting","Recently Updated",AND($L366&lt;&gt;"",$L366&gt;=TODAY()-7),"Keyword",AND('Task Finder'!$C$7&lt;&gt;"",OR(ISNUMBER(SEARCH('Task Finder'!$C$7,$A366)),ISNUMBER(SEARCH('Task Finder'!$C$7,$B366)),ISNUMBER(SEARCH('Task Finder'!$C$7,$C366)),ISNUMBER(SEARCH('Task Finder'!$C$7,$D366)),ISNUMBER(SEARCH('Task Finder'!$C$7,$K366)))),TRUE))</f>
        <v/>
      </c>
    </row>
    <row r="367">
      <c r="A367" s="19" t="n"/>
      <c r="B367" s="19" t="n"/>
      <c r="C367" s="19" t="n"/>
      <c r="D367" s="19" t="n"/>
      <c r="E367" s="19" t="n"/>
      <c r="F367" s="19" t="n"/>
      <c r="G367" s="19" t="n"/>
      <c r="H367" s="19" t="n"/>
      <c r="I367" s="19" t="n"/>
      <c r="J367" s="19" t="n"/>
      <c r="K367" s="19" t="n"/>
      <c r="L367" s="125" t="n"/>
      <c r="M367" s="88">
        <f>IF($D367="","",IFERROR(VLOOKUP($H367,Lists!$N$2:$O$6,2,FALSE),0))</f>
        <v/>
      </c>
      <c r="N367" s="88">
        <f>IF($D367="","",IF(OR($E367="Blocked",$E367="Done",$E367="Archive"),-9999,IF(AND($E367="Waiting",SUMPRODUCT((($E$5:$E$500="Next")+($E$5:$E$500="In Progress")+($E$5:$E$500="Captured"))*($D$5:$D$500&lt;&gt;""))&gt;0),-500,VLOOKUP($F367,Lists!$L$2:$M$4,2,FALSE)+IF($E367="In Progress",10,0)+IF(AND($I367&lt;&gt;"",$I367&lt;TODAY()),25,0)+IF(AND($I367&lt;&gt;"",$I367&gt;=TODAY(),$I367&lt;=TODAY()+7),15,0)+IF($H367="",0,IF($M367&lt;=VLOOKUP(Home!$C$7,Lists!$N$2:$O$6,2,FALSE),20,-10))+IF($G367=Home!$E$7,15,IF(Home!$E$7="",0,-5))-ROW()/100000)))</f>
        <v/>
      </c>
      <c r="O367" s="88">
        <f>IF($D367="","",IF($N367&lt;=-500,"Not recommended right now",IF($E367="Waiting","Nothing else actionable right now — Waiting on: "&amp;IF($K367="","this item",$K367),TEXTJOIN(" • ",TRUE,IF($F367="High","High Priority",""),IF(AND($I367&lt;&gt;"",$I367&lt;TODAY()),"Overdue",""),IF(AND($I367&lt;&gt;"",$I367&gt;=TODAY(),$I367&lt;=TODAY()+7),"Due This Week",""),IF(AND($H367&lt;&gt;"",$M367&lt;=VLOOKUP(Home!$C$7,Lists!$N$2:$O$6,2,FALSE)),$H367&amp;" Task",""),IF($G367=Home!$E$7,"Fits Current Energy",""),"No Blockers"))))</f>
        <v/>
      </c>
      <c r="P367" s="88">
        <f>IF($D367="","",SWITCH('Task Finder'!$C$6,"High Priority",AND($F367="High",$E367&lt;&gt;"Done",$E367&lt;&gt;"Archive"),"Due This Week",AND($I367&lt;&gt;"",$I367&gt;=TODAY(),$I367&lt;=TODAY()+7,$E367&lt;&gt;"Done"),"Quick Wins (15 mins or less)",AND($M367&lt;=15,$E367&lt;&gt;"Done",$E367&lt;&gt;"Blocked"),"Deep Thinking",AND($G367="Deep Thinking",$E367&lt;&gt;"Done"),"Processing",AND($G367="Processing",$E367&lt;&gt;"Done"),"Blocked",$E367="Blocked","Waiting",$E367="Waiting","Recently Updated",AND($L367&lt;&gt;"",$L367&gt;=TODAY()-7),"Keyword",AND('Task Finder'!$C$7&lt;&gt;"",OR(ISNUMBER(SEARCH('Task Finder'!$C$7,$A367)),ISNUMBER(SEARCH('Task Finder'!$C$7,$B367)),ISNUMBER(SEARCH('Task Finder'!$C$7,$C367)),ISNUMBER(SEARCH('Task Finder'!$C$7,$D367)),ISNUMBER(SEARCH('Task Finder'!$C$7,$K367)))),TRUE))</f>
        <v/>
      </c>
    </row>
    <row r="368">
      <c r="A368" s="19" t="n"/>
      <c r="B368" s="19" t="n"/>
      <c r="C368" s="19" t="n"/>
      <c r="D368" s="19" t="n"/>
      <c r="E368" s="19" t="n"/>
      <c r="F368" s="19" t="n"/>
      <c r="G368" s="19" t="n"/>
      <c r="H368" s="19" t="n"/>
      <c r="I368" s="19" t="n"/>
      <c r="J368" s="19" t="n"/>
      <c r="K368" s="19" t="n"/>
      <c r="L368" s="125" t="n"/>
      <c r="M368" s="88">
        <f>IF($D368="","",IFERROR(VLOOKUP($H368,Lists!$N$2:$O$6,2,FALSE),0))</f>
        <v/>
      </c>
      <c r="N368" s="88">
        <f>IF($D368="","",IF(OR($E368="Blocked",$E368="Done",$E368="Archive"),-9999,IF(AND($E368="Waiting",SUMPRODUCT((($E$5:$E$500="Next")+($E$5:$E$500="In Progress")+($E$5:$E$500="Captured"))*($D$5:$D$500&lt;&gt;""))&gt;0),-500,VLOOKUP($F368,Lists!$L$2:$M$4,2,FALSE)+IF($E368="In Progress",10,0)+IF(AND($I368&lt;&gt;"",$I368&lt;TODAY()),25,0)+IF(AND($I368&lt;&gt;"",$I368&gt;=TODAY(),$I368&lt;=TODAY()+7),15,0)+IF($H368="",0,IF($M368&lt;=VLOOKUP(Home!$C$7,Lists!$N$2:$O$6,2,FALSE),20,-10))+IF($G368=Home!$E$7,15,IF(Home!$E$7="",0,-5))-ROW()/100000)))</f>
        <v/>
      </c>
      <c r="O368" s="88">
        <f>IF($D368="","",IF($N368&lt;=-500,"Not recommended right now",IF($E368="Waiting","Nothing else actionable right now — Waiting on: "&amp;IF($K368="","this item",$K368),TEXTJOIN(" • ",TRUE,IF($F368="High","High Priority",""),IF(AND($I368&lt;&gt;"",$I368&lt;TODAY()),"Overdue",""),IF(AND($I368&lt;&gt;"",$I368&gt;=TODAY(),$I368&lt;=TODAY()+7),"Due This Week",""),IF(AND($H368&lt;&gt;"",$M368&lt;=VLOOKUP(Home!$C$7,Lists!$N$2:$O$6,2,FALSE)),$H368&amp;" Task",""),IF($G368=Home!$E$7,"Fits Current Energy",""),"No Blockers"))))</f>
        <v/>
      </c>
      <c r="P368" s="88">
        <f>IF($D368="","",SWITCH('Task Finder'!$C$6,"High Priority",AND($F368="High",$E368&lt;&gt;"Done",$E368&lt;&gt;"Archive"),"Due This Week",AND($I368&lt;&gt;"",$I368&gt;=TODAY(),$I368&lt;=TODAY()+7,$E368&lt;&gt;"Done"),"Quick Wins (15 mins or less)",AND($M368&lt;=15,$E368&lt;&gt;"Done",$E368&lt;&gt;"Blocked"),"Deep Thinking",AND($G368="Deep Thinking",$E368&lt;&gt;"Done"),"Processing",AND($G368="Processing",$E368&lt;&gt;"Done"),"Blocked",$E368="Blocked","Waiting",$E368="Waiting","Recently Updated",AND($L368&lt;&gt;"",$L368&gt;=TODAY()-7),"Keyword",AND('Task Finder'!$C$7&lt;&gt;"",OR(ISNUMBER(SEARCH('Task Finder'!$C$7,$A368)),ISNUMBER(SEARCH('Task Finder'!$C$7,$B368)),ISNUMBER(SEARCH('Task Finder'!$C$7,$C368)),ISNUMBER(SEARCH('Task Finder'!$C$7,$D368)),ISNUMBER(SEARCH('Task Finder'!$C$7,$K368)))),TRUE))</f>
        <v/>
      </c>
    </row>
    <row r="369">
      <c r="A369" s="19" t="n"/>
      <c r="B369" s="19" t="n"/>
      <c r="C369" s="19" t="n"/>
      <c r="D369" s="19" t="n"/>
      <c r="E369" s="19" t="n"/>
      <c r="F369" s="19" t="n"/>
      <c r="G369" s="19" t="n"/>
      <c r="H369" s="19" t="n"/>
      <c r="I369" s="19" t="n"/>
      <c r="J369" s="19" t="n"/>
      <c r="K369" s="19" t="n"/>
      <c r="L369" s="125" t="n"/>
      <c r="M369" s="88">
        <f>IF($D369="","",IFERROR(VLOOKUP($H369,Lists!$N$2:$O$6,2,FALSE),0))</f>
        <v/>
      </c>
      <c r="N369" s="88">
        <f>IF($D369="","",IF(OR($E369="Blocked",$E369="Done",$E369="Archive"),-9999,IF(AND($E369="Waiting",SUMPRODUCT((($E$5:$E$500="Next")+($E$5:$E$500="In Progress")+($E$5:$E$500="Captured"))*($D$5:$D$500&lt;&gt;""))&gt;0),-500,VLOOKUP($F369,Lists!$L$2:$M$4,2,FALSE)+IF($E369="In Progress",10,0)+IF(AND($I369&lt;&gt;"",$I369&lt;TODAY()),25,0)+IF(AND($I369&lt;&gt;"",$I369&gt;=TODAY(),$I369&lt;=TODAY()+7),15,0)+IF($H369="",0,IF($M369&lt;=VLOOKUP(Home!$C$7,Lists!$N$2:$O$6,2,FALSE),20,-10))+IF($G369=Home!$E$7,15,IF(Home!$E$7="",0,-5))-ROW()/100000)))</f>
        <v/>
      </c>
      <c r="O369" s="88">
        <f>IF($D369="","",IF($N369&lt;=-500,"Not recommended right now",IF($E369="Waiting","Nothing else actionable right now — Waiting on: "&amp;IF($K369="","this item",$K369),TEXTJOIN(" • ",TRUE,IF($F369="High","High Priority",""),IF(AND($I369&lt;&gt;"",$I369&lt;TODAY()),"Overdue",""),IF(AND($I369&lt;&gt;"",$I369&gt;=TODAY(),$I369&lt;=TODAY()+7),"Due This Week",""),IF(AND($H369&lt;&gt;"",$M369&lt;=VLOOKUP(Home!$C$7,Lists!$N$2:$O$6,2,FALSE)),$H369&amp;" Task",""),IF($G369=Home!$E$7,"Fits Current Energy",""),"No Blockers"))))</f>
        <v/>
      </c>
      <c r="P369" s="88">
        <f>IF($D369="","",SWITCH('Task Finder'!$C$6,"High Priority",AND($F369="High",$E369&lt;&gt;"Done",$E369&lt;&gt;"Archive"),"Due This Week",AND($I369&lt;&gt;"",$I369&gt;=TODAY(),$I369&lt;=TODAY()+7,$E369&lt;&gt;"Done"),"Quick Wins (15 mins or less)",AND($M369&lt;=15,$E369&lt;&gt;"Done",$E369&lt;&gt;"Blocked"),"Deep Thinking",AND($G369="Deep Thinking",$E369&lt;&gt;"Done"),"Processing",AND($G369="Processing",$E369&lt;&gt;"Done"),"Blocked",$E369="Blocked","Waiting",$E369="Waiting","Recently Updated",AND($L369&lt;&gt;"",$L369&gt;=TODAY()-7),"Keyword",AND('Task Finder'!$C$7&lt;&gt;"",OR(ISNUMBER(SEARCH('Task Finder'!$C$7,$A369)),ISNUMBER(SEARCH('Task Finder'!$C$7,$B369)),ISNUMBER(SEARCH('Task Finder'!$C$7,$C369)),ISNUMBER(SEARCH('Task Finder'!$C$7,$D369)),ISNUMBER(SEARCH('Task Finder'!$C$7,$K369)))),TRUE))</f>
        <v/>
      </c>
    </row>
    <row r="370">
      <c r="A370" s="19" t="n"/>
      <c r="B370" s="19" t="n"/>
      <c r="C370" s="19" t="n"/>
      <c r="D370" s="19" t="n"/>
      <c r="E370" s="19" t="n"/>
      <c r="F370" s="19" t="n"/>
      <c r="G370" s="19" t="n"/>
      <c r="H370" s="19" t="n"/>
      <c r="I370" s="19" t="n"/>
      <c r="J370" s="19" t="n"/>
      <c r="K370" s="19" t="n"/>
      <c r="L370" s="125" t="n"/>
      <c r="M370" s="88">
        <f>IF($D370="","",IFERROR(VLOOKUP($H370,Lists!$N$2:$O$6,2,FALSE),0))</f>
        <v/>
      </c>
      <c r="N370" s="88">
        <f>IF($D370="","",IF(OR($E370="Blocked",$E370="Done",$E370="Archive"),-9999,IF(AND($E370="Waiting",SUMPRODUCT((($E$5:$E$500="Next")+($E$5:$E$500="In Progress")+($E$5:$E$500="Captured"))*($D$5:$D$500&lt;&gt;""))&gt;0),-500,VLOOKUP($F370,Lists!$L$2:$M$4,2,FALSE)+IF($E370="In Progress",10,0)+IF(AND($I370&lt;&gt;"",$I370&lt;TODAY()),25,0)+IF(AND($I370&lt;&gt;"",$I370&gt;=TODAY(),$I370&lt;=TODAY()+7),15,0)+IF($H370="",0,IF($M370&lt;=VLOOKUP(Home!$C$7,Lists!$N$2:$O$6,2,FALSE),20,-10))+IF($G370=Home!$E$7,15,IF(Home!$E$7="",0,-5))-ROW()/100000)))</f>
        <v/>
      </c>
      <c r="O370" s="88">
        <f>IF($D370="","",IF($N370&lt;=-500,"Not recommended right now",IF($E370="Waiting","Nothing else actionable right now — Waiting on: "&amp;IF($K370="","this item",$K370),TEXTJOIN(" • ",TRUE,IF($F370="High","High Priority",""),IF(AND($I370&lt;&gt;"",$I370&lt;TODAY()),"Overdue",""),IF(AND($I370&lt;&gt;"",$I370&gt;=TODAY(),$I370&lt;=TODAY()+7),"Due This Week",""),IF(AND($H370&lt;&gt;"",$M370&lt;=VLOOKUP(Home!$C$7,Lists!$N$2:$O$6,2,FALSE)),$H370&amp;" Task",""),IF($G370=Home!$E$7,"Fits Current Energy",""),"No Blockers"))))</f>
        <v/>
      </c>
      <c r="P370" s="88">
        <f>IF($D370="","",SWITCH('Task Finder'!$C$6,"High Priority",AND($F370="High",$E370&lt;&gt;"Done",$E370&lt;&gt;"Archive"),"Due This Week",AND($I370&lt;&gt;"",$I370&gt;=TODAY(),$I370&lt;=TODAY()+7,$E370&lt;&gt;"Done"),"Quick Wins (15 mins or less)",AND($M370&lt;=15,$E370&lt;&gt;"Done",$E370&lt;&gt;"Blocked"),"Deep Thinking",AND($G370="Deep Thinking",$E370&lt;&gt;"Done"),"Processing",AND($G370="Processing",$E370&lt;&gt;"Done"),"Blocked",$E370="Blocked","Waiting",$E370="Waiting","Recently Updated",AND($L370&lt;&gt;"",$L370&gt;=TODAY()-7),"Keyword",AND('Task Finder'!$C$7&lt;&gt;"",OR(ISNUMBER(SEARCH('Task Finder'!$C$7,$A370)),ISNUMBER(SEARCH('Task Finder'!$C$7,$B370)),ISNUMBER(SEARCH('Task Finder'!$C$7,$C370)),ISNUMBER(SEARCH('Task Finder'!$C$7,$D370)),ISNUMBER(SEARCH('Task Finder'!$C$7,$K370)))),TRUE))</f>
        <v/>
      </c>
    </row>
    <row r="371">
      <c r="A371" s="19" t="n"/>
      <c r="B371" s="19" t="n"/>
      <c r="C371" s="19" t="n"/>
      <c r="D371" s="19" t="n"/>
      <c r="E371" s="19" t="n"/>
      <c r="F371" s="19" t="n"/>
      <c r="G371" s="19" t="n"/>
      <c r="H371" s="19" t="n"/>
      <c r="I371" s="19" t="n"/>
      <c r="J371" s="19" t="n"/>
      <c r="K371" s="19" t="n"/>
      <c r="L371" s="125" t="n"/>
      <c r="M371" s="88">
        <f>IF($D371="","",IFERROR(VLOOKUP($H371,Lists!$N$2:$O$6,2,FALSE),0))</f>
        <v/>
      </c>
      <c r="N371" s="88">
        <f>IF($D371="","",IF(OR($E371="Blocked",$E371="Done",$E371="Archive"),-9999,IF(AND($E371="Waiting",SUMPRODUCT((($E$5:$E$500="Next")+($E$5:$E$500="In Progress")+($E$5:$E$500="Captured"))*($D$5:$D$500&lt;&gt;""))&gt;0),-500,VLOOKUP($F371,Lists!$L$2:$M$4,2,FALSE)+IF($E371="In Progress",10,0)+IF(AND($I371&lt;&gt;"",$I371&lt;TODAY()),25,0)+IF(AND($I371&lt;&gt;"",$I371&gt;=TODAY(),$I371&lt;=TODAY()+7),15,0)+IF($H371="",0,IF($M371&lt;=VLOOKUP(Home!$C$7,Lists!$N$2:$O$6,2,FALSE),20,-10))+IF($G371=Home!$E$7,15,IF(Home!$E$7="",0,-5))-ROW()/100000)))</f>
        <v/>
      </c>
      <c r="O371" s="88">
        <f>IF($D371="","",IF($N371&lt;=-500,"Not recommended right now",IF($E371="Waiting","Nothing else actionable right now — Waiting on: "&amp;IF($K371="","this item",$K371),TEXTJOIN(" • ",TRUE,IF($F371="High","High Priority",""),IF(AND($I371&lt;&gt;"",$I371&lt;TODAY()),"Overdue",""),IF(AND($I371&lt;&gt;"",$I371&gt;=TODAY(),$I371&lt;=TODAY()+7),"Due This Week",""),IF(AND($H371&lt;&gt;"",$M371&lt;=VLOOKUP(Home!$C$7,Lists!$N$2:$O$6,2,FALSE)),$H371&amp;" Task",""),IF($G371=Home!$E$7,"Fits Current Energy",""),"No Blockers"))))</f>
        <v/>
      </c>
      <c r="P371" s="88">
        <f>IF($D371="","",SWITCH('Task Finder'!$C$6,"High Priority",AND($F371="High",$E371&lt;&gt;"Done",$E371&lt;&gt;"Archive"),"Due This Week",AND($I371&lt;&gt;"",$I371&gt;=TODAY(),$I371&lt;=TODAY()+7,$E371&lt;&gt;"Done"),"Quick Wins (15 mins or less)",AND($M371&lt;=15,$E371&lt;&gt;"Done",$E371&lt;&gt;"Blocked"),"Deep Thinking",AND($G371="Deep Thinking",$E371&lt;&gt;"Done"),"Processing",AND($G371="Processing",$E371&lt;&gt;"Done"),"Blocked",$E371="Blocked","Waiting",$E371="Waiting","Recently Updated",AND($L371&lt;&gt;"",$L371&gt;=TODAY()-7),"Keyword",AND('Task Finder'!$C$7&lt;&gt;"",OR(ISNUMBER(SEARCH('Task Finder'!$C$7,$A371)),ISNUMBER(SEARCH('Task Finder'!$C$7,$B371)),ISNUMBER(SEARCH('Task Finder'!$C$7,$C371)),ISNUMBER(SEARCH('Task Finder'!$C$7,$D371)),ISNUMBER(SEARCH('Task Finder'!$C$7,$K371)))),TRUE))</f>
        <v/>
      </c>
    </row>
    <row r="372">
      <c r="A372" s="19" t="n"/>
      <c r="B372" s="19" t="n"/>
      <c r="C372" s="19" t="n"/>
      <c r="D372" s="19" t="n"/>
      <c r="E372" s="19" t="n"/>
      <c r="F372" s="19" t="n"/>
      <c r="G372" s="19" t="n"/>
      <c r="H372" s="19" t="n"/>
      <c r="I372" s="19" t="n"/>
      <c r="J372" s="19" t="n"/>
      <c r="K372" s="19" t="n"/>
      <c r="L372" s="125" t="n"/>
      <c r="M372" s="88">
        <f>IF($D372="","",IFERROR(VLOOKUP($H372,Lists!$N$2:$O$6,2,FALSE),0))</f>
        <v/>
      </c>
      <c r="N372" s="88">
        <f>IF($D372="","",IF(OR($E372="Blocked",$E372="Done",$E372="Archive"),-9999,IF(AND($E372="Waiting",SUMPRODUCT((($E$5:$E$500="Next")+($E$5:$E$500="In Progress")+($E$5:$E$500="Captured"))*($D$5:$D$500&lt;&gt;""))&gt;0),-500,VLOOKUP($F372,Lists!$L$2:$M$4,2,FALSE)+IF($E372="In Progress",10,0)+IF(AND($I372&lt;&gt;"",$I372&lt;TODAY()),25,0)+IF(AND($I372&lt;&gt;"",$I372&gt;=TODAY(),$I372&lt;=TODAY()+7),15,0)+IF($H372="",0,IF($M372&lt;=VLOOKUP(Home!$C$7,Lists!$N$2:$O$6,2,FALSE),20,-10))+IF($G372=Home!$E$7,15,IF(Home!$E$7="",0,-5))-ROW()/100000)))</f>
        <v/>
      </c>
      <c r="O372" s="88">
        <f>IF($D372="","",IF($N372&lt;=-500,"Not recommended right now",IF($E372="Waiting","Nothing else actionable right now — Waiting on: "&amp;IF($K372="","this item",$K372),TEXTJOIN(" • ",TRUE,IF($F372="High","High Priority",""),IF(AND($I372&lt;&gt;"",$I372&lt;TODAY()),"Overdue",""),IF(AND($I372&lt;&gt;"",$I372&gt;=TODAY(),$I372&lt;=TODAY()+7),"Due This Week",""),IF(AND($H372&lt;&gt;"",$M372&lt;=VLOOKUP(Home!$C$7,Lists!$N$2:$O$6,2,FALSE)),$H372&amp;" Task",""),IF($G372=Home!$E$7,"Fits Current Energy",""),"No Blockers"))))</f>
        <v/>
      </c>
      <c r="P372" s="88">
        <f>IF($D372="","",SWITCH('Task Finder'!$C$6,"High Priority",AND($F372="High",$E372&lt;&gt;"Done",$E372&lt;&gt;"Archive"),"Due This Week",AND($I372&lt;&gt;"",$I372&gt;=TODAY(),$I372&lt;=TODAY()+7,$E372&lt;&gt;"Done"),"Quick Wins (15 mins or less)",AND($M372&lt;=15,$E372&lt;&gt;"Done",$E372&lt;&gt;"Blocked"),"Deep Thinking",AND($G372="Deep Thinking",$E372&lt;&gt;"Done"),"Processing",AND($G372="Processing",$E372&lt;&gt;"Done"),"Blocked",$E372="Blocked","Waiting",$E372="Waiting","Recently Updated",AND($L372&lt;&gt;"",$L372&gt;=TODAY()-7),"Keyword",AND('Task Finder'!$C$7&lt;&gt;"",OR(ISNUMBER(SEARCH('Task Finder'!$C$7,$A372)),ISNUMBER(SEARCH('Task Finder'!$C$7,$B372)),ISNUMBER(SEARCH('Task Finder'!$C$7,$C372)),ISNUMBER(SEARCH('Task Finder'!$C$7,$D372)),ISNUMBER(SEARCH('Task Finder'!$C$7,$K372)))),TRUE))</f>
        <v/>
      </c>
    </row>
    <row r="373">
      <c r="A373" s="19" t="n"/>
      <c r="B373" s="19" t="n"/>
      <c r="C373" s="19" t="n"/>
      <c r="D373" s="19" t="n"/>
      <c r="E373" s="19" t="n"/>
      <c r="F373" s="19" t="n"/>
      <c r="G373" s="19" t="n"/>
      <c r="H373" s="19" t="n"/>
      <c r="I373" s="19" t="n"/>
      <c r="J373" s="19" t="n"/>
      <c r="K373" s="19" t="n"/>
      <c r="L373" s="125" t="n"/>
      <c r="M373" s="88">
        <f>IF($D373="","",IFERROR(VLOOKUP($H373,Lists!$N$2:$O$6,2,FALSE),0))</f>
        <v/>
      </c>
      <c r="N373" s="88">
        <f>IF($D373="","",IF(OR($E373="Blocked",$E373="Done",$E373="Archive"),-9999,IF(AND($E373="Waiting",SUMPRODUCT((($E$5:$E$500="Next")+($E$5:$E$500="In Progress")+($E$5:$E$500="Captured"))*($D$5:$D$500&lt;&gt;""))&gt;0),-500,VLOOKUP($F373,Lists!$L$2:$M$4,2,FALSE)+IF($E373="In Progress",10,0)+IF(AND($I373&lt;&gt;"",$I373&lt;TODAY()),25,0)+IF(AND($I373&lt;&gt;"",$I373&gt;=TODAY(),$I373&lt;=TODAY()+7),15,0)+IF($H373="",0,IF($M373&lt;=VLOOKUP(Home!$C$7,Lists!$N$2:$O$6,2,FALSE),20,-10))+IF($G373=Home!$E$7,15,IF(Home!$E$7="",0,-5))-ROW()/100000)))</f>
        <v/>
      </c>
      <c r="O373" s="88">
        <f>IF($D373="","",IF($N373&lt;=-500,"Not recommended right now",IF($E373="Waiting","Nothing else actionable right now — Waiting on: "&amp;IF($K373="","this item",$K373),TEXTJOIN(" • ",TRUE,IF($F373="High","High Priority",""),IF(AND($I373&lt;&gt;"",$I373&lt;TODAY()),"Overdue",""),IF(AND($I373&lt;&gt;"",$I373&gt;=TODAY(),$I373&lt;=TODAY()+7),"Due This Week",""),IF(AND($H373&lt;&gt;"",$M373&lt;=VLOOKUP(Home!$C$7,Lists!$N$2:$O$6,2,FALSE)),$H373&amp;" Task",""),IF($G373=Home!$E$7,"Fits Current Energy",""),"No Blockers"))))</f>
        <v/>
      </c>
      <c r="P373" s="88">
        <f>IF($D373="","",SWITCH('Task Finder'!$C$6,"High Priority",AND($F373="High",$E373&lt;&gt;"Done",$E373&lt;&gt;"Archive"),"Due This Week",AND($I373&lt;&gt;"",$I373&gt;=TODAY(),$I373&lt;=TODAY()+7,$E373&lt;&gt;"Done"),"Quick Wins (15 mins or less)",AND($M373&lt;=15,$E373&lt;&gt;"Done",$E373&lt;&gt;"Blocked"),"Deep Thinking",AND($G373="Deep Thinking",$E373&lt;&gt;"Done"),"Processing",AND($G373="Processing",$E373&lt;&gt;"Done"),"Blocked",$E373="Blocked","Waiting",$E373="Waiting","Recently Updated",AND($L373&lt;&gt;"",$L373&gt;=TODAY()-7),"Keyword",AND('Task Finder'!$C$7&lt;&gt;"",OR(ISNUMBER(SEARCH('Task Finder'!$C$7,$A373)),ISNUMBER(SEARCH('Task Finder'!$C$7,$B373)),ISNUMBER(SEARCH('Task Finder'!$C$7,$C373)),ISNUMBER(SEARCH('Task Finder'!$C$7,$D373)),ISNUMBER(SEARCH('Task Finder'!$C$7,$K373)))),TRUE))</f>
        <v/>
      </c>
    </row>
    <row r="374">
      <c r="A374" s="19" t="n"/>
      <c r="B374" s="19" t="n"/>
      <c r="C374" s="19" t="n"/>
      <c r="D374" s="19" t="n"/>
      <c r="E374" s="19" t="n"/>
      <c r="F374" s="19" t="n"/>
      <c r="G374" s="19" t="n"/>
      <c r="H374" s="19" t="n"/>
      <c r="I374" s="19" t="n"/>
      <c r="J374" s="19" t="n"/>
      <c r="K374" s="19" t="n"/>
      <c r="L374" s="125" t="n"/>
      <c r="M374" s="88">
        <f>IF($D374="","",IFERROR(VLOOKUP($H374,Lists!$N$2:$O$6,2,FALSE),0))</f>
        <v/>
      </c>
      <c r="N374" s="88">
        <f>IF($D374="","",IF(OR($E374="Blocked",$E374="Done",$E374="Archive"),-9999,IF(AND($E374="Waiting",SUMPRODUCT((($E$5:$E$500="Next")+($E$5:$E$500="In Progress")+($E$5:$E$500="Captured"))*($D$5:$D$500&lt;&gt;""))&gt;0),-500,VLOOKUP($F374,Lists!$L$2:$M$4,2,FALSE)+IF($E374="In Progress",10,0)+IF(AND($I374&lt;&gt;"",$I374&lt;TODAY()),25,0)+IF(AND($I374&lt;&gt;"",$I374&gt;=TODAY(),$I374&lt;=TODAY()+7),15,0)+IF($H374="",0,IF($M374&lt;=VLOOKUP(Home!$C$7,Lists!$N$2:$O$6,2,FALSE),20,-10))+IF($G374=Home!$E$7,15,IF(Home!$E$7="",0,-5))-ROW()/100000)))</f>
        <v/>
      </c>
      <c r="O374" s="88">
        <f>IF($D374="","",IF($N374&lt;=-500,"Not recommended right now",IF($E374="Waiting","Nothing else actionable right now — Waiting on: "&amp;IF($K374="","this item",$K374),TEXTJOIN(" • ",TRUE,IF($F374="High","High Priority",""),IF(AND($I374&lt;&gt;"",$I374&lt;TODAY()),"Overdue",""),IF(AND($I374&lt;&gt;"",$I374&gt;=TODAY(),$I374&lt;=TODAY()+7),"Due This Week",""),IF(AND($H374&lt;&gt;"",$M374&lt;=VLOOKUP(Home!$C$7,Lists!$N$2:$O$6,2,FALSE)),$H374&amp;" Task",""),IF($G374=Home!$E$7,"Fits Current Energy",""),"No Blockers"))))</f>
        <v/>
      </c>
      <c r="P374" s="88">
        <f>IF($D374="","",SWITCH('Task Finder'!$C$6,"High Priority",AND($F374="High",$E374&lt;&gt;"Done",$E374&lt;&gt;"Archive"),"Due This Week",AND($I374&lt;&gt;"",$I374&gt;=TODAY(),$I374&lt;=TODAY()+7,$E374&lt;&gt;"Done"),"Quick Wins (15 mins or less)",AND($M374&lt;=15,$E374&lt;&gt;"Done",$E374&lt;&gt;"Blocked"),"Deep Thinking",AND($G374="Deep Thinking",$E374&lt;&gt;"Done"),"Processing",AND($G374="Processing",$E374&lt;&gt;"Done"),"Blocked",$E374="Blocked","Waiting",$E374="Waiting","Recently Updated",AND($L374&lt;&gt;"",$L374&gt;=TODAY()-7),"Keyword",AND('Task Finder'!$C$7&lt;&gt;"",OR(ISNUMBER(SEARCH('Task Finder'!$C$7,$A374)),ISNUMBER(SEARCH('Task Finder'!$C$7,$B374)),ISNUMBER(SEARCH('Task Finder'!$C$7,$C374)),ISNUMBER(SEARCH('Task Finder'!$C$7,$D374)),ISNUMBER(SEARCH('Task Finder'!$C$7,$K374)))),TRUE))</f>
        <v/>
      </c>
    </row>
    <row r="375">
      <c r="A375" s="19" t="n"/>
      <c r="B375" s="19" t="n"/>
      <c r="C375" s="19" t="n"/>
      <c r="D375" s="19" t="n"/>
      <c r="E375" s="19" t="n"/>
      <c r="F375" s="19" t="n"/>
      <c r="G375" s="19" t="n"/>
      <c r="H375" s="19" t="n"/>
      <c r="I375" s="19" t="n"/>
      <c r="J375" s="19" t="n"/>
      <c r="K375" s="19" t="n"/>
      <c r="L375" s="125" t="n"/>
      <c r="M375" s="88">
        <f>IF($D375="","",IFERROR(VLOOKUP($H375,Lists!$N$2:$O$6,2,FALSE),0))</f>
        <v/>
      </c>
      <c r="N375" s="88">
        <f>IF($D375="","",IF(OR($E375="Blocked",$E375="Done",$E375="Archive"),-9999,IF(AND($E375="Waiting",SUMPRODUCT((($E$5:$E$500="Next")+($E$5:$E$500="In Progress")+($E$5:$E$500="Captured"))*($D$5:$D$500&lt;&gt;""))&gt;0),-500,VLOOKUP($F375,Lists!$L$2:$M$4,2,FALSE)+IF($E375="In Progress",10,0)+IF(AND($I375&lt;&gt;"",$I375&lt;TODAY()),25,0)+IF(AND($I375&lt;&gt;"",$I375&gt;=TODAY(),$I375&lt;=TODAY()+7),15,0)+IF($H375="",0,IF($M375&lt;=VLOOKUP(Home!$C$7,Lists!$N$2:$O$6,2,FALSE),20,-10))+IF($G375=Home!$E$7,15,IF(Home!$E$7="",0,-5))-ROW()/100000)))</f>
        <v/>
      </c>
      <c r="O375" s="88">
        <f>IF($D375="","",IF($N375&lt;=-500,"Not recommended right now",IF($E375="Waiting","Nothing else actionable right now — Waiting on: "&amp;IF($K375="","this item",$K375),TEXTJOIN(" • ",TRUE,IF($F375="High","High Priority",""),IF(AND($I375&lt;&gt;"",$I375&lt;TODAY()),"Overdue",""),IF(AND($I375&lt;&gt;"",$I375&gt;=TODAY(),$I375&lt;=TODAY()+7),"Due This Week",""),IF(AND($H375&lt;&gt;"",$M375&lt;=VLOOKUP(Home!$C$7,Lists!$N$2:$O$6,2,FALSE)),$H375&amp;" Task",""),IF($G375=Home!$E$7,"Fits Current Energy",""),"No Blockers"))))</f>
        <v/>
      </c>
      <c r="P375" s="88">
        <f>IF($D375="","",SWITCH('Task Finder'!$C$6,"High Priority",AND($F375="High",$E375&lt;&gt;"Done",$E375&lt;&gt;"Archive"),"Due This Week",AND($I375&lt;&gt;"",$I375&gt;=TODAY(),$I375&lt;=TODAY()+7,$E375&lt;&gt;"Done"),"Quick Wins (15 mins or less)",AND($M375&lt;=15,$E375&lt;&gt;"Done",$E375&lt;&gt;"Blocked"),"Deep Thinking",AND($G375="Deep Thinking",$E375&lt;&gt;"Done"),"Processing",AND($G375="Processing",$E375&lt;&gt;"Done"),"Blocked",$E375="Blocked","Waiting",$E375="Waiting","Recently Updated",AND($L375&lt;&gt;"",$L375&gt;=TODAY()-7),"Keyword",AND('Task Finder'!$C$7&lt;&gt;"",OR(ISNUMBER(SEARCH('Task Finder'!$C$7,$A375)),ISNUMBER(SEARCH('Task Finder'!$C$7,$B375)),ISNUMBER(SEARCH('Task Finder'!$C$7,$C375)),ISNUMBER(SEARCH('Task Finder'!$C$7,$D375)),ISNUMBER(SEARCH('Task Finder'!$C$7,$K375)))),TRUE))</f>
        <v/>
      </c>
    </row>
    <row r="376">
      <c r="A376" s="19" t="n"/>
      <c r="B376" s="19" t="n"/>
      <c r="C376" s="19" t="n"/>
      <c r="D376" s="19" t="n"/>
      <c r="E376" s="19" t="n"/>
      <c r="F376" s="19" t="n"/>
      <c r="G376" s="19" t="n"/>
      <c r="H376" s="19" t="n"/>
      <c r="I376" s="19" t="n"/>
      <c r="J376" s="19" t="n"/>
      <c r="K376" s="19" t="n"/>
      <c r="L376" s="125" t="n"/>
      <c r="M376" s="88">
        <f>IF($D376="","",IFERROR(VLOOKUP($H376,Lists!$N$2:$O$6,2,FALSE),0))</f>
        <v/>
      </c>
      <c r="N376" s="88">
        <f>IF($D376="","",IF(OR($E376="Blocked",$E376="Done",$E376="Archive"),-9999,IF(AND($E376="Waiting",SUMPRODUCT((($E$5:$E$500="Next")+($E$5:$E$500="In Progress")+($E$5:$E$500="Captured"))*($D$5:$D$500&lt;&gt;""))&gt;0),-500,VLOOKUP($F376,Lists!$L$2:$M$4,2,FALSE)+IF($E376="In Progress",10,0)+IF(AND($I376&lt;&gt;"",$I376&lt;TODAY()),25,0)+IF(AND($I376&lt;&gt;"",$I376&gt;=TODAY(),$I376&lt;=TODAY()+7),15,0)+IF($H376="",0,IF($M376&lt;=VLOOKUP(Home!$C$7,Lists!$N$2:$O$6,2,FALSE),20,-10))+IF($G376=Home!$E$7,15,IF(Home!$E$7="",0,-5))-ROW()/100000)))</f>
        <v/>
      </c>
      <c r="O376" s="88">
        <f>IF($D376="","",IF($N376&lt;=-500,"Not recommended right now",IF($E376="Waiting","Nothing else actionable right now — Waiting on: "&amp;IF($K376="","this item",$K376),TEXTJOIN(" • ",TRUE,IF($F376="High","High Priority",""),IF(AND($I376&lt;&gt;"",$I376&lt;TODAY()),"Overdue",""),IF(AND($I376&lt;&gt;"",$I376&gt;=TODAY(),$I376&lt;=TODAY()+7),"Due This Week",""),IF(AND($H376&lt;&gt;"",$M376&lt;=VLOOKUP(Home!$C$7,Lists!$N$2:$O$6,2,FALSE)),$H376&amp;" Task",""),IF($G376=Home!$E$7,"Fits Current Energy",""),"No Blockers"))))</f>
        <v/>
      </c>
      <c r="P376" s="88">
        <f>IF($D376="","",SWITCH('Task Finder'!$C$6,"High Priority",AND($F376="High",$E376&lt;&gt;"Done",$E376&lt;&gt;"Archive"),"Due This Week",AND($I376&lt;&gt;"",$I376&gt;=TODAY(),$I376&lt;=TODAY()+7,$E376&lt;&gt;"Done"),"Quick Wins (15 mins or less)",AND($M376&lt;=15,$E376&lt;&gt;"Done",$E376&lt;&gt;"Blocked"),"Deep Thinking",AND($G376="Deep Thinking",$E376&lt;&gt;"Done"),"Processing",AND($G376="Processing",$E376&lt;&gt;"Done"),"Blocked",$E376="Blocked","Waiting",$E376="Waiting","Recently Updated",AND($L376&lt;&gt;"",$L376&gt;=TODAY()-7),"Keyword",AND('Task Finder'!$C$7&lt;&gt;"",OR(ISNUMBER(SEARCH('Task Finder'!$C$7,$A376)),ISNUMBER(SEARCH('Task Finder'!$C$7,$B376)),ISNUMBER(SEARCH('Task Finder'!$C$7,$C376)),ISNUMBER(SEARCH('Task Finder'!$C$7,$D376)),ISNUMBER(SEARCH('Task Finder'!$C$7,$K376)))),TRUE))</f>
        <v/>
      </c>
    </row>
    <row r="377">
      <c r="A377" s="19" t="n"/>
      <c r="B377" s="19" t="n"/>
      <c r="C377" s="19" t="n"/>
      <c r="D377" s="19" t="n"/>
      <c r="E377" s="19" t="n"/>
      <c r="F377" s="19" t="n"/>
      <c r="G377" s="19" t="n"/>
      <c r="H377" s="19" t="n"/>
      <c r="I377" s="19" t="n"/>
      <c r="J377" s="19" t="n"/>
      <c r="K377" s="19" t="n"/>
      <c r="L377" s="125" t="n"/>
      <c r="M377" s="88">
        <f>IF($D377="","",IFERROR(VLOOKUP($H377,Lists!$N$2:$O$6,2,FALSE),0))</f>
        <v/>
      </c>
      <c r="N377" s="88">
        <f>IF($D377="","",IF(OR($E377="Blocked",$E377="Done",$E377="Archive"),-9999,IF(AND($E377="Waiting",SUMPRODUCT((($E$5:$E$500="Next")+($E$5:$E$500="In Progress")+($E$5:$E$500="Captured"))*($D$5:$D$500&lt;&gt;""))&gt;0),-500,VLOOKUP($F377,Lists!$L$2:$M$4,2,FALSE)+IF($E377="In Progress",10,0)+IF(AND($I377&lt;&gt;"",$I377&lt;TODAY()),25,0)+IF(AND($I377&lt;&gt;"",$I377&gt;=TODAY(),$I377&lt;=TODAY()+7),15,0)+IF($H377="",0,IF($M377&lt;=VLOOKUP(Home!$C$7,Lists!$N$2:$O$6,2,FALSE),20,-10))+IF($G377=Home!$E$7,15,IF(Home!$E$7="",0,-5))-ROW()/100000)))</f>
        <v/>
      </c>
      <c r="O377" s="88">
        <f>IF($D377="","",IF($N377&lt;=-500,"Not recommended right now",IF($E377="Waiting","Nothing else actionable right now — Waiting on: "&amp;IF($K377="","this item",$K377),TEXTJOIN(" • ",TRUE,IF($F377="High","High Priority",""),IF(AND($I377&lt;&gt;"",$I377&lt;TODAY()),"Overdue",""),IF(AND($I377&lt;&gt;"",$I377&gt;=TODAY(),$I377&lt;=TODAY()+7),"Due This Week",""),IF(AND($H377&lt;&gt;"",$M377&lt;=VLOOKUP(Home!$C$7,Lists!$N$2:$O$6,2,FALSE)),$H377&amp;" Task",""),IF($G377=Home!$E$7,"Fits Current Energy",""),"No Blockers"))))</f>
        <v/>
      </c>
      <c r="P377" s="88">
        <f>IF($D377="","",SWITCH('Task Finder'!$C$6,"High Priority",AND($F377="High",$E377&lt;&gt;"Done",$E377&lt;&gt;"Archive"),"Due This Week",AND($I377&lt;&gt;"",$I377&gt;=TODAY(),$I377&lt;=TODAY()+7,$E377&lt;&gt;"Done"),"Quick Wins (15 mins or less)",AND($M377&lt;=15,$E377&lt;&gt;"Done",$E377&lt;&gt;"Blocked"),"Deep Thinking",AND($G377="Deep Thinking",$E377&lt;&gt;"Done"),"Processing",AND($G377="Processing",$E377&lt;&gt;"Done"),"Blocked",$E377="Blocked","Waiting",$E377="Waiting","Recently Updated",AND($L377&lt;&gt;"",$L377&gt;=TODAY()-7),"Keyword",AND('Task Finder'!$C$7&lt;&gt;"",OR(ISNUMBER(SEARCH('Task Finder'!$C$7,$A377)),ISNUMBER(SEARCH('Task Finder'!$C$7,$B377)),ISNUMBER(SEARCH('Task Finder'!$C$7,$C377)),ISNUMBER(SEARCH('Task Finder'!$C$7,$D377)),ISNUMBER(SEARCH('Task Finder'!$C$7,$K377)))),TRUE))</f>
        <v/>
      </c>
    </row>
    <row r="378">
      <c r="A378" s="19" t="n"/>
      <c r="B378" s="19" t="n"/>
      <c r="C378" s="19" t="n"/>
      <c r="D378" s="19" t="n"/>
      <c r="E378" s="19" t="n"/>
      <c r="F378" s="19" t="n"/>
      <c r="G378" s="19" t="n"/>
      <c r="H378" s="19" t="n"/>
      <c r="I378" s="19" t="n"/>
      <c r="J378" s="19" t="n"/>
      <c r="K378" s="19" t="n"/>
      <c r="L378" s="125" t="n"/>
      <c r="M378" s="88">
        <f>IF($D378="","",IFERROR(VLOOKUP($H378,Lists!$N$2:$O$6,2,FALSE),0))</f>
        <v/>
      </c>
      <c r="N378" s="88">
        <f>IF($D378="","",IF(OR($E378="Blocked",$E378="Done",$E378="Archive"),-9999,IF(AND($E378="Waiting",SUMPRODUCT((($E$5:$E$500="Next")+($E$5:$E$500="In Progress")+($E$5:$E$500="Captured"))*($D$5:$D$500&lt;&gt;""))&gt;0),-500,VLOOKUP($F378,Lists!$L$2:$M$4,2,FALSE)+IF($E378="In Progress",10,0)+IF(AND($I378&lt;&gt;"",$I378&lt;TODAY()),25,0)+IF(AND($I378&lt;&gt;"",$I378&gt;=TODAY(),$I378&lt;=TODAY()+7),15,0)+IF($H378="",0,IF($M378&lt;=VLOOKUP(Home!$C$7,Lists!$N$2:$O$6,2,FALSE),20,-10))+IF($G378=Home!$E$7,15,IF(Home!$E$7="",0,-5))-ROW()/100000)))</f>
        <v/>
      </c>
      <c r="O378" s="88">
        <f>IF($D378="","",IF($N378&lt;=-500,"Not recommended right now",IF($E378="Waiting","Nothing else actionable right now — Waiting on: "&amp;IF($K378="","this item",$K378),TEXTJOIN(" • ",TRUE,IF($F378="High","High Priority",""),IF(AND($I378&lt;&gt;"",$I378&lt;TODAY()),"Overdue",""),IF(AND($I378&lt;&gt;"",$I378&gt;=TODAY(),$I378&lt;=TODAY()+7),"Due This Week",""),IF(AND($H378&lt;&gt;"",$M378&lt;=VLOOKUP(Home!$C$7,Lists!$N$2:$O$6,2,FALSE)),$H378&amp;" Task",""),IF($G378=Home!$E$7,"Fits Current Energy",""),"No Blockers"))))</f>
        <v/>
      </c>
      <c r="P378" s="88">
        <f>IF($D378="","",SWITCH('Task Finder'!$C$6,"High Priority",AND($F378="High",$E378&lt;&gt;"Done",$E378&lt;&gt;"Archive"),"Due This Week",AND($I378&lt;&gt;"",$I378&gt;=TODAY(),$I378&lt;=TODAY()+7,$E378&lt;&gt;"Done"),"Quick Wins (15 mins or less)",AND($M378&lt;=15,$E378&lt;&gt;"Done",$E378&lt;&gt;"Blocked"),"Deep Thinking",AND($G378="Deep Thinking",$E378&lt;&gt;"Done"),"Processing",AND($G378="Processing",$E378&lt;&gt;"Done"),"Blocked",$E378="Blocked","Waiting",$E378="Waiting","Recently Updated",AND($L378&lt;&gt;"",$L378&gt;=TODAY()-7),"Keyword",AND('Task Finder'!$C$7&lt;&gt;"",OR(ISNUMBER(SEARCH('Task Finder'!$C$7,$A378)),ISNUMBER(SEARCH('Task Finder'!$C$7,$B378)),ISNUMBER(SEARCH('Task Finder'!$C$7,$C378)),ISNUMBER(SEARCH('Task Finder'!$C$7,$D378)),ISNUMBER(SEARCH('Task Finder'!$C$7,$K378)))),TRUE))</f>
        <v/>
      </c>
    </row>
    <row r="379">
      <c r="A379" s="19" t="n"/>
      <c r="B379" s="19" t="n"/>
      <c r="C379" s="19" t="n"/>
      <c r="D379" s="19" t="n"/>
      <c r="E379" s="19" t="n"/>
      <c r="F379" s="19" t="n"/>
      <c r="G379" s="19" t="n"/>
      <c r="H379" s="19" t="n"/>
      <c r="I379" s="19" t="n"/>
      <c r="J379" s="19" t="n"/>
      <c r="K379" s="19" t="n"/>
      <c r="L379" s="125" t="n"/>
      <c r="M379" s="88">
        <f>IF($D379="","",IFERROR(VLOOKUP($H379,Lists!$N$2:$O$6,2,FALSE),0))</f>
        <v/>
      </c>
      <c r="N379" s="88">
        <f>IF($D379="","",IF(OR($E379="Blocked",$E379="Done",$E379="Archive"),-9999,IF(AND($E379="Waiting",SUMPRODUCT((($E$5:$E$500="Next")+($E$5:$E$500="In Progress")+($E$5:$E$500="Captured"))*($D$5:$D$500&lt;&gt;""))&gt;0),-500,VLOOKUP($F379,Lists!$L$2:$M$4,2,FALSE)+IF($E379="In Progress",10,0)+IF(AND($I379&lt;&gt;"",$I379&lt;TODAY()),25,0)+IF(AND($I379&lt;&gt;"",$I379&gt;=TODAY(),$I379&lt;=TODAY()+7),15,0)+IF($H379="",0,IF($M379&lt;=VLOOKUP(Home!$C$7,Lists!$N$2:$O$6,2,FALSE),20,-10))+IF($G379=Home!$E$7,15,IF(Home!$E$7="",0,-5))-ROW()/100000)))</f>
        <v/>
      </c>
      <c r="O379" s="88">
        <f>IF($D379="","",IF($N379&lt;=-500,"Not recommended right now",IF($E379="Waiting","Nothing else actionable right now — Waiting on: "&amp;IF($K379="","this item",$K379),TEXTJOIN(" • ",TRUE,IF($F379="High","High Priority",""),IF(AND($I379&lt;&gt;"",$I379&lt;TODAY()),"Overdue",""),IF(AND($I379&lt;&gt;"",$I379&gt;=TODAY(),$I379&lt;=TODAY()+7),"Due This Week",""),IF(AND($H379&lt;&gt;"",$M379&lt;=VLOOKUP(Home!$C$7,Lists!$N$2:$O$6,2,FALSE)),$H379&amp;" Task",""),IF($G379=Home!$E$7,"Fits Current Energy",""),"No Blockers"))))</f>
        <v/>
      </c>
      <c r="P379" s="88">
        <f>IF($D379="","",SWITCH('Task Finder'!$C$6,"High Priority",AND($F379="High",$E379&lt;&gt;"Done",$E379&lt;&gt;"Archive"),"Due This Week",AND($I379&lt;&gt;"",$I379&gt;=TODAY(),$I379&lt;=TODAY()+7,$E379&lt;&gt;"Done"),"Quick Wins (15 mins or less)",AND($M379&lt;=15,$E379&lt;&gt;"Done",$E379&lt;&gt;"Blocked"),"Deep Thinking",AND($G379="Deep Thinking",$E379&lt;&gt;"Done"),"Processing",AND($G379="Processing",$E379&lt;&gt;"Done"),"Blocked",$E379="Blocked","Waiting",$E379="Waiting","Recently Updated",AND($L379&lt;&gt;"",$L379&gt;=TODAY()-7),"Keyword",AND('Task Finder'!$C$7&lt;&gt;"",OR(ISNUMBER(SEARCH('Task Finder'!$C$7,$A379)),ISNUMBER(SEARCH('Task Finder'!$C$7,$B379)),ISNUMBER(SEARCH('Task Finder'!$C$7,$C379)),ISNUMBER(SEARCH('Task Finder'!$C$7,$D379)),ISNUMBER(SEARCH('Task Finder'!$C$7,$K379)))),TRUE))</f>
        <v/>
      </c>
    </row>
    <row r="380">
      <c r="A380" s="19" t="n"/>
      <c r="B380" s="19" t="n"/>
      <c r="C380" s="19" t="n"/>
      <c r="D380" s="19" t="n"/>
      <c r="E380" s="19" t="n"/>
      <c r="F380" s="19" t="n"/>
      <c r="G380" s="19" t="n"/>
      <c r="H380" s="19" t="n"/>
      <c r="I380" s="19" t="n"/>
      <c r="J380" s="19" t="n"/>
      <c r="K380" s="19" t="n"/>
      <c r="L380" s="125" t="n"/>
      <c r="M380" s="88">
        <f>IF($D380="","",IFERROR(VLOOKUP($H380,Lists!$N$2:$O$6,2,FALSE),0))</f>
        <v/>
      </c>
      <c r="N380" s="88">
        <f>IF($D380="","",IF(OR($E380="Blocked",$E380="Done",$E380="Archive"),-9999,IF(AND($E380="Waiting",SUMPRODUCT((($E$5:$E$500="Next")+($E$5:$E$500="In Progress")+($E$5:$E$500="Captured"))*($D$5:$D$500&lt;&gt;""))&gt;0),-500,VLOOKUP($F380,Lists!$L$2:$M$4,2,FALSE)+IF($E380="In Progress",10,0)+IF(AND($I380&lt;&gt;"",$I380&lt;TODAY()),25,0)+IF(AND($I380&lt;&gt;"",$I380&gt;=TODAY(),$I380&lt;=TODAY()+7),15,0)+IF($H380="",0,IF($M380&lt;=VLOOKUP(Home!$C$7,Lists!$N$2:$O$6,2,FALSE),20,-10))+IF($G380=Home!$E$7,15,IF(Home!$E$7="",0,-5))-ROW()/100000)))</f>
        <v/>
      </c>
      <c r="O380" s="88">
        <f>IF($D380="","",IF($N380&lt;=-500,"Not recommended right now",IF($E380="Waiting","Nothing else actionable right now — Waiting on: "&amp;IF($K380="","this item",$K380),TEXTJOIN(" • ",TRUE,IF($F380="High","High Priority",""),IF(AND($I380&lt;&gt;"",$I380&lt;TODAY()),"Overdue",""),IF(AND($I380&lt;&gt;"",$I380&gt;=TODAY(),$I380&lt;=TODAY()+7),"Due This Week",""),IF(AND($H380&lt;&gt;"",$M380&lt;=VLOOKUP(Home!$C$7,Lists!$N$2:$O$6,2,FALSE)),$H380&amp;" Task",""),IF($G380=Home!$E$7,"Fits Current Energy",""),"No Blockers"))))</f>
        <v/>
      </c>
      <c r="P380" s="88">
        <f>IF($D380="","",SWITCH('Task Finder'!$C$6,"High Priority",AND($F380="High",$E380&lt;&gt;"Done",$E380&lt;&gt;"Archive"),"Due This Week",AND($I380&lt;&gt;"",$I380&gt;=TODAY(),$I380&lt;=TODAY()+7,$E380&lt;&gt;"Done"),"Quick Wins (15 mins or less)",AND($M380&lt;=15,$E380&lt;&gt;"Done",$E380&lt;&gt;"Blocked"),"Deep Thinking",AND($G380="Deep Thinking",$E380&lt;&gt;"Done"),"Processing",AND($G380="Processing",$E380&lt;&gt;"Done"),"Blocked",$E380="Blocked","Waiting",$E380="Waiting","Recently Updated",AND($L380&lt;&gt;"",$L380&gt;=TODAY()-7),"Keyword",AND('Task Finder'!$C$7&lt;&gt;"",OR(ISNUMBER(SEARCH('Task Finder'!$C$7,$A380)),ISNUMBER(SEARCH('Task Finder'!$C$7,$B380)),ISNUMBER(SEARCH('Task Finder'!$C$7,$C380)),ISNUMBER(SEARCH('Task Finder'!$C$7,$D380)),ISNUMBER(SEARCH('Task Finder'!$C$7,$K380)))),TRUE))</f>
        <v/>
      </c>
    </row>
    <row r="381">
      <c r="A381" s="19" t="n"/>
      <c r="B381" s="19" t="n"/>
      <c r="C381" s="19" t="n"/>
      <c r="D381" s="19" t="n"/>
      <c r="E381" s="19" t="n"/>
      <c r="F381" s="19" t="n"/>
      <c r="G381" s="19" t="n"/>
      <c r="H381" s="19" t="n"/>
      <c r="I381" s="19" t="n"/>
      <c r="J381" s="19" t="n"/>
      <c r="K381" s="19" t="n"/>
      <c r="L381" s="125" t="n"/>
      <c r="M381" s="88">
        <f>IF($D381="","",IFERROR(VLOOKUP($H381,Lists!$N$2:$O$6,2,FALSE),0))</f>
        <v/>
      </c>
      <c r="N381" s="88">
        <f>IF($D381="","",IF(OR($E381="Blocked",$E381="Done",$E381="Archive"),-9999,IF(AND($E381="Waiting",SUMPRODUCT((($E$5:$E$500="Next")+($E$5:$E$500="In Progress")+($E$5:$E$500="Captured"))*($D$5:$D$500&lt;&gt;""))&gt;0),-500,VLOOKUP($F381,Lists!$L$2:$M$4,2,FALSE)+IF($E381="In Progress",10,0)+IF(AND($I381&lt;&gt;"",$I381&lt;TODAY()),25,0)+IF(AND($I381&lt;&gt;"",$I381&gt;=TODAY(),$I381&lt;=TODAY()+7),15,0)+IF($H381="",0,IF($M381&lt;=VLOOKUP(Home!$C$7,Lists!$N$2:$O$6,2,FALSE),20,-10))+IF($G381=Home!$E$7,15,IF(Home!$E$7="",0,-5))-ROW()/100000)))</f>
        <v/>
      </c>
      <c r="O381" s="88">
        <f>IF($D381="","",IF($N381&lt;=-500,"Not recommended right now",IF($E381="Waiting","Nothing else actionable right now — Waiting on: "&amp;IF($K381="","this item",$K381),TEXTJOIN(" • ",TRUE,IF($F381="High","High Priority",""),IF(AND($I381&lt;&gt;"",$I381&lt;TODAY()),"Overdue",""),IF(AND($I381&lt;&gt;"",$I381&gt;=TODAY(),$I381&lt;=TODAY()+7),"Due This Week",""),IF(AND($H381&lt;&gt;"",$M381&lt;=VLOOKUP(Home!$C$7,Lists!$N$2:$O$6,2,FALSE)),$H381&amp;" Task",""),IF($G381=Home!$E$7,"Fits Current Energy",""),"No Blockers"))))</f>
        <v/>
      </c>
      <c r="P381" s="88">
        <f>IF($D381="","",SWITCH('Task Finder'!$C$6,"High Priority",AND($F381="High",$E381&lt;&gt;"Done",$E381&lt;&gt;"Archive"),"Due This Week",AND($I381&lt;&gt;"",$I381&gt;=TODAY(),$I381&lt;=TODAY()+7,$E381&lt;&gt;"Done"),"Quick Wins (15 mins or less)",AND($M381&lt;=15,$E381&lt;&gt;"Done",$E381&lt;&gt;"Blocked"),"Deep Thinking",AND($G381="Deep Thinking",$E381&lt;&gt;"Done"),"Processing",AND($G381="Processing",$E381&lt;&gt;"Done"),"Blocked",$E381="Blocked","Waiting",$E381="Waiting","Recently Updated",AND($L381&lt;&gt;"",$L381&gt;=TODAY()-7),"Keyword",AND('Task Finder'!$C$7&lt;&gt;"",OR(ISNUMBER(SEARCH('Task Finder'!$C$7,$A381)),ISNUMBER(SEARCH('Task Finder'!$C$7,$B381)),ISNUMBER(SEARCH('Task Finder'!$C$7,$C381)),ISNUMBER(SEARCH('Task Finder'!$C$7,$D381)),ISNUMBER(SEARCH('Task Finder'!$C$7,$K381)))),TRUE))</f>
        <v/>
      </c>
    </row>
    <row r="382">
      <c r="A382" s="19" t="n"/>
      <c r="B382" s="19" t="n"/>
      <c r="C382" s="19" t="n"/>
      <c r="D382" s="19" t="n"/>
      <c r="E382" s="19" t="n"/>
      <c r="F382" s="19" t="n"/>
      <c r="G382" s="19" t="n"/>
      <c r="H382" s="19" t="n"/>
      <c r="I382" s="19" t="n"/>
      <c r="J382" s="19" t="n"/>
      <c r="K382" s="19" t="n"/>
      <c r="L382" s="125" t="n"/>
      <c r="M382" s="88">
        <f>IF($D382="","",IFERROR(VLOOKUP($H382,Lists!$N$2:$O$6,2,FALSE),0))</f>
        <v/>
      </c>
      <c r="N382" s="88">
        <f>IF($D382="","",IF(OR($E382="Blocked",$E382="Done",$E382="Archive"),-9999,IF(AND($E382="Waiting",SUMPRODUCT((($E$5:$E$500="Next")+($E$5:$E$500="In Progress")+($E$5:$E$500="Captured"))*($D$5:$D$500&lt;&gt;""))&gt;0),-500,VLOOKUP($F382,Lists!$L$2:$M$4,2,FALSE)+IF($E382="In Progress",10,0)+IF(AND($I382&lt;&gt;"",$I382&lt;TODAY()),25,0)+IF(AND($I382&lt;&gt;"",$I382&gt;=TODAY(),$I382&lt;=TODAY()+7),15,0)+IF($H382="",0,IF($M382&lt;=VLOOKUP(Home!$C$7,Lists!$N$2:$O$6,2,FALSE),20,-10))+IF($G382=Home!$E$7,15,IF(Home!$E$7="",0,-5))-ROW()/100000)))</f>
        <v/>
      </c>
      <c r="O382" s="88">
        <f>IF($D382="","",IF($N382&lt;=-500,"Not recommended right now",IF($E382="Waiting","Nothing else actionable right now — Waiting on: "&amp;IF($K382="","this item",$K382),TEXTJOIN(" • ",TRUE,IF($F382="High","High Priority",""),IF(AND($I382&lt;&gt;"",$I382&lt;TODAY()),"Overdue",""),IF(AND($I382&lt;&gt;"",$I382&gt;=TODAY(),$I382&lt;=TODAY()+7),"Due This Week",""),IF(AND($H382&lt;&gt;"",$M382&lt;=VLOOKUP(Home!$C$7,Lists!$N$2:$O$6,2,FALSE)),$H382&amp;" Task",""),IF($G382=Home!$E$7,"Fits Current Energy",""),"No Blockers"))))</f>
        <v/>
      </c>
      <c r="P382" s="88">
        <f>IF($D382="","",SWITCH('Task Finder'!$C$6,"High Priority",AND($F382="High",$E382&lt;&gt;"Done",$E382&lt;&gt;"Archive"),"Due This Week",AND($I382&lt;&gt;"",$I382&gt;=TODAY(),$I382&lt;=TODAY()+7,$E382&lt;&gt;"Done"),"Quick Wins (15 mins or less)",AND($M382&lt;=15,$E382&lt;&gt;"Done",$E382&lt;&gt;"Blocked"),"Deep Thinking",AND($G382="Deep Thinking",$E382&lt;&gt;"Done"),"Processing",AND($G382="Processing",$E382&lt;&gt;"Done"),"Blocked",$E382="Blocked","Waiting",$E382="Waiting","Recently Updated",AND($L382&lt;&gt;"",$L382&gt;=TODAY()-7),"Keyword",AND('Task Finder'!$C$7&lt;&gt;"",OR(ISNUMBER(SEARCH('Task Finder'!$C$7,$A382)),ISNUMBER(SEARCH('Task Finder'!$C$7,$B382)),ISNUMBER(SEARCH('Task Finder'!$C$7,$C382)),ISNUMBER(SEARCH('Task Finder'!$C$7,$D382)),ISNUMBER(SEARCH('Task Finder'!$C$7,$K382)))),TRUE))</f>
        <v/>
      </c>
    </row>
    <row r="383">
      <c r="A383" s="19" t="n"/>
      <c r="B383" s="19" t="n"/>
      <c r="C383" s="19" t="n"/>
      <c r="D383" s="19" t="n"/>
      <c r="E383" s="19" t="n"/>
      <c r="F383" s="19" t="n"/>
      <c r="G383" s="19" t="n"/>
      <c r="H383" s="19" t="n"/>
      <c r="I383" s="19" t="n"/>
      <c r="J383" s="19" t="n"/>
      <c r="K383" s="19" t="n"/>
      <c r="L383" s="125" t="n"/>
      <c r="M383" s="88">
        <f>IF($D383="","",IFERROR(VLOOKUP($H383,Lists!$N$2:$O$6,2,FALSE),0))</f>
        <v/>
      </c>
      <c r="N383" s="88">
        <f>IF($D383="","",IF(OR($E383="Blocked",$E383="Done",$E383="Archive"),-9999,IF(AND($E383="Waiting",SUMPRODUCT((($E$5:$E$500="Next")+($E$5:$E$500="In Progress")+($E$5:$E$500="Captured"))*($D$5:$D$500&lt;&gt;""))&gt;0),-500,VLOOKUP($F383,Lists!$L$2:$M$4,2,FALSE)+IF($E383="In Progress",10,0)+IF(AND($I383&lt;&gt;"",$I383&lt;TODAY()),25,0)+IF(AND($I383&lt;&gt;"",$I383&gt;=TODAY(),$I383&lt;=TODAY()+7),15,0)+IF($H383="",0,IF($M383&lt;=VLOOKUP(Home!$C$7,Lists!$N$2:$O$6,2,FALSE),20,-10))+IF($G383=Home!$E$7,15,IF(Home!$E$7="",0,-5))-ROW()/100000)))</f>
        <v/>
      </c>
      <c r="O383" s="88">
        <f>IF($D383="","",IF($N383&lt;=-500,"Not recommended right now",IF($E383="Waiting","Nothing else actionable right now — Waiting on: "&amp;IF($K383="","this item",$K383),TEXTJOIN(" • ",TRUE,IF($F383="High","High Priority",""),IF(AND($I383&lt;&gt;"",$I383&lt;TODAY()),"Overdue",""),IF(AND($I383&lt;&gt;"",$I383&gt;=TODAY(),$I383&lt;=TODAY()+7),"Due This Week",""),IF(AND($H383&lt;&gt;"",$M383&lt;=VLOOKUP(Home!$C$7,Lists!$N$2:$O$6,2,FALSE)),$H383&amp;" Task",""),IF($G383=Home!$E$7,"Fits Current Energy",""),"No Blockers"))))</f>
        <v/>
      </c>
      <c r="P383" s="88">
        <f>IF($D383="","",SWITCH('Task Finder'!$C$6,"High Priority",AND($F383="High",$E383&lt;&gt;"Done",$E383&lt;&gt;"Archive"),"Due This Week",AND($I383&lt;&gt;"",$I383&gt;=TODAY(),$I383&lt;=TODAY()+7,$E383&lt;&gt;"Done"),"Quick Wins (15 mins or less)",AND($M383&lt;=15,$E383&lt;&gt;"Done",$E383&lt;&gt;"Blocked"),"Deep Thinking",AND($G383="Deep Thinking",$E383&lt;&gt;"Done"),"Processing",AND($G383="Processing",$E383&lt;&gt;"Done"),"Blocked",$E383="Blocked","Waiting",$E383="Waiting","Recently Updated",AND($L383&lt;&gt;"",$L383&gt;=TODAY()-7),"Keyword",AND('Task Finder'!$C$7&lt;&gt;"",OR(ISNUMBER(SEARCH('Task Finder'!$C$7,$A383)),ISNUMBER(SEARCH('Task Finder'!$C$7,$B383)),ISNUMBER(SEARCH('Task Finder'!$C$7,$C383)),ISNUMBER(SEARCH('Task Finder'!$C$7,$D383)),ISNUMBER(SEARCH('Task Finder'!$C$7,$K383)))),TRUE))</f>
        <v/>
      </c>
    </row>
    <row r="384">
      <c r="A384" s="19" t="n"/>
      <c r="B384" s="19" t="n"/>
      <c r="C384" s="19" t="n"/>
      <c r="D384" s="19" t="n"/>
      <c r="E384" s="19" t="n"/>
      <c r="F384" s="19" t="n"/>
      <c r="G384" s="19" t="n"/>
      <c r="H384" s="19" t="n"/>
      <c r="I384" s="19" t="n"/>
      <c r="J384" s="19" t="n"/>
      <c r="K384" s="19" t="n"/>
      <c r="L384" s="125" t="n"/>
      <c r="M384" s="88">
        <f>IF($D384="","",IFERROR(VLOOKUP($H384,Lists!$N$2:$O$6,2,FALSE),0))</f>
        <v/>
      </c>
      <c r="N384" s="88">
        <f>IF($D384="","",IF(OR($E384="Blocked",$E384="Done",$E384="Archive"),-9999,IF(AND($E384="Waiting",SUMPRODUCT((($E$5:$E$500="Next")+($E$5:$E$500="In Progress")+($E$5:$E$500="Captured"))*($D$5:$D$500&lt;&gt;""))&gt;0),-500,VLOOKUP($F384,Lists!$L$2:$M$4,2,FALSE)+IF($E384="In Progress",10,0)+IF(AND($I384&lt;&gt;"",$I384&lt;TODAY()),25,0)+IF(AND($I384&lt;&gt;"",$I384&gt;=TODAY(),$I384&lt;=TODAY()+7),15,0)+IF($H384="",0,IF($M384&lt;=VLOOKUP(Home!$C$7,Lists!$N$2:$O$6,2,FALSE),20,-10))+IF($G384=Home!$E$7,15,IF(Home!$E$7="",0,-5))-ROW()/100000)))</f>
        <v/>
      </c>
      <c r="O384" s="88">
        <f>IF($D384="","",IF($N384&lt;=-500,"Not recommended right now",IF($E384="Waiting","Nothing else actionable right now — Waiting on: "&amp;IF($K384="","this item",$K384),TEXTJOIN(" • ",TRUE,IF($F384="High","High Priority",""),IF(AND($I384&lt;&gt;"",$I384&lt;TODAY()),"Overdue",""),IF(AND($I384&lt;&gt;"",$I384&gt;=TODAY(),$I384&lt;=TODAY()+7),"Due This Week",""),IF(AND($H384&lt;&gt;"",$M384&lt;=VLOOKUP(Home!$C$7,Lists!$N$2:$O$6,2,FALSE)),$H384&amp;" Task",""),IF($G384=Home!$E$7,"Fits Current Energy",""),"No Blockers"))))</f>
        <v/>
      </c>
      <c r="P384" s="88">
        <f>IF($D384="","",SWITCH('Task Finder'!$C$6,"High Priority",AND($F384="High",$E384&lt;&gt;"Done",$E384&lt;&gt;"Archive"),"Due This Week",AND($I384&lt;&gt;"",$I384&gt;=TODAY(),$I384&lt;=TODAY()+7,$E384&lt;&gt;"Done"),"Quick Wins (15 mins or less)",AND($M384&lt;=15,$E384&lt;&gt;"Done",$E384&lt;&gt;"Blocked"),"Deep Thinking",AND($G384="Deep Thinking",$E384&lt;&gt;"Done"),"Processing",AND($G384="Processing",$E384&lt;&gt;"Done"),"Blocked",$E384="Blocked","Waiting",$E384="Waiting","Recently Updated",AND($L384&lt;&gt;"",$L384&gt;=TODAY()-7),"Keyword",AND('Task Finder'!$C$7&lt;&gt;"",OR(ISNUMBER(SEARCH('Task Finder'!$C$7,$A384)),ISNUMBER(SEARCH('Task Finder'!$C$7,$B384)),ISNUMBER(SEARCH('Task Finder'!$C$7,$C384)),ISNUMBER(SEARCH('Task Finder'!$C$7,$D384)),ISNUMBER(SEARCH('Task Finder'!$C$7,$K384)))),TRUE))</f>
        <v/>
      </c>
    </row>
    <row r="385">
      <c r="A385" s="19" t="n"/>
      <c r="B385" s="19" t="n"/>
      <c r="C385" s="19" t="n"/>
      <c r="D385" s="19" t="n"/>
      <c r="E385" s="19" t="n"/>
      <c r="F385" s="19" t="n"/>
      <c r="G385" s="19" t="n"/>
      <c r="H385" s="19" t="n"/>
      <c r="I385" s="19" t="n"/>
      <c r="J385" s="19" t="n"/>
      <c r="K385" s="19" t="n"/>
      <c r="L385" s="125" t="n"/>
      <c r="M385" s="88">
        <f>IF($D385="","",IFERROR(VLOOKUP($H385,Lists!$N$2:$O$6,2,FALSE),0))</f>
        <v/>
      </c>
      <c r="N385" s="88">
        <f>IF($D385="","",IF(OR($E385="Blocked",$E385="Done",$E385="Archive"),-9999,IF(AND($E385="Waiting",SUMPRODUCT((($E$5:$E$500="Next")+($E$5:$E$500="In Progress")+($E$5:$E$500="Captured"))*($D$5:$D$500&lt;&gt;""))&gt;0),-500,VLOOKUP($F385,Lists!$L$2:$M$4,2,FALSE)+IF($E385="In Progress",10,0)+IF(AND($I385&lt;&gt;"",$I385&lt;TODAY()),25,0)+IF(AND($I385&lt;&gt;"",$I385&gt;=TODAY(),$I385&lt;=TODAY()+7),15,0)+IF($H385="",0,IF($M385&lt;=VLOOKUP(Home!$C$7,Lists!$N$2:$O$6,2,FALSE),20,-10))+IF($G385=Home!$E$7,15,IF(Home!$E$7="",0,-5))-ROW()/100000)))</f>
        <v/>
      </c>
      <c r="O385" s="88">
        <f>IF($D385="","",IF($N385&lt;=-500,"Not recommended right now",IF($E385="Waiting","Nothing else actionable right now — Waiting on: "&amp;IF($K385="","this item",$K385),TEXTJOIN(" • ",TRUE,IF($F385="High","High Priority",""),IF(AND($I385&lt;&gt;"",$I385&lt;TODAY()),"Overdue",""),IF(AND($I385&lt;&gt;"",$I385&gt;=TODAY(),$I385&lt;=TODAY()+7),"Due This Week",""),IF(AND($H385&lt;&gt;"",$M385&lt;=VLOOKUP(Home!$C$7,Lists!$N$2:$O$6,2,FALSE)),$H385&amp;" Task",""),IF($G385=Home!$E$7,"Fits Current Energy",""),"No Blockers"))))</f>
        <v/>
      </c>
      <c r="P385" s="88">
        <f>IF($D385="","",SWITCH('Task Finder'!$C$6,"High Priority",AND($F385="High",$E385&lt;&gt;"Done",$E385&lt;&gt;"Archive"),"Due This Week",AND($I385&lt;&gt;"",$I385&gt;=TODAY(),$I385&lt;=TODAY()+7,$E385&lt;&gt;"Done"),"Quick Wins (15 mins or less)",AND($M385&lt;=15,$E385&lt;&gt;"Done",$E385&lt;&gt;"Blocked"),"Deep Thinking",AND($G385="Deep Thinking",$E385&lt;&gt;"Done"),"Processing",AND($G385="Processing",$E385&lt;&gt;"Done"),"Blocked",$E385="Blocked","Waiting",$E385="Waiting","Recently Updated",AND($L385&lt;&gt;"",$L385&gt;=TODAY()-7),"Keyword",AND('Task Finder'!$C$7&lt;&gt;"",OR(ISNUMBER(SEARCH('Task Finder'!$C$7,$A385)),ISNUMBER(SEARCH('Task Finder'!$C$7,$B385)),ISNUMBER(SEARCH('Task Finder'!$C$7,$C385)),ISNUMBER(SEARCH('Task Finder'!$C$7,$D385)),ISNUMBER(SEARCH('Task Finder'!$C$7,$K385)))),TRUE))</f>
        <v/>
      </c>
    </row>
    <row r="386">
      <c r="A386" s="19" t="n"/>
      <c r="B386" s="19" t="n"/>
      <c r="C386" s="19" t="n"/>
      <c r="D386" s="19" t="n"/>
      <c r="E386" s="19" t="n"/>
      <c r="F386" s="19" t="n"/>
      <c r="G386" s="19" t="n"/>
      <c r="H386" s="19" t="n"/>
      <c r="I386" s="19" t="n"/>
      <c r="J386" s="19" t="n"/>
      <c r="K386" s="19" t="n"/>
      <c r="L386" s="125" t="n"/>
      <c r="M386" s="88">
        <f>IF($D386="","",IFERROR(VLOOKUP($H386,Lists!$N$2:$O$6,2,FALSE),0))</f>
        <v/>
      </c>
      <c r="N386" s="88">
        <f>IF($D386="","",IF(OR($E386="Blocked",$E386="Done",$E386="Archive"),-9999,IF(AND($E386="Waiting",SUMPRODUCT((($E$5:$E$500="Next")+($E$5:$E$500="In Progress")+($E$5:$E$500="Captured"))*($D$5:$D$500&lt;&gt;""))&gt;0),-500,VLOOKUP($F386,Lists!$L$2:$M$4,2,FALSE)+IF($E386="In Progress",10,0)+IF(AND($I386&lt;&gt;"",$I386&lt;TODAY()),25,0)+IF(AND($I386&lt;&gt;"",$I386&gt;=TODAY(),$I386&lt;=TODAY()+7),15,0)+IF($H386="",0,IF($M386&lt;=VLOOKUP(Home!$C$7,Lists!$N$2:$O$6,2,FALSE),20,-10))+IF($G386=Home!$E$7,15,IF(Home!$E$7="",0,-5))-ROW()/100000)))</f>
        <v/>
      </c>
      <c r="O386" s="88">
        <f>IF($D386="","",IF($N386&lt;=-500,"Not recommended right now",IF($E386="Waiting","Nothing else actionable right now — Waiting on: "&amp;IF($K386="","this item",$K386),TEXTJOIN(" • ",TRUE,IF($F386="High","High Priority",""),IF(AND($I386&lt;&gt;"",$I386&lt;TODAY()),"Overdue",""),IF(AND($I386&lt;&gt;"",$I386&gt;=TODAY(),$I386&lt;=TODAY()+7),"Due This Week",""),IF(AND($H386&lt;&gt;"",$M386&lt;=VLOOKUP(Home!$C$7,Lists!$N$2:$O$6,2,FALSE)),$H386&amp;" Task",""),IF($G386=Home!$E$7,"Fits Current Energy",""),"No Blockers"))))</f>
        <v/>
      </c>
      <c r="P386" s="88">
        <f>IF($D386="","",SWITCH('Task Finder'!$C$6,"High Priority",AND($F386="High",$E386&lt;&gt;"Done",$E386&lt;&gt;"Archive"),"Due This Week",AND($I386&lt;&gt;"",$I386&gt;=TODAY(),$I386&lt;=TODAY()+7,$E386&lt;&gt;"Done"),"Quick Wins (15 mins or less)",AND($M386&lt;=15,$E386&lt;&gt;"Done",$E386&lt;&gt;"Blocked"),"Deep Thinking",AND($G386="Deep Thinking",$E386&lt;&gt;"Done"),"Processing",AND($G386="Processing",$E386&lt;&gt;"Done"),"Blocked",$E386="Blocked","Waiting",$E386="Waiting","Recently Updated",AND($L386&lt;&gt;"",$L386&gt;=TODAY()-7),"Keyword",AND('Task Finder'!$C$7&lt;&gt;"",OR(ISNUMBER(SEARCH('Task Finder'!$C$7,$A386)),ISNUMBER(SEARCH('Task Finder'!$C$7,$B386)),ISNUMBER(SEARCH('Task Finder'!$C$7,$C386)),ISNUMBER(SEARCH('Task Finder'!$C$7,$D386)),ISNUMBER(SEARCH('Task Finder'!$C$7,$K386)))),TRUE))</f>
        <v/>
      </c>
    </row>
    <row r="387">
      <c r="A387" s="19" t="n"/>
      <c r="B387" s="19" t="n"/>
      <c r="C387" s="19" t="n"/>
      <c r="D387" s="19" t="n"/>
      <c r="E387" s="19" t="n"/>
      <c r="F387" s="19" t="n"/>
      <c r="G387" s="19" t="n"/>
      <c r="H387" s="19" t="n"/>
      <c r="I387" s="19" t="n"/>
      <c r="J387" s="19" t="n"/>
      <c r="K387" s="19" t="n"/>
      <c r="L387" s="125" t="n"/>
      <c r="M387" s="88">
        <f>IF($D387="","",IFERROR(VLOOKUP($H387,Lists!$N$2:$O$6,2,FALSE),0))</f>
        <v/>
      </c>
      <c r="N387" s="88">
        <f>IF($D387="","",IF(OR($E387="Blocked",$E387="Done",$E387="Archive"),-9999,IF(AND($E387="Waiting",SUMPRODUCT((($E$5:$E$500="Next")+($E$5:$E$500="In Progress")+($E$5:$E$500="Captured"))*($D$5:$D$500&lt;&gt;""))&gt;0),-500,VLOOKUP($F387,Lists!$L$2:$M$4,2,FALSE)+IF($E387="In Progress",10,0)+IF(AND($I387&lt;&gt;"",$I387&lt;TODAY()),25,0)+IF(AND($I387&lt;&gt;"",$I387&gt;=TODAY(),$I387&lt;=TODAY()+7),15,0)+IF($H387="",0,IF($M387&lt;=VLOOKUP(Home!$C$7,Lists!$N$2:$O$6,2,FALSE),20,-10))+IF($G387=Home!$E$7,15,IF(Home!$E$7="",0,-5))-ROW()/100000)))</f>
        <v/>
      </c>
      <c r="O387" s="88">
        <f>IF($D387="","",IF($N387&lt;=-500,"Not recommended right now",IF($E387="Waiting","Nothing else actionable right now — Waiting on: "&amp;IF($K387="","this item",$K387),TEXTJOIN(" • ",TRUE,IF($F387="High","High Priority",""),IF(AND($I387&lt;&gt;"",$I387&lt;TODAY()),"Overdue",""),IF(AND($I387&lt;&gt;"",$I387&gt;=TODAY(),$I387&lt;=TODAY()+7),"Due This Week",""),IF(AND($H387&lt;&gt;"",$M387&lt;=VLOOKUP(Home!$C$7,Lists!$N$2:$O$6,2,FALSE)),$H387&amp;" Task",""),IF($G387=Home!$E$7,"Fits Current Energy",""),"No Blockers"))))</f>
        <v/>
      </c>
      <c r="P387" s="88">
        <f>IF($D387="","",SWITCH('Task Finder'!$C$6,"High Priority",AND($F387="High",$E387&lt;&gt;"Done",$E387&lt;&gt;"Archive"),"Due This Week",AND($I387&lt;&gt;"",$I387&gt;=TODAY(),$I387&lt;=TODAY()+7,$E387&lt;&gt;"Done"),"Quick Wins (15 mins or less)",AND($M387&lt;=15,$E387&lt;&gt;"Done",$E387&lt;&gt;"Blocked"),"Deep Thinking",AND($G387="Deep Thinking",$E387&lt;&gt;"Done"),"Processing",AND($G387="Processing",$E387&lt;&gt;"Done"),"Blocked",$E387="Blocked","Waiting",$E387="Waiting","Recently Updated",AND($L387&lt;&gt;"",$L387&gt;=TODAY()-7),"Keyword",AND('Task Finder'!$C$7&lt;&gt;"",OR(ISNUMBER(SEARCH('Task Finder'!$C$7,$A387)),ISNUMBER(SEARCH('Task Finder'!$C$7,$B387)),ISNUMBER(SEARCH('Task Finder'!$C$7,$C387)),ISNUMBER(SEARCH('Task Finder'!$C$7,$D387)),ISNUMBER(SEARCH('Task Finder'!$C$7,$K387)))),TRUE))</f>
        <v/>
      </c>
    </row>
    <row r="388">
      <c r="A388" s="19" t="n"/>
      <c r="B388" s="19" t="n"/>
      <c r="C388" s="19" t="n"/>
      <c r="D388" s="19" t="n"/>
      <c r="E388" s="19" t="n"/>
      <c r="F388" s="19" t="n"/>
      <c r="G388" s="19" t="n"/>
      <c r="H388" s="19" t="n"/>
      <c r="I388" s="19" t="n"/>
      <c r="J388" s="19" t="n"/>
      <c r="K388" s="19" t="n"/>
      <c r="L388" s="125" t="n"/>
      <c r="M388" s="88">
        <f>IF($D388="","",IFERROR(VLOOKUP($H388,Lists!$N$2:$O$6,2,FALSE),0))</f>
        <v/>
      </c>
      <c r="N388" s="88">
        <f>IF($D388="","",IF(OR($E388="Blocked",$E388="Done",$E388="Archive"),-9999,IF(AND($E388="Waiting",SUMPRODUCT((($E$5:$E$500="Next")+($E$5:$E$500="In Progress")+($E$5:$E$500="Captured"))*($D$5:$D$500&lt;&gt;""))&gt;0),-500,VLOOKUP($F388,Lists!$L$2:$M$4,2,FALSE)+IF($E388="In Progress",10,0)+IF(AND($I388&lt;&gt;"",$I388&lt;TODAY()),25,0)+IF(AND($I388&lt;&gt;"",$I388&gt;=TODAY(),$I388&lt;=TODAY()+7),15,0)+IF($H388="",0,IF($M388&lt;=VLOOKUP(Home!$C$7,Lists!$N$2:$O$6,2,FALSE),20,-10))+IF($G388=Home!$E$7,15,IF(Home!$E$7="",0,-5))-ROW()/100000)))</f>
        <v/>
      </c>
      <c r="O388" s="88">
        <f>IF($D388="","",IF($N388&lt;=-500,"Not recommended right now",IF($E388="Waiting","Nothing else actionable right now — Waiting on: "&amp;IF($K388="","this item",$K388),TEXTJOIN(" • ",TRUE,IF($F388="High","High Priority",""),IF(AND($I388&lt;&gt;"",$I388&lt;TODAY()),"Overdue",""),IF(AND($I388&lt;&gt;"",$I388&gt;=TODAY(),$I388&lt;=TODAY()+7),"Due This Week",""),IF(AND($H388&lt;&gt;"",$M388&lt;=VLOOKUP(Home!$C$7,Lists!$N$2:$O$6,2,FALSE)),$H388&amp;" Task",""),IF($G388=Home!$E$7,"Fits Current Energy",""),"No Blockers"))))</f>
        <v/>
      </c>
      <c r="P388" s="88">
        <f>IF($D388="","",SWITCH('Task Finder'!$C$6,"High Priority",AND($F388="High",$E388&lt;&gt;"Done",$E388&lt;&gt;"Archive"),"Due This Week",AND($I388&lt;&gt;"",$I388&gt;=TODAY(),$I388&lt;=TODAY()+7,$E388&lt;&gt;"Done"),"Quick Wins (15 mins or less)",AND($M388&lt;=15,$E388&lt;&gt;"Done",$E388&lt;&gt;"Blocked"),"Deep Thinking",AND($G388="Deep Thinking",$E388&lt;&gt;"Done"),"Processing",AND($G388="Processing",$E388&lt;&gt;"Done"),"Blocked",$E388="Blocked","Waiting",$E388="Waiting","Recently Updated",AND($L388&lt;&gt;"",$L388&gt;=TODAY()-7),"Keyword",AND('Task Finder'!$C$7&lt;&gt;"",OR(ISNUMBER(SEARCH('Task Finder'!$C$7,$A388)),ISNUMBER(SEARCH('Task Finder'!$C$7,$B388)),ISNUMBER(SEARCH('Task Finder'!$C$7,$C388)),ISNUMBER(SEARCH('Task Finder'!$C$7,$D388)),ISNUMBER(SEARCH('Task Finder'!$C$7,$K388)))),TRUE))</f>
        <v/>
      </c>
    </row>
    <row r="389">
      <c r="A389" s="19" t="n"/>
      <c r="B389" s="19" t="n"/>
      <c r="C389" s="19" t="n"/>
      <c r="D389" s="19" t="n"/>
      <c r="E389" s="19" t="n"/>
      <c r="F389" s="19" t="n"/>
      <c r="G389" s="19" t="n"/>
      <c r="H389" s="19" t="n"/>
      <c r="I389" s="19" t="n"/>
      <c r="J389" s="19" t="n"/>
      <c r="K389" s="19" t="n"/>
      <c r="L389" s="125" t="n"/>
      <c r="M389" s="88">
        <f>IF($D389="","",IFERROR(VLOOKUP($H389,Lists!$N$2:$O$6,2,FALSE),0))</f>
        <v/>
      </c>
      <c r="N389" s="88">
        <f>IF($D389="","",IF(OR($E389="Blocked",$E389="Done",$E389="Archive"),-9999,IF(AND($E389="Waiting",SUMPRODUCT((($E$5:$E$500="Next")+($E$5:$E$500="In Progress")+($E$5:$E$500="Captured"))*($D$5:$D$500&lt;&gt;""))&gt;0),-500,VLOOKUP($F389,Lists!$L$2:$M$4,2,FALSE)+IF($E389="In Progress",10,0)+IF(AND($I389&lt;&gt;"",$I389&lt;TODAY()),25,0)+IF(AND($I389&lt;&gt;"",$I389&gt;=TODAY(),$I389&lt;=TODAY()+7),15,0)+IF($H389="",0,IF($M389&lt;=VLOOKUP(Home!$C$7,Lists!$N$2:$O$6,2,FALSE),20,-10))+IF($G389=Home!$E$7,15,IF(Home!$E$7="",0,-5))-ROW()/100000)))</f>
        <v/>
      </c>
      <c r="O389" s="88">
        <f>IF($D389="","",IF($N389&lt;=-500,"Not recommended right now",IF($E389="Waiting","Nothing else actionable right now — Waiting on: "&amp;IF($K389="","this item",$K389),TEXTJOIN(" • ",TRUE,IF($F389="High","High Priority",""),IF(AND($I389&lt;&gt;"",$I389&lt;TODAY()),"Overdue",""),IF(AND($I389&lt;&gt;"",$I389&gt;=TODAY(),$I389&lt;=TODAY()+7),"Due This Week",""),IF(AND($H389&lt;&gt;"",$M389&lt;=VLOOKUP(Home!$C$7,Lists!$N$2:$O$6,2,FALSE)),$H389&amp;" Task",""),IF($G389=Home!$E$7,"Fits Current Energy",""),"No Blockers"))))</f>
        <v/>
      </c>
      <c r="P389" s="88">
        <f>IF($D389="","",SWITCH('Task Finder'!$C$6,"High Priority",AND($F389="High",$E389&lt;&gt;"Done",$E389&lt;&gt;"Archive"),"Due This Week",AND($I389&lt;&gt;"",$I389&gt;=TODAY(),$I389&lt;=TODAY()+7,$E389&lt;&gt;"Done"),"Quick Wins (15 mins or less)",AND($M389&lt;=15,$E389&lt;&gt;"Done",$E389&lt;&gt;"Blocked"),"Deep Thinking",AND($G389="Deep Thinking",$E389&lt;&gt;"Done"),"Processing",AND($G389="Processing",$E389&lt;&gt;"Done"),"Blocked",$E389="Blocked","Waiting",$E389="Waiting","Recently Updated",AND($L389&lt;&gt;"",$L389&gt;=TODAY()-7),"Keyword",AND('Task Finder'!$C$7&lt;&gt;"",OR(ISNUMBER(SEARCH('Task Finder'!$C$7,$A389)),ISNUMBER(SEARCH('Task Finder'!$C$7,$B389)),ISNUMBER(SEARCH('Task Finder'!$C$7,$C389)),ISNUMBER(SEARCH('Task Finder'!$C$7,$D389)),ISNUMBER(SEARCH('Task Finder'!$C$7,$K389)))),TRUE))</f>
        <v/>
      </c>
    </row>
    <row r="390">
      <c r="A390" s="19" t="n"/>
      <c r="B390" s="19" t="n"/>
      <c r="C390" s="19" t="n"/>
      <c r="D390" s="19" t="n"/>
      <c r="E390" s="19" t="n"/>
      <c r="F390" s="19" t="n"/>
      <c r="G390" s="19" t="n"/>
      <c r="H390" s="19" t="n"/>
      <c r="I390" s="19" t="n"/>
      <c r="J390" s="19" t="n"/>
      <c r="K390" s="19" t="n"/>
      <c r="L390" s="125" t="n"/>
      <c r="M390" s="88">
        <f>IF($D390="","",IFERROR(VLOOKUP($H390,Lists!$N$2:$O$6,2,FALSE),0))</f>
        <v/>
      </c>
      <c r="N390" s="88">
        <f>IF($D390="","",IF(OR($E390="Blocked",$E390="Done",$E390="Archive"),-9999,IF(AND($E390="Waiting",SUMPRODUCT((($E$5:$E$500="Next")+($E$5:$E$500="In Progress")+($E$5:$E$500="Captured"))*($D$5:$D$500&lt;&gt;""))&gt;0),-500,VLOOKUP($F390,Lists!$L$2:$M$4,2,FALSE)+IF($E390="In Progress",10,0)+IF(AND($I390&lt;&gt;"",$I390&lt;TODAY()),25,0)+IF(AND($I390&lt;&gt;"",$I390&gt;=TODAY(),$I390&lt;=TODAY()+7),15,0)+IF($H390="",0,IF($M390&lt;=VLOOKUP(Home!$C$7,Lists!$N$2:$O$6,2,FALSE),20,-10))+IF($G390=Home!$E$7,15,IF(Home!$E$7="",0,-5))-ROW()/100000)))</f>
        <v/>
      </c>
      <c r="O390" s="88">
        <f>IF($D390="","",IF($N390&lt;=-500,"Not recommended right now",IF($E390="Waiting","Nothing else actionable right now — Waiting on: "&amp;IF($K390="","this item",$K390),TEXTJOIN(" • ",TRUE,IF($F390="High","High Priority",""),IF(AND($I390&lt;&gt;"",$I390&lt;TODAY()),"Overdue",""),IF(AND($I390&lt;&gt;"",$I390&gt;=TODAY(),$I390&lt;=TODAY()+7),"Due This Week",""),IF(AND($H390&lt;&gt;"",$M390&lt;=VLOOKUP(Home!$C$7,Lists!$N$2:$O$6,2,FALSE)),$H390&amp;" Task",""),IF($G390=Home!$E$7,"Fits Current Energy",""),"No Blockers"))))</f>
        <v/>
      </c>
      <c r="P390" s="88">
        <f>IF($D390="","",SWITCH('Task Finder'!$C$6,"High Priority",AND($F390="High",$E390&lt;&gt;"Done",$E390&lt;&gt;"Archive"),"Due This Week",AND($I390&lt;&gt;"",$I390&gt;=TODAY(),$I390&lt;=TODAY()+7,$E390&lt;&gt;"Done"),"Quick Wins (15 mins or less)",AND($M390&lt;=15,$E390&lt;&gt;"Done",$E390&lt;&gt;"Blocked"),"Deep Thinking",AND($G390="Deep Thinking",$E390&lt;&gt;"Done"),"Processing",AND($G390="Processing",$E390&lt;&gt;"Done"),"Blocked",$E390="Blocked","Waiting",$E390="Waiting","Recently Updated",AND($L390&lt;&gt;"",$L390&gt;=TODAY()-7),"Keyword",AND('Task Finder'!$C$7&lt;&gt;"",OR(ISNUMBER(SEARCH('Task Finder'!$C$7,$A390)),ISNUMBER(SEARCH('Task Finder'!$C$7,$B390)),ISNUMBER(SEARCH('Task Finder'!$C$7,$C390)),ISNUMBER(SEARCH('Task Finder'!$C$7,$D390)),ISNUMBER(SEARCH('Task Finder'!$C$7,$K390)))),TRUE))</f>
        <v/>
      </c>
    </row>
    <row r="391">
      <c r="A391" s="19" t="n"/>
      <c r="B391" s="19" t="n"/>
      <c r="C391" s="19" t="n"/>
      <c r="D391" s="19" t="n"/>
      <c r="E391" s="19" t="n"/>
      <c r="F391" s="19" t="n"/>
      <c r="G391" s="19" t="n"/>
      <c r="H391" s="19" t="n"/>
      <c r="I391" s="19" t="n"/>
      <c r="J391" s="19" t="n"/>
      <c r="K391" s="19" t="n"/>
      <c r="L391" s="125" t="n"/>
      <c r="M391" s="88">
        <f>IF($D391="","",IFERROR(VLOOKUP($H391,Lists!$N$2:$O$6,2,FALSE),0))</f>
        <v/>
      </c>
      <c r="N391" s="88">
        <f>IF($D391="","",IF(OR($E391="Blocked",$E391="Done",$E391="Archive"),-9999,IF(AND($E391="Waiting",SUMPRODUCT((($E$5:$E$500="Next")+($E$5:$E$500="In Progress")+($E$5:$E$500="Captured"))*($D$5:$D$500&lt;&gt;""))&gt;0),-500,VLOOKUP($F391,Lists!$L$2:$M$4,2,FALSE)+IF($E391="In Progress",10,0)+IF(AND($I391&lt;&gt;"",$I391&lt;TODAY()),25,0)+IF(AND($I391&lt;&gt;"",$I391&gt;=TODAY(),$I391&lt;=TODAY()+7),15,0)+IF($H391="",0,IF($M391&lt;=VLOOKUP(Home!$C$7,Lists!$N$2:$O$6,2,FALSE),20,-10))+IF($G391=Home!$E$7,15,IF(Home!$E$7="",0,-5))-ROW()/100000)))</f>
        <v/>
      </c>
      <c r="O391" s="88">
        <f>IF($D391="","",IF($N391&lt;=-500,"Not recommended right now",IF($E391="Waiting","Nothing else actionable right now — Waiting on: "&amp;IF($K391="","this item",$K391),TEXTJOIN(" • ",TRUE,IF($F391="High","High Priority",""),IF(AND($I391&lt;&gt;"",$I391&lt;TODAY()),"Overdue",""),IF(AND($I391&lt;&gt;"",$I391&gt;=TODAY(),$I391&lt;=TODAY()+7),"Due This Week",""),IF(AND($H391&lt;&gt;"",$M391&lt;=VLOOKUP(Home!$C$7,Lists!$N$2:$O$6,2,FALSE)),$H391&amp;" Task",""),IF($G391=Home!$E$7,"Fits Current Energy",""),"No Blockers"))))</f>
        <v/>
      </c>
      <c r="P391" s="88">
        <f>IF($D391="","",SWITCH('Task Finder'!$C$6,"High Priority",AND($F391="High",$E391&lt;&gt;"Done",$E391&lt;&gt;"Archive"),"Due This Week",AND($I391&lt;&gt;"",$I391&gt;=TODAY(),$I391&lt;=TODAY()+7,$E391&lt;&gt;"Done"),"Quick Wins (15 mins or less)",AND($M391&lt;=15,$E391&lt;&gt;"Done",$E391&lt;&gt;"Blocked"),"Deep Thinking",AND($G391="Deep Thinking",$E391&lt;&gt;"Done"),"Processing",AND($G391="Processing",$E391&lt;&gt;"Done"),"Blocked",$E391="Blocked","Waiting",$E391="Waiting","Recently Updated",AND($L391&lt;&gt;"",$L391&gt;=TODAY()-7),"Keyword",AND('Task Finder'!$C$7&lt;&gt;"",OR(ISNUMBER(SEARCH('Task Finder'!$C$7,$A391)),ISNUMBER(SEARCH('Task Finder'!$C$7,$B391)),ISNUMBER(SEARCH('Task Finder'!$C$7,$C391)),ISNUMBER(SEARCH('Task Finder'!$C$7,$D391)),ISNUMBER(SEARCH('Task Finder'!$C$7,$K391)))),TRUE))</f>
        <v/>
      </c>
    </row>
    <row r="392">
      <c r="A392" s="19" t="n"/>
      <c r="B392" s="19" t="n"/>
      <c r="C392" s="19" t="n"/>
      <c r="D392" s="19" t="n"/>
      <c r="E392" s="19" t="n"/>
      <c r="F392" s="19" t="n"/>
      <c r="G392" s="19" t="n"/>
      <c r="H392" s="19" t="n"/>
      <c r="I392" s="19" t="n"/>
      <c r="J392" s="19" t="n"/>
      <c r="K392" s="19" t="n"/>
      <c r="L392" s="125" t="n"/>
      <c r="M392" s="88">
        <f>IF($D392="","",IFERROR(VLOOKUP($H392,Lists!$N$2:$O$6,2,FALSE),0))</f>
        <v/>
      </c>
      <c r="N392" s="88">
        <f>IF($D392="","",IF(OR($E392="Blocked",$E392="Done",$E392="Archive"),-9999,IF(AND($E392="Waiting",SUMPRODUCT((($E$5:$E$500="Next")+($E$5:$E$500="In Progress")+($E$5:$E$500="Captured"))*($D$5:$D$500&lt;&gt;""))&gt;0),-500,VLOOKUP($F392,Lists!$L$2:$M$4,2,FALSE)+IF($E392="In Progress",10,0)+IF(AND($I392&lt;&gt;"",$I392&lt;TODAY()),25,0)+IF(AND($I392&lt;&gt;"",$I392&gt;=TODAY(),$I392&lt;=TODAY()+7),15,0)+IF($H392="",0,IF($M392&lt;=VLOOKUP(Home!$C$7,Lists!$N$2:$O$6,2,FALSE),20,-10))+IF($G392=Home!$E$7,15,IF(Home!$E$7="",0,-5))-ROW()/100000)))</f>
        <v/>
      </c>
      <c r="O392" s="88">
        <f>IF($D392="","",IF($N392&lt;=-500,"Not recommended right now",IF($E392="Waiting","Nothing else actionable right now — Waiting on: "&amp;IF($K392="","this item",$K392),TEXTJOIN(" • ",TRUE,IF($F392="High","High Priority",""),IF(AND($I392&lt;&gt;"",$I392&lt;TODAY()),"Overdue",""),IF(AND($I392&lt;&gt;"",$I392&gt;=TODAY(),$I392&lt;=TODAY()+7),"Due This Week",""),IF(AND($H392&lt;&gt;"",$M392&lt;=VLOOKUP(Home!$C$7,Lists!$N$2:$O$6,2,FALSE)),$H392&amp;" Task",""),IF($G392=Home!$E$7,"Fits Current Energy",""),"No Blockers"))))</f>
        <v/>
      </c>
      <c r="P392" s="88">
        <f>IF($D392="","",SWITCH('Task Finder'!$C$6,"High Priority",AND($F392="High",$E392&lt;&gt;"Done",$E392&lt;&gt;"Archive"),"Due This Week",AND($I392&lt;&gt;"",$I392&gt;=TODAY(),$I392&lt;=TODAY()+7,$E392&lt;&gt;"Done"),"Quick Wins (15 mins or less)",AND($M392&lt;=15,$E392&lt;&gt;"Done",$E392&lt;&gt;"Blocked"),"Deep Thinking",AND($G392="Deep Thinking",$E392&lt;&gt;"Done"),"Processing",AND($G392="Processing",$E392&lt;&gt;"Done"),"Blocked",$E392="Blocked","Waiting",$E392="Waiting","Recently Updated",AND($L392&lt;&gt;"",$L392&gt;=TODAY()-7),"Keyword",AND('Task Finder'!$C$7&lt;&gt;"",OR(ISNUMBER(SEARCH('Task Finder'!$C$7,$A392)),ISNUMBER(SEARCH('Task Finder'!$C$7,$B392)),ISNUMBER(SEARCH('Task Finder'!$C$7,$C392)),ISNUMBER(SEARCH('Task Finder'!$C$7,$D392)),ISNUMBER(SEARCH('Task Finder'!$C$7,$K392)))),TRUE))</f>
        <v/>
      </c>
    </row>
    <row r="393">
      <c r="A393" s="19" t="n"/>
      <c r="B393" s="19" t="n"/>
      <c r="C393" s="19" t="n"/>
      <c r="D393" s="19" t="n"/>
      <c r="E393" s="19" t="n"/>
      <c r="F393" s="19" t="n"/>
      <c r="G393" s="19" t="n"/>
      <c r="H393" s="19" t="n"/>
      <c r="I393" s="19" t="n"/>
      <c r="J393" s="19" t="n"/>
      <c r="K393" s="19" t="n"/>
      <c r="L393" s="125" t="n"/>
      <c r="M393" s="88">
        <f>IF($D393="","",IFERROR(VLOOKUP($H393,Lists!$N$2:$O$6,2,FALSE),0))</f>
        <v/>
      </c>
      <c r="N393" s="88">
        <f>IF($D393="","",IF(OR($E393="Blocked",$E393="Done",$E393="Archive"),-9999,IF(AND($E393="Waiting",SUMPRODUCT((($E$5:$E$500="Next")+($E$5:$E$500="In Progress")+($E$5:$E$500="Captured"))*($D$5:$D$500&lt;&gt;""))&gt;0),-500,VLOOKUP($F393,Lists!$L$2:$M$4,2,FALSE)+IF($E393="In Progress",10,0)+IF(AND($I393&lt;&gt;"",$I393&lt;TODAY()),25,0)+IF(AND($I393&lt;&gt;"",$I393&gt;=TODAY(),$I393&lt;=TODAY()+7),15,0)+IF($H393="",0,IF($M393&lt;=VLOOKUP(Home!$C$7,Lists!$N$2:$O$6,2,FALSE),20,-10))+IF($G393=Home!$E$7,15,IF(Home!$E$7="",0,-5))-ROW()/100000)))</f>
        <v/>
      </c>
      <c r="O393" s="88">
        <f>IF($D393="","",IF($N393&lt;=-500,"Not recommended right now",IF($E393="Waiting","Nothing else actionable right now — Waiting on: "&amp;IF($K393="","this item",$K393),TEXTJOIN(" • ",TRUE,IF($F393="High","High Priority",""),IF(AND($I393&lt;&gt;"",$I393&lt;TODAY()),"Overdue",""),IF(AND($I393&lt;&gt;"",$I393&gt;=TODAY(),$I393&lt;=TODAY()+7),"Due This Week",""),IF(AND($H393&lt;&gt;"",$M393&lt;=VLOOKUP(Home!$C$7,Lists!$N$2:$O$6,2,FALSE)),$H393&amp;" Task",""),IF($G393=Home!$E$7,"Fits Current Energy",""),"No Blockers"))))</f>
        <v/>
      </c>
      <c r="P393" s="88">
        <f>IF($D393="","",SWITCH('Task Finder'!$C$6,"High Priority",AND($F393="High",$E393&lt;&gt;"Done",$E393&lt;&gt;"Archive"),"Due This Week",AND($I393&lt;&gt;"",$I393&gt;=TODAY(),$I393&lt;=TODAY()+7,$E393&lt;&gt;"Done"),"Quick Wins (15 mins or less)",AND($M393&lt;=15,$E393&lt;&gt;"Done",$E393&lt;&gt;"Blocked"),"Deep Thinking",AND($G393="Deep Thinking",$E393&lt;&gt;"Done"),"Processing",AND($G393="Processing",$E393&lt;&gt;"Done"),"Blocked",$E393="Blocked","Waiting",$E393="Waiting","Recently Updated",AND($L393&lt;&gt;"",$L393&gt;=TODAY()-7),"Keyword",AND('Task Finder'!$C$7&lt;&gt;"",OR(ISNUMBER(SEARCH('Task Finder'!$C$7,$A393)),ISNUMBER(SEARCH('Task Finder'!$C$7,$B393)),ISNUMBER(SEARCH('Task Finder'!$C$7,$C393)),ISNUMBER(SEARCH('Task Finder'!$C$7,$D393)),ISNUMBER(SEARCH('Task Finder'!$C$7,$K393)))),TRUE))</f>
        <v/>
      </c>
    </row>
    <row r="394">
      <c r="A394" s="19" t="n"/>
      <c r="B394" s="19" t="n"/>
      <c r="C394" s="19" t="n"/>
      <c r="D394" s="19" t="n"/>
      <c r="E394" s="19" t="n"/>
      <c r="F394" s="19" t="n"/>
      <c r="G394" s="19" t="n"/>
      <c r="H394" s="19" t="n"/>
      <c r="I394" s="19" t="n"/>
      <c r="J394" s="19" t="n"/>
      <c r="K394" s="19" t="n"/>
      <c r="L394" s="125" t="n"/>
      <c r="M394" s="88">
        <f>IF($D394="","",IFERROR(VLOOKUP($H394,Lists!$N$2:$O$6,2,FALSE),0))</f>
        <v/>
      </c>
      <c r="N394" s="88">
        <f>IF($D394="","",IF(OR($E394="Blocked",$E394="Done",$E394="Archive"),-9999,IF(AND($E394="Waiting",SUMPRODUCT((($E$5:$E$500="Next")+($E$5:$E$500="In Progress")+($E$5:$E$500="Captured"))*($D$5:$D$500&lt;&gt;""))&gt;0),-500,VLOOKUP($F394,Lists!$L$2:$M$4,2,FALSE)+IF($E394="In Progress",10,0)+IF(AND($I394&lt;&gt;"",$I394&lt;TODAY()),25,0)+IF(AND($I394&lt;&gt;"",$I394&gt;=TODAY(),$I394&lt;=TODAY()+7),15,0)+IF($H394="",0,IF($M394&lt;=VLOOKUP(Home!$C$7,Lists!$N$2:$O$6,2,FALSE),20,-10))+IF($G394=Home!$E$7,15,IF(Home!$E$7="",0,-5))-ROW()/100000)))</f>
        <v/>
      </c>
      <c r="O394" s="88">
        <f>IF($D394="","",IF($N394&lt;=-500,"Not recommended right now",IF($E394="Waiting","Nothing else actionable right now — Waiting on: "&amp;IF($K394="","this item",$K394),TEXTJOIN(" • ",TRUE,IF($F394="High","High Priority",""),IF(AND($I394&lt;&gt;"",$I394&lt;TODAY()),"Overdue",""),IF(AND($I394&lt;&gt;"",$I394&gt;=TODAY(),$I394&lt;=TODAY()+7),"Due This Week",""),IF(AND($H394&lt;&gt;"",$M394&lt;=VLOOKUP(Home!$C$7,Lists!$N$2:$O$6,2,FALSE)),$H394&amp;" Task",""),IF($G394=Home!$E$7,"Fits Current Energy",""),"No Blockers"))))</f>
        <v/>
      </c>
      <c r="P394" s="88">
        <f>IF($D394="","",SWITCH('Task Finder'!$C$6,"High Priority",AND($F394="High",$E394&lt;&gt;"Done",$E394&lt;&gt;"Archive"),"Due This Week",AND($I394&lt;&gt;"",$I394&gt;=TODAY(),$I394&lt;=TODAY()+7,$E394&lt;&gt;"Done"),"Quick Wins (15 mins or less)",AND($M394&lt;=15,$E394&lt;&gt;"Done",$E394&lt;&gt;"Blocked"),"Deep Thinking",AND($G394="Deep Thinking",$E394&lt;&gt;"Done"),"Processing",AND($G394="Processing",$E394&lt;&gt;"Done"),"Blocked",$E394="Blocked","Waiting",$E394="Waiting","Recently Updated",AND($L394&lt;&gt;"",$L394&gt;=TODAY()-7),"Keyword",AND('Task Finder'!$C$7&lt;&gt;"",OR(ISNUMBER(SEARCH('Task Finder'!$C$7,$A394)),ISNUMBER(SEARCH('Task Finder'!$C$7,$B394)),ISNUMBER(SEARCH('Task Finder'!$C$7,$C394)),ISNUMBER(SEARCH('Task Finder'!$C$7,$D394)),ISNUMBER(SEARCH('Task Finder'!$C$7,$K394)))),TRUE))</f>
        <v/>
      </c>
    </row>
    <row r="395">
      <c r="A395" s="19" t="n"/>
      <c r="B395" s="19" t="n"/>
      <c r="C395" s="19" t="n"/>
      <c r="D395" s="19" t="n"/>
      <c r="E395" s="19" t="n"/>
      <c r="F395" s="19" t="n"/>
      <c r="G395" s="19" t="n"/>
      <c r="H395" s="19" t="n"/>
      <c r="I395" s="19" t="n"/>
      <c r="J395" s="19" t="n"/>
      <c r="K395" s="19" t="n"/>
      <c r="L395" s="125" t="n"/>
      <c r="M395" s="88">
        <f>IF($D395="","",IFERROR(VLOOKUP($H395,Lists!$N$2:$O$6,2,FALSE),0))</f>
        <v/>
      </c>
      <c r="N395" s="88">
        <f>IF($D395="","",IF(OR($E395="Blocked",$E395="Done",$E395="Archive"),-9999,IF(AND($E395="Waiting",SUMPRODUCT((($E$5:$E$500="Next")+($E$5:$E$500="In Progress")+($E$5:$E$500="Captured"))*($D$5:$D$500&lt;&gt;""))&gt;0),-500,VLOOKUP($F395,Lists!$L$2:$M$4,2,FALSE)+IF($E395="In Progress",10,0)+IF(AND($I395&lt;&gt;"",$I395&lt;TODAY()),25,0)+IF(AND($I395&lt;&gt;"",$I395&gt;=TODAY(),$I395&lt;=TODAY()+7),15,0)+IF($H395="",0,IF($M395&lt;=VLOOKUP(Home!$C$7,Lists!$N$2:$O$6,2,FALSE),20,-10))+IF($G395=Home!$E$7,15,IF(Home!$E$7="",0,-5))-ROW()/100000)))</f>
        <v/>
      </c>
      <c r="O395" s="88">
        <f>IF($D395="","",IF($N395&lt;=-500,"Not recommended right now",IF($E395="Waiting","Nothing else actionable right now — Waiting on: "&amp;IF($K395="","this item",$K395),TEXTJOIN(" • ",TRUE,IF($F395="High","High Priority",""),IF(AND($I395&lt;&gt;"",$I395&lt;TODAY()),"Overdue",""),IF(AND($I395&lt;&gt;"",$I395&gt;=TODAY(),$I395&lt;=TODAY()+7),"Due This Week",""),IF(AND($H395&lt;&gt;"",$M395&lt;=VLOOKUP(Home!$C$7,Lists!$N$2:$O$6,2,FALSE)),$H395&amp;" Task",""),IF($G395=Home!$E$7,"Fits Current Energy",""),"No Blockers"))))</f>
        <v/>
      </c>
      <c r="P395" s="88">
        <f>IF($D395="","",SWITCH('Task Finder'!$C$6,"High Priority",AND($F395="High",$E395&lt;&gt;"Done",$E395&lt;&gt;"Archive"),"Due This Week",AND($I395&lt;&gt;"",$I395&gt;=TODAY(),$I395&lt;=TODAY()+7,$E395&lt;&gt;"Done"),"Quick Wins (15 mins or less)",AND($M395&lt;=15,$E395&lt;&gt;"Done",$E395&lt;&gt;"Blocked"),"Deep Thinking",AND($G395="Deep Thinking",$E395&lt;&gt;"Done"),"Processing",AND($G395="Processing",$E395&lt;&gt;"Done"),"Blocked",$E395="Blocked","Waiting",$E395="Waiting","Recently Updated",AND($L395&lt;&gt;"",$L395&gt;=TODAY()-7),"Keyword",AND('Task Finder'!$C$7&lt;&gt;"",OR(ISNUMBER(SEARCH('Task Finder'!$C$7,$A395)),ISNUMBER(SEARCH('Task Finder'!$C$7,$B395)),ISNUMBER(SEARCH('Task Finder'!$C$7,$C395)),ISNUMBER(SEARCH('Task Finder'!$C$7,$D395)),ISNUMBER(SEARCH('Task Finder'!$C$7,$K395)))),TRUE))</f>
        <v/>
      </c>
    </row>
    <row r="396">
      <c r="A396" s="19" t="n"/>
      <c r="B396" s="19" t="n"/>
      <c r="C396" s="19" t="n"/>
      <c r="D396" s="19" t="n"/>
      <c r="E396" s="19" t="n"/>
      <c r="F396" s="19" t="n"/>
      <c r="G396" s="19" t="n"/>
      <c r="H396" s="19" t="n"/>
      <c r="I396" s="19" t="n"/>
      <c r="J396" s="19" t="n"/>
      <c r="K396" s="19" t="n"/>
      <c r="L396" s="125" t="n"/>
      <c r="M396" s="88">
        <f>IF($D396="","",IFERROR(VLOOKUP($H396,Lists!$N$2:$O$6,2,FALSE),0))</f>
        <v/>
      </c>
      <c r="N396" s="88">
        <f>IF($D396="","",IF(OR($E396="Blocked",$E396="Done",$E396="Archive"),-9999,IF(AND($E396="Waiting",SUMPRODUCT((($E$5:$E$500="Next")+($E$5:$E$500="In Progress")+($E$5:$E$500="Captured"))*($D$5:$D$500&lt;&gt;""))&gt;0),-500,VLOOKUP($F396,Lists!$L$2:$M$4,2,FALSE)+IF($E396="In Progress",10,0)+IF(AND($I396&lt;&gt;"",$I396&lt;TODAY()),25,0)+IF(AND($I396&lt;&gt;"",$I396&gt;=TODAY(),$I396&lt;=TODAY()+7),15,0)+IF($H396="",0,IF($M396&lt;=VLOOKUP(Home!$C$7,Lists!$N$2:$O$6,2,FALSE),20,-10))+IF($G396=Home!$E$7,15,IF(Home!$E$7="",0,-5))-ROW()/100000)))</f>
        <v/>
      </c>
      <c r="O396" s="88">
        <f>IF($D396="","",IF($N396&lt;=-500,"Not recommended right now",IF($E396="Waiting","Nothing else actionable right now — Waiting on: "&amp;IF($K396="","this item",$K396),TEXTJOIN(" • ",TRUE,IF($F396="High","High Priority",""),IF(AND($I396&lt;&gt;"",$I396&lt;TODAY()),"Overdue",""),IF(AND($I396&lt;&gt;"",$I396&gt;=TODAY(),$I396&lt;=TODAY()+7),"Due This Week",""),IF(AND($H396&lt;&gt;"",$M396&lt;=VLOOKUP(Home!$C$7,Lists!$N$2:$O$6,2,FALSE)),$H396&amp;" Task",""),IF($G396=Home!$E$7,"Fits Current Energy",""),"No Blockers"))))</f>
        <v/>
      </c>
      <c r="P396" s="88">
        <f>IF($D396="","",SWITCH('Task Finder'!$C$6,"High Priority",AND($F396="High",$E396&lt;&gt;"Done",$E396&lt;&gt;"Archive"),"Due This Week",AND($I396&lt;&gt;"",$I396&gt;=TODAY(),$I396&lt;=TODAY()+7,$E396&lt;&gt;"Done"),"Quick Wins (15 mins or less)",AND($M396&lt;=15,$E396&lt;&gt;"Done",$E396&lt;&gt;"Blocked"),"Deep Thinking",AND($G396="Deep Thinking",$E396&lt;&gt;"Done"),"Processing",AND($G396="Processing",$E396&lt;&gt;"Done"),"Blocked",$E396="Blocked","Waiting",$E396="Waiting","Recently Updated",AND($L396&lt;&gt;"",$L396&gt;=TODAY()-7),"Keyword",AND('Task Finder'!$C$7&lt;&gt;"",OR(ISNUMBER(SEARCH('Task Finder'!$C$7,$A396)),ISNUMBER(SEARCH('Task Finder'!$C$7,$B396)),ISNUMBER(SEARCH('Task Finder'!$C$7,$C396)),ISNUMBER(SEARCH('Task Finder'!$C$7,$D396)),ISNUMBER(SEARCH('Task Finder'!$C$7,$K396)))),TRUE))</f>
        <v/>
      </c>
    </row>
    <row r="397">
      <c r="A397" s="19" t="n"/>
      <c r="B397" s="19" t="n"/>
      <c r="C397" s="19" t="n"/>
      <c r="D397" s="19" t="n"/>
      <c r="E397" s="19" t="n"/>
      <c r="F397" s="19" t="n"/>
      <c r="G397" s="19" t="n"/>
      <c r="H397" s="19" t="n"/>
      <c r="I397" s="19" t="n"/>
      <c r="J397" s="19" t="n"/>
      <c r="K397" s="19" t="n"/>
      <c r="L397" s="125" t="n"/>
      <c r="M397" s="88">
        <f>IF($D397="","",IFERROR(VLOOKUP($H397,Lists!$N$2:$O$6,2,FALSE),0))</f>
        <v/>
      </c>
      <c r="N397" s="88">
        <f>IF($D397="","",IF(OR($E397="Blocked",$E397="Done",$E397="Archive"),-9999,IF(AND($E397="Waiting",SUMPRODUCT((($E$5:$E$500="Next")+($E$5:$E$500="In Progress")+($E$5:$E$500="Captured"))*($D$5:$D$500&lt;&gt;""))&gt;0),-500,VLOOKUP($F397,Lists!$L$2:$M$4,2,FALSE)+IF($E397="In Progress",10,0)+IF(AND($I397&lt;&gt;"",$I397&lt;TODAY()),25,0)+IF(AND($I397&lt;&gt;"",$I397&gt;=TODAY(),$I397&lt;=TODAY()+7),15,0)+IF($H397="",0,IF($M397&lt;=VLOOKUP(Home!$C$7,Lists!$N$2:$O$6,2,FALSE),20,-10))+IF($G397=Home!$E$7,15,IF(Home!$E$7="",0,-5))-ROW()/100000)))</f>
        <v/>
      </c>
      <c r="O397" s="88">
        <f>IF($D397="","",IF($N397&lt;=-500,"Not recommended right now",IF($E397="Waiting","Nothing else actionable right now — Waiting on: "&amp;IF($K397="","this item",$K397),TEXTJOIN(" • ",TRUE,IF($F397="High","High Priority",""),IF(AND($I397&lt;&gt;"",$I397&lt;TODAY()),"Overdue",""),IF(AND($I397&lt;&gt;"",$I397&gt;=TODAY(),$I397&lt;=TODAY()+7),"Due This Week",""),IF(AND($H397&lt;&gt;"",$M397&lt;=VLOOKUP(Home!$C$7,Lists!$N$2:$O$6,2,FALSE)),$H397&amp;" Task",""),IF($G397=Home!$E$7,"Fits Current Energy",""),"No Blockers"))))</f>
        <v/>
      </c>
      <c r="P397" s="88">
        <f>IF($D397="","",SWITCH('Task Finder'!$C$6,"High Priority",AND($F397="High",$E397&lt;&gt;"Done",$E397&lt;&gt;"Archive"),"Due This Week",AND($I397&lt;&gt;"",$I397&gt;=TODAY(),$I397&lt;=TODAY()+7,$E397&lt;&gt;"Done"),"Quick Wins (15 mins or less)",AND($M397&lt;=15,$E397&lt;&gt;"Done",$E397&lt;&gt;"Blocked"),"Deep Thinking",AND($G397="Deep Thinking",$E397&lt;&gt;"Done"),"Processing",AND($G397="Processing",$E397&lt;&gt;"Done"),"Blocked",$E397="Blocked","Waiting",$E397="Waiting","Recently Updated",AND($L397&lt;&gt;"",$L397&gt;=TODAY()-7),"Keyword",AND('Task Finder'!$C$7&lt;&gt;"",OR(ISNUMBER(SEARCH('Task Finder'!$C$7,$A397)),ISNUMBER(SEARCH('Task Finder'!$C$7,$B397)),ISNUMBER(SEARCH('Task Finder'!$C$7,$C397)),ISNUMBER(SEARCH('Task Finder'!$C$7,$D397)),ISNUMBER(SEARCH('Task Finder'!$C$7,$K397)))),TRUE))</f>
        <v/>
      </c>
    </row>
    <row r="398">
      <c r="A398" s="19" t="n"/>
      <c r="B398" s="19" t="n"/>
      <c r="C398" s="19" t="n"/>
      <c r="D398" s="19" t="n"/>
      <c r="E398" s="19" t="n"/>
      <c r="F398" s="19" t="n"/>
      <c r="G398" s="19" t="n"/>
      <c r="H398" s="19" t="n"/>
      <c r="I398" s="19" t="n"/>
      <c r="J398" s="19" t="n"/>
      <c r="K398" s="19" t="n"/>
      <c r="L398" s="125" t="n"/>
      <c r="M398" s="88">
        <f>IF($D398="","",IFERROR(VLOOKUP($H398,Lists!$N$2:$O$6,2,FALSE),0))</f>
        <v/>
      </c>
      <c r="N398" s="88">
        <f>IF($D398="","",IF(OR($E398="Blocked",$E398="Done",$E398="Archive"),-9999,IF(AND($E398="Waiting",SUMPRODUCT((($E$5:$E$500="Next")+($E$5:$E$500="In Progress")+($E$5:$E$500="Captured"))*($D$5:$D$500&lt;&gt;""))&gt;0),-500,VLOOKUP($F398,Lists!$L$2:$M$4,2,FALSE)+IF($E398="In Progress",10,0)+IF(AND($I398&lt;&gt;"",$I398&lt;TODAY()),25,0)+IF(AND($I398&lt;&gt;"",$I398&gt;=TODAY(),$I398&lt;=TODAY()+7),15,0)+IF($H398="",0,IF($M398&lt;=VLOOKUP(Home!$C$7,Lists!$N$2:$O$6,2,FALSE),20,-10))+IF($G398=Home!$E$7,15,IF(Home!$E$7="",0,-5))-ROW()/100000)))</f>
        <v/>
      </c>
      <c r="O398" s="88">
        <f>IF($D398="","",IF($N398&lt;=-500,"Not recommended right now",IF($E398="Waiting","Nothing else actionable right now — Waiting on: "&amp;IF($K398="","this item",$K398),TEXTJOIN(" • ",TRUE,IF($F398="High","High Priority",""),IF(AND($I398&lt;&gt;"",$I398&lt;TODAY()),"Overdue",""),IF(AND($I398&lt;&gt;"",$I398&gt;=TODAY(),$I398&lt;=TODAY()+7),"Due This Week",""),IF(AND($H398&lt;&gt;"",$M398&lt;=VLOOKUP(Home!$C$7,Lists!$N$2:$O$6,2,FALSE)),$H398&amp;" Task",""),IF($G398=Home!$E$7,"Fits Current Energy",""),"No Blockers"))))</f>
        <v/>
      </c>
      <c r="P398" s="88">
        <f>IF($D398="","",SWITCH('Task Finder'!$C$6,"High Priority",AND($F398="High",$E398&lt;&gt;"Done",$E398&lt;&gt;"Archive"),"Due This Week",AND($I398&lt;&gt;"",$I398&gt;=TODAY(),$I398&lt;=TODAY()+7,$E398&lt;&gt;"Done"),"Quick Wins (15 mins or less)",AND($M398&lt;=15,$E398&lt;&gt;"Done",$E398&lt;&gt;"Blocked"),"Deep Thinking",AND($G398="Deep Thinking",$E398&lt;&gt;"Done"),"Processing",AND($G398="Processing",$E398&lt;&gt;"Done"),"Blocked",$E398="Blocked","Waiting",$E398="Waiting","Recently Updated",AND($L398&lt;&gt;"",$L398&gt;=TODAY()-7),"Keyword",AND('Task Finder'!$C$7&lt;&gt;"",OR(ISNUMBER(SEARCH('Task Finder'!$C$7,$A398)),ISNUMBER(SEARCH('Task Finder'!$C$7,$B398)),ISNUMBER(SEARCH('Task Finder'!$C$7,$C398)),ISNUMBER(SEARCH('Task Finder'!$C$7,$D398)),ISNUMBER(SEARCH('Task Finder'!$C$7,$K398)))),TRUE))</f>
        <v/>
      </c>
    </row>
    <row r="399">
      <c r="A399" s="19" t="n"/>
      <c r="B399" s="19" t="n"/>
      <c r="C399" s="19" t="n"/>
      <c r="D399" s="19" t="n"/>
      <c r="E399" s="19" t="n"/>
      <c r="F399" s="19" t="n"/>
      <c r="G399" s="19" t="n"/>
      <c r="H399" s="19" t="n"/>
      <c r="I399" s="19" t="n"/>
      <c r="J399" s="19" t="n"/>
      <c r="K399" s="19" t="n"/>
      <c r="L399" s="125" t="n"/>
      <c r="M399" s="88">
        <f>IF($D399="","",IFERROR(VLOOKUP($H399,Lists!$N$2:$O$6,2,FALSE),0))</f>
        <v/>
      </c>
      <c r="N399" s="88">
        <f>IF($D399="","",IF(OR($E399="Blocked",$E399="Done",$E399="Archive"),-9999,IF(AND($E399="Waiting",SUMPRODUCT((($E$5:$E$500="Next")+($E$5:$E$500="In Progress")+($E$5:$E$500="Captured"))*($D$5:$D$500&lt;&gt;""))&gt;0),-500,VLOOKUP($F399,Lists!$L$2:$M$4,2,FALSE)+IF($E399="In Progress",10,0)+IF(AND($I399&lt;&gt;"",$I399&lt;TODAY()),25,0)+IF(AND($I399&lt;&gt;"",$I399&gt;=TODAY(),$I399&lt;=TODAY()+7),15,0)+IF($H399="",0,IF($M399&lt;=VLOOKUP(Home!$C$7,Lists!$N$2:$O$6,2,FALSE),20,-10))+IF($G399=Home!$E$7,15,IF(Home!$E$7="",0,-5))-ROW()/100000)))</f>
        <v/>
      </c>
      <c r="O399" s="88">
        <f>IF($D399="","",IF($N399&lt;=-500,"Not recommended right now",IF($E399="Waiting","Nothing else actionable right now — Waiting on: "&amp;IF($K399="","this item",$K399),TEXTJOIN(" • ",TRUE,IF($F399="High","High Priority",""),IF(AND($I399&lt;&gt;"",$I399&lt;TODAY()),"Overdue",""),IF(AND($I399&lt;&gt;"",$I399&gt;=TODAY(),$I399&lt;=TODAY()+7),"Due This Week",""),IF(AND($H399&lt;&gt;"",$M399&lt;=VLOOKUP(Home!$C$7,Lists!$N$2:$O$6,2,FALSE)),$H399&amp;" Task",""),IF($G399=Home!$E$7,"Fits Current Energy",""),"No Blockers"))))</f>
        <v/>
      </c>
      <c r="P399" s="88">
        <f>IF($D399="","",SWITCH('Task Finder'!$C$6,"High Priority",AND($F399="High",$E399&lt;&gt;"Done",$E399&lt;&gt;"Archive"),"Due This Week",AND($I399&lt;&gt;"",$I399&gt;=TODAY(),$I399&lt;=TODAY()+7,$E399&lt;&gt;"Done"),"Quick Wins (15 mins or less)",AND($M399&lt;=15,$E399&lt;&gt;"Done",$E399&lt;&gt;"Blocked"),"Deep Thinking",AND($G399="Deep Thinking",$E399&lt;&gt;"Done"),"Processing",AND($G399="Processing",$E399&lt;&gt;"Done"),"Blocked",$E399="Blocked","Waiting",$E399="Waiting","Recently Updated",AND($L399&lt;&gt;"",$L399&gt;=TODAY()-7),"Keyword",AND('Task Finder'!$C$7&lt;&gt;"",OR(ISNUMBER(SEARCH('Task Finder'!$C$7,$A399)),ISNUMBER(SEARCH('Task Finder'!$C$7,$B399)),ISNUMBER(SEARCH('Task Finder'!$C$7,$C399)),ISNUMBER(SEARCH('Task Finder'!$C$7,$D399)),ISNUMBER(SEARCH('Task Finder'!$C$7,$K399)))),TRUE))</f>
        <v/>
      </c>
    </row>
    <row r="400">
      <c r="A400" s="19" t="n"/>
      <c r="B400" s="19" t="n"/>
      <c r="C400" s="19" t="n"/>
      <c r="D400" s="19" t="n"/>
      <c r="E400" s="19" t="n"/>
      <c r="F400" s="19" t="n"/>
      <c r="G400" s="19" t="n"/>
      <c r="H400" s="19" t="n"/>
      <c r="I400" s="19" t="n"/>
      <c r="J400" s="19" t="n"/>
      <c r="K400" s="19" t="n"/>
      <c r="L400" s="125" t="n"/>
      <c r="M400" s="88">
        <f>IF($D400="","",IFERROR(VLOOKUP($H400,Lists!$N$2:$O$6,2,FALSE),0))</f>
        <v/>
      </c>
      <c r="N400" s="88">
        <f>IF($D400="","",IF(OR($E400="Blocked",$E400="Done",$E400="Archive"),-9999,IF(AND($E400="Waiting",SUMPRODUCT((($E$5:$E$500="Next")+($E$5:$E$500="In Progress")+($E$5:$E$500="Captured"))*($D$5:$D$500&lt;&gt;""))&gt;0),-500,VLOOKUP($F400,Lists!$L$2:$M$4,2,FALSE)+IF($E400="In Progress",10,0)+IF(AND($I400&lt;&gt;"",$I400&lt;TODAY()),25,0)+IF(AND($I400&lt;&gt;"",$I400&gt;=TODAY(),$I400&lt;=TODAY()+7),15,0)+IF($H400="",0,IF($M400&lt;=VLOOKUP(Home!$C$7,Lists!$N$2:$O$6,2,FALSE),20,-10))+IF($G400=Home!$E$7,15,IF(Home!$E$7="",0,-5))-ROW()/100000)))</f>
        <v/>
      </c>
      <c r="O400" s="88">
        <f>IF($D400="","",IF($N400&lt;=-500,"Not recommended right now",IF($E400="Waiting","Nothing else actionable right now — Waiting on: "&amp;IF($K400="","this item",$K400),TEXTJOIN(" • ",TRUE,IF($F400="High","High Priority",""),IF(AND($I400&lt;&gt;"",$I400&lt;TODAY()),"Overdue",""),IF(AND($I400&lt;&gt;"",$I400&gt;=TODAY(),$I400&lt;=TODAY()+7),"Due This Week",""),IF(AND($H400&lt;&gt;"",$M400&lt;=VLOOKUP(Home!$C$7,Lists!$N$2:$O$6,2,FALSE)),$H400&amp;" Task",""),IF($G400=Home!$E$7,"Fits Current Energy",""),"No Blockers"))))</f>
        <v/>
      </c>
      <c r="P400" s="88">
        <f>IF($D400="","",SWITCH('Task Finder'!$C$6,"High Priority",AND($F400="High",$E400&lt;&gt;"Done",$E400&lt;&gt;"Archive"),"Due This Week",AND($I400&lt;&gt;"",$I400&gt;=TODAY(),$I400&lt;=TODAY()+7,$E400&lt;&gt;"Done"),"Quick Wins (15 mins or less)",AND($M400&lt;=15,$E400&lt;&gt;"Done",$E400&lt;&gt;"Blocked"),"Deep Thinking",AND($G400="Deep Thinking",$E400&lt;&gt;"Done"),"Processing",AND($G400="Processing",$E400&lt;&gt;"Done"),"Blocked",$E400="Blocked","Waiting",$E400="Waiting","Recently Updated",AND($L400&lt;&gt;"",$L400&gt;=TODAY()-7),"Keyword",AND('Task Finder'!$C$7&lt;&gt;"",OR(ISNUMBER(SEARCH('Task Finder'!$C$7,$A400)),ISNUMBER(SEARCH('Task Finder'!$C$7,$B400)),ISNUMBER(SEARCH('Task Finder'!$C$7,$C400)),ISNUMBER(SEARCH('Task Finder'!$C$7,$D400)),ISNUMBER(SEARCH('Task Finder'!$C$7,$K400)))),TRUE))</f>
        <v/>
      </c>
    </row>
    <row r="401">
      <c r="A401" s="19" t="n"/>
      <c r="B401" s="19" t="n"/>
      <c r="C401" s="19" t="n"/>
      <c r="D401" s="19" t="n"/>
      <c r="E401" s="19" t="n"/>
      <c r="F401" s="19" t="n"/>
      <c r="G401" s="19" t="n"/>
      <c r="H401" s="19" t="n"/>
      <c r="I401" s="19" t="n"/>
      <c r="J401" s="19" t="n"/>
      <c r="K401" s="19" t="n"/>
      <c r="L401" s="125" t="n"/>
      <c r="M401" s="88">
        <f>IF($D401="","",IFERROR(VLOOKUP($H401,Lists!$N$2:$O$6,2,FALSE),0))</f>
        <v/>
      </c>
      <c r="N401" s="88">
        <f>IF($D401="","",IF(OR($E401="Blocked",$E401="Done",$E401="Archive"),-9999,IF(AND($E401="Waiting",SUMPRODUCT((($E$5:$E$500="Next")+($E$5:$E$500="In Progress")+($E$5:$E$500="Captured"))*($D$5:$D$500&lt;&gt;""))&gt;0),-500,VLOOKUP($F401,Lists!$L$2:$M$4,2,FALSE)+IF($E401="In Progress",10,0)+IF(AND($I401&lt;&gt;"",$I401&lt;TODAY()),25,0)+IF(AND($I401&lt;&gt;"",$I401&gt;=TODAY(),$I401&lt;=TODAY()+7),15,0)+IF($H401="",0,IF($M401&lt;=VLOOKUP(Home!$C$7,Lists!$N$2:$O$6,2,FALSE),20,-10))+IF($G401=Home!$E$7,15,IF(Home!$E$7="",0,-5))-ROW()/100000)))</f>
        <v/>
      </c>
      <c r="O401" s="88">
        <f>IF($D401="","",IF($N401&lt;=-500,"Not recommended right now",IF($E401="Waiting","Nothing else actionable right now — Waiting on: "&amp;IF($K401="","this item",$K401),TEXTJOIN(" • ",TRUE,IF($F401="High","High Priority",""),IF(AND($I401&lt;&gt;"",$I401&lt;TODAY()),"Overdue",""),IF(AND($I401&lt;&gt;"",$I401&gt;=TODAY(),$I401&lt;=TODAY()+7),"Due This Week",""),IF(AND($H401&lt;&gt;"",$M401&lt;=VLOOKUP(Home!$C$7,Lists!$N$2:$O$6,2,FALSE)),$H401&amp;" Task",""),IF($G401=Home!$E$7,"Fits Current Energy",""),"No Blockers"))))</f>
        <v/>
      </c>
      <c r="P401" s="88">
        <f>IF($D401="","",SWITCH('Task Finder'!$C$6,"High Priority",AND($F401="High",$E401&lt;&gt;"Done",$E401&lt;&gt;"Archive"),"Due This Week",AND($I401&lt;&gt;"",$I401&gt;=TODAY(),$I401&lt;=TODAY()+7,$E401&lt;&gt;"Done"),"Quick Wins (15 mins or less)",AND($M401&lt;=15,$E401&lt;&gt;"Done",$E401&lt;&gt;"Blocked"),"Deep Thinking",AND($G401="Deep Thinking",$E401&lt;&gt;"Done"),"Processing",AND($G401="Processing",$E401&lt;&gt;"Done"),"Blocked",$E401="Blocked","Waiting",$E401="Waiting","Recently Updated",AND($L401&lt;&gt;"",$L401&gt;=TODAY()-7),"Keyword",AND('Task Finder'!$C$7&lt;&gt;"",OR(ISNUMBER(SEARCH('Task Finder'!$C$7,$A401)),ISNUMBER(SEARCH('Task Finder'!$C$7,$B401)),ISNUMBER(SEARCH('Task Finder'!$C$7,$C401)),ISNUMBER(SEARCH('Task Finder'!$C$7,$D401)),ISNUMBER(SEARCH('Task Finder'!$C$7,$K401)))),TRUE))</f>
        <v/>
      </c>
    </row>
    <row r="402">
      <c r="A402" s="19" t="n"/>
      <c r="B402" s="19" t="n"/>
      <c r="C402" s="19" t="n"/>
      <c r="D402" s="19" t="n"/>
      <c r="E402" s="19" t="n"/>
      <c r="F402" s="19" t="n"/>
      <c r="G402" s="19" t="n"/>
      <c r="H402" s="19" t="n"/>
      <c r="I402" s="19" t="n"/>
      <c r="J402" s="19" t="n"/>
      <c r="K402" s="19" t="n"/>
      <c r="L402" s="125" t="n"/>
      <c r="M402" s="88">
        <f>IF($D402="","",IFERROR(VLOOKUP($H402,Lists!$N$2:$O$6,2,FALSE),0))</f>
        <v/>
      </c>
      <c r="N402" s="88">
        <f>IF($D402="","",IF(OR($E402="Blocked",$E402="Done",$E402="Archive"),-9999,IF(AND($E402="Waiting",SUMPRODUCT((($E$5:$E$500="Next")+($E$5:$E$500="In Progress")+($E$5:$E$500="Captured"))*($D$5:$D$500&lt;&gt;""))&gt;0),-500,VLOOKUP($F402,Lists!$L$2:$M$4,2,FALSE)+IF($E402="In Progress",10,0)+IF(AND($I402&lt;&gt;"",$I402&lt;TODAY()),25,0)+IF(AND($I402&lt;&gt;"",$I402&gt;=TODAY(),$I402&lt;=TODAY()+7),15,0)+IF($H402="",0,IF($M402&lt;=VLOOKUP(Home!$C$7,Lists!$N$2:$O$6,2,FALSE),20,-10))+IF($G402=Home!$E$7,15,IF(Home!$E$7="",0,-5))-ROW()/100000)))</f>
        <v/>
      </c>
      <c r="O402" s="88">
        <f>IF($D402="","",IF($N402&lt;=-500,"Not recommended right now",IF($E402="Waiting","Nothing else actionable right now — Waiting on: "&amp;IF($K402="","this item",$K402),TEXTJOIN(" • ",TRUE,IF($F402="High","High Priority",""),IF(AND($I402&lt;&gt;"",$I402&lt;TODAY()),"Overdue",""),IF(AND($I402&lt;&gt;"",$I402&gt;=TODAY(),$I402&lt;=TODAY()+7),"Due This Week",""),IF(AND($H402&lt;&gt;"",$M402&lt;=VLOOKUP(Home!$C$7,Lists!$N$2:$O$6,2,FALSE)),$H402&amp;" Task",""),IF($G402=Home!$E$7,"Fits Current Energy",""),"No Blockers"))))</f>
        <v/>
      </c>
      <c r="P402" s="88">
        <f>IF($D402="","",SWITCH('Task Finder'!$C$6,"High Priority",AND($F402="High",$E402&lt;&gt;"Done",$E402&lt;&gt;"Archive"),"Due This Week",AND($I402&lt;&gt;"",$I402&gt;=TODAY(),$I402&lt;=TODAY()+7,$E402&lt;&gt;"Done"),"Quick Wins (15 mins or less)",AND($M402&lt;=15,$E402&lt;&gt;"Done",$E402&lt;&gt;"Blocked"),"Deep Thinking",AND($G402="Deep Thinking",$E402&lt;&gt;"Done"),"Processing",AND($G402="Processing",$E402&lt;&gt;"Done"),"Blocked",$E402="Blocked","Waiting",$E402="Waiting","Recently Updated",AND($L402&lt;&gt;"",$L402&gt;=TODAY()-7),"Keyword",AND('Task Finder'!$C$7&lt;&gt;"",OR(ISNUMBER(SEARCH('Task Finder'!$C$7,$A402)),ISNUMBER(SEARCH('Task Finder'!$C$7,$B402)),ISNUMBER(SEARCH('Task Finder'!$C$7,$C402)),ISNUMBER(SEARCH('Task Finder'!$C$7,$D402)),ISNUMBER(SEARCH('Task Finder'!$C$7,$K402)))),TRUE))</f>
        <v/>
      </c>
    </row>
    <row r="403">
      <c r="A403" s="19" t="n"/>
      <c r="B403" s="19" t="n"/>
      <c r="C403" s="19" t="n"/>
      <c r="D403" s="19" t="n"/>
      <c r="E403" s="19" t="n"/>
      <c r="F403" s="19" t="n"/>
      <c r="G403" s="19" t="n"/>
      <c r="H403" s="19" t="n"/>
      <c r="I403" s="19" t="n"/>
      <c r="J403" s="19" t="n"/>
      <c r="K403" s="19" t="n"/>
      <c r="L403" s="125" t="n"/>
      <c r="M403" s="88">
        <f>IF($D403="","",IFERROR(VLOOKUP($H403,Lists!$N$2:$O$6,2,FALSE),0))</f>
        <v/>
      </c>
      <c r="N403" s="88">
        <f>IF($D403="","",IF(OR($E403="Blocked",$E403="Done",$E403="Archive"),-9999,IF(AND($E403="Waiting",SUMPRODUCT((($E$5:$E$500="Next")+($E$5:$E$500="In Progress")+($E$5:$E$500="Captured"))*($D$5:$D$500&lt;&gt;""))&gt;0),-500,VLOOKUP($F403,Lists!$L$2:$M$4,2,FALSE)+IF($E403="In Progress",10,0)+IF(AND($I403&lt;&gt;"",$I403&lt;TODAY()),25,0)+IF(AND($I403&lt;&gt;"",$I403&gt;=TODAY(),$I403&lt;=TODAY()+7),15,0)+IF($H403="",0,IF($M403&lt;=VLOOKUP(Home!$C$7,Lists!$N$2:$O$6,2,FALSE),20,-10))+IF($G403=Home!$E$7,15,IF(Home!$E$7="",0,-5))-ROW()/100000)))</f>
        <v/>
      </c>
      <c r="O403" s="88">
        <f>IF($D403="","",IF($N403&lt;=-500,"Not recommended right now",IF($E403="Waiting","Nothing else actionable right now — Waiting on: "&amp;IF($K403="","this item",$K403),TEXTJOIN(" • ",TRUE,IF($F403="High","High Priority",""),IF(AND($I403&lt;&gt;"",$I403&lt;TODAY()),"Overdue",""),IF(AND($I403&lt;&gt;"",$I403&gt;=TODAY(),$I403&lt;=TODAY()+7),"Due This Week",""),IF(AND($H403&lt;&gt;"",$M403&lt;=VLOOKUP(Home!$C$7,Lists!$N$2:$O$6,2,FALSE)),$H403&amp;" Task",""),IF($G403=Home!$E$7,"Fits Current Energy",""),"No Blockers"))))</f>
        <v/>
      </c>
      <c r="P403" s="88">
        <f>IF($D403="","",SWITCH('Task Finder'!$C$6,"High Priority",AND($F403="High",$E403&lt;&gt;"Done",$E403&lt;&gt;"Archive"),"Due This Week",AND($I403&lt;&gt;"",$I403&gt;=TODAY(),$I403&lt;=TODAY()+7,$E403&lt;&gt;"Done"),"Quick Wins (15 mins or less)",AND($M403&lt;=15,$E403&lt;&gt;"Done",$E403&lt;&gt;"Blocked"),"Deep Thinking",AND($G403="Deep Thinking",$E403&lt;&gt;"Done"),"Processing",AND($G403="Processing",$E403&lt;&gt;"Done"),"Blocked",$E403="Blocked","Waiting",$E403="Waiting","Recently Updated",AND($L403&lt;&gt;"",$L403&gt;=TODAY()-7),"Keyword",AND('Task Finder'!$C$7&lt;&gt;"",OR(ISNUMBER(SEARCH('Task Finder'!$C$7,$A403)),ISNUMBER(SEARCH('Task Finder'!$C$7,$B403)),ISNUMBER(SEARCH('Task Finder'!$C$7,$C403)),ISNUMBER(SEARCH('Task Finder'!$C$7,$D403)),ISNUMBER(SEARCH('Task Finder'!$C$7,$K403)))),TRUE))</f>
        <v/>
      </c>
    </row>
    <row r="404">
      <c r="A404" s="19" t="n"/>
      <c r="B404" s="19" t="n"/>
      <c r="C404" s="19" t="n"/>
      <c r="D404" s="19" t="n"/>
      <c r="E404" s="19" t="n"/>
      <c r="F404" s="19" t="n"/>
      <c r="G404" s="19" t="n"/>
      <c r="H404" s="19" t="n"/>
      <c r="I404" s="19" t="n"/>
      <c r="J404" s="19" t="n"/>
      <c r="K404" s="19" t="n"/>
      <c r="L404" s="125" t="n"/>
      <c r="M404" s="88">
        <f>IF($D404="","",IFERROR(VLOOKUP($H404,Lists!$N$2:$O$6,2,FALSE),0))</f>
        <v/>
      </c>
      <c r="N404" s="88">
        <f>IF($D404="","",IF(OR($E404="Blocked",$E404="Done",$E404="Archive"),-9999,IF(AND($E404="Waiting",SUMPRODUCT((($E$5:$E$500="Next")+($E$5:$E$500="In Progress")+($E$5:$E$500="Captured"))*($D$5:$D$500&lt;&gt;""))&gt;0),-500,VLOOKUP($F404,Lists!$L$2:$M$4,2,FALSE)+IF($E404="In Progress",10,0)+IF(AND($I404&lt;&gt;"",$I404&lt;TODAY()),25,0)+IF(AND($I404&lt;&gt;"",$I404&gt;=TODAY(),$I404&lt;=TODAY()+7),15,0)+IF($H404="",0,IF($M404&lt;=VLOOKUP(Home!$C$7,Lists!$N$2:$O$6,2,FALSE),20,-10))+IF($G404=Home!$E$7,15,IF(Home!$E$7="",0,-5))-ROW()/100000)))</f>
        <v/>
      </c>
      <c r="O404" s="88">
        <f>IF($D404="","",IF($N404&lt;=-500,"Not recommended right now",IF($E404="Waiting","Nothing else actionable right now — Waiting on: "&amp;IF($K404="","this item",$K404),TEXTJOIN(" • ",TRUE,IF($F404="High","High Priority",""),IF(AND($I404&lt;&gt;"",$I404&lt;TODAY()),"Overdue",""),IF(AND($I404&lt;&gt;"",$I404&gt;=TODAY(),$I404&lt;=TODAY()+7),"Due This Week",""),IF(AND($H404&lt;&gt;"",$M404&lt;=VLOOKUP(Home!$C$7,Lists!$N$2:$O$6,2,FALSE)),$H404&amp;" Task",""),IF($G404=Home!$E$7,"Fits Current Energy",""),"No Blockers"))))</f>
        <v/>
      </c>
      <c r="P404" s="88">
        <f>IF($D404="","",SWITCH('Task Finder'!$C$6,"High Priority",AND($F404="High",$E404&lt;&gt;"Done",$E404&lt;&gt;"Archive"),"Due This Week",AND($I404&lt;&gt;"",$I404&gt;=TODAY(),$I404&lt;=TODAY()+7,$E404&lt;&gt;"Done"),"Quick Wins (15 mins or less)",AND($M404&lt;=15,$E404&lt;&gt;"Done",$E404&lt;&gt;"Blocked"),"Deep Thinking",AND($G404="Deep Thinking",$E404&lt;&gt;"Done"),"Processing",AND($G404="Processing",$E404&lt;&gt;"Done"),"Blocked",$E404="Blocked","Waiting",$E404="Waiting","Recently Updated",AND($L404&lt;&gt;"",$L404&gt;=TODAY()-7),"Keyword",AND('Task Finder'!$C$7&lt;&gt;"",OR(ISNUMBER(SEARCH('Task Finder'!$C$7,$A404)),ISNUMBER(SEARCH('Task Finder'!$C$7,$B404)),ISNUMBER(SEARCH('Task Finder'!$C$7,$C404)),ISNUMBER(SEARCH('Task Finder'!$C$7,$D404)),ISNUMBER(SEARCH('Task Finder'!$C$7,$K404)))),TRUE))</f>
        <v/>
      </c>
    </row>
    <row r="405">
      <c r="A405" s="19" t="n"/>
      <c r="B405" s="19" t="n"/>
      <c r="C405" s="19" t="n"/>
      <c r="D405" s="19" t="n"/>
      <c r="E405" s="19" t="n"/>
      <c r="F405" s="19" t="n"/>
      <c r="G405" s="19" t="n"/>
      <c r="H405" s="19" t="n"/>
      <c r="I405" s="19" t="n"/>
      <c r="J405" s="19" t="n"/>
      <c r="K405" s="19" t="n"/>
      <c r="L405" s="125" t="n"/>
      <c r="M405" s="88">
        <f>IF($D405="","",IFERROR(VLOOKUP($H405,Lists!$N$2:$O$6,2,FALSE),0))</f>
        <v/>
      </c>
      <c r="N405" s="88">
        <f>IF($D405="","",IF(OR($E405="Blocked",$E405="Done",$E405="Archive"),-9999,IF(AND($E405="Waiting",SUMPRODUCT((($E$5:$E$500="Next")+($E$5:$E$500="In Progress")+($E$5:$E$500="Captured"))*($D$5:$D$500&lt;&gt;""))&gt;0),-500,VLOOKUP($F405,Lists!$L$2:$M$4,2,FALSE)+IF($E405="In Progress",10,0)+IF(AND($I405&lt;&gt;"",$I405&lt;TODAY()),25,0)+IF(AND($I405&lt;&gt;"",$I405&gt;=TODAY(),$I405&lt;=TODAY()+7),15,0)+IF($H405="",0,IF($M405&lt;=VLOOKUP(Home!$C$7,Lists!$N$2:$O$6,2,FALSE),20,-10))+IF($G405=Home!$E$7,15,IF(Home!$E$7="",0,-5))-ROW()/100000)))</f>
        <v/>
      </c>
      <c r="O405" s="88">
        <f>IF($D405="","",IF($N405&lt;=-500,"Not recommended right now",IF($E405="Waiting","Nothing else actionable right now — Waiting on: "&amp;IF($K405="","this item",$K405),TEXTJOIN(" • ",TRUE,IF($F405="High","High Priority",""),IF(AND($I405&lt;&gt;"",$I405&lt;TODAY()),"Overdue",""),IF(AND($I405&lt;&gt;"",$I405&gt;=TODAY(),$I405&lt;=TODAY()+7),"Due This Week",""),IF(AND($H405&lt;&gt;"",$M405&lt;=VLOOKUP(Home!$C$7,Lists!$N$2:$O$6,2,FALSE)),$H405&amp;" Task",""),IF($G405=Home!$E$7,"Fits Current Energy",""),"No Blockers"))))</f>
        <v/>
      </c>
      <c r="P405" s="88">
        <f>IF($D405="","",SWITCH('Task Finder'!$C$6,"High Priority",AND($F405="High",$E405&lt;&gt;"Done",$E405&lt;&gt;"Archive"),"Due This Week",AND($I405&lt;&gt;"",$I405&gt;=TODAY(),$I405&lt;=TODAY()+7,$E405&lt;&gt;"Done"),"Quick Wins (15 mins or less)",AND($M405&lt;=15,$E405&lt;&gt;"Done",$E405&lt;&gt;"Blocked"),"Deep Thinking",AND($G405="Deep Thinking",$E405&lt;&gt;"Done"),"Processing",AND($G405="Processing",$E405&lt;&gt;"Done"),"Blocked",$E405="Blocked","Waiting",$E405="Waiting","Recently Updated",AND($L405&lt;&gt;"",$L405&gt;=TODAY()-7),"Keyword",AND('Task Finder'!$C$7&lt;&gt;"",OR(ISNUMBER(SEARCH('Task Finder'!$C$7,$A405)),ISNUMBER(SEARCH('Task Finder'!$C$7,$B405)),ISNUMBER(SEARCH('Task Finder'!$C$7,$C405)),ISNUMBER(SEARCH('Task Finder'!$C$7,$D405)),ISNUMBER(SEARCH('Task Finder'!$C$7,$K405)))),TRUE))</f>
        <v/>
      </c>
    </row>
    <row r="406">
      <c r="A406" s="19" t="n"/>
      <c r="B406" s="19" t="n"/>
      <c r="C406" s="19" t="n"/>
      <c r="D406" s="19" t="n"/>
      <c r="E406" s="19" t="n"/>
      <c r="F406" s="19" t="n"/>
      <c r="G406" s="19" t="n"/>
      <c r="H406" s="19" t="n"/>
      <c r="I406" s="19" t="n"/>
      <c r="J406" s="19" t="n"/>
      <c r="K406" s="19" t="n"/>
      <c r="L406" s="125" t="n"/>
      <c r="M406" s="88">
        <f>IF($D406="","",IFERROR(VLOOKUP($H406,Lists!$N$2:$O$6,2,FALSE),0))</f>
        <v/>
      </c>
      <c r="N406" s="88">
        <f>IF($D406="","",IF(OR($E406="Blocked",$E406="Done",$E406="Archive"),-9999,IF(AND($E406="Waiting",SUMPRODUCT((($E$5:$E$500="Next")+($E$5:$E$500="In Progress")+($E$5:$E$500="Captured"))*($D$5:$D$500&lt;&gt;""))&gt;0),-500,VLOOKUP($F406,Lists!$L$2:$M$4,2,FALSE)+IF($E406="In Progress",10,0)+IF(AND($I406&lt;&gt;"",$I406&lt;TODAY()),25,0)+IF(AND($I406&lt;&gt;"",$I406&gt;=TODAY(),$I406&lt;=TODAY()+7),15,0)+IF($H406="",0,IF($M406&lt;=VLOOKUP(Home!$C$7,Lists!$N$2:$O$6,2,FALSE),20,-10))+IF($G406=Home!$E$7,15,IF(Home!$E$7="",0,-5))-ROW()/100000)))</f>
        <v/>
      </c>
      <c r="O406" s="88">
        <f>IF($D406="","",IF($N406&lt;=-500,"Not recommended right now",IF($E406="Waiting","Nothing else actionable right now — Waiting on: "&amp;IF($K406="","this item",$K406),TEXTJOIN(" • ",TRUE,IF($F406="High","High Priority",""),IF(AND($I406&lt;&gt;"",$I406&lt;TODAY()),"Overdue",""),IF(AND($I406&lt;&gt;"",$I406&gt;=TODAY(),$I406&lt;=TODAY()+7),"Due This Week",""),IF(AND($H406&lt;&gt;"",$M406&lt;=VLOOKUP(Home!$C$7,Lists!$N$2:$O$6,2,FALSE)),$H406&amp;" Task",""),IF($G406=Home!$E$7,"Fits Current Energy",""),"No Blockers"))))</f>
        <v/>
      </c>
      <c r="P406" s="88">
        <f>IF($D406="","",SWITCH('Task Finder'!$C$6,"High Priority",AND($F406="High",$E406&lt;&gt;"Done",$E406&lt;&gt;"Archive"),"Due This Week",AND($I406&lt;&gt;"",$I406&gt;=TODAY(),$I406&lt;=TODAY()+7,$E406&lt;&gt;"Done"),"Quick Wins (15 mins or less)",AND($M406&lt;=15,$E406&lt;&gt;"Done",$E406&lt;&gt;"Blocked"),"Deep Thinking",AND($G406="Deep Thinking",$E406&lt;&gt;"Done"),"Processing",AND($G406="Processing",$E406&lt;&gt;"Done"),"Blocked",$E406="Blocked","Waiting",$E406="Waiting","Recently Updated",AND($L406&lt;&gt;"",$L406&gt;=TODAY()-7),"Keyword",AND('Task Finder'!$C$7&lt;&gt;"",OR(ISNUMBER(SEARCH('Task Finder'!$C$7,$A406)),ISNUMBER(SEARCH('Task Finder'!$C$7,$B406)),ISNUMBER(SEARCH('Task Finder'!$C$7,$C406)),ISNUMBER(SEARCH('Task Finder'!$C$7,$D406)),ISNUMBER(SEARCH('Task Finder'!$C$7,$K406)))),TRUE))</f>
        <v/>
      </c>
    </row>
    <row r="407">
      <c r="A407" s="19" t="n"/>
      <c r="B407" s="19" t="n"/>
      <c r="C407" s="19" t="n"/>
      <c r="D407" s="19" t="n"/>
      <c r="E407" s="19" t="n"/>
      <c r="F407" s="19" t="n"/>
      <c r="G407" s="19" t="n"/>
      <c r="H407" s="19" t="n"/>
      <c r="I407" s="19" t="n"/>
      <c r="J407" s="19" t="n"/>
      <c r="K407" s="19" t="n"/>
      <c r="L407" s="125" t="n"/>
      <c r="M407" s="88">
        <f>IF($D407="","",IFERROR(VLOOKUP($H407,Lists!$N$2:$O$6,2,FALSE),0))</f>
        <v/>
      </c>
      <c r="N407" s="88">
        <f>IF($D407="","",IF(OR($E407="Blocked",$E407="Done",$E407="Archive"),-9999,IF(AND($E407="Waiting",SUMPRODUCT((($E$5:$E$500="Next")+($E$5:$E$500="In Progress")+($E$5:$E$500="Captured"))*($D$5:$D$500&lt;&gt;""))&gt;0),-500,VLOOKUP($F407,Lists!$L$2:$M$4,2,FALSE)+IF($E407="In Progress",10,0)+IF(AND($I407&lt;&gt;"",$I407&lt;TODAY()),25,0)+IF(AND($I407&lt;&gt;"",$I407&gt;=TODAY(),$I407&lt;=TODAY()+7),15,0)+IF($H407="",0,IF($M407&lt;=VLOOKUP(Home!$C$7,Lists!$N$2:$O$6,2,FALSE),20,-10))+IF($G407=Home!$E$7,15,IF(Home!$E$7="",0,-5))-ROW()/100000)))</f>
        <v/>
      </c>
      <c r="O407" s="88">
        <f>IF($D407="","",IF($N407&lt;=-500,"Not recommended right now",IF($E407="Waiting","Nothing else actionable right now — Waiting on: "&amp;IF($K407="","this item",$K407),TEXTJOIN(" • ",TRUE,IF($F407="High","High Priority",""),IF(AND($I407&lt;&gt;"",$I407&lt;TODAY()),"Overdue",""),IF(AND($I407&lt;&gt;"",$I407&gt;=TODAY(),$I407&lt;=TODAY()+7),"Due This Week",""),IF(AND($H407&lt;&gt;"",$M407&lt;=VLOOKUP(Home!$C$7,Lists!$N$2:$O$6,2,FALSE)),$H407&amp;" Task",""),IF($G407=Home!$E$7,"Fits Current Energy",""),"No Blockers"))))</f>
        <v/>
      </c>
      <c r="P407" s="88">
        <f>IF($D407="","",SWITCH('Task Finder'!$C$6,"High Priority",AND($F407="High",$E407&lt;&gt;"Done",$E407&lt;&gt;"Archive"),"Due This Week",AND($I407&lt;&gt;"",$I407&gt;=TODAY(),$I407&lt;=TODAY()+7,$E407&lt;&gt;"Done"),"Quick Wins (15 mins or less)",AND($M407&lt;=15,$E407&lt;&gt;"Done",$E407&lt;&gt;"Blocked"),"Deep Thinking",AND($G407="Deep Thinking",$E407&lt;&gt;"Done"),"Processing",AND($G407="Processing",$E407&lt;&gt;"Done"),"Blocked",$E407="Blocked","Waiting",$E407="Waiting","Recently Updated",AND($L407&lt;&gt;"",$L407&gt;=TODAY()-7),"Keyword",AND('Task Finder'!$C$7&lt;&gt;"",OR(ISNUMBER(SEARCH('Task Finder'!$C$7,$A407)),ISNUMBER(SEARCH('Task Finder'!$C$7,$B407)),ISNUMBER(SEARCH('Task Finder'!$C$7,$C407)),ISNUMBER(SEARCH('Task Finder'!$C$7,$D407)),ISNUMBER(SEARCH('Task Finder'!$C$7,$K407)))),TRUE))</f>
        <v/>
      </c>
    </row>
    <row r="408">
      <c r="A408" s="19" t="n"/>
      <c r="B408" s="19" t="n"/>
      <c r="C408" s="19" t="n"/>
      <c r="D408" s="19" t="n"/>
      <c r="E408" s="19" t="n"/>
      <c r="F408" s="19" t="n"/>
      <c r="G408" s="19" t="n"/>
      <c r="H408" s="19" t="n"/>
      <c r="I408" s="19" t="n"/>
      <c r="J408" s="19" t="n"/>
      <c r="K408" s="19" t="n"/>
      <c r="L408" s="125" t="n"/>
      <c r="M408" s="88">
        <f>IF($D408="","",IFERROR(VLOOKUP($H408,Lists!$N$2:$O$6,2,FALSE),0))</f>
        <v/>
      </c>
      <c r="N408" s="88">
        <f>IF($D408="","",IF(OR($E408="Blocked",$E408="Done",$E408="Archive"),-9999,IF(AND($E408="Waiting",SUMPRODUCT((($E$5:$E$500="Next")+($E$5:$E$500="In Progress")+($E$5:$E$500="Captured"))*($D$5:$D$500&lt;&gt;""))&gt;0),-500,VLOOKUP($F408,Lists!$L$2:$M$4,2,FALSE)+IF($E408="In Progress",10,0)+IF(AND($I408&lt;&gt;"",$I408&lt;TODAY()),25,0)+IF(AND($I408&lt;&gt;"",$I408&gt;=TODAY(),$I408&lt;=TODAY()+7),15,0)+IF($H408="",0,IF($M408&lt;=VLOOKUP(Home!$C$7,Lists!$N$2:$O$6,2,FALSE),20,-10))+IF($G408=Home!$E$7,15,IF(Home!$E$7="",0,-5))-ROW()/100000)))</f>
        <v/>
      </c>
      <c r="O408" s="88">
        <f>IF($D408="","",IF($N408&lt;=-500,"Not recommended right now",IF($E408="Waiting","Nothing else actionable right now — Waiting on: "&amp;IF($K408="","this item",$K408),TEXTJOIN(" • ",TRUE,IF($F408="High","High Priority",""),IF(AND($I408&lt;&gt;"",$I408&lt;TODAY()),"Overdue",""),IF(AND($I408&lt;&gt;"",$I408&gt;=TODAY(),$I408&lt;=TODAY()+7),"Due This Week",""),IF(AND($H408&lt;&gt;"",$M408&lt;=VLOOKUP(Home!$C$7,Lists!$N$2:$O$6,2,FALSE)),$H408&amp;" Task",""),IF($G408=Home!$E$7,"Fits Current Energy",""),"No Blockers"))))</f>
        <v/>
      </c>
      <c r="P408" s="88">
        <f>IF($D408="","",SWITCH('Task Finder'!$C$6,"High Priority",AND($F408="High",$E408&lt;&gt;"Done",$E408&lt;&gt;"Archive"),"Due This Week",AND($I408&lt;&gt;"",$I408&gt;=TODAY(),$I408&lt;=TODAY()+7,$E408&lt;&gt;"Done"),"Quick Wins (15 mins or less)",AND($M408&lt;=15,$E408&lt;&gt;"Done",$E408&lt;&gt;"Blocked"),"Deep Thinking",AND($G408="Deep Thinking",$E408&lt;&gt;"Done"),"Processing",AND($G408="Processing",$E408&lt;&gt;"Done"),"Blocked",$E408="Blocked","Waiting",$E408="Waiting","Recently Updated",AND($L408&lt;&gt;"",$L408&gt;=TODAY()-7),"Keyword",AND('Task Finder'!$C$7&lt;&gt;"",OR(ISNUMBER(SEARCH('Task Finder'!$C$7,$A408)),ISNUMBER(SEARCH('Task Finder'!$C$7,$B408)),ISNUMBER(SEARCH('Task Finder'!$C$7,$C408)),ISNUMBER(SEARCH('Task Finder'!$C$7,$D408)),ISNUMBER(SEARCH('Task Finder'!$C$7,$K408)))),TRUE))</f>
        <v/>
      </c>
    </row>
    <row r="409">
      <c r="A409" s="19" t="n"/>
      <c r="B409" s="19" t="n"/>
      <c r="C409" s="19" t="n"/>
      <c r="D409" s="19" t="n"/>
      <c r="E409" s="19" t="n"/>
      <c r="F409" s="19" t="n"/>
      <c r="G409" s="19" t="n"/>
      <c r="H409" s="19" t="n"/>
      <c r="I409" s="19" t="n"/>
      <c r="J409" s="19" t="n"/>
      <c r="K409" s="19" t="n"/>
      <c r="L409" s="125" t="n"/>
      <c r="M409" s="88">
        <f>IF($D409="","",IFERROR(VLOOKUP($H409,Lists!$N$2:$O$6,2,FALSE),0))</f>
        <v/>
      </c>
      <c r="N409" s="88">
        <f>IF($D409="","",IF(OR($E409="Blocked",$E409="Done",$E409="Archive"),-9999,IF(AND($E409="Waiting",SUMPRODUCT((($E$5:$E$500="Next")+($E$5:$E$500="In Progress")+($E$5:$E$500="Captured"))*($D$5:$D$500&lt;&gt;""))&gt;0),-500,VLOOKUP($F409,Lists!$L$2:$M$4,2,FALSE)+IF($E409="In Progress",10,0)+IF(AND($I409&lt;&gt;"",$I409&lt;TODAY()),25,0)+IF(AND($I409&lt;&gt;"",$I409&gt;=TODAY(),$I409&lt;=TODAY()+7),15,0)+IF($H409="",0,IF($M409&lt;=VLOOKUP(Home!$C$7,Lists!$N$2:$O$6,2,FALSE),20,-10))+IF($G409=Home!$E$7,15,IF(Home!$E$7="",0,-5))-ROW()/100000)))</f>
        <v/>
      </c>
      <c r="O409" s="88">
        <f>IF($D409="","",IF($N409&lt;=-500,"Not recommended right now",IF($E409="Waiting","Nothing else actionable right now — Waiting on: "&amp;IF($K409="","this item",$K409),TEXTJOIN(" • ",TRUE,IF($F409="High","High Priority",""),IF(AND($I409&lt;&gt;"",$I409&lt;TODAY()),"Overdue",""),IF(AND($I409&lt;&gt;"",$I409&gt;=TODAY(),$I409&lt;=TODAY()+7),"Due This Week",""),IF(AND($H409&lt;&gt;"",$M409&lt;=VLOOKUP(Home!$C$7,Lists!$N$2:$O$6,2,FALSE)),$H409&amp;" Task",""),IF($G409=Home!$E$7,"Fits Current Energy",""),"No Blockers"))))</f>
        <v/>
      </c>
      <c r="P409" s="88">
        <f>IF($D409="","",SWITCH('Task Finder'!$C$6,"High Priority",AND($F409="High",$E409&lt;&gt;"Done",$E409&lt;&gt;"Archive"),"Due This Week",AND($I409&lt;&gt;"",$I409&gt;=TODAY(),$I409&lt;=TODAY()+7,$E409&lt;&gt;"Done"),"Quick Wins (15 mins or less)",AND($M409&lt;=15,$E409&lt;&gt;"Done",$E409&lt;&gt;"Blocked"),"Deep Thinking",AND($G409="Deep Thinking",$E409&lt;&gt;"Done"),"Processing",AND($G409="Processing",$E409&lt;&gt;"Done"),"Blocked",$E409="Blocked","Waiting",$E409="Waiting","Recently Updated",AND($L409&lt;&gt;"",$L409&gt;=TODAY()-7),"Keyword",AND('Task Finder'!$C$7&lt;&gt;"",OR(ISNUMBER(SEARCH('Task Finder'!$C$7,$A409)),ISNUMBER(SEARCH('Task Finder'!$C$7,$B409)),ISNUMBER(SEARCH('Task Finder'!$C$7,$C409)),ISNUMBER(SEARCH('Task Finder'!$C$7,$D409)),ISNUMBER(SEARCH('Task Finder'!$C$7,$K409)))),TRUE))</f>
        <v/>
      </c>
    </row>
    <row r="410">
      <c r="A410" s="19" t="n"/>
      <c r="B410" s="19" t="n"/>
      <c r="C410" s="19" t="n"/>
      <c r="D410" s="19" t="n"/>
      <c r="E410" s="19" t="n"/>
      <c r="F410" s="19" t="n"/>
      <c r="G410" s="19" t="n"/>
      <c r="H410" s="19" t="n"/>
      <c r="I410" s="19" t="n"/>
      <c r="J410" s="19" t="n"/>
      <c r="K410" s="19" t="n"/>
      <c r="L410" s="125" t="n"/>
      <c r="M410" s="88">
        <f>IF($D410="","",IFERROR(VLOOKUP($H410,Lists!$N$2:$O$6,2,FALSE),0))</f>
        <v/>
      </c>
      <c r="N410" s="88">
        <f>IF($D410="","",IF(OR($E410="Blocked",$E410="Done",$E410="Archive"),-9999,IF(AND($E410="Waiting",SUMPRODUCT((($E$5:$E$500="Next")+($E$5:$E$500="In Progress")+($E$5:$E$500="Captured"))*($D$5:$D$500&lt;&gt;""))&gt;0),-500,VLOOKUP($F410,Lists!$L$2:$M$4,2,FALSE)+IF($E410="In Progress",10,0)+IF(AND($I410&lt;&gt;"",$I410&lt;TODAY()),25,0)+IF(AND($I410&lt;&gt;"",$I410&gt;=TODAY(),$I410&lt;=TODAY()+7),15,0)+IF($H410="",0,IF($M410&lt;=VLOOKUP(Home!$C$7,Lists!$N$2:$O$6,2,FALSE),20,-10))+IF($G410=Home!$E$7,15,IF(Home!$E$7="",0,-5))-ROW()/100000)))</f>
        <v/>
      </c>
      <c r="O410" s="88">
        <f>IF($D410="","",IF($N410&lt;=-500,"Not recommended right now",IF($E410="Waiting","Nothing else actionable right now — Waiting on: "&amp;IF($K410="","this item",$K410),TEXTJOIN(" • ",TRUE,IF($F410="High","High Priority",""),IF(AND($I410&lt;&gt;"",$I410&lt;TODAY()),"Overdue",""),IF(AND($I410&lt;&gt;"",$I410&gt;=TODAY(),$I410&lt;=TODAY()+7),"Due This Week",""),IF(AND($H410&lt;&gt;"",$M410&lt;=VLOOKUP(Home!$C$7,Lists!$N$2:$O$6,2,FALSE)),$H410&amp;" Task",""),IF($G410=Home!$E$7,"Fits Current Energy",""),"No Blockers"))))</f>
        <v/>
      </c>
      <c r="P410" s="88">
        <f>IF($D410="","",SWITCH('Task Finder'!$C$6,"High Priority",AND($F410="High",$E410&lt;&gt;"Done",$E410&lt;&gt;"Archive"),"Due This Week",AND($I410&lt;&gt;"",$I410&gt;=TODAY(),$I410&lt;=TODAY()+7,$E410&lt;&gt;"Done"),"Quick Wins (15 mins or less)",AND($M410&lt;=15,$E410&lt;&gt;"Done",$E410&lt;&gt;"Blocked"),"Deep Thinking",AND($G410="Deep Thinking",$E410&lt;&gt;"Done"),"Processing",AND($G410="Processing",$E410&lt;&gt;"Done"),"Blocked",$E410="Blocked","Waiting",$E410="Waiting","Recently Updated",AND($L410&lt;&gt;"",$L410&gt;=TODAY()-7),"Keyword",AND('Task Finder'!$C$7&lt;&gt;"",OR(ISNUMBER(SEARCH('Task Finder'!$C$7,$A410)),ISNUMBER(SEARCH('Task Finder'!$C$7,$B410)),ISNUMBER(SEARCH('Task Finder'!$C$7,$C410)),ISNUMBER(SEARCH('Task Finder'!$C$7,$D410)),ISNUMBER(SEARCH('Task Finder'!$C$7,$K410)))),TRUE))</f>
        <v/>
      </c>
    </row>
    <row r="411">
      <c r="A411" s="19" t="n"/>
      <c r="B411" s="19" t="n"/>
      <c r="C411" s="19" t="n"/>
      <c r="D411" s="19" t="n"/>
      <c r="E411" s="19" t="n"/>
      <c r="F411" s="19" t="n"/>
      <c r="G411" s="19" t="n"/>
      <c r="H411" s="19" t="n"/>
      <c r="I411" s="19" t="n"/>
      <c r="J411" s="19" t="n"/>
      <c r="K411" s="19" t="n"/>
      <c r="L411" s="125" t="n"/>
      <c r="M411" s="88">
        <f>IF($D411="","",IFERROR(VLOOKUP($H411,Lists!$N$2:$O$6,2,FALSE),0))</f>
        <v/>
      </c>
      <c r="N411" s="88">
        <f>IF($D411="","",IF(OR($E411="Blocked",$E411="Done",$E411="Archive"),-9999,IF(AND($E411="Waiting",SUMPRODUCT((($E$5:$E$500="Next")+($E$5:$E$500="In Progress")+($E$5:$E$500="Captured"))*($D$5:$D$500&lt;&gt;""))&gt;0),-500,VLOOKUP($F411,Lists!$L$2:$M$4,2,FALSE)+IF($E411="In Progress",10,0)+IF(AND($I411&lt;&gt;"",$I411&lt;TODAY()),25,0)+IF(AND($I411&lt;&gt;"",$I411&gt;=TODAY(),$I411&lt;=TODAY()+7),15,0)+IF($H411="",0,IF($M411&lt;=VLOOKUP(Home!$C$7,Lists!$N$2:$O$6,2,FALSE),20,-10))+IF($G411=Home!$E$7,15,IF(Home!$E$7="",0,-5))-ROW()/100000)))</f>
        <v/>
      </c>
      <c r="O411" s="88">
        <f>IF($D411="","",IF($N411&lt;=-500,"Not recommended right now",IF($E411="Waiting","Nothing else actionable right now — Waiting on: "&amp;IF($K411="","this item",$K411),TEXTJOIN(" • ",TRUE,IF($F411="High","High Priority",""),IF(AND($I411&lt;&gt;"",$I411&lt;TODAY()),"Overdue",""),IF(AND($I411&lt;&gt;"",$I411&gt;=TODAY(),$I411&lt;=TODAY()+7),"Due This Week",""),IF(AND($H411&lt;&gt;"",$M411&lt;=VLOOKUP(Home!$C$7,Lists!$N$2:$O$6,2,FALSE)),$H411&amp;" Task",""),IF($G411=Home!$E$7,"Fits Current Energy",""),"No Blockers"))))</f>
        <v/>
      </c>
      <c r="P411" s="88">
        <f>IF($D411="","",SWITCH('Task Finder'!$C$6,"High Priority",AND($F411="High",$E411&lt;&gt;"Done",$E411&lt;&gt;"Archive"),"Due This Week",AND($I411&lt;&gt;"",$I411&gt;=TODAY(),$I411&lt;=TODAY()+7,$E411&lt;&gt;"Done"),"Quick Wins (15 mins or less)",AND($M411&lt;=15,$E411&lt;&gt;"Done",$E411&lt;&gt;"Blocked"),"Deep Thinking",AND($G411="Deep Thinking",$E411&lt;&gt;"Done"),"Processing",AND($G411="Processing",$E411&lt;&gt;"Done"),"Blocked",$E411="Blocked","Waiting",$E411="Waiting","Recently Updated",AND($L411&lt;&gt;"",$L411&gt;=TODAY()-7),"Keyword",AND('Task Finder'!$C$7&lt;&gt;"",OR(ISNUMBER(SEARCH('Task Finder'!$C$7,$A411)),ISNUMBER(SEARCH('Task Finder'!$C$7,$B411)),ISNUMBER(SEARCH('Task Finder'!$C$7,$C411)),ISNUMBER(SEARCH('Task Finder'!$C$7,$D411)),ISNUMBER(SEARCH('Task Finder'!$C$7,$K411)))),TRUE))</f>
        <v/>
      </c>
    </row>
    <row r="412">
      <c r="A412" s="19" t="n"/>
      <c r="B412" s="19" t="n"/>
      <c r="C412" s="19" t="n"/>
      <c r="D412" s="19" t="n"/>
      <c r="E412" s="19" t="n"/>
      <c r="F412" s="19" t="n"/>
      <c r="G412" s="19" t="n"/>
      <c r="H412" s="19" t="n"/>
      <c r="I412" s="19" t="n"/>
      <c r="J412" s="19" t="n"/>
      <c r="K412" s="19" t="n"/>
      <c r="L412" s="125" t="n"/>
      <c r="M412" s="88">
        <f>IF($D412="","",IFERROR(VLOOKUP($H412,Lists!$N$2:$O$6,2,FALSE),0))</f>
        <v/>
      </c>
      <c r="N412" s="88">
        <f>IF($D412="","",IF(OR($E412="Blocked",$E412="Done",$E412="Archive"),-9999,IF(AND($E412="Waiting",SUMPRODUCT((($E$5:$E$500="Next")+($E$5:$E$500="In Progress")+($E$5:$E$500="Captured"))*($D$5:$D$500&lt;&gt;""))&gt;0),-500,VLOOKUP($F412,Lists!$L$2:$M$4,2,FALSE)+IF($E412="In Progress",10,0)+IF(AND($I412&lt;&gt;"",$I412&lt;TODAY()),25,0)+IF(AND($I412&lt;&gt;"",$I412&gt;=TODAY(),$I412&lt;=TODAY()+7),15,0)+IF($H412="",0,IF($M412&lt;=VLOOKUP(Home!$C$7,Lists!$N$2:$O$6,2,FALSE),20,-10))+IF($G412=Home!$E$7,15,IF(Home!$E$7="",0,-5))-ROW()/100000)))</f>
        <v/>
      </c>
      <c r="O412" s="88">
        <f>IF($D412="","",IF($N412&lt;=-500,"Not recommended right now",IF($E412="Waiting","Nothing else actionable right now — Waiting on: "&amp;IF($K412="","this item",$K412),TEXTJOIN(" • ",TRUE,IF($F412="High","High Priority",""),IF(AND($I412&lt;&gt;"",$I412&lt;TODAY()),"Overdue",""),IF(AND($I412&lt;&gt;"",$I412&gt;=TODAY(),$I412&lt;=TODAY()+7),"Due This Week",""),IF(AND($H412&lt;&gt;"",$M412&lt;=VLOOKUP(Home!$C$7,Lists!$N$2:$O$6,2,FALSE)),$H412&amp;" Task",""),IF($G412=Home!$E$7,"Fits Current Energy",""),"No Blockers"))))</f>
        <v/>
      </c>
      <c r="P412" s="88">
        <f>IF($D412="","",SWITCH('Task Finder'!$C$6,"High Priority",AND($F412="High",$E412&lt;&gt;"Done",$E412&lt;&gt;"Archive"),"Due This Week",AND($I412&lt;&gt;"",$I412&gt;=TODAY(),$I412&lt;=TODAY()+7,$E412&lt;&gt;"Done"),"Quick Wins (15 mins or less)",AND($M412&lt;=15,$E412&lt;&gt;"Done",$E412&lt;&gt;"Blocked"),"Deep Thinking",AND($G412="Deep Thinking",$E412&lt;&gt;"Done"),"Processing",AND($G412="Processing",$E412&lt;&gt;"Done"),"Blocked",$E412="Blocked","Waiting",$E412="Waiting","Recently Updated",AND($L412&lt;&gt;"",$L412&gt;=TODAY()-7),"Keyword",AND('Task Finder'!$C$7&lt;&gt;"",OR(ISNUMBER(SEARCH('Task Finder'!$C$7,$A412)),ISNUMBER(SEARCH('Task Finder'!$C$7,$B412)),ISNUMBER(SEARCH('Task Finder'!$C$7,$C412)),ISNUMBER(SEARCH('Task Finder'!$C$7,$D412)),ISNUMBER(SEARCH('Task Finder'!$C$7,$K412)))),TRUE))</f>
        <v/>
      </c>
    </row>
    <row r="413">
      <c r="A413" s="19" t="n"/>
      <c r="B413" s="19" t="n"/>
      <c r="C413" s="19" t="n"/>
      <c r="D413" s="19" t="n"/>
      <c r="E413" s="19" t="n"/>
      <c r="F413" s="19" t="n"/>
      <c r="G413" s="19" t="n"/>
      <c r="H413" s="19" t="n"/>
      <c r="I413" s="19" t="n"/>
      <c r="J413" s="19" t="n"/>
      <c r="K413" s="19" t="n"/>
      <c r="L413" s="125" t="n"/>
      <c r="M413" s="88">
        <f>IF($D413="","",IFERROR(VLOOKUP($H413,Lists!$N$2:$O$6,2,FALSE),0))</f>
        <v/>
      </c>
      <c r="N413" s="88">
        <f>IF($D413="","",IF(OR($E413="Blocked",$E413="Done",$E413="Archive"),-9999,IF(AND($E413="Waiting",SUMPRODUCT((($E$5:$E$500="Next")+($E$5:$E$500="In Progress")+($E$5:$E$500="Captured"))*($D$5:$D$500&lt;&gt;""))&gt;0),-500,VLOOKUP($F413,Lists!$L$2:$M$4,2,FALSE)+IF($E413="In Progress",10,0)+IF(AND($I413&lt;&gt;"",$I413&lt;TODAY()),25,0)+IF(AND($I413&lt;&gt;"",$I413&gt;=TODAY(),$I413&lt;=TODAY()+7),15,0)+IF($H413="",0,IF($M413&lt;=VLOOKUP(Home!$C$7,Lists!$N$2:$O$6,2,FALSE),20,-10))+IF($G413=Home!$E$7,15,IF(Home!$E$7="",0,-5))-ROW()/100000)))</f>
        <v/>
      </c>
      <c r="O413" s="88">
        <f>IF($D413="","",IF($N413&lt;=-500,"Not recommended right now",IF($E413="Waiting","Nothing else actionable right now — Waiting on: "&amp;IF($K413="","this item",$K413),TEXTJOIN(" • ",TRUE,IF($F413="High","High Priority",""),IF(AND($I413&lt;&gt;"",$I413&lt;TODAY()),"Overdue",""),IF(AND($I413&lt;&gt;"",$I413&gt;=TODAY(),$I413&lt;=TODAY()+7),"Due This Week",""),IF(AND($H413&lt;&gt;"",$M413&lt;=VLOOKUP(Home!$C$7,Lists!$N$2:$O$6,2,FALSE)),$H413&amp;" Task",""),IF($G413=Home!$E$7,"Fits Current Energy",""),"No Blockers"))))</f>
        <v/>
      </c>
      <c r="P413" s="88">
        <f>IF($D413="","",SWITCH('Task Finder'!$C$6,"High Priority",AND($F413="High",$E413&lt;&gt;"Done",$E413&lt;&gt;"Archive"),"Due This Week",AND($I413&lt;&gt;"",$I413&gt;=TODAY(),$I413&lt;=TODAY()+7,$E413&lt;&gt;"Done"),"Quick Wins (15 mins or less)",AND($M413&lt;=15,$E413&lt;&gt;"Done",$E413&lt;&gt;"Blocked"),"Deep Thinking",AND($G413="Deep Thinking",$E413&lt;&gt;"Done"),"Processing",AND($G413="Processing",$E413&lt;&gt;"Done"),"Blocked",$E413="Blocked","Waiting",$E413="Waiting","Recently Updated",AND($L413&lt;&gt;"",$L413&gt;=TODAY()-7),"Keyword",AND('Task Finder'!$C$7&lt;&gt;"",OR(ISNUMBER(SEARCH('Task Finder'!$C$7,$A413)),ISNUMBER(SEARCH('Task Finder'!$C$7,$B413)),ISNUMBER(SEARCH('Task Finder'!$C$7,$C413)),ISNUMBER(SEARCH('Task Finder'!$C$7,$D413)),ISNUMBER(SEARCH('Task Finder'!$C$7,$K413)))),TRUE))</f>
        <v/>
      </c>
    </row>
    <row r="414">
      <c r="A414" s="19" t="n"/>
      <c r="B414" s="19" t="n"/>
      <c r="C414" s="19" t="n"/>
      <c r="D414" s="19" t="n"/>
      <c r="E414" s="19" t="n"/>
      <c r="F414" s="19" t="n"/>
      <c r="G414" s="19" t="n"/>
      <c r="H414" s="19" t="n"/>
      <c r="I414" s="19" t="n"/>
      <c r="J414" s="19" t="n"/>
      <c r="K414" s="19" t="n"/>
      <c r="L414" s="125" t="n"/>
      <c r="M414" s="88">
        <f>IF($D414="","",IFERROR(VLOOKUP($H414,Lists!$N$2:$O$6,2,FALSE),0))</f>
        <v/>
      </c>
      <c r="N414" s="88">
        <f>IF($D414="","",IF(OR($E414="Blocked",$E414="Done",$E414="Archive"),-9999,IF(AND($E414="Waiting",SUMPRODUCT((($E$5:$E$500="Next")+($E$5:$E$500="In Progress")+($E$5:$E$500="Captured"))*($D$5:$D$500&lt;&gt;""))&gt;0),-500,VLOOKUP($F414,Lists!$L$2:$M$4,2,FALSE)+IF($E414="In Progress",10,0)+IF(AND($I414&lt;&gt;"",$I414&lt;TODAY()),25,0)+IF(AND($I414&lt;&gt;"",$I414&gt;=TODAY(),$I414&lt;=TODAY()+7),15,0)+IF($H414="",0,IF($M414&lt;=VLOOKUP(Home!$C$7,Lists!$N$2:$O$6,2,FALSE),20,-10))+IF($G414=Home!$E$7,15,IF(Home!$E$7="",0,-5))-ROW()/100000)))</f>
        <v/>
      </c>
      <c r="O414" s="88">
        <f>IF($D414="","",IF($N414&lt;=-500,"Not recommended right now",IF($E414="Waiting","Nothing else actionable right now — Waiting on: "&amp;IF($K414="","this item",$K414),TEXTJOIN(" • ",TRUE,IF($F414="High","High Priority",""),IF(AND($I414&lt;&gt;"",$I414&lt;TODAY()),"Overdue",""),IF(AND($I414&lt;&gt;"",$I414&gt;=TODAY(),$I414&lt;=TODAY()+7),"Due This Week",""),IF(AND($H414&lt;&gt;"",$M414&lt;=VLOOKUP(Home!$C$7,Lists!$N$2:$O$6,2,FALSE)),$H414&amp;" Task",""),IF($G414=Home!$E$7,"Fits Current Energy",""),"No Blockers"))))</f>
        <v/>
      </c>
      <c r="P414" s="88">
        <f>IF($D414="","",SWITCH('Task Finder'!$C$6,"High Priority",AND($F414="High",$E414&lt;&gt;"Done",$E414&lt;&gt;"Archive"),"Due This Week",AND($I414&lt;&gt;"",$I414&gt;=TODAY(),$I414&lt;=TODAY()+7,$E414&lt;&gt;"Done"),"Quick Wins (15 mins or less)",AND($M414&lt;=15,$E414&lt;&gt;"Done",$E414&lt;&gt;"Blocked"),"Deep Thinking",AND($G414="Deep Thinking",$E414&lt;&gt;"Done"),"Processing",AND($G414="Processing",$E414&lt;&gt;"Done"),"Blocked",$E414="Blocked","Waiting",$E414="Waiting","Recently Updated",AND($L414&lt;&gt;"",$L414&gt;=TODAY()-7),"Keyword",AND('Task Finder'!$C$7&lt;&gt;"",OR(ISNUMBER(SEARCH('Task Finder'!$C$7,$A414)),ISNUMBER(SEARCH('Task Finder'!$C$7,$B414)),ISNUMBER(SEARCH('Task Finder'!$C$7,$C414)),ISNUMBER(SEARCH('Task Finder'!$C$7,$D414)),ISNUMBER(SEARCH('Task Finder'!$C$7,$K414)))),TRUE))</f>
        <v/>
      </c>
    </row>
    <row r="415">
      <c r="A415" s="19" t="n"/>
      <c r="B415" s="19" t="n"/>
      <c r="C415" s="19" t="n"/>
      <c r="D415" s="19" t="n"/>
      <c r="E415" s="19" t="n"/>
      <c r="F415" s="19" t="n"/>
      <c r="G415" s="19" t="n"/>
      <c r="H415" s="19" t="n"/>
      <c r="I415" s="19" t="n"/>
      <c r="J415" s="19" t="n"/>
      <c r="K415" s="19" t="n"/>
      <c r="L415" s="125" t="n"/>
      <c r="M415" s="88">
        <f>IF($D415="","",IFERROR(VLOOKUP($H415,Lists!$N$2:$O$6,2,FALSE),0))</f>
        <v/>
      </c>
      <c r="N415" s="88">
        <f>IF($D415="","",IF(OR($E415="Blocked",$E415="Done",$E415="Archive"),-9999,IF(AND($E415="Waiting",SUMPRODUCT((($E$5:$E$500="Next")+($E$5:$E$500="In Progress")+($E$5:$E$500="Captured"))*($D$5:$D$500&lt;&gt;""))&gt;0),-500,VLOOKUP($F415,Lists!$L$2:$M$4,2,FALSE)+IF($E415="In Progress",10,0)+IF(AND($I415&lt;&gt;"",$I415&lt;TODAY()),25,0)+IF(AND($I415&lt;&gt;"",$I415&gt;=TODAY(),$I415&lt;=TODAY()+7),15,0)+IF($H415="",0,IF($M415&lt;=VLOOKUP(Home!$C$7,Lists!$N$2:$O$6,2,FALSE),20,-10))+IF($G415=Home!$E$7,15,IF(Home!$E$7="",0,-5))-ROW()/100000)))</f>
        <v/>
      </c>
      <c r="O415" s="88">
        <f>IF($D415="","",IF($N415&lt;=-500,"Not recommended right now",IF($E415="Waiting","Nothing else actionable right now — Waiting on: "&amp;IF($K415="","this item",$K415),TEXTJOIN(" • ",TRUE,IF($F415="High","High Priority",""),IF(AND($I415&lt;&gt;"",$I415&lt;TODAY()),"Overdue",""),IF(AND($I415&lt;&gt;"",$I415&gt;=TODAY(),$I415&lt;=TODAY()+7),"Due This Week",""),IF(AND($H415&lt;&gt;"",$M415&lt;=VLOOKUP(Home!$C$7,Lists!$N$2:$O$6,2,FALSE)),$H415&amp;" Task",""),IF($G415=Home!$E$7,"Fits Current Energy",""),"No Blockers"))))</f>
        <v/>
      </c>
      <c r="P415" s="88">
        <f>IF($D415="","",SWITCH('Task Finder'!$C$6,"High Priority",AND($F415="High",$E415&lt;&gt;"Done",$E415&lt;&gt;"Archive"),"Due This Week",AND($I415&lt;&gt;"",$I415&gt;=TODAY(),$I415&lt;=TODAY()+7,$E415&lt;&gt;"Done"),"Quick Wins (15 mins or less)",AND($M415&lt;=15,$E415&lt;&gt;"Done",$E415&lt;&gt;"Blocked"),"Deep Thinking",AND($G415="Deep Thinking",$E415&lt;&gt;"Done"),"Processing",AND($G415="Processing",$E415&lt;&gt;"Done"),"Blocked",$E415="Blocked","Waiting",$E415="Waiting","Recently Updated",AND($L415&lt;&gt;"",$L415&gt;=TODAY()-7),"Keyword",AND('Task Finder'!$C$7&lt;&gt;"",OR(ISNUMBER(SEARCH('Task Finder'!$C$7,$A415)),ISNUMBER(SEARCH('Task Finder'!$C$7,$B415)),ISNUMBER(SEARCH('Task Finder'!$C$7,$C415)),ISNUMBER(SEARCH('Task Finder'!$C$7,$D415)),ISNUMBER(SEARCH('Task Finder'!$C$7,$K415)))),TRUE))</f>
        <v/>
      </c>
    </row>
    <row r="416">
      <c r="A416" s="19" t="n"/>
      <c r="B416" s="19" t="n"/>
      <c r="C416" s="19" t="n"/>
      <c r="D416" s="19" t="n"/>
      <c r="E416" s="19" t="n"/>
      <c r="F416" s="19" t="n"/>
      <c r="G416" s="19" t="n"/>
      <c r="H416" s="19" t="n"/>
      <c r="I416" s="19" t="n"/>
      <c r="J416" s="19" t="n"/>
      <c r="K416" s="19" t="n"/>
      <c r="L416" s="125" t="n"/>
      <c r="M416" s="88">
        <f>IF($D416="","",IFERROR(VLOOKUP($H416,Lists!$N$2:$O$6,2,FALSE),0))</f>
        <v/>
      </c>
      <c r="N416" s="88">
        <f>IF($D416="","",IF(OR($E416="Blocked",$E416="Done",$E416="Archive"),-9999,IF(AND($E416="Waiting",SUMPRODUCT((($E$5:$E$500="Next")+($E$5:$E$500="In Progress")+($E$5:$E$500="Captured"))*($D$5:$D$500&lt;&gt;""))&gt;0),-500,VLOOKUP($F416,Lists!$L$2:$M$4,2,FALSE)+IF($E416="In Progress",10,0)+IF(AND($I416&lt;&gt;"",$I416&lt;TODAY()),25,0)+IF(AND($I416&lt;&gt;"",$I416&gt;=TODAY(),$I416&lt;=TODAY()+7),15,0)+IF($H416="",0,IF($M416&lt;=VLOOKUP(Home!$C$7,Lists!$N$2:$O$6,2,FALSE),20,-10))+IF($G416=Home!$E$7,15,IF(Home!$E$7="",0,-5))-ROW()/100000)))</f>
        <v/>
      </c>
      <c r="O416" s="88">
        <f>IF($D416="","",IF($N416&lt;=-500,"Not recommended right now",IF($E416="Waiting","Nothing else actionable right now — Waiting on: "&amp;IF($K416="","this item",$K416),TEXTJOIN(" • ",TRUE,IF($F416="High","High Priority",""),IF(AND($I416&lt;&gt;"",$I416&lt;TODAY()),"Overdue",""),IF(AND($I416&lt;&gt;"",$I416&gt;=TODAY(),$I416&lt;=TODAY()+7),"Due This Week",""),IF(AND($H416&lt;&gt;"",$M416&lt;=VLOOKUP(Home!$C$7,Lists!$N$2:$O$6,2,FALSE)),$H416&amp;" Task",""),IF($G416=Home!$E$7,"Fits Current Energy",""),"No Blockers"))))</f>
        <v/>
      </c>
      <c r="P416" s="88">
        <f>IF($D416="","",SWITCH('Task Finder'!$C$6,"High Priority",AND($F416="High",$E416&lt;&gt;"Done",$E416&lt;&gt;"Archive"),"Due This Week",AND($I416&lt;&gt;"",$I416&gt;=TODAY(),$I416&lt;=TODAY()+7,$E416&lt;&gt;"Done"),"Quick Wins (15 mins or less)",AND($M416&lt;=15,$E416&lt;&gt;"Done",$E416&lt;&gt;"Blocked"),"Deep Thinking",AND($G416="Deep Thinking",$E416&lt;&gt;"Done"),"Processing",AND($G416="Processing",$E416&lt;&gt;"Done"),"Blocked",$E416="Blocked","Waiting",$E416="Waiting","Recently Updated",AND($L416&lt;&gt;"",$L416&gt;=TODAY()-7),"Keyword",AND('Task Finder'!$C$7&lt;&gt;"",OR(ISNUMBER(SEARCH('Task Finder'!$C$7,$A416)),ISNUMBER(SEARCH('Task Finder'!$C$7,$B416)),ISNUMBER(SEARCH('Task Finder'!$C$7,$C416)),ISNUMBER(SEARCH('Task Finder'!$C$7,$D416)),ISNUMBER(SEARCH('Task Finder'!$C$7,$K416)))),TRUE))</f>
        <v/>
      </c>
    </row>
    <row r="417">
      <c r="A417" s="19" t="n"/>
      <c r="B417" s="19" t="n"/>
      <c r="C417" s="19" t="n"/>
      <c r="D417" s="19" t="n"/>
      <c r="E417" s="19" t="n"/>
      <c r="F417" s="19" t="n"/>
      <c r="G417" s="19" t="n"/>
      <c r="H417" s="19" t="n"/>
      <c r="I417" s="19" t="n"/>
      <c r="J417" s="19" t="n"/>
      <c r="K417" s="19" t="n"/>
      <c r="L417" s="125" t="n"/>
      <c r="M417" s="88">
        <f>IF($D417="","",IFERROR(VLOOKUP($H417,Lists!$N$2:$O$6,2,FALSE),0))</f>
        <v/>
      </c>
      <c r="N417" s="88">
        <f>IF($D417="","",IF(OR($E417="Blocked",$E417="Done",$E417="Archive"),-9999,IF(AND($E417="Waiting",SUMPRODUCT((($E$5:$E$500="Next")+($E$5:$E$500="In Progress")+($E$5:$E$500="Captured"))*($D$5:$D$500&lt;&gt;""))&gt;0),-500,VLOOKUP($F417,Lists!$L$2:$M$4,2,FALSE)+IF($E417="In Progress",10,0)+IF(AND($I417&lt;&gt;"",$I417&lt;TODAY()),25,0)+IF(AND($I417&lt;&gt;"",$I417&gt;=TODAY(),$I417&lt;=TODAY()+7),15,0)+IF($H417="",0,IF($M417&lt;=VLOOKUP(Home!$C$7,Lists!$N$2:$O$6,2,FALSE),20,-10))+IF($G417=Home!$E$7,15,IF(Home!$E$7="",0,-5))-ROW()/100000)))</f>
        <v/>
      </c>
      <c r="O417" s="88">
        <f>IF($D417="","",IF($N417&lt;=-500,"Not recommended right now",IF($E417="Waiting","Nothing else actionable right now — Waiting on: "&amp;IF($K417="","this item",$K417),TEXTJOIN(" • ",TRUE,IF($F417="High","High Priority",""),IF(AND($I417&lt;&gt;"",$I417&lt;TODAY()),"Overdue",""),IF(AND($I417&lt;&gt;"",$I417&gt;=TODAY(),$I417&lt;=TODAY()+7),"Due This Week",""),IF(AND($H417&lt;&gt;"",$M417&lt;=VLOOKUP(Home!$C$7,Lists!$N$2:$O$6,2,FALSE)),$H417&amp;" Task",""),IF($G417=Home!$E$7,"Fits Current Energy",""),"No Blockers"))))</f>
        <v/>
      </c>
      <c r="P417" s="88">
        <f>IF($D417="","",SWITCH('Task Finder'!$C$6,"High Priority",AND($F417="High",$E417&lt;&gt;"Done",$E417&lt;&gt;"Archive"),"Due This Week",AND($I417&lt;&gt;"",$I417&gt;=TODAY(),$I417&lt;=TODAY()+7,$E417&lt;&gt;"Done"),"Quick Wins (15 mins or less)",AND($M417&lt;=15,$E417&lt;&gt;"Done",$E417&lt;&gt;"Blocked"),"Deep Thinking",AND($G417="Deep Thinking",$E417&lt;&gt;"Done"),"Processing",AND($G417="Processing",$E417&lt;&gt;"Done"),"Blocked",$E417="Blocked","Waiting",$E417="Waiting","Recently Updated",AND($L417&lt;&gt;"",$L417&gt;=TODAY()-7),"Keyword",AND('Task Finder'!$C$7&lt;&gt;"",OR(ISNUMBER(SEARCH('Task Finder'!$C$7,$A417)),ISNUMBER(SEARCH('Task Finder'!$C$7,$B417)),ISNUMBER(SEARCH('Task Finder'!$C$7,$C417)),ISNUMBER(SEARCH('Task Finder'!$C$7,$D417)),ISNUMBER(SEARCH('Task Finder'!$C$7,$K417)))),TRUE))</f>
        <v/>
      </c>
    </row>
    <row r="418">
      <c r="A418" s="19" t="n"/>
      <c r="B418" s="19" t="n"/>
      <c r="C418" s="19" t="n"/>
      <c r="D418" s="19" t="n"/>
      <c r="E418" s="19" t="n"/>
      <c r="F418" s="19" t="n"/>
      <c r="G418" s="19" t="n"/>
      <c r="H418" s="19" t="n"/>
      <c r="I418" s="19" t="n"/>
      <c r="J418" s="19" t="n"/>
      <c r="K418" s="19" t="n"/>
      <c r="L418" s="125" t="n"/>
      <c r="M418" s="88">
        <f>IF($D418="","",IFERROR(VLOOKUP($H418,Lists!$N$2:$O$6,2,FALSE),0))</f>
        <v/>
      </c>
      <c r="N418" s="88">
        <f>IF($D418="","",IF(OR($E418="Blocked",$E418="Done",$E418="Archive"),-9999,IF(AND($E418="Waiting",SUMPRODUCT((($E$5:$E$500="Next")+($E$5:$E$500="In Progress")+($E$5:$E$500="Captured"))*($D$5:$D$500&lt;&gt;""))&gt;0),-500,VLOOKUP($F418,Lists!$L$2:$M$4,2,FALSE)+IF($E418="In Progress",10,0)+IF(AND($I418&lt;&gt;"",$I418&lt;TODAY()),25,0)+IF(AND($I418&lt;&gt;"",$I418&gt;=TODAY(),$I418&lt;=TODAY()+7),15,0)+IF($H418="",0,IF($M418&lt;=VLOOKUP(Home!$C$7,Lists!$N$2:$O$6,2,FALSE),20,-10))+IF($G418=Home!$E$7,15,IF(Home!$E$7="",0,-5))-ROW()/100000)))</f>
        <v/>
      </c>
      <c r="O418" s="88">
        <f>IF($D418="","",IF($N418&lt;=-500,"Not recommended right now",IF($E418="Waiting","Nothing else actionable right now — Waiting on: "&amp;IF($K418="","this item",$K418),TEXTJOIN(" • ",TRUE,IF($F418="High","High Priority",""),IF(AND($I418&lt;&gt;"",$I418&lt;TODAY()),"Overdue",""),IF(AND($I418&lt;&gt;"",$I418&gt;=TODAY(),$I418&lt;=TODAY()+7),"Due This Week",""),IF(AND($H418&lt;&gt;"",$M418&lt;=VLOOKUP(Home!$C$7,Lists!$N$2:$O$6,2,FALSE)),$H418&amp;" Task",""),IF($G418=Home!$E$7,"Fits Current Energy",""),"No Blockers"))))</f>
        <v/>
      </c>
      <c r="P418" s="88">
        <f>IF($D418="","",SWITCH('Task Finder'!$C$6,"High Priority",AND($F418="High",$E418&lt;&gt;"Done",$E418&lt;&gt;"Archive"),"Due This Week",AND($I418&lt;&gt;"",$I418&gt;=TODAY(),$I418&lt;=TODAY()+7,$E418&lt;&gt;"Done"),"Quick Wins (15 mins or less)",AND($M418&lt;=15,$E418&lt;&gt;"Done",$E418&lt;&gt;"Blocked"),"Deep Thinking",AND($G418="Deep Thinking",$E418&lt;&gt;"Done"),"Processing",AND($G418="Processing",$E418&lt;&gt;"Done"),"Blocked",$E418="Blocked","Waiting",$E418="Waiting","Recently Updated",AND($L418&lt;&gt;"",$L418&gt;=TODAY()-7),"Keyword",AND('Task Finder'!$C$7&lt;&gt;"",OR(ISNUMBER(SEARCH('Task Finder'!$C$7,$A418)),ISNUMBER(SEARCH('Task Finder'!$C$7,$B418)),ISNUMBER(SEARCH('Task Finder'!$C$7,$C418)),ISNUMBER(SEARCH('Task Finder'!$C$7,$D418)),ISNUMBER(SEARCH('Task Finder'!$C$7,$K418)))),TRUE))</f>
        <v/>
      </c>
    </row>
    <row r="419">
      <c r="A419" s="19" t="n"/>
      <c r="B419" s="19" t="n"/>
      <c r="C419" s="19" t="n"/>
      <c r="D419" s="19" t="n"/>
      <c r="E419" s="19" t="n"/>
      <c r="F419" s="19" t="n"/>
      <c r="G419" s="19" t="n"/>
      <c r="H419" s="19" t="n"/>
      <c r="I419" s="19" t="n"/>
      <c r="J419" s="19" t="n"/>
      <c r="K419" s="19" t="n"/>
      <c r="L419" s="125" t="n"/>
      <c r="M419" s="88">
        <f>IF($D419="","",IFERROR(VLOOKUP($H419,Lists!$N$2:$O$6,2,FALSE),0))</f>
        <v/>
      </c>
      <c r="N419" s="88">
        <f>IF($D419="","",IF(OR($E419="Blocked",$E419="Done",$E419="Archive"),-9999,IF(AND($E419="Waiting",SUMPRODUCT((($E$5:$E$500="Next")+($E$5:$E$500="In Progress")+($E$5:$E$500="Captured"))*($D$5:$D$500&lt;&gt;""))&gt;0),-500,VLOOKUP($F419,Lists!$L$2:$M$4,2,FALSE)+IF($E419="In Progress",10,0)+IF(AND($I419&lt;&gt;"",$I419&lt;TODAY()),25,0)+IF(AND($I419&lt;&gt;"",$I419&gt;=TODAY(),$I419&lt;=TODAY()+7),15,0)+IF($H419="",0,IF($M419&lt;=VLOOKUP(Home!$C$7,Lists!$N$2:$O$6,2,FALSE),20,-10))+IF($G419=Home!$E$7,15,IF(Home!$E$7="",0,-5))-ROW()/100000)))</f>
        <v/>
      </c>
      <c r="O419" s="88">
        <f>IF($D419="","",IF($N419&lt;=-500,"Not recommended right now",IF($E419="Waiting","Nothing else actionable right now — Waiting on: "&amp;IF($K419="","this item",$K419),TEXTJOIN(" • ",TRUE,IF($F419="High","High Priority",""),IF(AND($I419&lt;&gt;"",$I419&lt;TODAY()),"Overdue",""),IF(AND($I419&lt;&gt;"",$I419&gt;=TODAY(),$I419&lt;=TODAY()+7),"Due This Week",""),IF(AND($H419&lt;&gt;"",$M419&lt;=VLOOKUP(Home!$C$7,Lists!$N$2:$O$6,2,FALSE)),$H419&amp;" Task",""),IF($G419=Home!$E$7,"Fits Current Energy",""),"No Blockers"))))</f>
        <v/>
      </c>
      <c r="P419" s="88">
        <f>IF($D419="","",SWITCH('Task Finder'!$C$6,"High Priority",AND($F419="High",$E419&lt;&gt;"Done",$E419&lt;&gt;"Archive"),"Due This Week",AND($I419&lt;&gt;"",$I419&gt;=TODAY(),$I419&lt;=TODAY()+7,$E419&lt;&gt;"Done"),"Quick Wins (15 mins or less)",AND($M419&lt;=15,$E419&lt;&gt;"Done",$E419&lt;&gt;"Blocked"),"Deep Thinking",AND($G419="Deep Thinking",$E419&lt;&gt;"Done"),"Processing",AND($G419="Processing",$E419&lt;&gt;"Done"),"Blocked",$E419="Blocked","Waiting",$E419="Waiting","Recently Updated",AND($L419&lt;&gt;"",$L419&gt;=TODAY()-7),"Keyword",AND('Task Finder'!$C$7&lt;&gt;"",OR(ISNUMBER(SEARCH('Task Finder'!$C$7,$A419)),ISNUMBER(SEARCH('Task Finder'!$C$7,$B419)),ISNUMBER(SEARCH('Task Finder'!$C$7,$C419)),ISNUMBER(SEARCH('Task Finder'!$C$7,$D419)),ISNUMBER(SEARCH('Task Finder'!$C$7,$K419)))),TRUE))</f>
        <v/>
      </c>
    </row>
    <row r="420">
      <c r="A420" s="19" t="n"/>
      <c r="B420" s="19" t="n"/>
      <c r="C420" s="19" t="n"/>
      <c r="D420" s="19" t="n"/>
      <c r="E420" s="19" t="n"/>
      <c r="F420" s="19" t="n"/>
      <c r="G420" s="19" t="n"/>
      <c r="H420" s="19" t="n"/>
      <c r="I420" s="19" t="n"/>
      <c r="J420" s="19" t="n"/>
      <c r="K420" s="19" t="n"/>
      <c r="L420" s="125" t="n"/>
      <c r="M420" s="88">
        <f>IF($D420="","",IFERROR(VLOOKUP($H420,Lists!$N$2:$O$6,2,FALSE),0))</f>
        <v/>
      </c>
      <c r="N420" s="88">
        <f>IF($D420="","",IF(OR($E420="Blocked",$E420="Done",$E420="Archive"),-9999,IF(AND($E420="Waiting",SUMPRODUCT((($E$5:$E$500="Next")+($E$5:$E$500="In Progress")+($E$5:$E$500="Captured"))*($D$5:$D$500&lt;&gt;""))&gt;0),-500,VLOOKUP($F420,Lists!$L$2:$M$4,2,FALSE)+IF($E420="In Progress",10,0)+IF(AND($I420&lt;&gt;"",$I420&lt;TODAY()),25,0)+IF(AND($I420&lt;&gt;"",$I420&gt;=TODAY(),$I420&lt;=TODAY()+7),15,0)+IF($H420="",0,IF($M420&lt;=VLOOKUP(Home!$C$7,Lists!$N$2:$O$6,2,FALSE),20,-10))+IF($G420=Home!$E$7,15,IF(Home!$E$7="",0,-5))-ROW()/100000)))</f>
        <v/>
      </c>
      <c r="O420" s="88">
        <f>IF($D420="","",IF($N420&lt;=-500,"Not recommended right now",IF($E420="Waiting","Nothing else actionable right now — Waiting on: "&amp;IF($K420="","this item",$K420),TEXTJOIN(" • ",TRUE,IF($F420="High","High Priority",""),IF(AND($I420&lt;&gt;"",$I420&lt;TODAY()),"Overdue",""),IF(AND($I420&lt;&gt;"",$I420&gt;=TODAY(),$I420&lt;=TODAY()+7),"Due This Week",""),IF(AND($H420&lt;&gt;"",$M420&lt;=VLOOKUP(Home!$C$7,Lists!$N$2:$O$6,2,FALSE)),$H420&amp;" Task",""),IF($G420=Home!$E$7,"Fits Current Energy",""),"No Blockers"))))</f>
        <v/>
      </c>
      <c r="P420" s="88">
        <f>IF($D420="","",SWITCH('Task Finder'!$C$6,"High Priority",AND($F420="High",$E420&lt;&gt;"Done",$E420&lt;&gt;"Archive"),"Due This Week",AND($I420&lt;&gt;"",$I420&gt;=TODAY(),$I420&lt;=TODAY()+7,$E420&lt;&gt;"Done"),"Quick Wins (15 mins or less)",AND($M420&lt;=15,$E420&lt;&gt;"Done",$E420&lt;&gt;"Blocked"),"Deep Thinking",AND($G420="Deep Thinking",$E420&lt;&gt;"Done"),"Processing",AND($G420="Processing",$E420&lt;&gt;"Done"),"Blocked",$E420="Blocked","Waiting",$E420="Waiting","Recently Updated",AND($L420&lt;&gt;"",$L420&gt;=TODAY()-7),"Keyword",AND('Task Finder'!$C$7&lt;&gt;"",OR(ISNUMBER(SEARCH('Task Finder'!$C$7,$A420)),ISNUMBER(SEARCH('Task Finder'!$C$7,$B420)),ISNUMBER(SEARCH('Task Finder'!$C$7,$C420)),ISNUMBER(SEARCH('Task Finder'!$C$7,$D420)),ISNUMBER(SEARCH('Task Finder'!$C$7,$K420)))),TRUE))</f>
        <v/>
      </c>
    </row>
    <row r="421">
      <c r="A421" s="19" t="n"/>
      <c r="B421" s="19" t="n"/>
      <c r="C421" s="19" t="n"/>
      <c r="D421" s="19" t="n"/>
      <c r="E421" s="19" t="n"/>
      <c r="F421" s="19" t="n"/>
      <c r="G421" s="19" t="n"/>
      <c r="H421" s="19" t="n"/>
      <c r="I421" s="19" t="n"/>
      <c r="J421" s="19" t="n"/>
      <c r="K421" s="19" t="n"/>
      <c r="L421" s="125" t="n"/>
      <c r="M421" s="88">
        <f>IF($D421="","",IFERROR(VLOOKUP($H421,Lists!$N$2:$O$6,2,FALSE),0))</f>
        <v/>
      </c>
      <c r="N421" s="88">
        <f>IF($D421="","",IF(OR($E421="Blocked",$E421="Done",$E421="Archive"),-9999,IF(AND($E421="Waiting",SUMPRODUCT((($E$5:$E$500="Next")+($E$5:$E$500="In Progress")+($E$5:$E$500="Captured"))*($D$5:$D$500&lt;&gt;""))&gt;0),-500,VLOOKUP($F421,Lists!$L$2:$M$4,2,FALSE)+IF($E421="In Progress",10,0)+IF(AND($I421&lt;&gt;"",$I421&lt;TODAY()),25,0)+IF(AND($I421&lt;&gt;"",$I421&gt;=TODAY(),$I421&lt;=TODAY()+7),15,0)+IF($H421="",0,IF($M421&lt;=VLOOKUP(Home!$C$7,Lists!$N$2:$O$6,2,FALSE),20,-10))+IF($G421=Home!$E$7,15,IF(Home!$E$7="",0,-5))-ROW()/100000)))</f>
        <v/>
      </c>
      <c r="O421" s="88">
        <f>IF($D421="","",IF($N421&lt;=-500,"Not recommended right now",IF($E421="Waiting","Nothing else actionable right now — Waiting on: "&amp;IF($K421="","this item",$K421),TEXTJOIN(" • ",TRUE,IF($F421="High","High Priority",""),IF(AND($I421&lt;&gt;"",$I421&lt;TODAY()),"Overdue",""),IF(AND($I421&lt;&gt;"",$I421&gt;=TODAY(),$I421&lt;=TODAY()+7),"Due This Week",""),IF(AND($H421&lt;&gt;"",$M421&lt;=VLOOKUP(Home!$C$7,Lists!$N$2:$O$6,2,FALSE)),$H421&amp;" Task",""),IF($G421=Home!$E$7,"Fits Current Energy",""),"No Blockers"))))</f>
        <v/>
      </c>
      <c r="P421" s="88">
        <f>IF($D421="","",SWITCH('Task Finder'!$C$6,"High Priority",AND($F421="High",$E421&lt;&gt;"Done",$E421&lt;&gt;"Archive"),"Due This Week",AND($I421&lt;&gt;"",$I421&gt;=TODAY(),$I421&lt;=TODAY()+7,$E421&lt;&gt;"Done"),"Quick Wins (15 mins or less)",AND($M421&lt;=15,$E421&lt;&gt;"Done",$E421&lt;&gt;"Blocked"),"Deep Thinking",AND($G421="Deep Thinking",$E421&lt;&gt;"Done"),"Processing",AND($G421="Processing",$E421&lt;&gt;"Done"),"Blocked",$E421="Blocked","Waiting",$E421="Waiting","Recently Updated",AND($L421&lt;&gt;"",$L421&gt;=TODAY()-7),"Keyword",AND('Task Finder'!$C$7&lt;&gt;"",OR(ISNUMBER(SEARCH('Task Finder'!$C$7,$A421)),ISNUMBER(SEARCH('Task Finder'!$C$7,$B421)),ISNUMBER(SEARCH('Task Finder'!$C$7,$C421)),ISNUMBER(SEARCH('Task Finder'!$C$7,$D421)),ISNUMBER(SEARCH('Task Finder'!$C$7,$K421)))),TRUE))</f>
        <v/>
      </c>
    </row>
    <row r="422">
      <c r="A422" s="19" t="n"/>
      <c r="B422" s="19" t="n"/>
      <c r="C422" s="19" t="n"/>
      <c r="D422" s="19" t="n"/>
      <c r="E422" s="19" t="n"/>
      <c r="F422" s="19" t="n"/>
      <c r="G422" s="19" t="n"/>
      <c r="H422" s="19" t="n"/>
      <c r="I422" s="19" t="n"/>
      <c r="J422" s="19" t="n"/>
      <c r="K422" s="19" t="n"/>
      <c r="L422" s="125" t="n"/>
      <c r="M422" s="88">
        <f>IF($D422="","",IFERROR(VLOOKUP($H422,Lists!$N$2:$O$6,2,FALSE),0))</f>
        <v/>
      </c>
      <c r="N422" s="88">
        <f>IF($D422="","",IF(OR($E422="Blocked",$E422="Done",$E422="Archive"),-9999,IF(AND($E422="Waiting",SUMPRODUCT((($E$5:$E$500="Next")+($E$5:$E$500="In Progress")+($E$5:$E$500="Captured"))*($D$5:$D$500&lt;&gt;""))&gt;0),-500,VLOOKUP($F422,Lists!$L$2:$M$4,2,FALSE)+IF($E422="In Progress",10,0)+IF(AND($I422&lt;&gt;"",$I422&lt;TODAY()),25,0)+IF(AND($I422&lt;&gt;"",$I422&gt;=TODAY(),$I422&lt;=TODAY()+7),15,0)+IF($H422="",0,IF($M422&lt;=VLOOKUP(Home!$C$7,Lists!$N$2:$O$6,2,FALSE),20,-10))+IF($G422=Home!$E$7,15,IF(Home!$E$7="",0,-5))-ROW()/100000)))</f>
        <v/>
      </c>
      <c r="O422" s="88">
        <f>IF($D422="","",IF($N422&lt;=-500,"Not recommended right now",IF($E422="Waiting","Nothing else actionable right now — Waiting on: "&amp;IF($K422="","this item",$K422),TEXTJOIN(" • ",TRUE,IF($F422="High","High Priority",""),IF(AND($I422&lt;&gt;"",$I422&lt;TODAY()),"Overdue",""),IF(AND($I422&lt;&gt;"",$I422&gt;=TODAY(),$I422&lt;=TODAY()+7),"Due This Week",""),IF(AND($H422&lt;&gt;"",$M422&lt;=VLOOKUP(Home!$C$7,Lists!$N$2:$O$6,2,FALSE)),$H422&amp;" Task",""),IF($G422=Home!$E$7,"Fits Current Energy",""),"No Blockers"))))</f>
        <v/>
      </c>
      <c r="P422" s="88">
        <f>IF($D422="","",SWITCH('Task Finder'!$C$6,"High Priority",AND($F422="High",$E422&lt;&gt;"Done",$E422&lt;&gt;"Archive"),"Due This Week",AND($I422&lt;&gt;"",$I422&gt;=TODAY(),$I422&lt;=TODAY()+7,$E422&lt;&gt;"Done"),"Quick Wins (15 mins or less)",AND($M422&lt;=15,$E422&lt;&gt;"Done",$E422&lt;&gt;"Blocked"),"Deep Thinking",AND($G422="Deep Thinking",$E422&lt;&gt;"Done"),"Processing",AND($G422="Processing",$E422&lt;&gt;"Done"),"Blocked",$E422="Blocked","Waiting",$E422="Waiting","Recently Updated",AND($L422&lt;&gt;"",$L422&gt;=TODAY()-7),"Keyword",AND('Task Finder'!$C$7&lt;&gt;"",OR(ISNUMBER(SEARCH('Task Finder'!$C$7,$A422)),ISNUMBER(SEARCH('Task Finder'!$C$7,$B422)),ISNUMBER(SEARCH('Task Finder'!$C$7,$C422)),ISNUMBER(SEARCH('Task Finder'!$C$7,$D422)),ISNUMBER(SEARCH('Task Finder'!$C$7,$K422)))),TRUE))</f>
        <v/>
      </c>
    </row>
    <row r="423">
      <c r="A423" s="19" t="n"/>
      <c r="B423" s="19" t="n"/>
      <c r="C423" s="19" t="n"/>
      <c r="D423" s="19" t="n"/>
      <c r="E423" s="19" t="n"/>
      <c r="F423" s="19" t="n"/>
      <c r="G423" s="19" t="n"/>
      <c r="H423" s="19" t="n"/>
      <c r="I423" s="19" t="n"/>
      <c r="J423" s="19" t="n"/>
      <c r="K423" s="19" t="n"/>
      <c r="L423" s="125" t="n"/>
      <c r="M423" s="88">
        <f>IF($D423="","",IFERROR(VLOOKUP($H423,Lists!$N$2:$O$6,2,FALSE),0))</f>
        <v/>
      </c>
      <c r="N423" s="88">
        <f>IF($D423="","",IF(OR($E423="Blocked",$E423="Done",$E423="Archive"),-9999,IF(AND($E423="Waiting",SUMPRODUCT((($E$5:$E$500="Next")+($E$5:$E$500="In Progress")+($E$5:$E$500="Captured"))*($D$5:$D$500&lt;&gt;""))&gt;0),-500,VLOOKUP($F423,Lists!$L$2:$M$4,2,FALSE)+IF($E423="In Progress",10,0)+IF(AND($I423&lt;&gt;"",$I423&lt;TODAY()),25,0)+IF(AND($I423&lt;&gt;"",$I423&gt;=TODAY(),$I423&lt;=TODAY()+7),15,0)+IF($H423="",0,IF($M423&lt;=VLOOKUP(Home!$C$7,Lists!$N$2:$O$6,2,FALSE),20,-10))+IF($G423=Home!$E$7,15,IF(Home!$E$7="",0,-5))-ROW()/100000)))</f>
        <v/>
      </c>
      <c r="O423" s="88">
        <f>IF($D423="","",IF($N423&lt;=-500,"Not recommended right now",IF($E423="Waiting","Nothing else actionable right now — Waiting on: "&amp;IF($K423="","this item",$K423),TEXTJOIN(" • ",TRUE,IF($F423="High","High Priority",""),IF(AND($I423&lt;&gt;"",$I423&lt;TODAY()),"Overdue",""),IF(AND($I423&lt;&gt;"",$I423&gt;=TODAY(),$I423&lt;=TODAY()+7),"Due This Week",""),IF(AND($H423&lt;&gt;"",$M423&lt;=VLOOKUP(Home!$C$7,Lists!$N$2:$O$6,2,FALSE)),$H423&amp;" Task",""),IF($G423=Home!$E$7,"Fits Current Energy",""),"No Blockers"))))</f>
        <v/>
      </c>
      <c r="P423" s="88">
        <f>IF($D423="","",SWITCH('Task Finder'!$C$6,"High Priority",AND($F423="High",$E423&lt;&gt;"Done",$E423&lt;&gt;"Archive"),"Due This Week",AND($I423&lt;&gt;"",$I423&gt;=TODAY(),$I423&lt;=TODAY()+7,$E423&lt;&gt;"Done"),"Quick Wins (15 mins or less)",AND($M423&lt;=15,$E423&lt;&gt;"Done",$E423&lt;&gt;"Blocked"),"Deep Thinking",AND($G423="Deep Thinking",$E423&lt;&gt;"Done"),"Processing",AND($G423="Processing",$E423&lt;&gt;"Done"),"Blocked",$E423="Blocked","Waiting",$E423="Waiting","Recently Updated",AND($L423&lt;&gt;"",$L423&gt;=TODAY()-7),"Keyword",AND('Task Finder'!$C$7&lt;&gt;"",OR(ISNUMBER(SEARCH('Task Finder'!$C$7,$A423)),ISNUMBER(SEARCH('Task Finder'!$C$7,$B423)),ISNUMBER(SEARCH('Task Finder'!$C$7,$C423)),ISNUMBER(SEARCH('Task Finder'!$C$7,$D423)),ISNUMBER(SEARCH('Task Finder'!$C$7,$K423)))),TRUE))</f>
        <v/>
      </c>
    </row>
    <row r="424">
      <c r="A424" s="19" t="n"/>
      <c r="B424" s="19" t="n"/>
      <c r="C424" s="19" t="n"/>
      <c r="D424" s="19" t="n"/>
      <c r="E424" s="19" t="n"/>
      <c r="F424" s="19" t="n"/>
      <c r="G424" s="19" t="n"/>
      <c r="H424" s="19" t="n"/>
      <c r="I424" s="19" t="n"/>
      <c r="J424" s="19" t="n"/>
      <c r="K424" s="19" t="n"/>
      <c r="L424" s="125" t="n"/>
      <c r="M424" s="88">
        <f>IF($D424="","",IFERROR(VLOOKUP($H424,Lists!$N$2:$O$6,2,FALSE),0))</f>
        <v/>
      </c>
      <c r="N424" s="88">
        <f>IF($D424="","",IF(OR($E424="Blocked",$E424="Done",$E424="Archive"),-9999,IF(AND($E424="Waiting",SUMPRODUCT((($E$5:$E$500="Next")+($E$5:$E$500="In Progress")+($E$5:$E$500="Captured"))*($D$5:$D$500&lt;&gt;""))&gt;0),-500,VLOOKUP($F424,Lists!$L$2:$M$4,2,FALSE)+IF($E424="In Progress",10,0)+IF(AND($I424&lt;&gt;"",$I424&lt;TODAY()),25,0)+IF(AND($I424&lt;&gt;"",$I424&gt;=TODAY(),$I424&lt;=TODAY()+7),15,0)+IF($H424="",0,IF($M424&lt;=VLOOKUP(Home!$C$7,Lists!$N$2:$O$6,2,FALSE),20,-10))+IF($G424=Home!$E$7,15,IF(Home!$E$7="",0,-5))-ROW()/100000)))</f>
        <v/>
      </c>
      <c r="O424" s="88">
        <f>IF($D424="","",IF($N424&lt;=-500,"Not recommended right now",IF($E424="Waiting","Nothing else actionable right now — Waiting on: "&amp;IF($K424="","this item",$K424),TEXTJOIN(" • ",TRUE,IF($F424="High","High Priority",""),IF(AND($I424&lt;&gt;"",$I424&lt;TODAY()),"Overdue",""),IF(AND($I424&lt;&gt;"",$I424&gt;=TODAY(),$I424&lt;=TODAY()+7),"Due This Week",""),IF(AND($H424&lt;&gt;"",$M424&lt;=VLOOKUP(Home!$C$7,Lists!$N$2:$O$6,2,FALSE)),$H424&amp;" Task",""),IF($G424=Home!$E$7,"Fits Current Energy",""),"No Blockers"))))</f>
        <v/>
      </c>
      <c r="P424" s="88">
        <f>IF($D424="","",SWITCH('Task Finder'!$C$6,"High Priority",AND($F424="High",$E424&lt;&gt;"Done",$E424&lt;&gt;"Archive"),"Due This Week",AND($I424&lt;&gt;"",$I424&gt;=TODAY(),$I424&lt;=TODAY()+7,$E424&lt;&gt;"Done"),"Quick Wins (15 mins or less)",AND($M424&lt;=15,$E424&lt;&gt;"Done",$E424&lt;&gt;"Blocked"),"Deep Thinking",AND($G424="Deep Thinking",$E424&lt;&gt;"Done"),"Processing",AND($G424="Processing",$E424&lt;&gt;"Done"),"Blocked",$E424="Blocked","Waiting",$E424="Waiting","Recently Updated",AND($L424&lt;&gt;"",$L424&gt;=TODAY()-7),"Keyword",AND('Task Finder'!$C$7&lt;&gt;"",OR(ISNUMBER(SEARCH('Task Finder'!$C$7,$A424)),ISNUMBER(SEARCH('Task Finder'!$C$7,$B424)),ISNUMBER(SEARCH('Task Finder'!$C$7,$C424)),ISNUMBER(SEARCH('Task Finder'!$C$7,$D424)),ISNUMBER(SEARCH('Task Finder'!$C$7,$K424)))),TRUE))</f>
        <v/>
      </c>
    </row>
    <row r="425">
      <c r="A425" s="19" t="n"/>
      <c r="B425" s="19" t="n"/>
      <c r="C425" s="19" t="n"/>
      <c r="D425" s="19" t="n"/>
      <c r="E425" s="19" t="n"/>
      <c r="F425" s="19" t="n"/>
      <c r="G425" s="19" t="n"/>
      <c r="H425" s="19" t="n"/>
      <c r="I425" s="19" t="n"/>
      <c r="J425" s="19" t="n"/>
      <c r="K425" s="19" t="n"/>
      <c r="L425" s="125" t="n"/>
      <c r="M425" s="88">
        <f>IF($D425="","",IFERROR(VLOOKUP($H425,Lists!$N$2:$O$6,2,FALSE),0))</f>
        <v/>
      </c>
      <c r="N425" s="88">
        <f>IF($D425="","",IF(OR($E425="Blocked",$E425="Done",$E425="Archive"),-9999,IF(AND($E425="Waiting",SUMPRODUCT((($E$5:$E$500="Next")+($E$5:$E$500="In Progress")+($E$5:$E$500="Captured"))*($D$5:$D$500&lt;&gt;""))&gt;0),-500,VLOOKUP($F425,Lists!$L$2:$M$4,2,FALSE)+IF($E425="In Progress",10,0)+IF(AND($I425&lt;&gt;"",$I425&lt;TODAY()),25,0)+IF(AND($I425&lt;&gt;"",$I425&gt;=TODAY(),$I425&lt;=TODAY()+7),15,0)+IF($H425="",0,IF($M425&lt;=VLOOKUP(Home!$C$7,Lists!$N$2:$O$6,2,FALSE),20,-10))+IF($G425=Home!$E$7,15,IF(Home!$E$7="",0,-5))-ROW()/100000)))</f>
        <v/>
      </c>
      <c r="O425" s="88">
        <f>IF($D425="","",IF($N425&lt;=-500,"Not recommended right now",IF($E425="Waiting","Nothing else actionable right now — Waiting on: "&amp;IF($K425="","this item",$K425),TEXTJOIN(" • ",TRUE,IF($F425="High","High Priority",""),IF(AND($I425&lt;&gt;"",$I425&lt;TODAY()),"Overdue",""),IF(AND($I425&lt;&gt;"",$I425&gt;=TODAY(),$I425&lt;=TODAY()+7),"Due This Week",""),IF(AND($H425&lt;&gt;"",$M425&lt;=VLOOKUP(Home!$C$7,Lists!$N$2:$O$6,2,FALSE)),$H425&amp;" Task",""),IF($G425=Home!$E$7,"Fits Current Energy",""),"No Blockers"))))</f>
        <v/>
      </c>
      <c r="P425" s="88">
        <f>IF($D425="","",SWITCH('Task Finder'!$C$6,"High Priority",AND($F425="High",$E425&lt;&gt;"Done",$E425&lt;&gt;"Archive"),"Due This Week",AND($I425&lt;&gt;"",$I425&gt;=TODAY(),$I425&lt;=TODAY()+7,$E425&lt;&gt;"Done"),"Quick Wins (15 mins or less)",AND($M425&lt;=15,$E425&lt;&gt;"Done",$E425&lt;&gt;"Blocked"),"Deep Thinking",AND($G425="Deep Thinking",$E425&lt;&gt;"Done"),"Processing",AND($G425="Processing",$E425&lt;&gt;"Done"),"Blocked",$E425="Blocked","Waiting",$E425="Waiting","Recently Updated",AND($L425&lt;&gt;"",$L425&gt;=TODAY()-7),"Keyword",AND('Task Finder'!$C$7&lt;&gt;"",OR(ISNUMBER(SEARCH('Task Finder'!$C$7,$A425)),ISNUMBER(SEARCH('Task Finder'!$C$7,$B425)),ISNUMBER(SEARCH('Task Finder'!$C$7,$C425)),ISNUMBER(SEARCH('Task Finder'!$C$7,$D425)),ISNUMBER(SEARCH('Task Finder'!$C$7,$K425)))),TRUE))</f>
        <v/>
      </c>
    </row>
    <row r="426">
      <c r="A426" s="19" t="n"/>
      <c r="B426" s="19" t="n"/>
      <c r="C426" s="19" t="n"/>
      <c r="D426" s="19" t="n"/>
      <c r="E426" s="19" t="n"/>
      <c r="F426" s="19" t="n"/>
      <c r="G426" s="19" t="n"/>
      <c r="H426" s="19" t="n"/>
      <c r="I426" s="19" t="n"/>
      <c r="J426" s="19" t="n"/>
      <c r="K426" s="19" t="n"/>
      <c r="L426" s="125" t="n"/>
      <c r="M426" s="88">
        <f>IF($D426="","",IFERROR(VLOOKUP($H426,Lists!$N$2:$O$6,2,FALSE),0))</f>
        <v/>
      </c>
      <c r="N426" s="88">
        <f>IF($D426="","",IF(OR($E426="Blocked",$E426="Done",$E426="Archive"),-9999,IF(AND($E426="Waiting",SUMPRODUCT((($E$5:$E$500="Next")+($E$5:$E$500="In Progress")+($E$5:$E$500="Captured"))*($D$5:$D$500&lt;&gt;""))&gt;0),-500,VLOOKUP($F426,Lists!$L$2:$M$4,2,FALSE)+IF($E426="In Progress",10,0)+IF(AND($I426&lt;&gt;"",$I426&lt;TODAY()),25,0)+IF(AND($I426&lt;&gt;"",$I426&gt;=TODAY(),$I426&lt;=TODAY()+7),15,0)+IF($H426="",0,IF($M426&lt;=VLOOKUP(Home!$C$7,Lists!$N$2:$O$6,2,FALSE),20,-10))+IF($G426=Home!$E$7,15,IF(Home!$E$7="",0,-5))-ROW()/100000)))</f>
        <v/>
      </c>
      <c r="O426" s="88">
        <f>IF($D426="","",IF($N426&lt;=-500,"Not recommended right now",IF($E426="Waiting","Nothing else actionable right now — Waiting on: "&amp;IF($K426="","this item",$K426),TEXTJOIN(" • ",TRUE,IF($F426="High","High Priority",""),IF(AND($I426&lt;&gt;"",$I426&lt;TODAY()),"Overdue",""),IF(AND($I426&lt;&gt;"",$I426&gt;=TODAY(),$I426&lt;=TODAY()+7),"Due This Week",""),IF(AND($H426&lt;&gt;"",$M426&lt;=VLOOKUP(Home!$C$7,Lists!$N$2:$O$6,2,FALSE)),$H426&amp;" Task",""),IF($G426=Home!$E$7,"Fits Current Energy",""),"No Blockers"))))</f>
        <v/>
      </c>
      <c r="P426" s="88">
        <f>IF($D426="","",SWITCH('Task Finder'!$C$6,"High Priority",AND($F426="High",$E426&lt;&gt;"Done",$E426&lt;&gt;"Archive"),"Due This Week",AND($I426&lt;&gt;"",$I426&gt;=TODAY(),$I426&lt;=TODAY()+7,$E426&lt;&gt;"Done"),"Quick Wins (15 mins or less)",AND($M426&lt;=15,$E426&lt;&gt;"Done",$E426&lt;&gt;"Blocked"),"Deep Thinking",AND($G426="Deep Thinking",$E426&lt;&gt;"Done"),"Processing",AND($G426="Processing",$E426&lt;&gt;"Done"),"Blocked",$E426="Blocked","Waiting",$E426="Waiting","Recently Updated",AND($L426&lt;&gt;"",$L426&gt;=TODAY()-7),"Keyword",AND('Task Finder'!$C$7&lt;&gt;"",OR(ISNUMBER(SEARCH('Task Finder'!$C$7,$A426)),ISNUMBER(SEARCH('Task Finder'!$C$7,$B426)),ISNUMBER(SEARCH('Task Finder'!$C$7,$C426)),ISNUMBER(SEARCH('Task Finder'!$C$7,$D426)),ISNUMBER(SEARCH('Task Finder'!$C$7,$K426)))),TRUE))</f>
        <v/>
      </c>
    </row>
    <row r="427">
      <c r="A427" s="19" t="n"/>
      <c r="B427" s="19" t="n"/>
      <c r="C427" s="19" t="n"/>
      <c r="D427" s="19" t="n"/>
      <c r="E427" s="19" t="n"/>
      <c r="F427" s="19" t="n"/>
      <c r="G427" s="19" t="n"/>
      <c r="H427" s="19" t="n"/>
      <c r="I427" s="19" t="n"/>
      <c r="J427" s="19" t="n"/>
      <c r="K427" s="19" t="n"/>
      <c r="L427" s="125" t="n"/>
      <c r="M427" s="88">
        <f>IF($D427="","",IFERROR(VLOOKUP($H427,Lists!$N$2:$O$6,2,FALSE),0))</f>
        <v/>
      </c>
      <c r="N427" s="88">
        <f>IF($D427="","",IF(OR($E427="Blocked",$E427="Done",$E427="Archive"),-9999,IF(AND($E427="Waiting",SUMPRODUCT((($E$5:$E$500="Next")+($E$5:$E$500="In Progress")+($E$5:$E$500="Captured"))*($D$5:$D$500&lt;&gt;""))&gt;0),-500,VLOOKUP($F427,Lists!$L$2:$M$4,2,FALSE)+IF($E427="In Progress",10,0)+IF(AND($I427&lt;&gt;"",$I427&lt;TODAY()),25,0)+IF(AND($I427&lt;&gt;"",$I427&gt;=TODAY(),$I427&lt;=TODAY()+7),15,0)+IF($H427="",0,IF($M427&lt;=VLOOKUP(Home!$C$7,Lists!$N$2:$O$6,2,FALSE),20,-10))+IF($G427=Home!$E$7,15,IF(Home!$E$7="",0,-5))-ROW()/100000)))</f>
        <v/>
      </c>
      <c r="O427" s="88">
        <f>IF($D427="","",IF($N427&lt;=-500,"Not recommended right now",IF($E427="Waiting","Nothing else actionable right now — Waiting on: "&amp;IF($K427="","this item",$K427),TEXTJOIN(" • ",TRUE,IF($F427="High","High Priority",""),IF(AND($I427&lt;&gt;"",$I427&lt;TODAY()),"Overdue",""),IF(AND($I427&lt;&gt;"",$I427&gt;=TODAY(),$I427&lt;=TODAY()+7),"Due This Week",""),IF(AND($H427&lt;&gt;"",$M427&lt;=VLOOKUP(Home!$C$7,Lists!$N$2:$O$6,2,FALSE)),$H427&amp;" Task",""),IF($G427=Home!$E$7,"Fits Current Energy",""),"No Blockers"))))</f>
        <v/>
      </c>
      <c r="P427" s="88">
        <f>IF($D427="","",SWITCH('Task Finder'!$C$6,"High Priority",AND($F427="High",$E427&lt;&gt;"Done",$E427&lt;&gt;"Archive"),"Due This Week",AND($I427&lt;&gt;"",$I427&gt;=TODAY(),$I427&lt;=TODAY()+7,$E427&lt;&gt;"Done"),"Quick Wins (15 mins or less)",AND($M427&lt;=15,$E427&lt;&gt;"Done",$E427&lt;&gt;"Blocked"),"Deep Thinking",AND($G427="Deep Thinking",$E427&lt;&gt;"Done"),"Processing",AND($G427="Processing",$E427&lt;&gt;"Done"),"Blocked",$E427="Blocked","Waiting",$E427="Waiting","Recently Updated",AND($L427&lt;&gt;"",$L427&gt;=TODAY()-7),"Keyword",AND('Task Finder'!$C$7&lt;&gt;"",OR(ISNUMBER(SEARCH('Task Finder'!$C$7,$A427)),ISNUMBER(SEARCH('Task Finder'!$C$7,$B427)),ISNUMBER(SEARCH('Task Finder'!$C$7,$C427)),ISNUMBER(SEARCH('Task Finder'!$C$7,$D427)),ISNUMBER(SEARCH('Task Finder'!$C$7,$K427)))),TRUE))</f>
        <v/>
      </c>
    </row>
    <row r="428">
      <c r="A428" s="19" t="n"/>
      <c r="B428" s="19" t="n"/>
      <c r="C428" s="19" t="n"/>
      <c r="D428" s="19" t="n"/>
      <c r="E428" s="19" t="n"/>
      <c r="F428" s="19" t="n"/>
      <c r="G428" s="19" t="n"/>
      <c r="H428" s="19" t="n"/>
      <c r="I428" s="19" t="n"/>
      <c r="J428" s="19" t="n"/>
      <c r="K428" s="19" t="n"/>
      <c r="L428" s="125" t="n"/>
      <c r="M428" s="88">
        <f>IF($D428="","",IFERROR(VLOOKUP($H428,Lists!$N$2:$O$6,2,FALSE),0))</f>
        <v/>
      </c>
      <c r="N428" s="88">
        <f>IF($D428="","",IF(OR($E428="Blocked",$E428="Done",$E428="Archive"),-9999,IF(AND($E428="Waiting",SUMPRODUCT((($E$5:$E$500="Next")+($E$5:$E$500="In Progress")+($E$5:$E$500="Captured"))*($D$5:$D$500&lt;&gt;""))&gt;0),-500,VLOOKUP($F428,Lists!$L$2:$M$4,2,FALSE)+IF($E428="In Progress",10,0)+IF(AND($I428&lt;&gt;"",$I428&lt;TODAY()),25,0)+IF(AND($I428&lt;&gt;"",$I428&gt;=TODAY(),$I428&lt;=TODAY()+7),15,0)+IF($H428="",0,IF($M428&lt;=VLOOKUP(Home!$C$7,Lists!$N$2:$O$6,2,FALSE),20,-10))+IF($G428=Home!$E$7,15,IF(Home!$E$7="",0,-5))-ROW()/100000)))</f>
        <v/>
      </c>
      <c r="O428" s="88">
        <f>IF($D428="","",IF($N428&lt;=-500,"Not recommended right now",IF($E428="Waiting","Nothing else actionable right now — Waiting on: "&amp;IF($K428="","this item",$K428),TEXTJOIN(" • ",TRUE,IF($F428="High","High Priority",""),IF(AND($I428&lt;&gt;"",$I428&lt;TODAY()),"Overdue",""),IF(AND($I428&lt;&gt;"",$I428&gt;=TODAY(),$I428&lt;=TODAY()+7),"Due This Week",""),IF(AND($H428&lt;&gt;"",$M428&lt;=VLOOKUP(Home!$C$7,Lists!$N$2:$O$6,2,FALSE)),$H428&amp;" Task",""),IF($G428=Home!$E$7,"Fits Current Energy",""),"No Blockers"))))</f>
        <v/>
      </c>
      <c r="P428" s="88">
        <f>IF($D428="","",SWITCH('Task Finder'!$C$6,"High Priority",AND($F428="High",$E428&lt;&gt;"Done",$E428&lt;&gt;"Archive"),"Due This Week",AND($I428&lt;&gt;"",$I428&gt;=TODAY(),$I428&lt;=TODAY()+7,$E428&lt;&gt;"Done"),"Quick Wins (15 mins or less)",AND($M428&lt;=15,$E428&lt;&gt;"Done",$E428&lt;&gt;"Blocked"),"Deep Thinking",AND($G428="Deep Thinking",$E428&lt;&gt;"Done"),"Processing",AND($G428="Processing",$E428&lt;&gt;"Done"),"Blocked",$E428="Blocked","Waiting",$E428="Waiting","Recently Updated",AND($L428&lt;&gt;"",$L428&gt;=TODAY()-7),"Keyword",AND('Task Finder'!$C$7&lt;&gt;"",OR(ISNUMBER(SEARCH('Task Finder'!$C$7,$A428)),ISNUMBER(SEARCH('Task Finder'!$C$7,$B428)),ISNUMBER(SEARCH('Task Finder'!$C$7,$C428)),ISNUMBER(SEARCH('Task Finder'!$C$7,$D428)),ISNUMBER(SEARCH('Task Finder'!$C$7,$K428)))),TRUE))</f>
        <v/>
      </c>
    </row>
    <row r="429">
      <c r="A429" s="19" t="n"/>
      <c r="B429" s="19" t="n"/>
      <c r="C429" s="19" t="n"/>
      <c r="D429" s="19" t="n"/>
      <c r="E429" s="19" t="n"/>
      <c r="F429" s="19" t="n"/>
      <c r="G429" s="19" t="n"/>
      <c r="H429" s="19" t="n"/>
      <c r="I429" s="19" t="n"/>
      <c r="J429" s="19" t="n"/>
      <c r="K429" s="19" t="n"/>
      <c r="L429" s="125" t="n"/>
      <c r="M429" s="88">
        <f>IF($D429="","",IFERROR(VLOOKUP($H429,Lists!$N$2:$O$6,2,FALSE),0))</f>
        <v/>
      </c>
      <c r="N429" s="88">
        <f>IF($D429="","",IF(OR($E429="Blocked",$E429="Done",$E429="Archive"),-9999,IF(AND($E429="Waiting",SUMPRODUCT((($E$5:$E$500="Next")+($E$5:$E$500="In Progress")+($E$5:$E$500="Captured"))*($D$5:$D$500&lt;&gt;""))&gt;0),-500,VLOOKUP($F429,Lists!$L$2:$M$4,2,FALSE)+IF($E429="In Progress",10,0)+IF(AND($I429&lt;&gt;"",$I429&lt;TODAY()),25,0)+IF(AND($I429&lt;&gt;"",$I429&gt;=TODAY(),$I429&lt;=TODAY()+7),15,0)+IF($H429="",0,IF($M429&lt;=VLOOKUP(Home!$C$7,Lists!$N$2:$O$6,2,FALSE),20,-10))+IF($G429=Home!$E$7,15,IF(Home!$E$7="",0,-5))-ROW()/100000)))</f>
        <v/>
      </c>
      <c r="O429" s="88">
        <f>IF($D429="","",IF($N429&lt;=-500,"Not recommended right now",IF($E429="Waiting","Nothing else actionable right now — Waiting on: "&amp;IF($K429="","this item",$K429),TEXTJOIN(" • ",TRUE,IF($F429="High","High Priority",""),IF(AND($I429&lt;&gt;"",$I429&lt;TODAY()),"Overdue",""),IF(AND($I429&lt;&gt;"",$I429&gt;=TODAY(),$I429&lt;=TODAY()+7),"Due This Week",""),IF(AND($H429&lt;&gt;"",$M429&lt;=VLOOKUP(Home!$C$7,Lists!$N$2:$O$6,2,FALSE)),$H429&amp;" Task",""),IF($G429=Home!$E$7,"Fits Current Energy",""),"No Blockers"))))</f>
        <v/>
      </c>
      <c r="P429" s="88">
        <f>IF($D429="","",SWITCH('Task Finder'!$C$6,"High Priority",AND($F429="High",$E429&lt;&gt;"Done",$E429&lt;&gt;"Archive"),"Due This Week",AND($I429&lt;&gt;"",$I429&gt;=TODAY(),$I429&lt;=TODAY()+7,$E429&lt;&gt;"Done"),"Quick Wins (15 mins or less)",AND($M429&lt;=15,$E429&lt;&gt;"Done",$E429&lt;&gt;"Blocked"),"Deep Thinking",AND($G429="Deep Thinking",$E429&lt;&gt;"Done"),"Processing",AND($G429="Processing",$E429&lt;&gt;"Done"),"Blocked",$E429="Blocked","Waiting",$E429="Waiting","Recently Updated",AND($L429&lt;&gt;"",$L429&gt;=TODAY()-7),"Keyword",AND('Task Finder'!$C$7&lt;&gt;"",OR(ISNUMBER(SEARCH('Task Finder'!$C$7,$A429)),ISNUMBER(SEARCH('Task Finder'!$C$7,$B429)),ISNUMBER(SEARCH('Task Finder'!$C$7,$C429)),ISNUMBER(SEARCH('Task Finder'!$C$7,$D429)),ISNUMBER(SEARCH('Task Finder'!$C$7,$K429)))),TRUE))</f>
        <v/>
      </c>
    </row>
    <row r="430">
      <c r="A430" s="19" t="n"/>
      <c r="B430" s="19" t="n"/>
      <c r="C430" s="19" t="n"/>
      <c r="D430" s="19" t="n"/>
      <c r="E430" s="19" t="n"/>
      <c r="F430" s="19" t="n"/>
      <c r="G430" s="19" t="n"/>
      <c r="H430" s="19" t="n"/>
      <c r="I430" s="19" t="n"/>
      <c r="J430" s="19" t="n"/>
      <c r="K430" s="19" t="n"/>
      <c r="L430" s="125" t="n"/>
      <c r="M430" s="88">
        <f>IF($D430="","",IFERROR(VLOOKUP($H430,Lists!$N$2:$O$6,2,FALSE),0))</f>
        <v/>
      </c>
      <c r="N430" s="88">
        <f>IF($D430="","",IF(OR($E430="Blocked",$E430="Done",$E430="Archive"),-9999,IF(AND($E430="Waiting",SUMPRODUCT((($E$5:$E$500="Next")+($E$5:$E$500="In Progress")+($E$5:$E$500="Captured"))*($D$5:$D$500&lt;&gt;""))&gt;0),-500,VLOOKUP($F430,Lists!$L$2:$M$4,2,FALSE)+IF($E430="In Progress",10,0)+IF(AND($I430&lt;&gt;"",$I430&lt;TODAY()),25,0)+IF(AND($I430&lt;&gt;"",$I430&gt;=TODAY(),$I430&lt;=TODAY()+7),15,0)+IF($H430="",0,IF($M430&lt;=VLOOKUP(Home!$C$7,Lists!$N$2:$O$6,2,FALSE),20,-10))+IF($G430=Home!$E$7,15,IF(Home!$E$7="",0,-5))-ROW()/100000)))</f>
        <v/>
      </c>
      <c r="O430" s="88">
        <f>IF($D430="","",IF($N430&lt;=-500,"Not recommended right now",IF($E430="Waiting","Nothing else actionable right now — Waiting on: "&amp;IF($K430="","this item",$K430),TEXTJOIN(" • ",TRUE,IF($F430="High","High Priority",""),IF(AND($I430&lt;&gt;"",$I430&lt;TODAY()),"Overdue",""),IF(AND($I430&lt;&gt;"",$I430&gt;=TODAY(),$I430&lt;=TODAY()+7),"Due This Week",""),IF(AND($H430&lt;&gt;"",$M430&lt;=VLOOKUP(Home!$C$7,Lists!$N$2:$O$6,2,FALSE)),$H430&amp;" Task",""),IF($G430=Home!$E$7,"Fits Current Energy",""),"No Blockers"))))</f>
        <v/>
      </c>
      <c r="P430" s="88">
        <f>IF($D430="","",SWITCH('Task Finder'!$C$6,"High Priority",AND($F430="High",$E430&lt;&gt;"Done",$E430&lt;&gt;"Archive"),"Due This Week",AND($I430&lt;&gt;"",$I430&gt;=TODAY(),$I430&lt;=TODAY()+7,$E430&lt;&gt;"Done"),"Quick Wins (15 mins or less)",AND($M430&lt;=15,$E430&lt;&gt;"Done",$E430&lt;&gt;"Blocked"),"Deep Thinking",AND($G430="Deep Thinking",$E430&lt;&gt;"Done"),"Processing",AND($G430="Processing",$E430&lt;&gt;"Done"),"Blocked",$E430="Blocked","Waiting",$E430="Waiting","Recently Updated",AND($L430&lt;&gt;"",$L430&gt;=TODAY()-7),"Keyword",AND('Task Finder'!$C$7&lt;&gt;"",OR(ISNUMBER(SEARCH('Task Finder'!$C$7,$A430)),ISNUMBER(SEARCH('Task Finder'!$C$7,$B430)),ISNUMBER(SEARCH('Task Finder'!$C$7,$C430)),ISNUMBER(SEARCH('Task Finder'!$C$7,$D430)),ISNUMBER(SEARCH('Task Finder'!$C$7,$K430)))),TRUE))</f>
        <v/>
      </c>
    </row>
    <row r="431">
      <c r="A431" s="19" t="n"/>
      <c r="B431" s="19" t="n"/>
      <c r="C431" s="19" t="n"/>
      <c r="D431" s="19" t="n"/>
      <c r="E431" s="19" t="n"/>
      <c r="F431" s="19" t="n"/>
      <c r="G431" s="19" t="n"/>
      <c r="H431" s="19" t="n"/>
      <c r="I431" s="19" t="n"/>
      <c r="J431" s="19" t="n"/>
      <c r="K431" s="19" t="n"/>
      <c r="L431" s="125" t="n"/>
      <c r="M431" s="88">
        <f>IF($D431="","",IFERROR(VLOOKUP($H431,Lists!$N$2:$O$6,2,FALSE),0))</f>
        <v/>
      </c>
      <c r="N431" s="88">
        <f>IF($D431="","",IF(OR($E431="Blocked",$E431="Done",$E431="Archive"),-9999,IF(AND($E431="Waiting",SUMPRODUCT((($E$5:$E$500="Next")+($E$5:$E$500="In Progress")+($E$5:$E$500="Captured"))*($D$5:$D$500&lt;&gt;""))&gt;0),-500,VLOOKUP($F431,Lists!$L$2:$M$4,2,FALSE)+IF($E431="In Progress",10,0)+IF(AND($I431&lt;&gt;"",$I431&lt;TODAY()),25,0)+IF(AND($I431&lt;&gt;"",$I431&gt;=TODAY(),$I431&lt;=TODAY()+7),15,0)+IF($H431="",0,IF($M431&lt;=VLOOKUP(Home!$C$7,Lists!$N$2:$O$6,2,FALSE),20,-10))+IF($G431=Home!$E$7,15,IF(Home!$E$7="",0,-5))-ROW()/100000)))</f>
        <v/>
      </c>
      <c r="O431" s="88">
        <f>IF($D431="","",IF($N431&lt;=-500,"Not recommended right now",IF($E431="Waiting","Nothing else actionable right now — Waiting on: "&amp;IF($K431="","this item",$K431),TEXTJOIN(" • ",TRUE,IF($F431="High","High Priority",""),IF(AND($I431&lt;&gt;"",$I431&lt;TODAY()),"Overdue",""),IF(AND($I431&lt;&gt;"",$I431&gt;=TODAY(),$I431&lt;=TODAY()+7),"Due This Week",""),IF(AND($H431&lt;&gt;"",$M431&lt;=VLOOKUP(Home!$C$7,Lists!$N$2:$O$6,2,FALSE)),$H431&amp;" Task",""),IF($G431=Home!$E$7,"Fits Current Energy",""),"No Blockers"))))</f>
        <v/>
      </c>
      <c r="P431" s="88">
        <f>IF($D431="","",SWITCH('Task Finder'!$C$6,"High Priority",AND($F431="High",$E431&lt;&gt;"Done",$E431&lt;&gt;"Archive"),"Due This Week",AND($I431&lt;&gt;"",$I431&gt;=TODAY(),$I431&lt;=TODAY()+7,$E431&lt;&gt;"Done"),"Quick Wins (15 mins or less)",AND($M431&lt;=15,$E431&lt;&gt;"Done",$E431&lt;&gt;"Blocked"),"Deep Thinking",AND($G431="Deep Thinking",$E431&lt;&gt;"Done"),"Processing",AND($G431="Processing",$E431&lt;&gt;"Done"),"Blocked",$E431="Blocked","Waiting",$E431="Waiting","Recently Updated",AND($L431&lt;&gt;"",$L431&gt;=TODAY()-7),"Keyword",AND('Task Finder'!$C$7&lt;&gt;"",OR(ISNUMBER(SEARCH('Task Finder'!$C$7,$A431)),ISNUMBER(SEARCH('Task Finder'!$C$7,$B431)),ISNUMBER(SEARCH('Task Finder'!$C$7,$C431)),ISNUMBER(SEARCH('Task Finder'!$C$7,$D431)),ISNUMBER(SEARCH('Task Finder'!$C$7,$K431)))),TRUE))</f>
        <v/>
      </c>
    </row>
    <row r="432">
      <c r="A432" s="19" t="n"/>
      <c r="B432" s="19" t="n"/>
      <c r="C432" s="19" t="n"/>
      <c r="D432" s="19" t="n"/>
      <c r="E432" s="19" t="n"/>
      <c r="F432" s="19" t="n"/>
      <c r="G432" s="19" t="n"/>
      <c r="H432" s="19" t="n"/>
      <c r="I432" s="19" t="n"/>
      <c r="J432" s="19" t="n"/>
      <c r="K432" s="19" t="n"/>
      <c r="L432" s="125" t="n"/>
      <c r="M432" s="88">
        <f>IF($D432="","",IFERROR(VLOOKUP($H432,Lists!$N$2:$O$6,2,FALSE),0))</f>
        <v/>
      </c>
      <c r="N432" s="88">
        <f>IF($D432="","",IF(OR($E432="Blocked",$E432="Done",$E432="Archive"),-9999,IF(AND($E432="Waiting",SUMPRODUCT((($E$5:$E$500="Next")+($E$5:$E$500="In Progress")+($E$5:$E$500="Captured"))*($D$5:$D$500&lt;&gt;""))&gt;0),-500,VLOOKUP($F432,Lists!$L$2:$M$4,2,FALSE)+IF($E432="In Progress",10,0)+IF(AND($I432&lt;&gt;"",$I432&lt;TODAY()),25,0)+IF(AND($I432&lt;&gt;"",$I432&gt;=TODAY(),$I432&lt;=TODAY()+7),15,0)+IF($H432="",0,IF($M432&lt;=VLOOKUP(Home!$C$7,Lists!$N$2:$O$6,2,FALSE),20,-10))+IF($G432=Home!$E$7,15,IF(Home!$E$7="",0,-5))-ROW()/100000)))</f>
        <v/>
      </c>
      <c r="O432" s="88">
        <f>IF($D432="","",IF($N432&lt;=-500,"Not recommended right now",IF($E432="Waiting","Nothing else actionable right now — Waiting on: "&amp;IF($K432="","this item",$K432),TEXTJOIN(" • ",TRUE,IF($F432="High","High Priority",""),IF(AND($I432&lt;&gt;"",$I432&lt;TODAY()),"Overdue",""),IF(AND($I432&lt;&gt;"",$I432&gt;=TODAY(),$I432&lt;=TODAY()+7),"Due This Week",""),IF(AND($H432&lt;&gt;"",$M432&lt;=VLOOKUP(Home!$C$7,Lists!$N$2:$O$6,2,FALSE)),$H432&amp;" Task",""),IF($G432=Home!$E$7,"Fits Current Energy",""),"No Blockers"))))</f>
        <v/>
      </c>
      <c r="P432" s="88">
        <f>IF($D432="","",SWITCH('Task Finder'!$C$6,"High Priority",AND($F432="High",$E432&lt;&gt;"Done",$E432&lt;&gt;"Archive"),"Due This Week",AND($I432&lt;&gt;"",$I432&gt;=TODAY(),$I432&lt;=TODAY()+7,$E432&lt;&gt;"Done"),"Quick Wins (15 mins or less)",AND($M432&lt;=15,$E432&lt;&gt;"Done",$E432&lt;&gt;"Blocked"),"Deep Thinking",AND($G432="Deep Thinking",$E432&lt;&gt;"Done"),"Processing",AND($G432="Processing",$E432&lt;&gt;"Done"),"Blocked",$E432="Blocked","Waiting",$E432="Waiting","Recently Updated",AND($L432&lt;&gt;"",$L432&gt;=TODAY()-7),"Keyword",AND('Task Finder'!$C$7&lt;&gt;"",OR(ISNUMBER(SEARCH('Task Finder'!$C$7,$A432)),ISNUMBER(SEARCH('Task Finder'!$C$7,$B432)),ISNUMBER(SEARCH('Task Finder'!$C$7,$C432)),ISNUMBER(SEARCH('Task Finder'!$C$7,$D432)),ISNUMBER(SEARCH('Task Finder'!$C$7,$K432)))),TRUE))</f>
        <v/>
      </c>
    </row>
    <row r="433">
      <c r="A433" s="19" t="n"/>
      <c r="B433" s="19" t="n"/>
      <c r="C433" s="19" t="n"/>
      <c r="D433" s="19" t="n"/>
      <c r="E433" s="19" t="n"/>
      <c r="F433" s="19" t="n"/>
      <c r="G433" s="19" t="n"/>
      <c r="H433" s="19" t="n"/>
      <c r="I433" s="19" t="n"/>
      <c r="J433" s="19" t="n"/>
      <c r="K433" s="19" t="n"/>
      <c r="L433" s="125" t="n"/>
      <c r="M433" s="88">
        <f>IF($D433="","",IFERROR(VLOOKUP($H433,Lists!$N$2:$O$6,2,FALSE),0))</f>
        <v/>
      </c>
      <c r="N433" s="88">
        <f>IF($D433="","",IF(OR($E433="Blocked",$E433="Done",$E433="Archive"),-9999,IF(AND($E433="Waiting",SUMPRODUCT((($E$5:$E$500="Next")+($E$5:$E$500="In Progress")+($E$5:$E$500="Captured"))*($D$5:$D$500&lt;&gt;""))&gt;0),-500,VLOOKUP($F433,Lists!$L$2:$M$4,2,FALSE)+IF($E433="In Progress",10,0)+IF(AND($I433&lt;&gt;"",$I433&lt;TODAY()),25,0)+IF(AND($I433&lt;&gt;"",$I433&gt;=TODAY(),$I433&lt;=TODAY()+7),15,0)+IF($H433="",0,IF($M433&lt;=VLOOKUP(Home!$C$7,Lists!$N$2:$O$6,2,FALSE),20,-10))+IF($G433=Home!$E$7,15,IF(Home!$E$7="",0,-5))-ROW()/100000)))</f>
        <v/>
      </c>
      <c r="O433" s="88">
        <f>IF($D433="","",IF($N433&lt;=-500,"Not recommended right now",IF($E433="Waiting","Nothing else actionable right now — Waiting on: "&amp;IF($K433="","this item",$K433),TEXTJOIN(" • ",TRUE,IF($F433="High","High Priority",""),IF(AND($I433&lt;&gt;"",$I433&lt;TODAY()),"Overdue",""),IF(AND($I433&lt;&gt;"",$I433&gt;=TODAY(),$I433&lt;=TODAY()+7),"Due This Week",""),IF(AND($H433&lt;&gt;"",$M433&lt;=VLOOKUP(Home!$C$7,Lists!$N$2:$O$6,2,FALSE)),$H433&amp;" Task",""),IF($G433=Home!$E$7,"Fits Current Energy",""),"No Blockers"))))</f>
        <v/>
      </c>
      <c r="P433" s="88">
        <f>IF($D433="","",SWITCH('Task Finder'!$C$6,"High Priority",AND($F433="High",$E433&lt;&gt;"Done",$E433&lt;&gt;"Archive"),"Due This Week",AND($I433&lt;&gt;"",$I433&gt;=TODAY(),$I433&lt;=TODAY()+7,$E433&lt;&gt;"Done"),"Quick Wins (15 mins or less)",AND($M433&lt;=15,$E433&lt;&gt;"Done",$E433&lt;&gt;"Blocked"),"Deep Thinking",AND($G433="Deep Thinking",$E433&lt;&gt;"Done"),"Processing",AND($G433="Processing",$E433&lt;&gt;"Done"),"Blocked",$E433="Blocked","Waiting",$E433="Waiting","Recently Updated",AND($L433&lt;&gt;"",$L433&gt;=TODAY()-7),"Keyword",AND('Task Finder'!$C$7&lt;&gt;"",OR(ISNUMBER(SEARCH('Task Finder'!$C$7,$A433)),ISNUMBER(SEARCH('Task Finder'!$C$7,$B433)),ISNUMBER(SEARCH('Task Finder'!$C$7,$C433)),ISNUMBER(SEARCH('Task Finder'!$C$7,$D433)),ISNUMBER(SEARCH('Task Finder'!$C$7,$K433)))),TRUE))</f>
        <v/>
      </c>
    </row>
    <row r="434">
      <c r="A434" s="19" t="n"/>
      <c r="B434" s="19" t="n"/>
      <c r="C434" s="19" t="n"/>
      <c r="D434" s="19" t="n"/>
      <c r="E434" s="19" t="n"/>
      <c r="F434" s="19" t="n"/>
      <c r="G434" s="19" t="n"/>
      <c r="H434" s="19" t="n"/>
      <c r="I434" s="19" t="n"/>
      <c r="J434" s="19" t="n"/>
      <c r="K434" s="19" t="n"/>
      <c r="L434" s="125" t="n"/>
      <c r="M434" s="88">
        <f>IF($D434="","",IFERROR(VLOOKUP($H434,Lists!$N$2:$O$6,2,FALSE),0))</f>
        <v/>
      </c>
      <c r="N434" s="88">
        <f>IF($D434="","",IF(OR($E434="Blocked",$E434="Done",$E434="Archive"),-9999,IF(AND($E434="Waiting",SUMPRODUCT((($E$5:$E$500="Next")+($E$5:$E$500="In Progress")+($E$5:$E$500="Captured"))*($D$5:$D$500&lt;&gt;""))&gt;0),-500,VLOOKUP($F434,Lists!$L$2:$M$4,2,FALSE)+IF($E434="In Progress",10,0)+IF(AND($I434&lt;&gt;"",$I434&lt;TODAY()),25,0)+IF(AND($I434&lt;&gt;"",$I434&gt;=TODAY(),$I434&lt;=TODAY()+7),15,0)+IF($H434="",0,IF($M434&lt;=VLOOKUP(Home!$C$7,Lists!$N$2:$O$6,2,FALSE),20,-10))+IF($G434=Home!$E$7,15,IF(Home!$E$7="",0,-5))-ROW()/100000)))</f>
        <v/>
      </c>
      <c r="O434" s="88">
        <f>IF($D434="","",IF($N434&lt;=-500,"Not recommended right now",IF($E434="Waiting","Nothing else actionable right now — Waiting on: "&amp;IF($K434="","this item",$K434),TEXTJOIN(" • ",TRUE,IF($F434="High","High Priority",""),IF(AND($I434&lt;&gt;"",$I434&lt;TODAY()),"Overdue",""),IF(AND($I434&lt;&gt;"",$I434&gt;=TODAY(),$I434&lt;=TODAY()+7),"Due This Week",""),IF(AND($H434&lt;&gt;"",$M434&lt;=VLOOKUP(Home!$C$7,Lists!$N$2:$O$6,2,FALSE)),$H434&amp;" Task",""),IF($G434=Home!$E$7,"Fits Current Energy",""),"No Blockers"))))</f>
        <v/>
      </c>
      <c r="P434" s="88">
        <f>IF($D434="","",SWITCH('Task Finder'!$C$6,"High Priority",AND($F434="High",$E434&lt;&gt;"Done",$E434&lt;&gt;"Archive"),"Due This Week",AND($I434&lt;&gt;"",$I434&gt;=TODAY(),$I434&lt;=TODAY()+7,$E434&lt;&gt;"Done"),"Quick Wins (15 mins or less)",AND($M434&lt;=15,$E434&lt;&gt;"Done",$E434&lt;&gt;"Blocked"),"Deep Thinking",AND($G434="Deep Thinking",$E434&lt;&gt;"Done"),"Processing",AND($G434="Processing",$E434&lt;&gt;"Done"),"Blocked",$E434="Blocked","Waiting",$E434="Waiting","Recently Updated",AND($L434&lt;&gt;"",$L434&gt;=TODAY()-7),"Keyword",AND('Task Finder'!$C$7&lt;&gt;"",OR(ISNUMBER(SEARCH('Task Finder'!$C$7,$A434)),ISNUMBER(SEARCH('Task Finder'!$C$7,$B434)),ISNUMBER(SEARCH('Task Finder'!$C$7,$C434)),ISNUMBER(SEARCH('Task Finder'!$C$7,$D434)),ISNUMBER(SEARCH('Task Finder'!$C$7,$K434)))),TRUE))</f>
        <v/>
      </c>
    </row>
    <row r="435">
      <c r="A435" s="19" t="n"/>
      <c r="B435" s="19" t="n"/>
      <c r="C435" s="19" t="n"/>
      <c r="D435" s="19" t="n"/>
      <c r="E435" s="19" t="n"/>
      <c r="F435" s="19" t="n"/>
      <c r="G435" s="19" t="n"/>
      <c r="H435" s="19" t="n"/>
      <c r="I435" s="19" t="n"/>
      <c r="J435" s="19" t="n"/>
      <c r="K435" s="19" t="n"/>
      <c r="L435" s="125" t="n"/>
      <c r="M435" s="88">
        <f>IF($D435="","",IFERROR(VLOOKUP($H435,Lists!$N$2:$O$6,2,FALSE),0))</f>
        <v/>
      </c>
      <c r="N435" s="88">
        <f>IF($D435="","",IF(OR($E435="Blocked",$E435="Done",$E435="Archive"),-9999,IF(AND($E435="Waiting",SUMPRODUCT((($E$5:$E$500="Next")+($E$5:$E$500="In Progress")+($E$5:$E$500="Captured"))*($D$5:$D$500&lt;&gt;""))&gt;0),-500,VLOOKUP($F435,Lists!$L$2:$M$4,2,FALSE)+IF($E435="In Progress",10,0)+IF(AND($I435&lt;&gt;"",$I435&lt;TODAY()),25,0)+IF(AND($I435&lt;&gt;"",$I435&gt;=TODAY(),$I435&lt;=TODAY()+7),15,0)+IF($H435="",0,IF($M435&lt;=VLOOKUP(Home!$C$7,Lists!$N$2:$O$6,2,FALSE),20,-10))+IF($G435=Home!$E$7,15,IF(Home!$E$7="",0,-5))-ROW()/100000)))</f>
        <v/>
      </c>
      <c r="O435" s="88">
        <f>IF($D435="","",IF($N435&lt;=-500,"Not recommended right now",IF($E435="Waiting","Nothing else actionable right now — Waiting on: "&amp;IF($K435="","this item",$K435),TEXTJOIN(" • ",TRUE,IF($F435="High","High Priority",""),IF(AND($I435&lt;&gt;"",$I435&lt;TODAY()),"Overdue",""),IF(AND($I435&lt;&gt;"",$I435&gt;=TODAY(),$I435&lt;=TODAY()+7),"Due This Week",""),IF(AND($H435&lt;&gt;"",$M435&lt;=VLOOKUP(Home!$C$7,Lists!$N$2:$O$6,2,FALSE)),$H435&amp;" Task",""),IF($G435=Home!$E$7,"Fits Current Energy",""),"No Blockers"))))</f>
        <v/>
      </c>
      <c r="P435" s="88">
        <f>IF($D435="","",SWITCH('Task Finder'!$C$6,"High Priority",AND($F435="High",$E435&lt;&gt;"Done",$E435&lt;&gt;"Archive"),"Due This Week",AND($I435&lt;&gt;"",$I435&gt;=TODAY(),$I435&lt;=TODAY()+7,$E435&lt;&gt;"Done"),"Quick Wins (15 mins or less)",AND($M435&lt;=15,$E435&lt;&gt;"Done",$E435&lt;&gt;"Blocked"),"Deep Thinking",AND($G435="Deep Thinking",$E435&lt;&gt;"Done"),"Processing",AND($G435="Processing",$E435&lt;&gt;"Done"),"Blocked",$E435="Blocked","Waiting",$E435="Waiting","Recently Updated",AND($L435&lt;&gt;"",$L435&gt;=TODAY()-7),"Keyword",AND('Task Finder'!$C$7&lt;&gt;"",OR(ISNUMBER(SEARCH('Task Finder'!$C$7,$A435)),ISNUMBER(SEARCH('Task Finder'!$C$7,$B435)),ISNUMBER(SEARCH('Task Finder'!$C$7,$C435)),ISNUMBER(SEARCH('Task Finder'!$C$7,$D435)),ISNUMBER(SEARCH('Task Finder'!$C$7,$K435)))),TRUE))</f>
        <v/>
      </c>
    </row>
    <row r="436">
      <c r="A436" s="19" t="n"/>
      <c r="B436" s="19" t="n"/>
      <c r="C436" s="19" t="n"/>
      <c r="D436" s="19" t="n"/>
      <c r="E436" s="19" t="n"/>
      <c r="F436" s="19" t="n"/>
      <c r="G436" s="19" t="n"/>
      <c r="H436" s="19" t="n"/>
      <c r="I436" s="19" t="n"/>
      <c r="J436" s="19" t="n"/>
      <c r="K436" s="19" t="n"/>
      <c r="L436" s="125" t="n"/>
      <c r="M436" s="88">
        <f>IF($D436="","",IFERROR(VLOOKUP($H436,Lists!$N$2:$O$6,2,FALSE),0))</f>
        <v/>
      </c>
      <c r="N436" s="88">
        <f>IF($D436="","",IF(OR($E436="Blocked",$E436="Done",$E436="Archive"),-9999,IF(AND($E436="Waiting",SUMPRODUCT((($E$5:$E$500="Next")+($E$5:$E$500="In Progress")+($E$5:$E$500="Captured"))*($D$5:$D$500&lt;&gt;""))&gt;0),-500,VLOOKUP($F436,Lists!$L$2:$M$4,2,FALSE)+IF($E436="In Progress",10,0)+IF(AND($I436&lt;&gt;"",$I436&lt;TODAY()),25,0)+IF(AND($I436&lt;&gt;"",$I436&gt;=TODAY(),$I436&lt;=TODAY()+7),15,0)+IF($H436="",0,IF($M436&lt;=VLOOKUP(Home!$C$7,Lists!$N$2:$O$6,2,FALSE),20,-10))+IF($G436=Home!$E$7,15,IF(Home!$E$7="",0,-5))-ROW()/100000)))</f>
        <v/>
      </c>
      <c r="O436" s="88">
        <f>IF($D436="","",IF($N436&lt;=-500,"Not recommended right now",IF($E436="Waiting","Nothing else actionable right now — Waiting on: "&amp;IF($K436="","this item",$K436),TEXTJOIN(" • ",TRUE,IF($F436="High","High Priority",""),IF(AND($I436&lt;&gt;"",$I436&lt;TODAY()),"Overdue",""),IF(AND($I436&lt;&gt;"",$I436&gt;=TODAY(),$I436&lt;=TODAY()+7),"Due This Week",""),IF(AND($H436&lt;&gt;"",$M436&lt;=VLOOKUP(Home!$C$7,Lists!$N$2:$O$6,2,FALSE)),$H436&amp;" Task",""),IF($G436=Home!$E$7,"Fits Current Energy",""),"No Blockers"))))</f>
        <v/>
      </c>
      <c r="P436" s="88">
        <f>IF($D436="","",SWITCH('Task Finder'!$C$6,"High Priority",AND($F436="High",$E436&lt;&gt;"Done",$E436&lt;&gt;"Archive"),"Due This Week",AND($I436&lt;&gt;"",$I436&gt;=TODAY(),$I436&lt;=TODAY()+7,$E436&lt;&gt;"Done"),"Quick Wins (15 mins or less)",AND($M436&lt;=15,$E436&lt;&gt;"Done",$E436&lt;&gt;"Blocked"),"Deep Thinking",AND($G436="Deep Thinking",$E436&lt;&gt;"Done"),"Processing",AND($G436="Processing",$E436&lt;&gt;"Done"),"Blocked",$E436="Blocked","Waiting",$E436="Waiting","Recently Updated",AND($L436&lt;&gt;"",$L436&gt;=TODAY()-7),"Keyword",AND('Task Finder'!$C$7&lt;&gt;"",OR(ISNUMBER(SEARCH('Task Finder'!$C$7,$A436)),ISNUMBER(SEARCH('Task Finder'!$C$7,$B436)),ISNUMBER(SEARCH('Task Finder'!$C$7,$C436)),ISNUMBER(SEARCH('Task Finder'!$C$7,$D436)),ISNUMBER(SEARCH('Task Finder'!$C$7,$K436)))),TRUE))</f>
        <v/>
      </c>
    </row>
    <row r="437">
      <c r="A437" s="19" t="n"/>
      <c r="B437" s="19" t="n"/>
      <c r="C437" s="19" t="n"/>
      <c r="D437" s="19" t="n"/>
      <c r="E437" s="19" t="n"/>
      <c r="F437" s="19" t="n"/>
      <c r="G437" s="19" t="n"/>
      <c r="H437" s="19" t="n"/>
      <c r="I437" s="19" t="n"/>
      <c r="J437" s="19" t="n"/>
      <c r="K437" s="19" t="n"/>
      <c r="L437" s="125" t="n"/>
      <c r="M437" s="88">
        <f>IF($D437="","",IFERROR(VLOOKUP($H437,Lists!$N$2:$O$6,2,FALSE),0))</f>
        <v/>
      </c>
      <c r="N437" s="88">
        <f>IF($D437="","",IF(OR($E437="Blocked",$E437="Done",$E437="Archive"),-9999,IF(AND($E437="Waiting",SUMPRODUCT((($E$5:$E$500="Next")+($E$5:$E$500="In Progress")+($E$5:$E$500="Captured"))*($D$5:$D$500&lt;&gt;""))&gt;0),-500,VLOOKUP($F437,Lists!$L$2:$M$4,2,FALSE)+IF($E437="In Progress",10,0)+IF(AND($I437&lt;&gt;"",$I437&lt;TODAY()),25,0)+IF(AND($I437&lt;&gt;"",$I437&gt;=TODAY(),$I437&lt;=TODAY()+7),15,0)+IF($H437="",0,IF($M437&lt;=VLOOKUP(Home!$C$7,Lists!$N$2:$O$6,2,FALSE),20,-10))+IF($G437=Home!$E$7,15,IF(Home!$E$7="",0,-5))-ROW()/100000)))</f>
        <v/>
      </c>
      <c r="O437" s="88">
        <f>IF($D437="","",IF($N437&lt;=-500,"Not recommended right now",IF($E437="Waiting","Nothing else actionable right now — Waiting on: "&amp;IF($K437="","this item",$K437),TEXTJOIN(" • ",TRUE,IF($F437="High","High Priority",""),IF(AND($I437&lt;&gt;"",$I437&lt;TODAY()),"Overdue",""),IF(AND($I437&lt;&gt;"",$I437&gt;=TODAY(),$I437&lt;=TODAY()+7),"Due This Week",""),IF(AND($H437&lt;&gt;"",$M437&lt;=VLOOKUP(Home!$C$7,Lists!$N$2:$O$6,2,FALSE)),$H437&amp;" Task",""),IF($G437=Home!$E$7,"Fits Current Energy",""),"No Blockers"))))</f>
        <v/>
      </c>
      <c r="P437" s="88">
        <f>IF($D437="","",SWITCH('Task Finder'!$C$6,"High Priority",AND($F437="High",$E437&lt;&gt;"Done",$E437&lt;&gt;"Archive"),"Due This Week",AND($I437&lt;&gt;"",$I437&gt;=TODAY(),$I437&lt;=TODAY()+7,$E437&lt;&gt;"Done"),"Quick Wins (15 mins or less)",AND($M437&lt;=15,$E437&lt;&gt;"Done",$E437&lt;&gt;"Blocked"),"Deep Thinking",AND($G437="Deep Thinking",$E437&lt;&gt;"Done"),"Processing",AND($G437="Processing",$E437&lt;&gt;"Done"),"Blocked",$E437="Blocked","Waiting",$E437="Waiting","Recently Updated",AND($L437&lt;&gt;"",$L437&gt;=TODAY()-7),"Keyword",AND('Task Finder'!$C$7&lt;&gt;"",OR(ISNUMBER(SEARCH('Task Finder'!$C$7,$A437)),ISNUMBER(SEARCH('Task Finder'!$C$7,$B437)),ISNUMBER(SEARCH('Task Finder'!$C$7,$C437)),ISNUMBER(SEARCH('Task Finder'!$C$7,$D437)),ISNUMBER(SEARCH('Task Finder'!$C$7,$K437)))),TRUE))</f>
        <v/>
      </c>
    </row>
    <row r="438">
      <c r="A438" s="19" t="n"/>
      <c r="B438" s="19" t="n"/>
      <c r="C438" s="19" t="n"/>
      <c r="D438" s="19" t="n"/>
      <c r="E438" s="19" t="n"/>
      <c r="F438" s="19" t="n"/>
      <c r="G438" s="19" t="n"/>
      <c r="H438" s="19" t="n"/>
      <c r="I438" s="19" t="n"/>
      <c r="J438" s="19" t="n"/>
      <c r="K438" s="19" t="n"/>
      <c r="L438" s="125" t="n"/>
      <c r="M438" s="88">
        <f>IF($D438="","",IFERROR(VLOOKUP($H438,Lists!$N$2:$O$6,2,FALSE),0))</f>
        <v/>
      </c>
      <c r="N438" s="88">
        <f>IF($D438="","",IF(OR($E438="Blocked",$E438="Done",$E438="Archive"),-9999,IF(AND($E438="Waiting",SUMPRODUCT((($E$5:$E$500="Next")+($E$5:$E$500="In Progress")+($E$5:$E$500="Captured"))*($D$5:$D$500&lt;&gt;""))&gt;0),-500,VLOOKUP($F438,Lists!$L$2:$M$4,2,FALSE)+IF($E438="In Progress",10,0)+IF(AND($I438&lt;&gt;"",$I438&lt;TODAY()),25,0)+IF(AND($I438&lt;&gt;"",$I438&gt;=TODAY(),$I438&lt;=TODAY()+7),15,0)+IF($H438="",0,IF($M438&lt;=VLOOKUP(Home!$C$7,Lists!$N$2:$O$6,2,FALSE),20,-10))+IF($G438=Home!$E$7,15,IF(Home!$E$7="",0,-5))-ROW()/100000)))</f>
        <v/>
      </c>
      <c r="O438" s="88">
        <f>IF($D438="","",IF($N438&lt;=-500,"Not recommended right now",IF($E438="Waiting","Nothing else actionable right now — Waiting on: "&amp;IF($K438="","this item",$K438),TEXTJOIN(" • ",TRUE,IF($F438="High","High Priority",""),IF(AND($I438&lt;&gt;"",$I438&lt;TODAY()),"Overdue",""),IF(AND($I438&lt;&gt;"",$I438&gt;=TODAY(),$I438&lt;=TODAY()+7),"Due This Week",""),IF(AND($H438&lt;&gt;"",$M438&lt;=VLOOKUP(Home!$C$7,Lists!$N$2:$O$6,2,FALSE)),$H438&amp;" Task",""),IF($G438=Home!$E$7,"Fits Current Energy",""),"No Blockers"))))</f>
        <v/>
      </c>
      <c r="P438" s="88">
        <f>IF($D438="","",SWITCH('Task Finder'!$C$6,"High Priority",AND($F438="High",$E438&lt;&gt;"Done",$E438&lt;&gt;"Archive"),"Due This Week",AND($I438&lt;&gt;"",$I438&gt;=TODAY(),$I438&lt;=TODAY()+7,$E438&lt;&gt;"Done"),"Quick Wins (15 mins or less)",AND($M438&lt;=15,$E438&lt;&gt;"Done",$E438&lt;&gt;"Blocked"),"Deep Thinking",AND($G438="Deep Thinking",$E438&lt;&gt;"Done"),"Processing",AND($G438="Processing",$E438&lt;&gt;"Done"),"Blocked",$E438="Blocked","Waiting",$E438="Waiting","Recently Updated",AND($L438&lt;&gt;"",$L438&gt;=TODAY()-7),"Keyword",AND('Task Finder'!$C$7&lt;&gt;"",OR(ISNUMBER(SEARCH('Task Finder'!$C$7,$A438)),ISNUMBER(SEARCH('Task Finder'!$C$7,$B438)),ISNUMBER(SEARCH('Task Finder'!$C$7,$C438)),ISNUMBER(SEARCH('Task Finder'!$C$7,$D438)),ISNUMBER(SEARCH('Task Finder'!$C$7,$K438)))),TRUE))</f>
        <v/>
      </c>
    </row>
    <row r="439">
      <c r="A439" s="19" t="n"/>
      <c r="B439" s="19" t="n"/>
      <c r="C439" s="19" t="n"/>
      <c r="D439" s="19" t="n"/>
      <c r="E439" s="19" t="n"/>
      <c r="F439" s="19" t="n"/>
      <c r="G439" s="19" t="n"/>
      <c r="H439" s="19" t="n"/>
      <c r="I439" s="19" t="n"/>
      <c r="J439" s="19" t="n"/>
      <c r="K439" s="19" t="n"/>
      <c r="L439" s="125" t="n"/>
      <c r="M439" s="88">
        <f>IF($D439="","",IFERROR(VLOOKUP($H439,Lists!$N$2:$O$6,2,FALSE),0))</f>
        <v/>
      </c>
      <c r="N439" s="88">
        <f>IF($D439="","",IF(OR($E439="Blocked",$E439="Done",$E439="Archive"),-9999,IF(AND($E439="Waiting",SUMPRODUCT((($E$5:$E$500="Next")+($E$5:$E$500="In Progress")+($E$5:$E$500="Captured"))*($D$5:$D$500&lt;&gt;""))&gt;0),-500,VLOOKUP($F439,Lists!$L$2:$M$4,2,FALSE)+IF($E439="In Progress",10,0)+IF(AND($I439&lt;&gt;"",$I439&lt;TODAY()),25,0)+IF(AND($I439&lt;&gt;"",$I439&gt;=TODAY(),$I439&lt;=TODAY()+7),15,0)+IF($H439="",0,IF($M439&lt;=VLOOKUP(Home!$C$7,Lists!$N$2:$O$6,2,FALSE),20,-10))+IF($G439=Home!$E$7,15,IF(Home!$E$7="",0,-5))-ROW()/100000)))</f>
        <v/>
      </c>
      <c r="O439" s="88">
        <f>IF($D439="","",IF($N439&lt;=-500,"Not recommended right now",IF($E439="Waiting","Nothing else actionable right now — Waiting on: "&amp;IF($K439="","this item",$K439),TEXTJOIN(" • ",TRUE,IF($F439="High","High Priority",""),IF(AND($I439&lt;&gt;"",$I439&lt;TODAY()),"Overdue",""),IF(AND($I439&lt;&gt;"",$I439&gt;=TODAY(),$I439&lt;=TODAY()+7),"Due This Week",""),IF(AND($H439&lt;&gt;"",$M439&lt;=VLOOKUP(Home!$C$7,Lists!$N$2:$O$6,2,FALSE)),$H439&amp;" Task",""),IF($G439=Home!$E$7,"Fits Current Energy",""),"No Blockers"))))</f>
        <v/>
      </c>
      <c r="P439" s="88">
        <f>IF($D439="","",SWITCH('Task Finder'!$C$6,"High Priority",AND($F439="High",$E439&lt;&gt;"Done",$E439&lt;&gt;"Archive"),"Due This Week",AND($I439&lt;&gt;"",$I439&gt;=TODAY(),$I439&lt;=TODAY()+7,$E439&lt;&gt;"Done"),"Quick Wins (15 mins or less)",AND($M439&lt;=15,$E439&lt;&gt;"Done",$E439&lt;&gt;"Blocked"),"Deep Thinking",AND($G439="Deep Thinking",$E439&lt;&gt;"Done"),"Processing",AND($G439="Processing",$E439&lt;&gt;"Done"),"Blocked",$E439="Blocked","Waiting",$E439="Waiting","Recently Updated",AND($L439&lt;&gt;"",$L439&gt;=TODAY()-7),"Keyword",AND('Task Finder'!$C$7&lt;&gt;"",OR(ISNUMBER(SEARCH('Task Finder'!$C$7,$A439)),ISNUMBER(SEARCH('Task Finder'!$C$7,$B439)),ISNUMBER(SEARCH('Task Finder'!$C$7,$C439)),ISNUMBER(SEARCH('Task Finder'!$C$7,$D439)),ISNUMBER(SEARCH('Task Finder'!$C$7,$K439)))),TRUE))</f>
        <v/>
      </c>
    </row>
    <row r="440">
      <c r="A440" s="19" t="n"/>
      <c r="B440" s="19" t="n"/>
      <c r="C440" s="19" t="n"/>
      <c r="D440" s="19" t="n"/>
      <c r="E440" s="19" t="n"/>
      <c r="F440" s="19" t="n"/>
      <c r="G440" s="19" t="n"/>
      <c r="H440" s="19" t="n"/>
      <c r="I440" s="19" t="n"/>
      <c r="J440" s="19" t="n"/>
      <c r="K440" s="19" t="n"/>
      <c r="L440" s="125" t="n"/>
      <c r="M440" s="88">
        <f>IF($D440="","",IFERROR(VLOOKUP($H440,Lists!$N$2:$O$6,2,FALSE),0))</f>
        <v/>
      </c>
      <c r="N440" s="88">
        <f>IF($D440="","",IF(OR($E440="Blocked",$E440="Done",$E440="Archive"),-9999,IF(AND($E440="Waiting",SUMPRODUCT((($E$5:$E$500="Next")+($E$5:$E$500="In Progress")+($E$5:$E$500="Captured"))*($D$5:$D$500&lt;&gt;""))&gt;0),-500,VLOOKUP($F440,Lists!$L$2:$M$4,2,FALSE)+IF($E440="In Progress",10,0)+IF(AND($I440&lt;&gt;"",$I440&lt;TODAY()),25,0)+IF(AND($I440&lt;&gt;"",$I440&gt;=TODAY(),$I440&lt;=TODAY()+7),15,0)+IF($H440="",0,IF($M440&lt;=VLOOKUP(Home!$C$7,Lists!$N$2:$O$6,2,FALSE),20,-10))+IF($G440=Home!$E$7,15,IF(Home!$E$7="",0,-5))-ROW()/100000)))</f>
        <v/>
      </c>
      <c r="O440" s="88">
        <f>IF($D440="","",IF($N440&lt;=-500,"Not recommended right now",IF($E440="Waiting","Nothing else actionable right now — Waiting on: "&amp;IF($K440="","this item",$K440),TEXTJOIN(" • ",TRUE,IF($F440="High","High Priority",""),IF(AND($I440&lt;&gt;"",$I440&lt;TODAY()),"Overdue",""),IF(AND($I440&lt;&gt;"",$I440&gt;=TODAY(),$I440&lt;=TODAY()+7),"Due This Week",""),IF(AND($H440&lt;&gt;"",$M440&lt;=VLOOKUP(Home!$C$7,Lists!$N$2:$O$6,2,FALSE)),$H440&amp;" Task",""),IF($G440=Home!$E$7,"Fits Current Energy",""),"No Blockers"))))</f>
        <v/>
      </c>
      <c r="P440" s="88">
        <f>IF($D440="","",SWITCH('Task Finder'!$C$6,"High Priority",AND($F440="High",$E440&lt;&gt;"Done",$E440&lt;&gt;"Archive"),"Due This Week",AND($I440&lt;&gt;"",$I440&gt;=TODAY(),$I440&lt;=TODAY()+7,$E440&lt;&gt;"Done"),"Quick Wins (15 mins or less)",AND($M440&lt;=15,$E440&lt;&gt;"Done",$E440&lt;&gt;"Blocked"),"Deep Thinking",AND($G440="Deep Thinking",$E440&lt;&gt;"Done"),"Processing",AND($G440="Processing",$E440&lt;&gt;"Done"),"Blocked",$E440="Blocked","Waiting",$E440="Waiting","Recently Updated",AND($L440&lt;&gt;"",$L440&gt;=TODAY()-7),"Keyword",AND('Task Finder'!$C$7&lt;&gt;"",OR(ISNUMBER(SEARCH('Task Finder'!$C$7,$A440)),ISNUMBER(SEARCH('Task Finder'!$C$7,$B440)),ISNUMBER(SEARCH('Task Finder'!$C$7,$C440)),ISNUMBER(SEARCH('Task Finder'!$C$7,$D440)),ISNUMBER(SEARCH('Task Finder'!$C$7,$K440)))),TRUE))</f>
        <v/>
      </c>
    </row>
    <row r="441">
      <c r="A441" s="19" t="n"/>
      <c r="B441" s="19" t="n"/>
      <c r="C441" s="19" t="n"/>
      <c r="D441" s="19" t="n"/>
      <c r="E441" s="19" t="n"/>
      <c r="F441" s="19" t="n"/>
      <c r="G441" s="19" t="n"/>
      <c r="H441" s="19" t="n"/>
      <c r="I441" s="19" t="n"/>
      <c r="J441" s="19" t="n"/>
      <c r="K441" s="19" t="n"/>
      <c r="L441" s="125" t="n"/>
      <c r="M441" s="88">
        <f>IF($D441="","",IFERROR(VLOOKUP($H441,Lists!$N$2:$O$6,2,FALSE),0))</f>
        <v/>
      </c>
      <c r="N441" s="88">
        <f>IF($D441="","",IF(OR($E441="Blocked",$E441="Done",$E441="Archive"),-9999,IF(AND($E441="Waiting",SUMPRODUCT((($E$5:$E$500="Next")+($E$5:$E$500="In Progress")+($E$5:$E$500="Captured"))*($D$5:$D$500&lt;&gt;""))&gt;0),-500,VLOOKUP($F441,Lists!$L$2:$M$4,2,FALSE)+IF($E441="In Progress",10,0)+IF(AND($I441&lt;&gt;"",$I441&lt;TODAY()),25,0)+IF(AND($I441&lt;&gt;"",$I441&gt;=TODAY(),$I441&lt;=TODAY()+7),15,0)+IF($H441="",0,IF($M441&lt;=VLOOKUP(Home!$C$7,Lists!$N$2:$O$6,2,FALSE),20,-10))+IF($G441=Home!$E$7,15,IF(Home!$E$7="",0,-5))-ROW()/100000)))</f>
        <v/>
      </c>
      <c r="O441" s="88">
        <f>IF($D441="","",IF($N441&lt;=-500,"Not recommended right now",IF($E441="Waiting","Nothing else actionable right now — Waiting on: "&amp;IF($K441="","this item",$K441),TEXTJOIN(" • ",TRUE,IF($F441="High","High Priority",""),IF(AND($I441&lt;&gt;"",$I441&lt;TODAY()),"Overdue",""),IF(AND($I441&lt;&gt;"",$I441&gt;=TODAY(),$I441&lt;=TODAY()+7),"Due This Week",""),IF(AND($H441&lt;&gt;"",$M441&lt;=VLOOKUP(Home!$C$7,Lists!$N$2:$O$6,2,FALSE)),$H441&amp;" Task",""),IF($G441=Home!$E$7,"Fits Current Energy",""),"No Blockers"))))</f>
        <v/>
      </c>
      <c r="P441" s="88">
        <f>IF($D441="","",SWITCH('Task Finder'!$C$6,"High Priority",AND($F441="High",$E441&lt;&gt;"Done",$E441&lt;&gt;"Archive"),"Due This Week",AND($I441&lt;&gt;"",$I441&gt;=TODAY(),$I441&lt;=TODAY()+7,$E441&lt;&gt;"Done"),"Quick Wins (15 mins or less)",AND($M441&lt;=15,$E441&lt;&gt;"Done",$E441&lt;&gt;"Blocked"),"Deep Thinking",AND($G441="Deep Thinking",$E441&lt;&gt;"Done"),"Processing",AND($G441="Processing",$E441&lt;&gt;"Done"),"Blocked",$E441="Blocked","Waiting",$E441="Waiting","Recently Updated",AND($L441&lt;&gt;"",$L441&gt;=TODAY()-7),"Keyword",AND('Task Finder'!$C$7&lt;&gt;"",OR(ISNUMBER(SEARCH('Task Finder'!$C$7,$A441)),ISNUMBER(SEARCH('Task Finder'!$C$7,$B441)),ISNUMBER(SEARCH('Task Finder'!$C$7,$C441)),ISNUMBER(SEARCH('Task Finder'!$C$7,$D441)),ISNUMBER(SEARCH('Task Finder'!$C$7,$K441)))),TRUE))</f>
        <v/>
      </c>
    </row>
    <row r="442">
      <c r="A442" s="19" t="n"/>
      <c r="B442" s="19" t="n"/>
      <c r="C442" s="19" t="n"/>
      <c r="D442" s="19" t="n"/>
      <c r="E442" s="19" t="n"/>
      <c r="F442" s="19" t="n"/>
      <c r="G442" s="19" t="n"/>
      <c r="H442" s="19" t="n"/>
      <c r="I442" s="19" t="n"/>
      <c r="J442" s="19" t="n"/>
      <c r="K442" s="19" t="n"/>
      <c r="L442" s="125" t="n"/>
      <c r="M442" s="88">
        <f>IF($D442="","",IFERROR(VLOOKUP($H442,Lists!$N$2:$O$6,2,FALSE),0))</f>
        <v/>
      </c>
      <c r="N442" s="88">
        <f>IF($D442="","",IF(OR($E442="Blocked",$E442="Done",$E442="Archive"),-9999,IF(AND($E442="Waiting",SUMPRODUCT((($E$5:$E$500="Next")+($E$5:$E$500="In Progress")+($E$5:$E$500="Captured"))*($D$5:$D$500&lt;&gt;""))&gt;0),-500,VLOOKUP($F442,Lists!$L$2:$M$4,2,FALSE)+IF($E442="In Progress",10,0)+IF(AND($I442&lt;&gt;"",$I442&lt;TODAY()),25,0)+IF(AND($I442&lt;&gt;"",$I442&gt;=TODAY(),$I442&lt;=TODAY()+7),15,0)+IF($H442="",0,IF($M442&lt;=VLOOKUP(Home!$C$7,Lists!$N$2:$O$6,2,FALSE),20,-10))+IF($G442=Home!$E$7,15,IF(Home!$E$7="",0,-5))-ROW()/100000)))</f>
        <v/>
      </c>
      <c r="O442" s="88">
        <f>IF($D442="","",IF($N442&lt;=-500,"Not recommended right now",IF($E442="Waiting","Nothing else actionable right now — Waiting on: "&amp;IF($K442="","this item",$K442),TEXTJOIN(" • ",TRUE,IF($F442="High","High Priority",""),IF(AND($I442&lt;&gt;"",$I442&lt;TODAY()),"Overdue",""),IF(AND($I442&lt;&gt;"",$I442&gt;=TODAY(),$I442&lt;=TODAY()+7),"Due This Week",""),IF(AND($H442&lt;&gt;"",$M442&lt;=VLOOKUP(Home!$C$7,Lists!$N$2:$O$6,2,FALSE)),$H442&amp;" Task",""),IF($G442=Home!$E$7,"Fits Current Energy",""),"No Blockers"))))</f>
        <v/>
      </c>
      <c r="P442" s="88">
        <f>IF($D442="","",SWITCH('Task Finder'!$C$6,"High Priority",AND($F442="High",$E442&lt;&gt;"Done",$E442&lt;&gt;"Archive"),"Due This Week",AND($I442&lt;&gt;"",$I442&gt;=TODAY(),$I442&lt;=TODAY()+7,$E442&lt;&gt;"Done"),"Quick Wins (15 mins or less)",AND($M442&lt;=15,$E442&lt;&gt;"Done",$E442&lt;&gt;"Blocked"),"Deep Thinking",AND($G442="Deep Thinking",$E442&lt;&gt;"Done"),"Processing",AND($G442="Processing",$E442&lt;&gt;"Done"),"Blocked",$E442="Blocked","Waiting",$E442="Waiting","Recently Updated",AND($L442&lt;&gt;"",$L442&gt;=TODAY()-7),"Keyword",AND('Task Finder'!$C$7&lt;&gt;"",OR(ISNUMBER(SEARCH('Task Finder'!$C$7,$A442)),ISNUMBER(SEARCH('Task Finder'!$C$7,$B442)),ISNUMBER(SEARCH('Task Finder'!$C$7,$C442)),ISNUMBER(SEARCH('Task Finder'!$C$7,$D442)),ISNUMBER(SEARCH('Task Finder'!$C$7,$K442)))),TRUE))</f>
        <v/>
      </c>
    </row>
    <row r="443">
      <c r="A443" s="19" t="n"/>
      <c r="B443" s="19" t="n"/>
      <c r="C443" s="19" t="n"/>
      <c r="D443" s="19" t="n"/>
      <c r="E443" s="19" t="n"/>
      <c r="F443" s="19" t="n"/>
      <c r="G443" s="19" t="n"/>
      <c r="H443" s="19" t="n"/>
      <c r="I443" s="19" t="n"/>
      <c r="J443" s="19" t="n"/>
      <c r="K443" s="19" t="n"/>
      <c r="L443" s="125" t="n"/>
      <c r="M443" s="88">
        <f>IF($D443="","",IFERROR(VLOOKUP($H443,Lists!$N$2:$O$6,2,FALSE),0))</f>
        <v/>
      </c>
      <c r="N443" s="88">
        <f>IF($D443="","",IF(OR($E443="Blocked",$E443="Done",$E443="Archive"),-9999,IF(AND($E443="Waiting",SUMPRODUCT((($E$5:$E$500="Next")+($E$5:$E$500="In Progress")+($E$5:$E$500="Captured"))*($D$5:$D$500&lt;&gt;""))&gt;0),-500,VLOOKUP($F443,Lists!$L$2:$M$4,2,FALSE)+IF($E443="In Progress",10,0)+IF(AND($I443&lt;&gt;"",$I443&lt;TODAY()),25,0)+IF(AND($I443&lt;&gt;"",$I443&gt;=TODAY(),$I443&lt;=TODAY()+7),15,0)+IF($H443="",0,IF($M443&lt;=VLOOKUP(Home!$C$7,Lists!$N$2:$O$6,2,FALSE),20,-10))+IF($G443=Home!$E$7,15,IF(Home!$E$7="",0,-5))-ROW()/100000)))</f>
        <v/>
      </c>
      <c r="O443" s="88">
        <f>IF($D443="","",IF($N443&lt;=-500,"Not recommended right now",IF($E443="Waiting","Nothing else actionable right now — Waiting on: "&amp;IF($K443="","this item",$K443),TEXTJOIN(" • ",TRUE,IF($F443="High","High Priority",""),IF(AND($I443&lt;&gt;"",$I443&lt;TODAY()),"Overdue",""),IF(AND($I443&lt;&gt;"",$I443&gt;=TODAY(),$I443&lt;=TODAY()+7),"Due This Week",""),IF(AND($H443&lt;&gt;"",$M443&lt;=VLOOKUP(Home!$C$7,Lists!$N$2:$O$6,2,FALSE)),$H443&amp;" Task",""),IF($G443=Home!$E$7,"Fits Current Energy",""),"No Blockers"))))</f>
        <v/>
      </c>
      <c r="P443" s="88">
        <f>IF($D443="","",SWITCH('Task Finder'!$C$6,"High Priority",AND($F443="High",$E443&lt;&gt;"Done",$E443&lt;&gt;"Archive"),"Due This Week",AND($I443&lt;&gt;"",$I443&gt;=TODAY(),$I443&lt;=TODAY()+7,$E443&lt;&gt;"Done"),"Quick Wins (15 mins or less)",AND($M443&lt;=15,$E443&lt;&gt;"Done",$E443&lt;&gt;"Blocked"),"Deep Thinking",AND($G443="Deep Thinking",$E443&lt;&gt;"Done"),"Processing",AND($G443="Processing",$E443&lt;&gt;"Done"),"Blocked",$E443="Blocked","Waiting",$E443="Waiting","Recently Updated",AND($L443&lt;&gt;"",$L443&gt;=TODAY()-7),"Keyword",AND('Task Finder'!$C$7&lt;&gt;"",OR(ISNUMBER(SEARCH('Task Finder'!$C$7,$A443)),ISNUMBER(SEARCH('Task Finder'!$C$7,$B443)),ISNUMBER(SEARCH('Task Finder'!$C$7,$C443)),ISNUMBER(SEARCH('Task Finder'!$C$7,$D443)),ISNUMBER(SEARCH('Task Finder'!$C$7,$K443)))),TRUE))</f>
        <v/>
      </c>
    </row>
    <row r="444">
      <c r="A444" s="19" t="n"/>
      <c r="B444" s="19" t="n"/>
      <c r="C444" s="19" t="n"/>
      <c r="D444" s="19" t="n"/>
      <c r="E444" s="19" t="n"/>
      <c r="F444" s="19" t="n"/>
      <c r="G444" s="19" t="n"/>
      <c r="H444" s="19" t="n"/>
      <c r="I444" s="19" t="n"/>
      <c r="J444" s="19" t="n"/>
      <c r="K444" s="19" t="n"/>
      <c r="L444" s="125" t="n"/>
      <c r="M444" s="88">
        <f>IF($D444="","",IFERROR(VLOOKUP($H444,Lists!$N$2:$O$6,2,FALSE),0))</f>
        <v/>
      </c>
      <c r="N444" s="88">
        <f>IF($D444="","",IF(OR($E444="Blocked",$E444="Done",$E444="Archive"),-9999,IF(AND($E444="Waiting",SUMPRODUCT((($E$5:$E$500="Next")+($E$5:$E$500="In Progress")+($E$5:$E$500="Captured"))*($D$5:$D$500&lt;&gt;""))&gt;0),-500,VLOOKUP($F444,Lists!$L$2:$M$4,2,FALSE)+IF($E444="In Progress",10,0)+IF(AND($I444&lt;&gt;"",$I444&lt;TODAY()),25,0)+IF(AND($I444&lt;&gt;"",$I444&gt;=TODAY(),$I444&lt;=TODAY()+7),15,0)+IF($H444="",0,IF($M444&lt;=VLOOKUP(Home!$C$7,Lists!$N$2:$O$6,2,FALSE),20,-10))+IF($G444=Home!$E$7,15,IF(Home!$E$7="",0,-5))-ROW()/100000)))</f>
        <v/>
      </c>
      <c r="O444" s="88">
        <f>IF($D444="","",IF($N444&lt;=-500,"Not recommended right now",IF($E444="Waiting","Nothing else actionable right now — Waiting on: "&amp;IF($K444="","this item",$K444),TEXTJOIN(" • ",TRUE,IF($F444="High","High Priority",""),IF(AND($I444&lt;&gt;"",$I444&lt;TODAY()),"Overdue",""),IF(AND($I444&lt;&gt;"",$I444&gt;=TODAY(),$I444&lt;=TODAY()+7),"Due This Week",""),IF(AND($H444&lt;&gt;"",$M444&lt;=VLOOKUP(Home!$C$7,Lists!$N$2:$O$6,2,FALSE)),$H444&amp;" Task",""),IF($G444=Home!$E$7,"Fits Current Energy",""),"No Blockers"))))</f>
        <v/>
      </c>
      <c r="P444" s="88">
        <f>IF($D444="","",SWITCH('Task Finder'!$C$6,"High Priority",AND($F444="High",$E444&lt;&gt;"Done",$E444&lt;&gt;"Archive"),"Due This Week",AND($I444&lt;&gt;"",$I444&gt;=TODAY(),$I444&lt;=TODAY()+7,$E444&lt;&gt;"Done"),"Quick Wins (15 mins or less)",AND($M444&lt;=15,$E444&lt;&gt;"Done",$E444&lt;&gt;"Blocked"),"Deep Thinking",AND($G444="Deep Thinking",$E444&lt;&gt;"Done"),"Processing",AND($G444="Processing",$E444&lt;&gt;"Done"),"Blocked",$E444="Blocked","Waiting",$E444="Waiting","Recently Updated",AND($L444&lt;&gt;"",$L444&gt;=TODAY()-7),"Keyword",AND('Task Finder'!$C$7&lt;&gt;"",OR(ISNUMBER(SEARCH('Task Finder'!$C$7,$A444)),ISNUMBER(SEARCH('Task Finder'!$C$7,$B444)),ISNUMBER(SEARCH('Task Finder'!$C$7,$C444)),ISNUMBER(SEARCH('Task Finder'!$C$7,$D444)),ISNUMBER(SEARCH('Task Finder'!$C$7,$K444)))),TRUE))</f>
        <v/>
      </c>
    </row>
    <row r="445">
      <c r="A445" s="19" t="n"/>
      <c r="B445" s="19" t="n"/>
      <c r="C445" s="19" t="n"/>
      <c r="D445" s="19" t="n"/>
      <c r="E445" s="19" t="n"/>
      <c r="F445" s="19" t="n"/>
      <c r="G445" s="19" t="n"/>
      <c r="H445" s="19" t="n"/>
      <c r="I445" s="19" t="n"/>
      <c r="J445" s="19" t="n"/>
      <c r="K445" s="19" t="n"/>
      <c r="L445" s="125" t="n"/>
      <c r="M445" s="88">
        <f>IF($D445="","",IFERROR(VLOOKUP($H445,Lists!$N$2:$O$6,2,FALSE),0))</f>
        <v/>
      </c>
      <c r="N445" s="88">
        <f>IF($D445="","",IF(OR($E445="Blocked",$E445="Done",$E445="Archive"),-9999,IF(AND($E445="Waiting",SUMPRODUCT((($E$5:$E$500="Next")+($E$5:$E$500="In Progress")+($E$5:$E$500="Captured"))*($D$5:$D$500&lt;&gt;""))&gt;0),-500,VLOOKUP($F445,Lists!$L$2:$M$4,2,FALSE)+IF($E445="In Progress",10,0)+IF(AND($I445&lt;&gt;"",$I445&lt;TODAY()),25,0)+IF(AND($I445&lt;&gt;"",$I445&gt;=TODAY(),$I445&lt;=TODAY()+7),15,0)+IF($H445="",0,IF($M445&lt;=VLOOKUP(Home!$C$7,Lists!$N$2:$O$6,2,FALSE),20,-10))+IF($G445=Home!$E$7,15,IF(Home!$E$7="",0,-5))-ROW()/100000)))</f>
        <v/>
      </c>
      <c r="O445" s="88">
        <f>IF($D445="","",IF($N445&lt;=-500,"Not recommended right now",IF($E445="Waiting","Nothing else actionable right now — Waiting on: "&amp;IF($K445="","this item",$K445),TEXTJOIN(" • ",TRUE,IF($F445="High","High Priority",""),IF(AND($I445&lt;&gt;"",$I445&lt;TODAY()),"Overdue",""),IF(AND($I445&lt;&gt;"",$I445&gt;=TODAY(),$I445&lt;=TODAY()+7),"Due This Week",""),IF(AND($H445&lt;&gt;"",$M445&lt;=VLOOKUP(Home!$C$7,Lists!$N$2:$O$6,2,FALSE)),$H445&amp;" Task",""),IF($G445=Home!$E$7,"Fits Current Energy",""),"No Blockers"))))</f>
        <v/>
      </c>
      <c r="P445" s="88">
        <f>IF($D445="","",SWITCH('Task Finder'!$C$6,"High Priority",AND($F445="High",$E445&lt;&gt;"Done",$E445&lt;&gt;"Archive"),"Due This Week",AND($I445&lt;&gt;"",$I445&gt;=TODAY(),$I445&lt;=TODAY()+7,$E445&lt;&gt;"Done"),"Quick Wins (15 mins or less)",AND($M445&lt;=15,$E445&lt;&gt;"Done",$E445&lt;&gt;"Blocked"),"Deep Thinking",AND($G445="Deep Thinking",$E445&lt;&gt;"Done"),"Processing",AND($G445="Processing",$E445&lt;&gt;"Done"),"Blocked",$E445="Blocked","Waiting",$E445="Waiting","Recently Updated",AND($L445&lt;&gt;"",$L445&gt;=TODAY()-7),"Keyword",AND('Task Finder'!$C$7&lt;&gt;"",OR(ISNUMBER(SEARCH('Task Finder'!$C$7,$A445)),ISNUMBER(SEARCH('Task Finder'!$C$7,$B445)),ISNUMBER(SEARCH('Task Finder'!$C$7,$C445)),ISNUMBER(SEARCH('Task Finder'!$C$7,$D445)),ISNUMBER(SEARCH('Task Finder'!$C$7,$K445)))),TRUE))</f>
        <v/>
      </c>
    </row>
    <row r="446">
      <c r="A446" s="19" t="n"/>
      <c r="B446" s="19" t="n"/>
      <c r="C446" s="19" t="n"/>
      <c r="D446" s="19" t="n"/>
      <c r="E446" s="19" t="n"/>
      <c r="F446" s="19" t="n"/>
      <c r="G446" s="19" t="n"/>
      <c r="H446" s="19" t="n"/>
      <c r="I446" s="19" t="n"/>
      <c r="J446" s="19" t="n"/>
      <c r="K446" s="19" t="n"/>
      <c r="L446" s="125" t="n"/>
      <c r="M446" s="88">
        <f>IF($D446="","",IFERROR(VLOOKUP($H446,Lists!$N$2:$O$6,2,FALSE),0))</f>
        <v/>
      </c>
      <c r="N446" s="88">
        <f>IF($D446="","",IF(OR($E446="Blocked",$E446="Done",$E446="Archive"),-9999,IF(AND($E446="Waiting",SUMPRODUCT((($E$5:$E$500="Next")+($E$5:$E$500="In Progress")+($E$5:$E$500="Captured"))*($D$5:$D$500&lt;&gt;""))&gt;0),-500,VLOOKUP($F446,Lists!$L$2:$M$4,2,FALSE)+IF($E446="In Progress",10,0)+IF(AND($I446&lt;&gt;"",$I446&lt;TODAY()),25,0)+IF(AND($I446&lt;&gt;"",$I446&gt;=TODAY(),$I446&lt;=TODAY()+7),15,0)+IF($H446="",0,IF($M446&lt;=VLOOKUP(Home!$C$7,Lists!$N$2:$O$6,2,FALSE),20,-10))+IF($G446=Home!$E$7,15,IF(Home!$E$7="",0,-5))-ROW()/100000)))</f>
        <v/>
      </c>
      <c r="O446" s="88">
        <f>IF($D446="","",IF($N446&lt;=-500,"Not recommended right now",IF($E446="Waiting","Nothing else actionable right now — Waiting on: "&amp;IF($K446="","this item",$K446),TEXTJOIN(" • ",TRUE,IF($F446="High","High Priority",""),IF(AND($I446&lt;&gt;"",$I446&lt;TODAY()),"Overdue",""),IF(AND($I446&lt;&gt;"",$I446&gt;=TODAY(),$I446&lt;=TODAY()+7),"Due This Week",""),IF(AND($H446&lt;&gt;"",$M446&lt;=VLOOKUP(Home!$C$7,Lists!$N$2:$O$6,2,FALSE)),$H446&amp;" Task",""),IF($G446=Home!$E$7,"Fits Current Energy",""),"No Blockers"))))</f>
        <v/>
      </c>
      <c r="P446" s="88">
        <f>IF($D446="","",SWITCH('Task Finder'!$C$6,"High Priority",AND($F446="High",$E446&lt;&gt;"Done",$E446&lt;&gt;"Archive"),"Due This Week",AND($I446&lt;&gt;"",$I446&gt;=TODAY(),$I446&lt;=TODAY()+7,$E446&lt;&gt;"Done"),"Quick Wins (15 mins or less)",AND($M446&lt;=15,$E446&lt;&gt;"Done",$E446&lt;&gt;"Blocked"),"Deep Thinking",AND($G446="Deep Thinking",$E446&lt;&gt;"Done"),"Processing",AND($G446="Processing",$E446&lt;&gt;"Done"),"Blocked",$E446="Blocked","Waiting",$E446="Waiting","Recently Updated",AND($L446&lt;&gt;"",$L446&gt;=TODAY()-7),"Keyword",AND('Task Finder'!$C$7&lt;&gt;"",OR(ISNUMBER(SEARCH('Task Finder'!$C$7,$A446)),ISNUMBER(SEARCH('Task Finder'!$C$7,$B446)),ISNUMBER(SEARCH('Task Finder'!$C$7,$C446)),ISNUMBER(SEARCH('Task Finder'!$C$7,$D446)),ISNUMBER(SEARCH('Task Finder'!$C$7,$K446)))),TRUE))</f>
        <v/>
      </c>
    </row>
    <row r="447">
      <c r="A447" s="19" t="n"/>
      <c r="B447" s="19" t="n"/>
      <c r="C447" s="19" t="n"/>
      <c r="D447" s="19" t="n"/>
      <c r="E447" s="19" t="n"/>
      <c r="F447" s="19" t="n"/>
      <c r="G447" s="19" t="n"/>
      <c r="H447" s="19" t="n"/>
      <c r="I447" s="19" t="n"/>
      <c r="J447" s="19" t="n"/>
      <c r="K447" s="19" t="n"/>
      <c r="L447" s="125" t="n"/>
      <c r="M447" s="88">
        <f>IF($D447="","",IFERROR(VLOOKUP($H447,Lists!$N$2:$O$6,2,FALSE),0))</f>
        <v/>
      </c>
      <c r="N447" s="88">
        <f>IF($D447="","",IF(OR($E447="Blocked",$E447="Done",$E447="Archive"),-9999,IF(AND($E447="Waiting",SUMPRODUCT((($E$5:$E$500="Next")+($E$5:$E$500="In Progress")+($E$5:$E$500="Captured"))*($D$5:$D$500&lt;&gt;""))&gt;0),-500,VLOOKUP($F447,Lists!$L$2:$M$4,2,FALSE)+IF($E447="In Progress",10,0)+IF(AND($I447&lt;&gt;"",$I447&lt;TODAY()),25,0)+IF(AND($I447&lt;&gt;"",$I447&gt;=TODAY(),$I447&lt;=TODAY()+7),15,0)+IF($H447="",0,IF($M447&lt;=VLOOKUP(Home!$C$7,Lists!$N$2:$O$6,2,FALSE),20,-10))+IF($G447=Home!$E$7,15,IF(Home!$E$7="",0,-5))-ROW()/100000)))</f>
        <v/>
      </c>
      <c r="O447" s="88">
        <f>IF($D447="","",IF($N447&lt;=-500,"Not recommended right now",IF($E447="Waiting","Nothing else actionable right now — Waiting on: "&amp;IF($K447="","this item",$K447),TEXTJOIN(" • ",TRUE,IF($F447="High","High Priority",""),IF(AND($I447&lt;&gt;"",$I447&lt;TODAY()),"Overdue",""),IF(AND($I447&lt;&gt;"",$I447&gt;=TODAY(),$I447&lt;=TODAY()+7),"Due This Week",""),IF(AND($H447&lt;&gt;"",$M447&lt;=VLOOKUP(Home!$C$7,Lists!$N$2:$O$6,2,FALSE)),$H447&amp;" Task",""),IF($G447=Home!$E$7,"Fits Current Energy",""),"No Blockers"))))</f>
        <v/>
      </c>
      <c r="P447" s="88">
        <f>IF($D447="","",SWITCH('Task Finder'!$C$6,"High Priority",AND($F447="High",$E447&lt;&gt;"Done",$E447&lt;&gt;"Archive"),"Due This Week",AND($I447&lt;&gt;"",$I447&gt;=TODAY(),$I447&lt;=TODAY()+7,$E447&lt;&gt;"Done"),"Quick Wins (15 mins or less)",AND($M447&lt;=15,$E447&lt;&gt;"Done",$E447&lt;&gt;"Blocked"),"Deep Thinking",AND($G447="Deep Thinking",$E447&lt;&gt;"Done"),"Processing",AND($G447="Processing",$E447&lt;&gt;"Done"),"Blocked",$E447="Blocked","Waiting",$E447="Waiting","Recently Updated",AND($L447&lt;&gt;"",$L447&gt;=TODAY()-7),"Keyword",AND('Task Finder'!$C$7&lt;&gt;"",OR(ISNUMBER(SEARCH('Task Finder'!$C$7,$A447)),ISNUMBER(SEARCH('Task Finder'!$C$7,$B447)),ISNUMBER(SEARCH('Task Finder'!$C$7,$C447)),ISNUMBER(SEARCH('Task Finder'!$C$7,$D447)),ISNUMBER(SEARCH('Task Finder'!$C$7,$K447)))),TRUE))</f>
        <v/>
      </c>
    </row>
    <row r="448">
      <c r="A448" s="19" t="n"/>
      <c r="B448" s="19" t="n"/>
      <c r="C448" s="19" t="n"/>
      <c r="D448" s="19" t="n"/>
      <c r="E448" s="19" t="n"/>
      <c r="F448" s="19" t="n"/>
      <c r="G448" s="19" t="n"/>
      <c r="H448" s="19" t="n"/>
      <c r="I448" s="19" t="n"/>
      <c r="J448" s="19" t="n"/>
      <c r="K448" s="19" t="n"/>
      <c r="L448" s="125" t="n"/>
      <c r="M448" s="88">
        <f>IF($D448="","",IFERROR(VLOOKUP($H448,Lists!$N$2:$O$6,2,FALSE),0))</f>
        <v/>
      </c>
      <c r="N448" s="88">
        <f>IF($D448="","",IF(OR($E448="Blocked",$E448="Done",$E448="Archive"),-9999,IF(AND($E448="Waiting",SUMPRODUCT((($E$5:$E$500="Next")+($E$5:$E$500="In Progress")+($E$5:$E$500="Captured"))*($D$5:$D$500&lt;&gt;""))&gt;0),-500,VLOOKUP($F448,Lists!$L$2:$M$4,2,FALSE)+IF($E448="In Progress",10,0)+IF(AND($I448&lt;&gt;"",$I448&lt;TODAY()),25,0)+IF(AND($I448&lt;&gt;"",$I448&gt;=TODAY(),$I448&lt;=TODAY()+7),15,0)+IF($H448="",0,IF($M448&lt;=VLOOKUP(Home!$C$7,Lists!$N$2:$O$6,2,FALSE),20,-10))+IF($G448=Home!$E$7,15,IF(Home!$E$7="",0,-5))-ROW()/100000)))</f>
        <v/>
      </c>
      <c r="O448" s="88">
        <f>IF($D448="","",IF($N448&lt;=-500,"Not recommended right now",IF($E448="Waiting","Nothing else actionable right now — Waiting on: "&amp;IF($K448="","this item",$K448),TEXTJOIN(" • ",TRUE,IF($F448="High","High Priority",""),IF(AND($I448&lt;&gt;"",$I448&lt;TODAY()),"Overdue",""),IF(AND($I448&lt;&gt;"",$I448&gt;=TODAY(),$I448&lt;=TODAY()+7),"Due This Week",""),IF(AND($H448&lt;&gt;"",$M448&lt;=VLOOKUP(Home!$C$7,Lists!$N$2:$O$6,2,FALSE)),$H448&amp;" Task",""),IF($G448=Home!$E$7,"Fits Current Energy",""),"No Blockers"))))</f>
        <v/>
      </c>
      <c r="P448" s="88">
        <f>IF($D448="","",SWITCH('Task Finder'!$C$6,"High Priority",AND($F448="High",$E448&lt;&gt;"Done",$E448&lt;&gt;"Archive"),"Due This Week",AND($I448&lt;&gt;"",$I448&gt;=TODAY(),$I448&lt;=TODAY()+7,$E448&lt;&gt;"Done"),"Quick Wins (15 mins or less)",AND($M448&lt;=15,$E448&lt;&gt;"Done",$E448&lt;&gt;"Blocked"),"Deep Thinking",AND($G448="Deep Thinking",$E448&lt;&gt;"Done"),"Processing",AND($G448="Processing",$E448&lt;&gt;"Done"),"Blocked",$E448="Blocked","Waiting",$E448="Waiting","Recently Updated",AND($L448&lt;&gt;"",$L448&gt;=TODAY()-7),"Keyword",AND('Task Finder'!$C$7&lt;&gt;"",OR(ISNUMBER(SEARCH('Task Finder'!$C$7,$A448)),ISNUMBER(SEARCH('Task Finder'!$C$7,$B448)),ISNUMBER(SEARCH('Task Finder'!$C$7,$C448)),ISNUMBER(SEARCH('Task Finder'!$C$7,$D448)),ISNUMBER(SEARCH('Task Finder'!$C$7,$K448)))),TRUE))</f>
        <v/>
      </c>
    </row>
    <row r="449">
      <c r="A449" s="19" t="n"/>
      <c r="B449" s="19" t="n"/>
      <c r="C449" s="19" t="n"/>
      <c r="D449" s="19" t="n"/>
      <c r="E449" s="19" t="n"/>
      <c r="F449" s="19" t="n"/>
      <c r="G449" s="19" t="n"/>
      <c r="H449" s="19" t="n"/>
      <c r="I449" s="19" t="n"/>
      <c r="J449" s="19" t="n"/>
      <c r="K449" s="19" t="n"/>
      <c r="L449" s="125" t="n"/>
      <c r="M449" s="88">
        <f>IF($D449="","",IFERROR(VLOOKUP($H449,Lists!$N$2:$O$6,2,FALSE),0))</f>
        <v/>
      </c>
      <c r="N449" s="88">
        <f>IF($D449="","",IF(OR($E449="Blocked",$E449="Done",$E449="Archive"),-9999,IF(AND($E449="Waiting",SUMPRODUCT((($E$5:$E$500="Next")+($E$5:$E$500="In Progress")+($E$5:$E$500="Captured"))*($D$5:$D$500&lt;&gt;""))&gt;0),-500,VLOOKUP($F449,Lists!$L$2:$M$4,2,FALSE)+IF($E449="In Progress",10,0)+IF(AND($I449&lt;&gt;"",$I449&lt;TODAY()),25,0)+IF(AND($I449&lt;&gt;"",$I449&gt;=TODAY(),$I449&lt;=TODAY()+7),15,0)+IF($H449="",0,IF($M449&lt;=VLOOKUP(Home!$C$7,Lists!$N$2:$O$6,2,FALSE),20,-10))+IF($G449=Home!$E$7,15,IF(Home!$E$7="",0,-5))-ROW()/100000)))</f>
        <v/>
      </c>
      <c r="O449" s="88">
        <f>IF($D449="","",IF($N449&lt;=-500,"Not recommended right now",IF($E449="Waiting","Nothing else actionable right now — Waiting on: "&amp;IF($K449="","this item",$K449),TEXTJOIN(" • ",TRUE,IF($F449="High","High Priority",""),IF(AND($I449&lt;&gt;"",$I449&lt;TODAY()),"Overdue",""),IF(AND($I449&lt;&gt;"",$I449&gt;=TODAY(),$I449&lt;=TODAY()+7),"Due This Week",""),IF(AND($H449&lt;&gt;"",$M449&lt;=VLOOKUP(Home!$C$7,Lists!$N$2:$O$6,2,FALSE)),$H449&amp;" Task",""),IF($G449=Home!$E$7,"Fits Current Energy",""),"No Blockers"))))</f>
        <v/>
      </c>
      <c r="P449" s="88">
        <f>IF($D449="","",SWITCH('Task Finder'!$C$6,"High Priority",AND($F449="High",$E449&lt;&gt;"Done",$E449&lt;&gt;"Archive"),"Due This Week",AND($I449&lt;&gt;"",$I449&gt;=TODAY(),$I449&lt;=TODAY()+7,$E449&lt;&gt;"Done"),"Quick Wins (15 mins or less)",AND($M449&lt;=15,$E449&lt;&gt;"Done",$E449&lt;&gt;"Blocked"),"Deep Thinking",AND($G449="Deep Thinking",$E449&lt;&gt;"Done"),"Processing",AND($G449="Processing",$E449&lt;&gt;"Done"),"Blocked",$E449="Blocked","Waiting",$E449="Waiting","Recently Updated",AND($L449&lt;&gt;"",$L449&gt;=TODAY()-7),"Keyword",AND('Task Finder'!$C$7&lt;&gt;"",OR(ISNUMBER(SEARCH('Task Finder'!$C$7,$A449)),ISNUMBER(SEARCH('Task Finder'!$C$7,$B449)),ISNUMBER(SEARCH('Task Finder'!$C$7,$C449)),ISNUMBER(SEARCH('Task Finder'!$C$7,$D449)),ISNUMBER(SEARCH('Task Finder'!$C$7,$K449)))),TRUE))</f>
        <v/>
      </c>
    </row>
    <row r="450">
      <c r="A450" s="19" t="n"/>
      <c r="B450" s="19" t="n"/>
      <c r="C450" s="19" t="n"/>
      <c r="D450" s="19" t="n"/>
      <c r="E450" s="19" t="n"/>
      <c r="F450" s="19" t="n"/>
      <c r="G450" s="19" t="n"/>
      <c r="H450" s="19" t="n"/>
      <c r="I450" s="19" t="n"/>
      <c r="J450" s="19" t="n"/>
      <c r="K450" s="19" t="n"/>
      <c r="L450" s="125" t="n"/>
      <c r="M450" s="88">
        <f>IF($D450="","",IFERROR(VLOOKUP($H450,Lists!$N$2:$O$6,2,FALSE),0))</f>
        <v/>
      </c>
      <c r="N450" s="88">
        <f>IF($D450="","",IF(OR($E450="Blocked",$E450="Done",$E450="Archive"),-9999,IF(AND($E450="Waiting",SUMPRODUCT((($E$5:$E$500="Next")+($E$5:$E$500="In Progress")+($E$5:$E$500="Captured"))*($D$5:$D$500&lt;&gt;""))&gt;0),-500,VLOOKUP($F450,Lists!$L$2:$M$4,2,FALSE)+IF($E450="In Progress",10,0)+IF(AND($I450&lt;&gt;"",$I450&lt;TODAY()),25,0)+IF(AND($I450&lt;&gt;"",$I450&gt;=TODAY(),$I450&lt;=TODAY()+7),15,0)+IF($H450="",0,IF($M450&lt;=VLOOKUP(Home!$C$7,Lists!$N$2:$O$6,2,FALSE),20,-10))+IF($G450=Home!$E$7,15,IF(Home!$E$7="",0,-5))-ROW()/100000)))</f>
        <v/>
      </c>
      <c r="O450" s="88">
        <f>IF($D450="","",IF($N450&lt;=-500,"Not recommended right now",IF($E450="Waiting","Nothing else actionable right now — Waiting on: "&amp;IF($K450="","this item",$K450),TEXTJOIN(" • ",TRUE,IF($F450="High","High Priority",""),IF(AND($I450&lt;&gt;"",$I450&lt;TODAY()),"Overdue",""),IF(AND($I450&lt;&gt;"",$I450&gt;=TODAY(),$I450&lt;=TODAY()+7),"Due This Week",""),IF(AND($H450&lt;&gt;"",$M450&lt;=VLOOKUP(Home!$C$7,Lists!$N$2:$O$6,2,FALSE)),$H450&amp;" Task",""),IF($G450=Home!$E$7,"Fits Current Energy",""),"No Blockers"))))</f>
        <v/>
      </c>
      <c r="P450" s="88">
        <f>IF($D450="","",SWITCH('Task Finder'!$C$6,"High Priority",AND($F450="High",$E450&lt;&gt;"Done",$E450&lt;&gt;"Archive"),"Due This Week",AND($I450&lt;&gt;"",$I450&gt;=TODAY(),$I450&lt;=TODAY()+7,$E450&lt;&gt;"Done"),"Quick Wins (15 mins or less)",AND($M450&lt;=15,$E450&lt;&gt;"Done",$E450&lt;&gt;"Blocked"),"Deep Thinking",AND($G450="Deep Thinking",$E450&lt;&gt;"Done"),"Processing",AND($G450="Processing",$E450&lt;&gt;"Done"),"Blocked",$E450="Blocked","Waiting",$E450="Waiting","Recently Updated",AND($L450&lt;&gt;"",$L450&gt;=TODAY()-7),"Keyword",AND('Task Finder'!$C$7&lt;&gt;"",OR(ISNUMBER(SEARCH('Task Finder'!$C$7,$A450)),ISNUMBER(SEARCH('Task Finder'!$C$7,$B450)),ISNUMBER(SEARCH('Task Finder'!$C$7,$C450)),ISNUMBER(SEARCH('Task Finder'!$C$7,$D450)),ISNUMBER(SEARCH('Task Finder'!$C$7,$K450)))),TRUE))</f>
        <v/>
      </c>
    </row>
    <row r="451">
      <c r="A451" s="19" t="n"/>
      <c r="B451" s="19" t="n"/>
      <c r="C451" s="19" t="n"/>
      <c r="D451" s="19" t="n"/>
      <c r="E451" s="19" t="n"/>
      <c r="F451" s="19" t="n"/>
      <c r="G451" s="19" t="n"/>
      <c r="H451" s="19" t="n"/>
      <c r="I451" s="19" t="n"/>
      <c r="J451" s="19" t="n"/>
      <c r="K451" s="19" t="n"/>
      <c r="L451" s="125" t="n"/>
      <c r="M451" s="88">
        <f>IF($D451="","",IFERROR(VLOOKUP($H451,Lists!$N$2:$O$6,2,FALSE),0))</f>
        <v/>
      </c>
      <c r="N451" s="88">
        <f>IF($D451="","",IF(OR($E451="Blocked",$E451="Done",$E451="Archive"),-9999,IF(AND($E451="Waiting",SUMPRODUCT((($E$5:$E$500="Next")+($E$5:$E$500="In Progress")+($E$5:$E$500="Captured"))*($D$5:$D$500&lt;&gt;""))&gt;0),-500,VLOOKUP($F451,Lists!$L$2:$M$4,2,FALSE)+IF($E451="In Progress",10,0)+IF(AND($I451&lt;&gt;"",$I451&lt;TODAY()),25,0)+IF(AND($I451&lt;&gt;"",$I451&gt;=TODAY(),$I451&lt;=TODAY()+7),15,0)+IF($H451="",0,IF($M451&lt;=VLOOKUP(Home!$C$7,Lists!$N$2:$O$6,2,FALSE),20,-10))+IF($G451=Home!$E$7,15,IF(Home!$E$7="",0,-5))-ROW()/100000)))</f>
        <v/>
      </c>
      <c r="O451" s="88">
        <f>IF($D451="","",IF($N451&lt;=-500,"Not recommended right now",IF($E451="Waiting","Nothing else actionable right now — Waiting on: "&amp;IF($K451="","this item",$K451),TEXTJOIN(" • ",TRUE,IF($F451="High","High Priority",""),IF(AND($I451&lt;&gt;"",$I451&lt;TODAY()),"Overdue",""),IF(AND($I451&lt;&gt;"",$I451&gt;=TODAY(),$I451&lt;=TODAY()+7),"Due This Week",""),IF(AND($H451&lt;&gt;"",$M451&lt;=VLOOKUP(Home!$C$7,Lists!$N$2:$O$6,2,FALSE)),$H451&amp;" Task",""),IF($G451=Home!$E$7,"Fits Current Energy",""),"No Blockers"))))</f>
        <v/>
      </c>
      <c r="P451" s="88">
        <f>IF($D451="","",SWITCH('Task Finder'!$C$6,"High Priority",AND($F451="High",$E451&lt;&gt;"Done",$E451&lt;&gt;"Archive"),"Due This Week",AND($I451&lt;&gt;"",$I451&gt;=TODAY(),$I451&lt;=TODAY()+7,$E451&lt;&gt;"Done"),"Quick Wins (15 mins or less)",AND($M451&lt;=15,$E451&lt;&gt;"Done",$E451&lt;&gt;"Blocked"),"Deep Thinking",AND($G451="Deep Thinking",$E451&lt;&gt;"Done"),"Processing",AND($G451="Processing",$E451&lt;&gt;"Done"),"Blocked",$E451="Blocked","Waiting",$E451="Waiting","Recently Updated",AND($L451&lt;&gt;"",$L451&gt;=TODAY()-7),"Keyword",AND('Task Finder'!$C$7&lt;&gt;"",OR(ISNUMBER(SEARCH('Task Finder'!$C$7,$A451)),ISNUMBER(SEARCH('Task Finder'!$C$7,$B451)),ISNUMBER(SEARCH('Task Finder'!$C$7,$C451)),ISNUMBER(SEARCH('Task Finder'!$C$7,$D451)),ISNUMBER(SEARCH('Task Finder'!$C$7,$K451)))),TRUE))</f>
        <v/>
      </c>
    </row>
    <row r="452">
      <c r="A452" s="19" t="n"/>
      <c r="B452" s="19" t="n"/>
      <c r="C452" s="19" t="n"/>
      <c r="D452" s="19" t="n"/>
      <c r="E452" s="19" t="n"/>
      <c r="F452" s="19" t="n"/>
      <c r="G452" s="19" t="n"/>
      <c r="H452" s="19" t="n"/>
      <c r="I452" s="19" t="n"/>
      <c r="J452" s="19" t="n"/>
      <c r="K452" s="19" t="n"/>
      <c r="L452" s="125" t="n"/>
      <c r="M452" s="88">
        <f>IF($D452="","",IFERROR(VLOOKUP($H452,Lists!$N$2:$O$6,2,FALSE),0))</f>
        <v/>
      </c>
      <c r="N452" s="88">
        <f>IF($D452="","",IF(OR($E452="Blocked",$E452="Done",$E452="Archive"),-9999,IF(AND($E452="Waiting",SUMPRODUCT((($E$5:$E$500="Next")+($E$5:$E$500="In Progress")+($E$5:$E$500="Captured"))*($D$5:$D$500&lt;&gt;""))&gt;0),-500,VLOOKUP($F452,Lists!$L$2:$M$4,2,FALSE)+IF($E452="In Progress",10,0)+IF(AND($I452&lt;&gt;"",$I452&lt;TODAY()),25,0)+IF(AND($I452&lt;&gt;"",$I452&gt;=TODAY(),$I452&lt;=TODAY()+7),15,0)+IF($H452="",0,IF($M452&lt;=VLOOKUP(Home!$C$7,Lists!$N$2:$O$6,2,FALSE),20,-10))+IF($G452=Home!$E$7,15,IF(Home!$E$7="",0,-5))-ROW()/100000)))</f>
        <v/>
      </c>
      <c r="O452" s="88">
        <f>IF($D452="","",IF($N452&lt;=-500,"Not recommended right now",IF($E452="Waiting","Nothing else actionable right now — Waiting on: "&amp;IF($K452="","this item",$K452),TEXTJOIN(" • ",TRUE,IF($F452="High","High Priority",""),IF(AND($I452&lt;&gt;"",$I452&lt;TODAY()),"Overdue",""),IF(AND($I452&lt;&gt;"",$I452&gt;=TODAY(),$I452&lt;=TODAY()+7),"Due This Week",""),IF(AND($H452&lt;&gt;"",$M452&lt;=VLOOKUP(Home!$C$7,Lists!$N$2:$O$6,2,FALSE)),$H452&amp;" Task",""),IF($G452=Home!$E$7,"Fits Current Energy",""),"No Blockers"))))</f>
        <v/>
      </c>
      <c r="P452" s="88">
        <f>IF($D452="","",SWITCH('Task Finder'!$C$6,"High Priority",AND($F452="High",$E452&lt;&gt;"Done",$E452&lt;&gt;"Archive"),"Due This Week",AND($I452&lt;&gt;"",$I452&gt;=TODAY(),$I452&lt;=TODAY()+7,$E452&lt;&gt;"Done"),"Quick Wins (15 mins or less)",AND($M452&lt;=15,$E452&lt;&gt;"Done",$E452&lt;&gt;"Blocked"),"Deep Thinking",AND($G452="Deep Thinking",$E452&lt;&gt;"Done"),"Processing",AND($G452="Processing",$E452&lt;&gt;"Done"),"Blocked",$E452="Blocked","Waiting",$E452="Waiting","Recently Updated",AND($L452&lt;&gt;"",$L452&gt;=TODAY()-7),"Keyword",AND('Task Finder'!$C$7&lt;&gt;"",OR(ISNUMBER(SEARCH('Task Finder'!$C$7,$A452)),ISNUMBER(SEARCH('Task Finder'!$C$7,$B452)),ISNUMBER(SEARCH('Task Finder'!$C$7,$C452)),ISNUMBER(SEARCH('Task Finder'!$C$7,$D452)),ISNUMBER(SEARCH('Task Finder'!$C$7,$K452)))),TRUE))</f>
        <v/>
      </c>
    </row>
    <row r="453">
      <c r="A453" s="19" t="n"/>
      <c r="B453" s="19" t="n"/>
      <c r="C453" s="19" t="n"/>
      <c r="D453" s="19" t="n"/>
      <c r="E453" s="19" t="n"/>
      <c r="F453" s="19" t="n"/>
      <c r="G453" s="19" t="n"/>
      <c r="H453" s="19" t="n"/>
      <c r="I453" s="19" t="n"/>
      <c r="J453" s="19" t="n"/>
      <c r="K453" s="19" t="n"/>
      <c r="L453" s="125" t="n"/>
      <c r="M453" s="88">
        <f>IF($D453="","",IFERROR(VLOOKUP($H453,Lists!$N$2:$O$6,2,FALSE),0))</f>
        <v/>
      </c>
      <c r="N453" s="88">
        <f>IF($D453="","",IF(OR($E453="Blocked",$E453="Done",$E453="Archive"),-9999,IF(AND($E453="Waiting",SUMPRODUCT((($E$5:$E$500="Next")+($E$5:$E$500="In Progress")+($E$5:$E$500="Captured"))*($D$5:$D$500&lt;&gt;""))&gt;0),-500,VLOOKUP($F453,Lists!$L$2:$M$4,2,FALSE)+IF($E453="In Progress",10,0)+IF(AND($I453&lt;&gt;"",$I453&lt;TODAY()),25,0)+IF(AND($I453&lt;&gt;"",$I453&gt;=TODAY(),$I453&lt;=TODAY()+7),15,0)+IF($H453="",0,IF($M453&lt;=VLOOKUP(Home!$C$7,Lists!$N$2:$O$6,2,FALSE),20,-10))+IF($G453=Home!$E$7,15,IF(Home!$E$7="",0,-5))-ROW()/100000)))</f>
        <v/>
      </c>
      <c r="O453" s="88">
        <f>IF($D453="","",IF($N453&lt;=-500,"Not recommended right now",IF($E453="Waiting","Nothing else actionable right now — Waiting on: "&amp;IF($K453="","this item",$K453),TEXTJOIN(" • ",TRUE,IF($F453="High","High Priority",""),IF(AND($I453&lt;&gt;"",$I453&lt;TODAY()),"Overdue",""),IF(AND($I453&lt;&gt;"",$I453&gt;=TODAY(),$I453&lt;=TODAY()+7),"Due This Week",""),IF(AND($H453&lt;&gt;"",$M453&lt;=VLOOKUP(Home!$C$7,Lists!$N$2:$O$6,2,FALSE)),$H453&amp;" Task",""),IF($G453=Home!$E$7,"Fits Current Energy",""),"No Blockers"))))</f>
        <v/>
      </c>
      <c r="P453" s="88">
        <f>IF($D453="","",SWITCH('Task Finder'!$C$6,"High Priority",AND($F453="High",$E453&lt;&gt;"Done",$E453&lt;&gt;"Archive"),"Due This Week",AND($I453&lt;&gt;"",$I453&gt;=TODAY(),$I453&lt;=TODAY()+7,$E453&lt;&gt;"Done"),"Quick Wins (15 mins or less)",AND($M453&lt;=15,$E453&lt;&gt;"Done",$E453&lt;&gt;"Blocked"),"Deep Thinking",AND($G453="Deep Thinking",$E453&lt;&gt;"Done"),"Processing",AND($G453="Processing",$E453&lt;&gt;"Done"),"Blocked",$E453="Blocked","Waiting",$E453="Waiting","Recently Updated",AND($L453&lt;&gt;"",$L453&gt;=TODAY()-7),"Keyword",AND('Task Finder'!$C$7&lt;&gt;"",OR(ISNUMBER(SEARCH('Task Finder'!$C$7,$A453)),ISNUMBER(SEARCH('Task Finder'!$C$7,$B453)),ISNUMBER(SEARCH('Task Finder'!$C$7,$C453)),ISNUMBER(SEARCH('Task Finder'!$C$7,$D453)),ISNUMBER(SEARCH('Task Finder'!$C$7,$K453)))),TRUE))</f>
        <v/>
      </c>
    </row>
    <row r="454">
      <c r="A454" s="19" t="n"/>
      <c r="B454" s="19" t="n"/>
      <c r="C454" s="19" t="n"/>
      <c r="D454" s="19" t="n"/>
      <c r="E454" s="19" t="n"/>
      <c r="F454" s="19" t="n"/>
      <c r="G454" s="19" t="n"/>
      <c r="H454" s="19" t="n"/>
      <c r="I454" s="19" t="n"/>
      <c r="J454" s="19" t="n"/>
      <c r="K454" s="19" t="n"/>
      <c r="L454" s="125" t="n"/>
      <c r="M454" s="88">
        <f>IF($D454="","",IFERROR(VLOOKUP($H454,Lists!$N$2:$O$6,2,FALSE),0))</f>
        <v/>
      </c>
      <c r="N454" s="88">
        <f>IF($D454="","",IF(OR($E454="Blocked",$E454="Done",$E454="Archive"),-9999,IF(AND($E454="Waiting",SUMPRODUCT((($E$5:$E$500="Next")+($E$5:$E$500="In Progress")+($E$5:$E$500="Captured"))*($D$5:$D$500&lt;&gt;""))&gt;0),-500,VLOOKUP($F454,Lists!$L$2:$M$4,2,FALSE)+IF($E454="In Progress",10,0)+IF(AND($I454&lt;&gt;"",$I454&lt;TODAY()),25,0)+IF(AND($I454&lt;&gt;"",$I454&gt;=TODAY(),$I454&lt;=TODAY()+7),15,0)+IF($H454="",0,IF($M454&lt;=VLOOKUP(Home!$C$7,Lists!$N$2:$O$6,2,FALSE),20,-10))+IF($G454=Home!$E$7,15,IF(Home!$E$7="",0,-5))-ROW()/100000)))</f>
        <v/>
      </c>
      <c r="O454" s="88">
        <f>IF($D454="","",IF($N454&lt;=-500,"Not recommended right now",IF($E454="Waiting","Nothing else actionable right now — Waiting on: "&amp;IF($K454="","this item",$K454),TEXTJOIN(" • ",TRUE,IF($F454="High","High Priority",""),IF(AND($I454&lt;&gt;"",$I454&lt;TODAY()),"Overdue",""),IF(AND($I454&lt;&gt;"",$I454&gt;=TODAY(),$I454&lt;=TODAY()+7),"Due This Week",""),IF(AND($H454&lt;&gt;"",$M454&lt;=VLOOKUP(Home!$C$7,Lists!$N$2:$O$6,2,FALSE)),$H454&amp;" Task",""),IF($G454=Home!$E$7,"Fits Current Energy",""),"No Blockers"))))</f>
        <v/>
      </c>
      <c r="P454" s="88">
        <f>IF($D454="","",SWITCH('Task Finder'!$C$6,"High Priority",AND($F454="High",$E454&lt;&gt;"Done",$E454&lt;&gt;"Archive"),"Due This Week",AND($I454&lt;&gt;"",$I454&gt;=TODAY(),$I454&lt;=TODAY()+7,$E454&lt;&gt;"Done"),"Quick Wins (15 mins or less)",AND($M454&lt;=15,$E454&lt;&gt;"Done",$E454&lt;&gt;"Blocked"),"Deep Thinking",AND($G454="Deep Thinking",$E454&lt;&gt;"Done"),"Processing",AND($G454="Processing",$E454&lt;&gt;"Done"),"Blocked",$E454="Blocked","Waiting",$E454="Waiting","Recently Updated",AND($L454&lt;&gt;"",$L454&gt;=TODAY()-7),"Keyword",AND('Task Finder'!$C$7&lt;&gt;"",OR(ISNUMBER(SEARCH('Task Finder'!$C$7,$A454)),ISNUMBER(SEARCH('Task Finder'!$C$7,$B454)),ISNUMBER(SEARCH('Task Finder'!$C$7,$C454)),ISNUMBER(SEARCH('Task Finder'!$C$7,$D454)),ISNUMBER(SEARCH('Task Finder'!$C$7,$K454)))),TRUE))</f>
        <v/>
      </c>
    </row>
    <row r="455">
      <c r="A455" s="19" t="n"/>
      <c r="B455" s="19" t="n"/>
      <c r="C455" s="19" t="n"/>
      <c r="D455" s="19" t="n"/>
      <c r="E455" s="19" t="n"/>
      <c r="F455" s="19" t="n"/>
      <c r="G455" s="19" t="n"/>
      <c r="H455" s="19" t="n"/>
      <c r="I455" s="19" t="n"/>
      <c r="J455" s="19" t="n"/>
      <c r="K455" s="19" t="n"/>
      <c r="L455" s="125" t="n"/>
      <c r="M455" s="88">
        <f>IF($D455="","",IFERROR(VLOOKUP($H455,Lists!$N$2:$O$6,2,FALSE),0))</f>
        <v/>
      </c>
      <c r="N455" s="88">
        <f>IF($D455="","",IF(OR($E455="Blocked",$E455="Done",$E455="Archive"),-9999,IF(AND($E455="Waiting",SUMPRODUCT((($E$5:$E$500="Next")+($E$5:$E$500="In Progress")+($E$5:$E$500="Captured"))*($D$5:$D$500&lt;&gt;""))&gt;0),-500,VLOOKUP($F455,Lists!$L$2:$M$4,2,FALSE)+IF($E455="In Progress",10,0)+IF(AND($I455&lt;&gt;"",$I455&lt;TODAY()),25,0)+IF(AND($I455&lt;&gt;"",$I455&gt;=TODAY(),$I455&lt;=TODAY()+7),15,0)+IF($H455="",0,IF($M455&lt;=VLOOKUP(Home!$C$7,Lists!$N$2:$O$6,2,FALSE),20,-10))+IF($G455=Home!$E$7,15,IF(Home!$E$7="",0,-5))-ROW()/100000)))</f>
        <v/>
      </c>
      <c r="O455" s="88">
        <f>IF($D455="","",IF($N455&lt;=-500,"Not recommended right now",IF($E455="Waiting","Nothing else actionable right now — Waiting on: "&amp;IF($K455="","this item",$K455),TEXTJOIN(" • ",TRUE,IF($F455="High","High Priority",""),IF(AND($I455&lt;&gt;"",$I455&lt;TODAY()),"Overdue",""),IF(AND($I455&lt;&gt;"",$I455&gt;=TODAY(),$I455&lt;=TODAY()+7),"Due This Week",""),IF(AND($H455&lt;&gt;"",$M455&lt;=VLOOKUP(Home!$C$7,Lists!$N$2:$O$6,2,FALSE)),$H455&amp;" Task",""),IF($G455=Home!$E$7,"Fits Current Energy",""),"No Blockers"))))</f>
        <v/>
      </c>
      <c r="P455" s="88">
        <f>IF($D455="","",SWITCH('Task Finder'!$C$6,"High Priority",AND($F455="High",$E455&lt;&gt;"Done",$E455&lt;&gt;"Archive"),"Due This Week",AND($I455&lt;&gt;"",$I455&gt;=TODAY(),$I455&lt;=TODAY()+7,$E455&lt;&gt;"Done"),"Quick Wins (15 mins or less)",AND($M455&lt;=15,$E455&lt;&gt;"Done",$E455&lt;&gt;"Blocked"),"Deep Thinking",AND($G455="Deep Thinking",$E455&lt;&gt;"Done"),"Processing",AND($G455="Processing",$E455&lt;&gt;"Done"),"Blocked",$E455="Blocked","Waiting",$E455="Waiting","Recently Updated",AND($L455&lt;&gt;"",$L455&gt;=TODAY()-7),"Keyword",AND('Task Finder'!$C$7&lt;&gt;"",OR(ISNUMBER(SEARCH('Task Finder'!$C$7,$A455)),ISNUMBER(SEARCH('Task Finder'!$C$7,$B455)),ISNUMBER(SEARCH('Task Finder'!$C$7,$C455)),ISNUMBER(SEARCH('Task Finder'!$C$7,$D455)),ISNUMBER(SEARCH('Task Finder'!$C$7,$K455)))),TRUE))</f>
        <v/>
      </c>
    </row>
    <row r="456">
      <c r="A456" s="19" t="n"/>
      <c r="B456" s="19" t="n"/>
      <c r="C456" s="19" t="n"/>
      <c r="D456" s="19" t="n"/>
      <c r="E456" s="19" t="n"/>
      <c r="F456" s="19" t="n"/>
      <c r="G456" s="19" t="n"/>
      <c r="H456" s="19" t="n"/>
      <c r="I456" s="19" t="n"/>
      <c r="J456" s="19" t="n"/>
      <c r="K456" s="19" t="n"/>
      <c r="L456" s="125" t="n"/>
      <c r="M456" s="88">
        <f>IF($D456="","",IFERROR(VLOOKUP($H456,Lists!$N$2:$O$6,2,FALSE),0))</f>
        <v/>
      </c>
      <c r="N456" s="88">
        <f>IF($D456="","",IF(OR($E456="Blocked",$E456="Done",$E456="Archive"),-9999,IF(AND($E456="Waiting",SUMPRODUCT((($E$5:$E$500="Next")+($E$5:$E$500="In Progress")+($E$5:$E$500="Captured"))*($D$5:$D$500&lt;&gt;""))&gt;0),-500,VLOOKUP($F456,Lists!$L$2:$M$4,2,FALSE)+IF($E456="In Progress",10,0)+IF(AND($I456&lt;&gt;"",$I456&lt;TODAY()),25,0)+IF(AND($I456&lt;&gt;"",$I456&gt;=TODAY(),$I456&lt;=TODAY()+7),15,0)+IF($H456="",0,IF($M456&lt;=VLOOKUP(Home!$C$7,Lists!$N$2:$O$6,2,FALSE),20,-10))+IF($G456=Home!$E$7,15,IF(Home!$E$7="",0,-5))-ROW()/100000)))</f>
        <v/>
      </c>
      <c r="O456" s="88">
        <f>IF($D456="","",IF($N456&lt;=-500,"Not recommended right now",IF($E456="Waiting","Nothing else actionable right now — Waiting on: "&amp;IF($K456="","this item",$K456),TEXTJOIN(" • ",TRUE,IF($F456="High","High Priority",""),IF(AND($I456&lt;&gt;"",$I456&lt;TODAY()),"Overdue",""),IF(AND($I456&lt;&gt;"",$I456&gt;=TODAY(),$I456&lt;=TODAY()+7),"Due This Week",""),IF(AND($H456&lt;&gt;"",$M456&lt;=VLOOKUP(Home!$C$7,Lists!$N$2:$O$6,2,FALSE)),$H456&amp;" Task",""),IF($G456=Home!$E$7,"Fits Current Energy",""),"No Blockers"))))</f>
        <v/>
      </c>
      <c r="P456" s="88">
        <f>IF($D456="","",SWITCH('Task Finder'!$C$6,"High Priority",AND($F456="High",$E456&lt;&gt;"Done",$E456&lt;&gt;"Archive"),"Due This Week",AND($I456&lt;&gt;"",$I456&gt;=TODAY(),$I456&lt;=TODAY()+7,$E456&lt;&gt;"Done"),"Quick Wins (15 mins or less)",AND($M456&lt;=15,$E456&lt;&gt;"Done",$E456&lt;&gt;"Blocked"),"Deep Thinking",AND($G456="Deep Thinking",$E456&lt;&gt;"Done"),"Processing",AND($G456="Processing",$E456&lt;&gt;"Done"),"Blocked",$E456="Blocked","Waiting",$E456="Waiting","Recently Updated",AND($L456&lt;&gt;"",$L456&gt;=TODAY()-7),"Keyword",AND('Task Finder'!$C$7&lt;&gt;"",OR(ISNUMBER(SEARCH('Task Finder'!$C$7,$A456)),ISNUMBER(SEARCH('Task Finder'!$C$7,$B456)),ISNUMBER(SEARCH('Task Finder'!$C$7,$C456)),ISNUMBER(SEARCH('Task Finder'!$C$7,$D456)),ISNUMBER(SEARCH('Task Finder'!$C$7,$K456)))),TRUE))</f>
        <v/>
      </c>
    </row>
    <row r="457">
      <c r="A457" s="19" t="n"/>
      <c r="B457" s="19" t="n"/>
      <c r="C457" s="19" t="n"/>
      <c r="D457" s="19" t="n"/>
      <c r="E457" s="19" t="n"/>
      <c r="F457" s="19" t="n"/>
      <c r="G457" s="19" t="n"/>
      <c r="H457" s="19" t="n"/>
      <c r="I457" s="19" t="n"/>
      <c r="J457" s="19" t="n"/>
      <c r="K457" s="19" t="n"/>
      <c r="L457" s="125" t="n"/>
      <c r="M457" s="88">
        <f>IF($D457="","",IFERROR(VLOOKUP($H457,Lists!$N$2:$O$6,2,FALSE),0))</f>
        <v/>
      </c>
      <c r="N457" s="88">
        <f>IF($D457="","",IF(OR($E457="Blocked",$E457="Done",$E457="Archive"),-9999,IF(AND($E457="Waiting",SUMPRODUCT((($E$5:$E$500="Next")+($E$5:$E$500="In Progress")+($E$5:$E$500="Captured"))*($D$5:$D$500&lt;&gt;""))&gt;0),-500,VLOOKUP($F457,Lists!$L$2:$M$4,2,FALSE)+IF($E457="In Progress",10,0)+IF(AND($I457&lt;&gt;"",$I457&lt;TODAY()),25,0)+IF(AND($I457&lt;&gt;"",$I457&gt;=TODAY(),$I457&lt;=TODAY()+7),15,0)+IF($H457="",0,IF($M457&lt;=VLOOKUP(Home!$C$7,Lists!$N$2:$O$6,2,FALSE),20,-10))+IF($G457=Home!$E$7,15,IF(Home!$E$7="",0,-5))-ROW()/100000)))</f>
        <v/>
      </c>
      <c r="O457" s="88">
        <f>IF($D457="","",IF($N457&lt;=-500,"Not recommended right now",IF($E457="Waiting","Nothing else actionable right now — Waiting on: "&amp;IF($K457="","this item",$K457),TEXTJOIN(" • ",TRUE,IF($F457="High","High Priority",""),IF(AND($I457&lt;&gt;"",$I457&lt;TODAY()),"Overdue",""),IF(AND($I457&lt;&gt;"",$I457&gt;=TODAY(),$I457&lt;=TODAY()+7),"Due This Week",""),IF(AND($H457&lt;&gt;"",$M457&lt;=VLOOKUP(Home!$C$7,Lists!$N$2:$O$6,2,FALSE)),$H457&amp;" Task",""),IF($G457=Home!$E$7,"Fits Current Energy",""),"No Blockers"))))</f>
        <v/>
      </c>
      <c r="P457" s="88">
        <f>IF($D457="","",SWITCH('Task Finder'!$C$6,"High Priority",AND($F457="High",$E457&lt;&gt;"Done",$E457&lt;&gt;"Archive"),"Due This Week",AND($I457&lt;&gt;"",$I457&gt;=TODAY(),$I457&lt;=TODAY()+7,$E457&lt;&gt;"Done"),"Quick Wins (15 mins or less)",AND($M457&lt;=15,$E457&lt;&gt;"Done",$E457&lt;&gt;"Blocked"),"Deep Thinking",AND($G457="Deep Thinking",$E457&lt;&gt;"Done"),"Processing",AND($G457="Processing",$E457&lt;&gt;"Done"),"Blocked",$E457="Blocked","Waiting",$E457="Waiting","Recently Updated",AND($L457&lt;&gt;"",$L457&gt;=TODAY()-7),"Keyword",AND('Task Finder'!$C$7&lt;&gt;"",OR(ISNUMBER(SEARCH('Task Finder'!$C$7,$A457)),ISNUMBER(SEARCH('Task Finder'!$C$7,$B457)),ISNUMBER(SEARCH('Task Finder'!$C$7,$C457)),ISNUMBER(SEARCH('Task Finder'!$C$7,$D457)),ISNUMBER(SEARCH('Task Finder'!$C$7,$K457)))),TRUE))</f>
        <v/>
      </c>
    </row>
    <row r="458">
      <c r="A458" s="19" t="n"/>
      <c r="B458" s="19" t="n"/>
      <c r="C458" s="19" t="n"/>
      <c r="D458" s="19" t="n"/>
      <c r="E458" s="19" t="n"/>
      <c r="F458" s="19" t="n"/>
      <c r="G458" s="19" t="n"/>
      <c r="H458" s="19" t="n"/>
      <c r="I458" s="19" t="n"/>
      <c r="J458" s="19" t="n"/>
      <c r="K458" s="19" t="n"/>
      <c r="L458" s="125" t="n"/>
      <c r="M458" s="88">
        <f>IF($D458="","",IFERROR(VLOOKUP($H458,Lists!$N$2:$O$6,2,FALSE),0))</f>
        <v/>
      </c>
      <c r="N458" s="88">
        <f>IF($D458="","",IF(OR($E458="Blocked",$E458="Done",$E458="Archive"),-9999,IF(AND($E458="Waiting",SUMPRODUCT((($E$5:$E$500="Next")+($E$5:$E$500="In Progress")+($E$5:$E$500="Captured"))*($D$5:$D$500&lt;&gt;""))&gt;0),-500,VLOOKUP($F458,Lists!$L$2:$M$4,2,FALSE)+IF($E458="In Progress",10,0)+IF(AND($I458&lt;&gt;"",$I458&lt;TODAY()),25,0)+IF(AND($I458&lt;&gt;"",$I458&gt;=TODAY(),$I458&lt;=TODAY()+7),15,0)+IF($H458="",0,IF($M458&lt;=VLOOKUP(Home!$C$7,Lists!$N$2:$O$6,2,FALSE),20,-10))+IF($G458=Home!$E$7,15,IF(Home!$E$7="",0,-5))-ROW()/100000)))</f>
        <v/>
      </c>
      <c r="O458" s="88">
        <f>IF($D458="","",IF($N458&lt;=-500,"Not recommended right now",IF($E458="Waiting","Nothing else actionable right now — Waiting on: "&amp;IF($K458="","this item",$K458),TEXTJOIN(" • ",TRUE,IF($F458="High","High Priority",""),IF(AND($I458&lt;&gt;"",$I458&lt;TODAY()),"Overdue",""),IF(AND($I458&lt;&gt;"",$I458&gt;=TODAY(),$I458&lt;=TODAY()+7),"Due This Week",""),IF(AND($H458&lt;&gt;"",$M458&lt;=VLOOKUP(Home!$C$7,Lists!$N$2:$O$6,2,FALSE)),$H458&amp;" Task",""),IF($G458=Home!$E$7,"Fits Current Energy",""),"No Blockers"))))</f>
        <v/>
      </c>
      <c r="P458" s="88">
        <f>IF($D458="","",SWITCH('Task Finder'!$C$6,"High Priority",AND($F458="High",$E458&lt;&gt;"Done",$E458&lt;&gt;"Archive"),"Due This Week",AND($I458&lt;&gt;"",$I458&gt;=TODAY(),$I458&lt;=TODAY()+7,$E458&lt;&gt;"Done"),"Quick Wins (15 mins or less)",AND($M458&lt;=15,$E458&lt;&gt;"Done",$E458&lt;&gt;"Blocked"),"Deep Thinking",AND($G458="Deep Thinking",$E458&lt;&gt;"Done"),"Processing",AND($G458="Processing",$E458&lt;&gt;"Done"),"Blocked",$E458="Blocked","Waiting",$E458="Waiting","Recently Updated",AND($L458&lt;&gt;"",$L458&gt;=TODAY()-7),"Keyword",AND('Task Finder'!$C$7&lt;&gt;"",OR(ISNUMBER(SEARCH('Task Finder'!$C$7,$A458)),ISNUMBER(SEARCH('Task Finder'!$C$7,$B458)),ISNUMBER(SEARCH('Task Finder'!$C$7,$C458)),ISNUMBER(SEARCH('Task Finder'!$C$7,$D458)),ISNUMBER(SEARCH('Task Finder'!$C$7,$K458)))),TRUE))</f>
        <v/>
      </c>
    </row>
    <row r="459">
      <c r="A459" s="19" t="n"/>
      <c r="B459" s="19" t="n"/>
      <c r="C459" s="19" t="n"/>
      <c r="D459" s="19" t="n"/>
      <c r="E459" s="19" t="n"/>
      <c r="F459" s="19" t="n"/>
      <c r="G459" s="19" t="n"/>
      <c r="H459" s="19" t="n"/>
      <c r="I459" s="19" t="n"/>
      <c r="J459" s="19" t="n"/>
      <c r="K459" s="19" t="n"/>
      <c r="L459" s="125" t="n"/>
      <c r="M459" s="88">
        <f>IF($D459="","",IFERROR(VLOOKUP($H459,Lists!$N$2:$O$6,2,FALSE),0))</f>
        <v/>
      </c>
      <c r="N459" s="88">
        <f>IF($D459="","",IF(OR($E459="Blocked",$E459="Done",$E459="Archive"),-9999,IF(AND($E459="Waiting",SUMPRODUCT((($E$5:$E$500="Next")+($E$5:$E$500="In Progress")+($E$5:$E$500="Captured"))*($D$5:$D$500&lt;&gt;""))&gt;0),-500,VLOOKUP($F459,Lists!$L$2:$M$4,2,FALSE)+IF($E459="In Progress",10,0)+IF(AND($I459&lt;&gt;"",$I459&lt;TODAY()),25,0)+IF(AND($I459&lt;&gt;"",$I459&gt;=TODAY(),$I459&lt;=TODAY()+7),15,0)+IF($H459="",0,IF($M459&lt;=VLOOKUP(Home!$C$7,Lists!$N$2:$O$6,2,FALSE),20,-10))+IF($G459=Home!$E$7,15,IF(Home!$E$7="",0,-5))-ROW()/100000)))</f>
        <v/>
      </c>
      <c r="O459" s="88">
        <f>IF($D459="","",IF($N459&lt;=-500,"Not recommended right now",IF($E459="Waiting","Nothing else actionable right now — Waiting on: "&amp;IF($K459="","this item",$K459),TEXTJOIN(" • ",TRUE,IF($F459="High","High Priority",""),IF(AND($I459&lt;&gt;"",$I459&lt;TODAY()),"Overdue",""),IF(AND($I459&lt;&gt;"",$I459&gt;=TODAY(),$I459&lt;=TODAY()+7),"Due This Week",""),IF(AND($H459&lt;&gt;"",$M459&lt;=VLOOKUP(Home!$C$7,Lists!$N$2:$O$6,2,FALSE)),$H459&amp;" Task",""),IF($G459=Home!$E$7,"Fits Current Energy",""),"No Blockers"))))</f>
        <v/>
      </c>
      <c r="P459" s="88">
        <f>IF($D459="","",SWITCH('Task Finder'!$C$6,"High Priority",AND($F459="High",$E459&lt;&gt;"Done",$E459&lt;&gt;"Archive"),"Due This Week",AND($I459&lt;&gt;"",$I459&gt;=TODAY(),$I459&lt;=TODAY()+7,$E459&lt;&gt;"Done"),"Quick Wins (15 mins or less)",AND($M459&lt;=15,$E459&lt;&gt;"Done",$E459&lt;&gt;"Blocked"),"Deep Thinking",AND($G459="Deep Thinking",$E459&lt;&gt;"Done"),"Processing",AND($G459="Processing",$E459&lt;&gt;"Done"),"Blocked",$E459="Blocked","Waiting",$E459="Waiting","Recently Updated",AND($L459&lt;&gt;"",$L459&gt;=TODAY()-7),"Keyword",AND('Task Finder'!$C$7&lt;&gt;"",OR(ISNUMBER(SEARCH('Task Finder'!$C$7,$A459)),ISNUMBER(SEARCH('Task Finder'!$C$7,$B459)),ISNUMBER(SEARCH('Task Finder'!$C$7,$C459)),ISNUMBER(SEARCH('Task Finder'!$C$7,$D459)),ISNUMBER(SEARCH('Task Finder'!$C$7,$K459)))),TRUE))</f>
        <v/>
      </c>
    </row>
    <row r="460">
      <c r="A460" s="19" t="n"/>
      <c r="B460" s="19" t="n"/>
      <c r="C460" s="19" t="n"/>
      <c r="D460" s="19" t="n"/>
      <c r="E460" s="19" t="n"/>
      <c r="F460" s="19" t="n"/>
      <c r="G460" s="19" t="n"/>
      <c r="H460" s="19" t="n"/>
      <c r="I460" s="19" t="n"/>
      <c r="J460" s="19" t="n"/>
      <c r="K460" s="19" t="n"/>
      <c r="L460" s="125" t="n"/>
      <c r="M460" s="88">
        <f>IF($D460="","",IFERROR(VLOOKUP($H460,Lists!$N$2:$O$6,2,FALSE),0))</f>
        <v/>
      </c>
      <c r="N460" s="88">
        <f>IF($D460="","",IF(OR($E460="Blocked",$E460="Done",$E460="Archive"),-9999,IF(AND($E460="Waiting",SUMPRODUCT((($E$5:$E$500="Next")+($E$5:$E$500="In Progress")+($E$5:$E$500="Captured"))*($D$5:$D$500&lt;&gt;""))&gt;0),-500,VLOOKUP($F460,Lists!$L$2:$M$4,2,FALSE)+IF($E460="In Progress",10,0)+IF(AND($I460&lt;&gt;"",$I460&lt;TODAY()),25,0)+IF(AND($I460&lt;&gt;"",$I460&gt;=TODAY(),$I460&lt;=TODAY()+7),15,0)+IF($H460="",0,IF($M460&lt;=VLOOKUP(Home!$C$7,Lists!$N$2:$O$6,2,FALSE),20,-10))+IF($G460=Home!$E$7,15,IF(Home!$E$7="",0,-5))-ROW()/100000)))</f>
        <v/>
      </c>
      <c r="O460" s="88">
        <f>IF($D460="","",IF($N460&lt;=-500,"Not recommended right now",IF($E460="Waiting","Nothing else actionable right now — Waiting on: "&amp;IF($K460="","this item",$K460),TEXTJOIN(" • ",TRUE,IF($F460="High","High Priority",""),IF(AND($I460&lt;&gt;"",$I460&lt;TODAY()),"Overdue",""),IF(AND($I460&lt;&gt;"",$I460&gt;=TODAY(),$I460&lt;=TODAY()+7),"Due This Week",""),IF(AND($H460&lt;&gt;"",$M460&lt;=VLOOKUP(Home!$C$7,Lists!$N$2:$O$6,2,FALSE)),$H460&amp;" Task",""),IF($G460=Home!$E$7,"Fits Current Energy",""),"No Blockers"))))</f>
        <v/>
      </c>
      <c r="P460" s="88">
        <f>IF($D460="","",SWITCH('Task Finder'!$C$6,"High Priority",AND($F460="High",$E460&lt;&gt;"Done",$E460&lt;&gt;"Archive"),"Due This Week",AND($I460&lt;&gt;"",$I460&gt;=TODAY(),$I460&lt;=TODAY()+7,$E460&lt;&gt;"Done"),"Quick Wins (15 mins or less)",AND($M460&lt;=15,$E460&lt;&gt;"Done",$E460&lt;&gt;"Blocked"),"Deep Thinking",AND($G460="Deep Thinking",$E460&lt;&gt;"Done"),"Processing",AND($G460="Processing",$E460&lt;&gt;"Done"),"Blocked",$E460="Blocked","Waiting",$E460="Waiting","Recently Updated",AND($L460&lt;&gt;"",$L460&gt;=TODAY()-7),"Keyword",AND('Task Finder'!$C$7&lt;&gt;"",OR(ISNUMBER(SEARCH('Task Finder'!$C$7,$A460)),ISNUMBER(SEARCH('Task Finder'!$C$7,$B460)),ISNUMBER(SEARCH('Task Finder'!$C$7,$C460)),ISNUMBER(SEARCH('Task Finder'!$C$7,$D460)),ISNUMBER(SEARCH('Task Finder'!$C$7,$K460)))),TRUE))</f>
        <v/>
      </c>
    </row>
    <row r="461">
      <c r="A461" s="19" t="n"/>
      <c r="B461" s="19" t="n"/>
      <c r="C461" s="19" t="n"/>
      <c r="D461" s="19" t="n"/>
      <c r="E461" s="19" t="n"/>
      <c r="F461" s="19" t="n"/>
      <c r="G461" s="19" t="n"/>
      <c r="H461" s="19" t="n"/>
      <c r="I461" s="19" t="n"/>
      <c r="J461" s="19" t="n"/>
      <c r="K461" s="19" t="n"/>
      <c r="L461" s="125" t="n"/>
      <c r="M461" s="88">
        <f>IF($D461="","",IFERROR(VLOOKUP($H461,Lists!$N$2:$O$6,2,FALSE),0))</f>
        <v/>
      </c>
      <c r="N461" s="88">
        <f>IF($D461="","",IF(OR($E461="Blocked",$E461="Done",$E461="Archive"),-9999,IF(AND($E461="Waiting",SUMPRODUCT((($E$5:$E$500="Next")+($E$5:$E$500="In Progress")+($E$5:$E$500="Captured"))*($D$5:$D$500&lt;&gt;""))&gt;0),-500,VLOOKUP($F461,Lists!$L$2:$M$4,2,FALSE)+IF($E461="In Progress",10,0)+IF(AND($I461&lt;&gt;"",$I461&lt;TODAY()),25,0)+IF(AND($I461&lt;&gt;"",$I461&gt;=TODAY(),$I461&lt;=TODAY()+7),15,0)+IF($H461="",0,IF($M461&lt;=VLOOKUP(Home!$C$7,Lists!$N$2:$O$6,2,FALSE),20,-10))+IF($G461=Home!$E$7,15,IF(Home!$E$7="",0,-5))-ROW()/100000)))</f>
        <v/>
      </c>
      <c r="O461" s="88">
        <f>IF($D461="","",IF($N461&lt;=-500,"Not recommended right now",IF($E461="Waiting","Nothing else actionable right now — Waiting on: "&amp;IF($K461="","this item",$K461),TEXTJOIN(" • ",TRUE,IF($F461="High","High Priority",""),IF(AND($I461&lt;&gt;"",$I461&lt;TODAY()),"Overdue",""),IF(AND($I461&lt;&gt;"",$I461&gt;=TODAY(),$I461&lt;=TODAY()+7),"Due This Week",""),IF(AND($H461&lt;&gt;"",$M461&lt;=VLOOKUP(Home!$C$7,Lists!$N$2:$O$6,2,FALSE)),$H461&amp;" Task",""),IF($G461=Home!$E$7,"Fits Current Energy",""),"No Blockers"))))</f>
        <v/>
      </c>
      <c r="P461" s="88">
        <f>IF($D461="","",SWITCH('Task Finder'!$C$6,"High Priority",AND($F461="High",$E461&lt;&gt;"Done",$E461&lt;&gt;"Archive"),"Due This Week",AND($I461&lt;&gt;"",$I461&gt;=TODAY(),$I461&lt;=TODAY()+7,$E461&lt;&gt;"Done"),"Quick Wins (15 mins or less)",AND($M461&lt;=15,$E461&lt;&gt;"Done",$E461&lt;&gt;"Blocked"),"Deep Thinking",AND($G461="Deep Thinking",$E461&lt;&gt;"Done"),"Processing",AND($G461="Processing",$E461&lt;&gt;"Done"),"Blocked",$E461="Blocked","Waiting",$E461="Waiting","Recently Updated",AND($L461&lt;&gt;"",$L461&gt;=TODAY()-7),"Keyword",AND('Task Finder'!$C$7&lt;&gt;"",OR(ISNUMBER(SEARCH('Task Finder'!$C$7,$A461)),ISNUMBER(SEARCH('Task Finder'!$C$7,$B461)),ISNUMBER(SEARCH('Task Finder'!$C$7,$C461)),ISNUMBER(SEARCH('Task Finder'!$C$7,$D461)),ISNUMBER(SEARCH('Task Finder'!$C$7,$K461)))),TRUE))</f>
        <v/>
      </c>
    </row>
    <row r="462">
      <c r="A462" s="19" t="n"/>
      <c r="B462" s="19" t="n"/>
      <c r="C462" s="19" t="n"/>
      <c r="D462" s="19" t="n"/>
      <c r="E462" s="19" t="n"/>
      <c r="F462" s="19" t="n"/>
      <c r="G462" s="19" t="n"/>
      <c r="H462" s="19" t="n"/>
      <c r="I462" s="19" t="n"/>
      <c r="J462" s="19" t="n"/>
      <c r="K462" s="19" t="n"/>
      <c r="L462" s="125" t="n"/>
      <c r="M462" s="88">
        <f>IF($D462="","",IFERROR(VLOOKUP($H462,Lists!$N$2:$O$6,2,FALSE),0))</f>
        <v/>
      </c>
      <c r="N462" s="88">
        <f>IF($D462="","",IF(OR($E462="Blocked",$E462="Done",$E462="Archive"),-9999,IF(AND($E462="Waiting",SUMPRODUCT((($E$5:$E$500="Next")+($E$5:$E$500="In Progress")+($E$5:$E$500="Captured"))*($D$5:$D$500&lt;&gt;""))&gt;0),-500,VLOOKUP($F462,Lists!$L$2:$M$4,2,FALSE)+IF($E462="In Progress",10,0)+IF(AND($I462&lt;&gt;"",$I462&lt;TODAY()),25,0)+IF(AND($I462&lt;&gt;"",$I462&gt;=TODAY(),$I462&lt;=TODAY()+7),15,0)+IF($H462="",0,IF($M462&lt;=VLOOKUP(Home!$C$7,Lists!$N$2:$O$6,2,FALSE),20,-10))+IF($G462=Home!$E$7,15,IF(Home!$E$7="",0,-5))-ROW()/100000)))</f>
        <v/>
      </c>
      <c r="O462" s="88">
        <f>IF($D462="","",IF($N462&lt;=-500,"Not recommended right now",IF($E462="Waiting","Nothing else actionable right now — Waiting on: "&amp;IF($K462="","this item",$K462),TEXTJOIN(" • ",TRUE,IF($F462="High","High Priority",""),IF(AND($I462&lt;&gt;"",$I462&lt;TODAY()),"Overdue",""),IF(AND($I462&lt;&gt;"",$I462&gt;=TODAY(),$I462&lt;=TODAY()+7),"Due This Week",""),IF(AND($H462&lt;&gt;"",$M462&lt;=VLOOKUP(Home!$C$7,Lists!$N$2:$O$6,2,FALSE)),$H462&amp;" Task",""),IF($G462=Home!$E$7,"Fits Current Energy",""),"No Blockers"))))</f>
        <v/>
      </c>
      <c r="P462" s="88">
        <f>IF($D462="","",SWITCH('Task Finder'!$C$6,"High Priority",AND($F462="High",$E462&lt;&gt;"Done",$E462&lt;&gt;"Archive"),"Due This Week",AND($I462&lt;&gt;"",$I462&gt;=TODAY(),$I462&lt;=TODAY()+7,$E462&lt;&gt;"Done"),"Quick Wins (15 mins or less)",AND($M462&lt;=15,$E462&lt;&gt;"Done",$E462&lt;&gt;"Blocked"),"Deep Thinking",AND($G462="Deep Thinking",$E462&lt;&gt;"Done"),"Processing",AND($G462="Processing",$E462&lt;&gt;"Done"),"Blocked",$E462="Blocked","Waiting",$E462="Waiting","Recently Updated",AND($L462&lt;&gt;"",$L462&gt;=TODAY()-7),"Keyword",AND('Task Finder'!$C$7&lt;&gt;"",OR(ISNUMBER(SEARCH('Task Finder'!$C$7,$A462)),ISNUMBER(SEARCH('Task Finder'!$C$7,$B462)),ISNUMBER(SEARCH('Task Finder'!$C$7,$C462)),ISNUMBER(SEARCH('Task Finder'!$C$7,$D462)),ISNUMBER(SEARCH('Task Finder'!$C$7,$K462)))),TRUE))</f>
        <v/>
      </c>
    </row>
    <row r="463">
      <c r="A463" s="19" t="n"/>
      <c r="B463" s="19" t="n"/>
      <c r="C463" s="19" t="n"/>
      <c r="D463" s="19" t="n"/>
      <c r="E463" s="19" t="n"/>
      <c r="F463" s="19" t="n"/>
      <c r="G463" s="19" t="n"/>
      <c r="H463" s="19" t="n"/>
      <c r="I463" s="19" t="n"/>
      <c r="J463" s="19" t="n"/>
      <c r="K463" s="19" t="n"/>
      <c r="L463" s="125" t="n"/>
      <c r="M463" s="88">
        <f>IF($D463="","",IFERROR(VLOOKUP($H463,Lists!$N$2:$O$6,2,FALSE),0))</f>
        <v/>
      </c>
      <c r="N463" s="88">
        <f>IF($D463="","",IF(OR($E463="Blocked",$E463="Done",$E463="Archive"),-9999,IF(AND($E463="Waiting",SUMPRODUCT((($E$5:$E$500="Next")+($E$5:$E$500="In Progress")+($E$5:$E$500="Captured"))*($D$5:$D$500&lt;&gt;""))&gt;0),-500,VLOOKUP($F463,Lists!$L$2:$M$4,2,FALSE)+IF($E463="In Progress",10,0)+IF(AND($I463&lt;&gt;"",$I463&lt;TODAY()),25,0)+IF(AND($I463&lt;&gt;"",$I463&gt;=TODAY(),$I463&lt;=TODAY()+7),15,0)+IF($H463="",0,IF($M463&lt;=VLOOKUP(Home!$C$7,Lists!$N$2:$O$6,2,FALSE),20,-10))+IF($G463=Home!$E$7,15,IF(Home!$E$7="",0,-5))-ROW()/100000)))</f>
        <v/>
      </c>
      <c r="O463" s="88">
        <f>IF($D463="","",IF($N463&lt;=-500,"Not recommended right now",IF($E463="Waiting","Nothing else actionable right now — Waiting on: "&amp;IF($K463="","this item",$K463),TEXTJOIN(" • ",TRUE,IF($F463="High","High Priority",""),IF(AND($I463&lt;&gt;"",$I463&lt;TODAY()),"Overdue",""),IF(AND($I463&lt;&gt;"",$I463&gt;=TODAY(),$I463&lt;=TODAY()+7),"Due This Week",""),IF(AND($H463&lt;&gt;"",$M463&lt;=VLOOKUP(Home!$C$7,Lists!$N$2:$O$6,2,FALSE)),$H463&amp;" Task",""),IF($G463=Home!$E$7,"Fits Current Energy",""),"No Blockers"))))</f>
        <v/>
      </c>
      <c r="P463" s="88">
        <f>IF($D463="","",SWITCH('Task Finder'!$C$6,"High Priority",AND($F463="High",$E463&lt;&gt;"Done",$E463&lt;&gt;"Archive"),"Due This Week",AND($I463&lt;&gt;"",$I463&gt;=TODAY(),$I463&lt;=TODAY()+7,$E463&lt;&gt;"Done"),"Quick Wins (15 mins or less)",AND($M463&lt;=15,$E463&lt;&gt;"Done",$E463&lt;&gt;"Blocked"),"Deep Thinking",AND($G463="Deep Thinking",$E463&lt;&gt;"Done"),"Processing",AND($G463="Processing",$E463&lt;&gt;"Done"),"Blocked",$E463="Blocked","Waiting",$E463="Waiting","Recently Updated",AND($L463&lt;&gt;"",$L463&gt;=TODAY()-7),"Keyword",AND('Task Finder'!$C$7&lt;&gt;"",OR(ISNUMBER(SEARCH('Task Finder'!$C$7,$A463)),ISNUMBER(SEARCH('Task Finder'!$C$7,$B463)),ISNUMBER(SEARCH('Task Finder'!$C$7,$C463)),ISNUMBER(SEARCH('Task Finder'!$C$7,$D463)),ISNUMBER(SEARCH('Task Finder'!$C$7,$K463)))),TRUE))</f>
        <v/>
      </c>
    </row>
    <row r="464">
      <c r="A464" s="19" t="n"/>
      <c r="B464" s="19" t="n"/>
      <c r="C464" s="19" t="n"/>
      <c r="D464" s="19" t="n"/>
      <c r="E464" s="19" t="n"/>
      <c r="F464" s="19" t="n"/>
      <c r="G464" s="19" t="n"/>
      <c r="H464" s="19" t="n"/>
      <c r="I464" s="19" t="n"/>
      <c r="J464" s="19" t="n"/>
      <c r="K464" s="19" t="n"/>
      <c r="L464" s="125" t="n"/>
      <c r="M464" s="88">
        <f>IF($D464="","",IFERROR(VLOOKUP($H464,Lists!$N$2:$O$6,2,FALSE),0))</f>
        <v/>
      </c>
      <c r="N464" s="88">
        <f>IF($D464="","",IF(OR($E464="Blocked",$E464="Done",$E464="Archive"),-9999,IF(AND($E464="Waiting",SUMPRODUCT((($E$5:$E$500="Next")+($E$5:$E$500="In Progress")+($E$5:$E$500="Captured"))*($D$5:$D$500&lt;&gt;""))&gt;0),-500,VLOOKUP($F464,Lists!$L$2:$M$4,2,FALSE)+IF($E464="In Progress",10,0)+IF(AND($I464&lt;&gt;"",$I464&lt;TODAY()),25,0)+IF(AND($I464&lt;&gt;"",$I464&gt;=TODAY(),$I464&lt;=TODAY()+7),15,0)+IF($H464="",0,IF($M464&lt;=VLOOKUP(Home!$C$7,Lists!$N$2:$O$6,2,FALSE),20,-10))+IF($G464=Home!$E$7,15,IF(Home!$E$7="",0,-5))-ROW()/100000)))</f>
        <v/>
      </c>
      <c r="O464" s="88">
        <f>IF($D464="","",IF($N464&lt;=-500,"Not recommended right now",IF($E464="Waiting","Nothing else actionable right now — Waiting on: "&amp;IF($K464="","this item",$K464),TEXTJOIN(" • ",TRUE,IF($F464="High","High Priority",""),IF(AND($I464&lt;&gt;"",$I464&lt;TODAY()),"Overdue",""),IF(AND($I464&lt;&gt;"",$I464&gt;=TODAY(),$I464&lt;=TODAY()+7),"Due This Week",""),IF(AND($H464&lt;&gt;"",$M464&lt;=VLOOKUP(Home!$C$7,Lists!$N$2:$O$6,2,FALSE)),$H464&amp;" Task",""),IF($G464=Home!$E$7,"Fits Current Energy",""),"No Blockers"))))</f>
        <v/>
      </c>
      <c r="P464" s="88">
        <f>IF($D464="","",SWITCH('Task Finder'!$C$6,"High Priority",AND($F464="High",$E464&lt;&gt;"Done",$E464&lt;&gt;"Archive"),"Due This Week",AND($I464&lt;&gt;"",$I464&gt;=TODAY(),$I464&lt;=TODAY()+7,$E464&lt;&gt;"Done"),"Quick Wins (15 mins or less)",AND($M464&lt;=15,$E464&lt;&gt;"Done",$E464&lt;&gt;"Blocked"),"Deep Thinking",AND($G464="Deep Thinking",$E464&lt;&gt;"Done"),"Processing",AND($G464="Processing",$E464&lt;&gt;"Done"),"Blocked",$E464="Blocked","Waiting",$E464="Waiting","Recently Updated",AND($L464&lt;&gt;"",$L464&gt;=TODAY()-7),"Keyword",AND('Task Finder'!$C$7&lt;&gt;"",OR(ISNUMBER(SEARCH('Task Finder'!$C$7,$A464)),ISNUMBER(SEARCH('Task Finder'!$C$7,$B464)),ISNUMBER(SEARCH('Task Finder'!$C$7,$C464)),ISNUMBER(SEARCH('Task Finder'!$C$7,$D464)),ISNUMBER(SEARCH('Task Finder'!$C$7,$K464)))),TRUE))</f>
        <v/>
      </c>
    </row>
    <row r="465">
      <c r="A465" s="19" t="n"/>
      <c r="B465" s="19" t="n"/>
      <c r="C465" s="19" t="n"/>
      <c r="D465" s="19" t="n"/>
      <c r="E465" s="19" t="n"/>
      <c r="F465" s="19" t="n"/>
      <c r="G465" s="19" t="n"/>
      <c r="H465" s="19" t="n"/>
      <c r="I465" s="19" t="n"/>
      <c r="J465" s="19" t="n"/>
      <c r="K465" s="19" t="n"/>
      <c r="L465" s="125" t="n"/>
      <c r="M465" s="88">
        <f>IF($D465="","",IFERROR(VLOOKUP($H465,Lists!$N$2:$O$6,2,FALSE),0))</f>
        <v/>
      </c>
      <c r="N465" s="88">
        <f>IF($D465="","",IF(OR($E465="Blocked",$E465="Done",$E465="Archive"),-9999,IF(AND($E465="Waiting",SUMPRODUCT((($E$5:$E$500="Next")+($E$5:$E$500="In Progress")+($E$5:$E$500="Captured"))*($D$5:$D$500&lt;&gt;""))&gt;0),-500,VLOOKUP($F465,Lists!$L$2:$M$4,2,FALSE)+IF($E465="In Progress",10,0)+IF(AND($I465&lt;&gt;"",$I465&lt;TODAY()),25,0)+IF(AND($I465&lt;&gt;"",$I465&gt;=TODAY(),$I465&lt;=TODAY()+7),15,0)+IF($H465="",0,IF($M465&lt;=VLOOKUP(Home!$C$7,Lists!$N$2:$O$6,2,FALSE),20,-10))+IF($G465=Home!$E$7,15,IF(Home!$E$7="",0,-5))-ROW()/100000)))</f>
        <v/>
      </c>
      <c r="O465" s="88">
        <f>IF($D465="","",IF($N465&lt;=-500,"Not recommended right now",IF($E465="Waiting","Nothing else actionable right now — Waiting on: "&amp;IF($K465="","this item",$K465),TEXTJOIN(" • ",TRUE,IF($F465="High","High Priority",""),IF(AND($I465&lt;&gt;"",$I465&lt;TODAY()),"Overdue",""),IF(AND($I465&lt;&gt;"",$I465&gt;=TODAY(),$I465&lt;=TODAY()+7),"Due This Week",""),IF(AND($H465&lt;&gt;"",$M465&lt;=VLOOKUP(Home!$C$7,Lists!$N$2:$O$6,2,FALSE)),$H465&amp;" Task",""),IF($G465=Home!$E$7,"Fits Current Energy",""),"No Blockers"))))</f>
        <v/>
      </c>
      <c r="P465" s="88">
        <f>IF($D465="","",SWITCH('Task Finder'!$C$6,"High Priority",AND($F465="High",$E465&lt;&gt;"Done",$E465&lt;&gt;"Archive"),"Due This Week",AND($I465&lt;&gt;"",$I465&gt;=TODAY(),$I465&lt;=TODAY()+7,$E465&lt;&gt;"Done"),"Quick Wins (15 mins or less)",AND($M465&lt;=15,$E465&lt;&gt;"Done",$E465&lt;&gt;"Blocked"),"Deep Thinking",AND($G465="Deep Thinking",$E465&lt;&gt;"Done"),"Processing",AND($G465="Processing",$E465&lt;&gt;"Done"),"Blocked",$E465="Blocked","Waiting",$E465="Waiting","Recently Updated",AND($L465&lt;&gt;"",$L465&gt;=TODAY()-7),"Keyword",AND('Task Finder'!$C$7&lt;&gt;"",OR(ISNUMBER(SEARCH('Task Finder'!$C$7,$A465)),ISNUMBER(SEARCH('Task Finder'!$C$7,$B465)),ISNUMBER(SEARCH('Task Finder'!$C$7,$C465)),ISNUMBER(SEARCH('Task Finder'!$C$7,$D465)),ISNUMBER(SEARCH('Task Finder'!$C$7,$K465)))),TRUE))</f>
        <v/>
      </c>
    </row>
    <row r="466">
      <c r="A466" s="19" t="n"/>
      <c r="B466" s="19" t="n"/>
      <c r="C466" s="19" t="n"/>
      <c r="D466" s="19" t="n"/>
      <c r="E466" s="19" t="n"/>
      <c r="F466" s="19" t="n"/>
      <c r="G466" s="19" t="n"/>
      <c r="H466" s="19" t="n"/>
      <c r="I466" s="19" t="n"/>
      <c r="J466" s="19" t="n"/>
      <c r="K466" s="19" t="n"/>
      <c r="L466" s="125" t="n"/>
      <c r="M466" s="88">
        <f>IF($D466="","",IFERROR(VLOOKUP($H466,Lists!$N$2:$O$6,2,FALSE),0))</f>
        <v/>
      </c>
      <c r="N466" s="88">
        <f>IF($D466="","",IF(OR($E466="Blocked",$E466="Done",$E466="Archive"),-9999,IF(AND($E466="Waiting",SUMPRODUCT((($E$5:$E$500="Next")+($E$5:$E$500="In Progress")+($E$5:$E$500="Captured"))*($D$5:$D$500&lt;&gt;""))&gt;0),-500,VLOOKUP($F466,Lists!$L$2:$M$4,2,FALSE)+IF($E466="In Progress",10,0)+IF(AND($I466&lt;&gt;"",$I466&lt;TODAY()),25,0)+IF(AND($I466&lt;&gt;"",$I466&gt;=TODAY(),$I466&lt;=TODAY()+7),15,0)+IF($H466="",0,IF($M466&lt;=VLOOKUP(Home!$C$7,Lists!$N$2:$O$6,2,FALSE),20,-10))+IF($G466=Home!$E$7,15,IF(Home!$E$7="",0,-5))-ROW()/100000)))</f>
        <v/>
      </c>
      <c r="O466" s="88">
        <f>IF($D466="","",IF($N466&lt;=-500,"Not recommended right now",IF($E466="Waiting","Nothing else actionable right now — Waiting on: "&amp;IF($K466="","this item",$K466),TEXTJOIN(" • ",TRUE,IF($F466="High","High Priority",""),IF(AND($I466&lt;&gt;"",$I466&lt;TODAY()),"Overdue",""),IF(AND($I466&lt;&gt;"",$I466&gt;=TODAY(),$I466&lt;=TODAY()+7),"Due This Week",""),IF(AND($H466&lt;&gt;"",$M466&lt;=VLOOKUP(Home!$C$7,Lists!$N$2:$O$6,2,FALSE)),$H466&amp;" Task",""),IF($G466=Home!$E$7,"Fits Current Energy",""),"No Blockers"))))</f>
        <v/>
      </c>
      <c r="P466" s="88">
        <f>IF($D466="","",SWITCH('Task Finder'!$C$6,"High Priority",AND($F466="High",$E466&lt;&gt;"Done",$E466&lt;&gt;"Archive"),"Due This Week",AND($I466&lt;&gt;"",$I466&gt;=TODAY(),$I466&lt;=TODAY()+7,$E466&lt;&gt;"Done"),"Quick Wins (15 mins or less)",AND($M466&lt;=15,$E466&lt;&gt;"Done",$E466&lt;&gt;"Blocked"),"Deep Thinking",AND($G466="Deep Thinking",$E466&lt;&gt;"Done"),"Processing",AND($G466="Processing",$E466&lt;&gt;"Done"),"Blocked",$E466="Blocked","Waiting",$E466="Waiting","Recently Updated",AND($L466&lt;&gt;"",$L466&gt;=TODAY()-7),"Keyword",AND('Task Finder'!$C$7&lt;&gt;"",OR(ISNUMBER(SEARCH('Task Finder'!$C$7,$A466)),ISNUMBER(SEARCH('Task Finder'!$C$7,$B466)),ISNUMBER(SEARCH('Task Finder'!$C$7,$C466)),ISNUMBER(SEARCH('Task Finder'!$C$7,$D466)),ISNUMBER(SEARCH('Task Finder'!$C$7,$K466)))),TRUE))</f>
        <v/>
      </c>
    </row>
    <row r="467">
      <c r="A467" s="19" t="n"/>
      <c r="B467" s="19" t="n"/>
      <c r="C467" s="19" t="n"/>
      <c r="D467" s="19" t="n"/>
      <c r="E467" s="19" t="n"/>
      <c r="F467" s="19" t="n"/>
      <c r="G467" s="19" t="n"/>
      <c r="H467" s="19" t="n"/>
      <c r="I467" s="19" t="n"/>
      <c r="J467" s="19" t="n"/>
      <c r="K467" s="19" t="n"/>
      <c r="L467" s="125" t="n"/>
      <c r="M467" s="88">
        <f>IF($D467="","",IFERROR(VLOOKUP($H467,Lists!$N$2:$O$6,2,FALSE),0))</f>
        <v/>
      </c>
      <c r="N467" s="88">
        <f>IF($D467="","",IF(OR($E467="Blocked",$E467="Done",$E467="Archive"),-9999,IF(AND($E467="Waiting",SUMPRODUCT((($E$5:$E$500="Next")+($E$5:$E$500="In Progress")+($E$5:$E$500="Captured"))*($D$5:$D$500&lt;&gt;""))&gt;0),-500,VLOOKUP($F467,Lists!$L$2:$M$4,2,FALSE)+IF($E467="In Progress",10,0)+IF(AND($I467&lt;&gt;"",$I467&lt;TODAY()),25,0)+IF(AND($I467&lt;&gt;"",$I467&gt;=TODAY(),$I467&lt;=TODAY()+7),15,0)+IF($H467="",0,IF($M467&lt;=VLOOKUP(Home!$C$7,Lists!$N$2:$O$6,2,FALSE),20,-10))+IF($G467=Home!$E$7,15,IF(Home!$E$7="",0,-5))-ROW()/100000)))</f>
        <v/>
      </c>
      <c r="O467" s="88">
        <f>IF($D467="","",IF($N467&lt;=-500,"Not recommended right now",IF($E467="Waiting","Nothing else actionable right now — Waiting on: "&amp;IF($K467="","this item",$K467),TEXTJOIN(" • ",TRUE,IF($F467="High","High Priority",""),IF(AND($I467&lt;&gt;"",$I467&lt;TODAY()),"Overdue",""),IF(AND($I467&lt;&gt;"",$I467&gt;=TODAY(),$I467&lt;=TODAY()+7),"Due This Week",""),IF(AND($H467&lt;&gt;"",$M467&lt;=VLOOKUP(Home!$C$7,Lists!$N$2:$O$6,2,FALSE)),$H467&amp;" Task",""),IF($G467=Home!$E$7,"Fits Current Energy",""),"No Blockers"))))</f>
        <v/>
      </c>
      <c r="P467" s="88">
        <f>IF($D467="","",SWITCH('Task Finder'!$C$6,"High Priority",AND($F467="High",$E467&lt;&gt;"Done",$E467&lt;&gt;"Archive"),"Due This Week",AND($I467&lt;&gt;"",$I467&gt;=TODAY(),$I467&lt;=TODAY()+7,$E467&lt;&gt;"Done"),"Quick Wins (15 mins or less)",AND($M467&lt;=15,$E467&lt;&gt;"Done",$E467&lt;&gt;"Blocked"),"Deep Thinking",AND($G467="Deep Thinking",$E467&lt;&gt;"Done"),"Processing",AND($G467="Processing",$E467&lt;&gt;"Done"),"Blocked",$E467="Blocked","Waiting",$E467="Waiting","Recently Updated",AND($L467&lt;&gt;"",$L467&gt;=TODAY()-7),"Keyword",AND('Task Finder'!$C$7&lt;&gt;"",OR(ISNUMBER(SEARCH('Task Finder'!$C$7,$A467)),ISNUMBER(SEARCH('Task Finder'!$C$7,$B467)),ISNUMBER(SEARCH('Task Finder'!$C$7,$C467)),ISNUMBER(SEARCH('Task Finder'!$C$7,$D467)),ISNUMBER(SEARCH('Task Finder'!$C$7,$K467)))),TRUE))</f>
        <v/>
      </c>
    </row>
    <row r="468">
      <c r="A468" s="19" t="n"/>
      <c r="B468" s="19" t="n"/>
      <c r="C468" s="19" t="n"/>
      <c r="D468" s="19" t="n"/>
      <c r="E468" s="19" t="n"/>
      <c r="F468" s="19" t="n"/>
      <c r="G468" s="19" t="n"/>
      <c r="H468" s="19" t="n"/>
      <c r="I468" s="19" t="n"/>
      <c r="J468" s="19" t="n"/>
      <c r="K468" s="19" t="n"/>
      <c r="L468" s="125" t="n"/>
      <c r="M468" s="88">
        <f>IF($D468="","",IFERROR(VLOOKUP($H468,Lists!$N$2:$O$6,2,FALSE),0))</f>
        <v/>
      </c>
      <c r="N468" s="88">
        <f>IF($D468="","",IF(OR($E468="Blocked",$E468="Done",$E468="Archive"),-9999,IF(AND($E468="Waiting",SUMPRODUCT((($E$5:$E$500="Next")+($E$5:$E$500="In Progress")+($E$5:$E$500="Captured"))*($D$5:$D$500&lt;&gt;""))&gt;0),-500,VLOOKUP($F468,Lists!$L$2:$M$4,2,FALSE)+IF($E468="In Progress",10,0)+IF(AND($I468&lt;&gt;"",$I468&lt;TODAY()),25,0)+IF(AND($I468&lt;&gt;"",$I468&gt;=TODAY(),$I468&lt;=TODAY()+7),15,0)+IF($H468="",0,IF($M468&lt;=VLOOKUP(Home!$C$7,Lists!$N$2:$O$6,2,FALSE),20,-10))+IF($G468=Home!$E$7,15,IF(Home!$E$7="",0,-5))-ROW()/100000)))</f>
        <v/>
      </c>
      <c r="O468" s="88">
        <f>IF($D468="","",IF($N468&lt;=-500,"Not recommended right now",IF($E468="Waiting","Nothing else actionable right now — Waiting on: "&amp;IF($K468="","this item",$K468),TEXTJOIN(" • ",TRUE,IF($F468="High","High Priority",""),IF(AND($I468&lt;&gt;"",$I468&lt;TODAY()),"Overdue",""),IF(AND($I468&lt;&gt;"",$I468&gt;=TODAY(),$I468&lt;=TODAY()+7),"Due This Week",""),IF(AND($H468&lt;&gt;"",$M468&lt;=VLOOKUP(Home!$C$7,Lists!$N$2:$O$6,2,FALSE)),$H468&amp;" Task",""),IF($G468=Home!$E$7,"Fits Current Energy",""),"No Blockers"))))</f>
        <v/>
      </c>
      <c r="P468" s="88">
        <f>IF($D468="","",SWITCH('Task Finder'!$C$6,"High Priority",AND($F468="High",$E468&lt;&gt;"Done",$E468&lt;&gt;"Archive"),"Due This Week",AND($I468&lt;&gt;"",$I468&gt;=TODAY(),$I468&lt;=TODAY()+7,$E468&lt;&gt;"Done"),"Quick Wins (15 mins or less)",AND($M468&lt;=15,$E468&lt;&gt;"Done",$E468&lt;&gt;"Blocked"),"Deep Thinking",AND($G468="Deep Thinking",$E468&lt;&gt;"Done"),"Processing",AND($G468="Processing",$E468&lt;&gt;"Done"),"Blocked",$E468="Blocked","Waiting",$E468="Waiting","Recently Updated",AND($L468&lt;&gt;"",$L468&gt;=TODAY()-7),"Keyword",AND('Task Finder'!$C$7&lt;&gt;"",OR(ISNUMBER(SEARCH('Task Finder'!$C$7,$A468)),ISNUMBER(SEARCH('Task Finder'!$C$7,$B468)),ISNUMBER(SEARCH('Task Finder'!$C$7,$C468)),ISNUMBER(SEARCH('Task Finder'!$C$7,$D468)),ISNUMBER(SEARCH('Task Finder'!$C$7,$K468)))),TRUE))</f>
        <v/>
      </c>
    </row>
    <row r="469">
      <c r="A469" s="19" t="n"/>
      <c r="B469" s="19" t="n"/>
      <c r="C469" s="19" t="n"/>
      <c r="D469" s="19" t="n"/>
      <c r="E469" s="19" t="n"/>
      <c r="F469" s="19" t="n"/>
      <c r="G469" s="19" t="n"/>
      <c r="H469" s="19" t="n"/>
      <c r="I469" s="19" t="n"/>
      <c r="J469" s="19" t="n"/>
      <c r="K469" s="19" t="n"/>
      <c r="L469" s="125" t="n"/>
      <c r="M469" s="88">
        <f>IF($D469="","",IFERROR(VLOOKUP($H469,Lists!$N$2:$O$6,2,FALSE),0))</f>
        <v/>
      </c>
      <c r="N469" s="88">
        <f>IF($D469="","",IF(OR($E469="Blocked",$E469="Done",$E469="Archive"),-9999,IF(AND($E469="Waiting",SUMPRODUCT((($E$5:$E$500="Next")+($E$5:$E$500="In Progress")+($E$5:$E$500="Captured"))*($D$5:$D$500&lt;&gt;""))&gt;0),-500,VLOOKUP($F469,Lists!$L$2:$M$4,2,FALSE)+IF($E469="In Progress",10,0)+IF(AND($I469&lt;&gt;"",$I469&lt;TODAY()),25,0)+IF(AND($I469&lt;&gt;"",$I469&gt;=TODAY(),$I469&lt;=TODAY()+7),15,0)+IF($H469="",0,IF($M469&lt;=VLOOKUP(Home!$C$7,Lists!$N$2:$O$6,2,FALSE),20,-10))+IF($G469=Home!$E$7,15,IF(Home!$E$7="",0,-5))-ROW()/100000)))</f>
        <v/>
      </c>
      <c r="O469" s="88">
        <f>IF($D469="","",IF($N469&lt;=-500,"Not recommended right now",IF($E469="Waiting","Nothing else actionable right now — Waiting on: "&amp;IF($K469="","this item",$K469),TEXTJOIN(" • ",TRUE,IF($F469="High","High Priority",""),IF(AND($I469&lt;&gt;"",$I469&lt;TODAY()),"Overdue",""),IF(AND($I469&lt;&gt;"",$I469&gt;=TODAY(),$I469&lt;=TODAY()+7),"Due This Week",""),IF(AND($H469&lt;&gt;"",$M469&lt;=VLOOKUP(Home!$C$7,Lists!$N$2:$O$6,2,FALSE)),$H469&amp;" Task",""),IF($G469=Home!$E$7,"Fits Current Energy",""),"No Blockers"))))</f>
        <v/>
      </c>
      <c r="P469" s="88">
        <f>IF($D469="","",SWITCH('Task Finder'!$C$6,"High Priority",AND($F469="High",$E469&lt;&gt;"Done",$E469&lt;&gt;"Archive"),"Due This Week",AND($I469&lt;&gt;"",$I469&gt;=TODAY(),$I469&lt;=TODAY()+7,$E469&lt;&gt;"Done"),"Quick Wins (15 mins or less)",AND($M469&lt;=15,$E469&lt;&gt;"Done",$E469&lt;&gt;"Blocked"),"Deep Thinking",AND($G469="Deep Thinking",$E469&lt;&gt;"Done"),"Processing",AND($G469="Processing",$E469&lt;&gt;"Done"),"Blocked",$E469="Blocked","Waiting",$E469="Waiting","Recently Updated",AND($L469&lt;&gt;"",$L469&gt;=TODAY()-7),"Keyword",AND('Task Finder'!$C$7&lt;&gt;"",OR(ISNUMBER(SEARCH('Task Finder'!$C$7,$A469)),ISNUMBER(SEARCH('Task Finder'!$C$7,$B469)),ISNUMBER(SEARCH('Task Finder'!$C$7,$C469)),ISNUMBER(SEARCH('Task Finder'!$C$7,$D469)),ISNUMBER(SEARCH('Task Finder'!$C$7,$K469)))),TRUE))</f>
        <v/>
      </c>
    </row>
    <row r="470">
      <c r="A470" s="19" t="n"/>
      <c r="B470" s="19" t="n"/>
      <c r="C470" s="19" t="n"/>
      <c r="D470" s="19" t="n"/>
      <c r="E470" s="19" t="n"/>
      <c r="F470" s="19" t="n"/>
      <c r="G470" s="19" t="n"/>
      <c r="H470" s="19" t="n"/>
      <c r="I470" s="19" t="n"/>
      <c r="J470" s="19" t="n"/>
      <c r="K470" s="19" t="n"/>
      <c r="L470" s="125" t="n"/>
      <c r="M470" s="88">
        <f>IF($D470="","",IFERROR(VLOOKUP($H470,Lists!$N$2:$O$6,2,FALSE),0))</f>
        <v/>
      </c>
      <c r="N470" s="88">
        <f>IF($D470="","",IF(OR($E470="Blocked",$E470="Done",$E470="Archive"),-9999,IF(AND($E470="Waiting",SUMPRODUCT((($E$5:$E$500="Next")+($E$5:$E$500="In Progress")+($E$5:$E$500="Captured"))*($D$5:$D$500&lt;&gt;""))&gt;0),-500,VLOOKUP($F470,Lists!$L$2:$M$4,2,FALSE)+IF($E470="In Progress",10,0)+IF(AND($I470&lt;&gt;"",$I470&lt;TODAY()),25,0)+IF(AND($I470&lt;&gt;"",$I470&gt;=TODAY(),$I470&lt;=TODAY()+7),15,0)+IF($H470="",0,IF($M470&lt;=VLOOKUP(Home!$C$7,Lists!$N$2:$O$6,2,FALSE),20,-10))+IF($G470=Home!$E$7,15,IF(Home!$E$7="",0,-5))-ROW()/100000)))</f>
        <v/>
      </c>
      <c r="O470" s="88">
        <f>IF($D470="","",IF($N470&lt;=-500,"Not recommended right now",IF($E470="Waiting","Nothing else actionable right now — Waiting on: "&amp;IF($K470="","this item",$K470),TEXTJOIN(" • ",TRUE,IF($F470="High","High Priority",""),IF(AND($I470&lt;&gt;"",$I470&lt;TODAY()),"Overdue",""),IF(AND($I470&lt;&gt;"",$I470&gt;=TODAY(),$I470&lt;=TODAY()+7),"Due This Week",""),IF(AND($H470&lt;&gt;"",$M470&lt;=VLOOKUP(Home!$C$7,Lists!$N$2:$O$6,2,FALSE)),$H470&amp;" Task",""),IF($G470=Home!$E$7,"Fits Current Energy",""),"No Blockers"))))</f>
        <v/>
      </c>
      <c r="P470" s="88">
        <f>IF($D470="","",SWITCH('Task Finder'!$C$6,"High Priority",AND($F470="High",$E470&lt;&gt;"Done",$E470&lt;&gt;"Archive"),"Due This Week",AND($I470&lt;&gt;"",$I470&gt;=TODAY(),$I470&lt;=TODAY()+7,$E470&lt;&gt;"Done"),"Quick Wins (15 mins or less)",AND($M470&lt;=15,$E470&lt;&gt;"Done",$E470&lt;&gt;"Blocked"),"Deep Thinking",AND($G470="Deep Thinking",$E470&lt;&gt;"Done"),"Processing",AND($G470="Processing",$E470&lt;&gt;"Done"),"Blocked",$E470="Blocked","Waiting",$E470="Waiting","Recently Updated",AND($L470&lt;&gt;"",$L470&gt;=TODAY()-7),"Keyword",AND('Task Finder'!$C$7&lt;&gt;"",OR(ISNUMBER(SEARCH('Task Finder'!$C$7,$A470)),ISNUMBER(SEARCH('Task Finder'!$C$7,$B470)),ISNUMBER(SEARCH('Task Finder'!$C$7,$C470)),ISNUMBER(SEARCH('Task Finder'!$C$7,$D470)),ISNUMBER(SEARCH('Task Finder'!$C$7,$K470)))),TRUE))</f>
        <v/>
      </c>
    </row>
    <row r="471">
      <c r="A471" s="19" t="n"/>
      <c r="B471" s="19" t="n"/>
      <c r="C471" s="19" t="n"/>
      <c r="D471" s="19" t="n"/>
      <c r="E471" s="19" t="n"/>
      <c r="F471" s="19" t="n"/>
      <c r="G471" s="19" t="n"/>
      <c r="H471" s="19" t="n"/>
      <c r="I471" s="19" t="n"/>
      <c r="J471" s="19" t="n"/>
      <c r="K471" s="19" t="n"/>
      <c r="L471" s="125" t="n"/>
      <c r="M471" s="88">
        <f>IF($D471="","",IFERROR(VLOOKUP($H471,Lists!$N$2:$O$6,2,FALSE),0))</f>
        <v/>
      </c>
      <c r="N471" s="88">
        <f>IF($D471="","",IF(OR($E471="Blocked",$E471="Done",$E471="Archive"),-9999,IF(AND($E471="Waiting",SUMPRODUCT((($E$5:$E$500="Next")+($E$5:$E$500="In Progress")+($E$5:$E$500="Captured"))*($D$5:$D$500&lt;&gt;""))&gt;0),-500,VLOOKUP($F471,Lists!$L$2:$M$4,2,FALSE)+IF($E471="In Progress",10,0)+IF(AND($I471&lt;&gt;"",$I471&lt;TODAY()),25,0)+IF(AND($I471&lt;&gt;"",$I471&gt;=TODAY(),$I471&lt;=TODAY()+7),15,0)+IF($H471="",0,IF($M471&lt;=VLOOKUP(Home!$C$7,Lists!$N$2:$O$6,2,FALSE),20,-10))+IF($G471=Home!$E$7,15,IF(Home!$E$7="",0,-5))-ROW()/100000)))</f>
        <v/>
      </c>
      <c r="O471" s="88">
        <f>IF($D471="","",IF($N471&lt;=-500,"Not recommended right now",IF($E471="Waiting","Nothing else actionable right now — Waiting on: "&amp;IF($K471="","this item",$K471),TEXTJOIN(" • ",TRUE,IF($F471="High","High Priority",""),IF(AND($I471&lt;&gt;"",$I471&lt;TODAY()),"Overdue",""),IF(AND($I471&lt;&gt;"",$I471&gt;=TODAY(),$I471&lt;=TODAY()+7),"Due This Week",""),IF(AND($H471&lt;&gt;"",$M471&lt;=VLOOKUP(Home!$C$7,Lists!$N$2:$O$6,2,FALSE)),$H471&amp;" Task",""),IF($G471=Home!$E$7,"Fits Current Energy",""),"No Blockers"))))</f>
        <v/>
      </c>
      <c r="P471" s="88">
        <f>IF($D471="","",SWITCH('Task Finder'!$C$6,"High Priority",AND($F471="High",$E471&lt;&gt;"Done",$E471&lt;&gt;"Archive"),"Due This Week",AND($I471&lt;&gt;"",$I471&gt;=TODAY(),$I471&lt;=TODAY()+7,$E471&lt;&gt;"Done"),"Quick Wins (15 mins or less)",AND($M471&lt;=15,$E471&lt;&gt;"Done",$E471&lt;&gt;"Blocked"),"Deep Thinking",AND($G471="Deep Thinking",$E471&lt;&gt;"Done"),"Processing",AND($G471="Processing",$E471&lt;&gt;"Done"),"Blocked",$E471="Blocked","Waiting",$E471="Waiting","Recently Updated",AND($L471&lt;&gt;"",$L471&gt;=TODAY()-7),"Keyword",AND('Task Finder'!$C$7&lt;&gt;"",OR(ISNUMBER(SEARCH('Task Finder'!$C$7,$A471)),ISNUMBER(SEARCH('Task Finder'!$C$7,$B471)),ISNUMBER(SEARCH('Task Finder'!$C$7,$C471)),ISNUMBER(SEARCH('Task Finder'!$C$7,$D471)),ISNUMBER(SEARCH('Task Finder'!$C$7,$K471)))),TRUE))</f>
        <v/>
      </c>
    </row>
    <row r="472">
      <c r="A472" s="19" t="n"/>
      <c r="B472" s="19" t="n"/>
      <c r="C472" s="19" t="n"/>
      <c r="D472" s="19" t="n"/>
      <c r="E472" s="19" t="n"/>
      <c r="F472" s="19" t="n"/>
      <c r="G472" s="19" t="n"/>
      <c r="H472" s="19" t="n"/>
      <c r="I472" s="19" t="n"/>
      <c r="J472" s="19" t="n"/>
      <c r="K472" s="19" t="n"/>
      <c r="L472" s="125" t="n"/>
      <c r="M472" s="88">
        <f>IF($D472="","",IFERROR(VLOOKUP($H472,Lists!$N$2:$O$6,2,FALSE),0))</f>
        <v/>
      </c>
      <c r="N472" s="88">
        <f>IF($D472="","",IF(OR($E472="Blocked",$E472="Done",$E472="Archive"),-9999,IF(AND($E472="Waiting",SUMPRODUCT((($E$5:$E$500="Next")+($E$5:$E$500="In Progress")+($E$5:$E$500="Captured"))*($D$5:$D$500&lt;&gt;""))&gt;0),-500,VLOOKUP($F472,Lists!$L$2:$M$4,2,FALSE)+IF($E472="In Progress",10,0)+IF(AND($I472&lt;&gt;"",$I472&lt;TODAY()),25,0)+IF(AND($I472&lt;&gt;"",$I472&gt;=TODAY(),$I472&lt;=TODAY()+7),15,0)+IF($H472="",0,IF($M472&lt;=VLOOKUP(Home!$C$7,Lists!$N$2:$O$6,2,FALSE),20,-10))+IF($G472=Home!$E$7,15,IF(Home!$E$7="",0,-5))-ROW()/100000)))</f>
        <v/>
      </c>
      <c r="O472" s="88">
        <f>IF($D472="","",IF($N472&lt;=-500,"Not recommended right now",IF($E472="Waiting","Nothing else actionable right now — Waiting on: "&amp;IF($K472="","this item",$K472),TEXTJOIN(" • ",TRUE,IF($F472="High","High Priority",""),IF(AND($I472&lt;&gt;"",$I472&lt;TODAY()),"Overdue",""),IF(AND($I472&lt;&gt;"",$I472&gt;=TODAY(),$I472&lt;=TODAY()+7),"Due This Week",""),IF(AND($H472&lt;&gt;"",$M472&lt;=VLOOKUP(Home!$C$7,Lists!$N$2:$O$6,2,FALSE)),$H472&amp;" Task",""),IF($G472=Home!$E$7,"Fits Current Energy",""),"No Blockers"))))</f>
        <v/>
      </c>
      <c r="P472" s="88">
        <f>IF($D472="","",SWITCH('Task Finder'!$C$6,"High Priority",AND($F472="High",$E472&lt;&gt;"Done",$E472&lt;&gt;"Archive"),"Due This Week",AND($I472&lt;&gt;"",$I472&gt;=TODAY(),$I472&lt;=TODAY()+7,$E472&lt;&gt;"Done"),"Quick Wins (15 mins or less)",AND($M472&lt;=15,$E472&lt;&gt;"Done",$E472&lt;&gt;"Blocked"),"Deep Thinking",AND($G472="Deep Thinking",$E472&lt;&gt;"Done"),"Processing",AND($G472="Processing",$E472&lt;&gt;"Done"),"Blocked",$E472="Blocked","Waiting",$E472="Waiting","Recently Updated",AND($L472&lt;&gt;"",$L472&gt;=TODAY()-7),"Keyword",AND('Task Finder'!$C$7&lt;&gt;"",OR(ISNUMBER(SEARCH('Task Finder'!$C$7,$A472)),ISNUMBER(SEARCH('Task Finder'!$C$7,$B472)),ISNUMBER(SEARCH('Task Finder'!$C$7,$C472)),ISNUMBER(SEARCH('Task Finder'!$C$7,$D472)),ISNUMBER(SEARCH('Task Finder'!$C$7,$K472)))),TRUE))</f>
        <v/>
      </c>
    </row>
    <row r="473">
      <c r="A473" s="19" t="n"/>
      <c r="B473" s="19" t="n"/>
      <c r="C473" s="19" t="n"/>
      <c r="D473" s="19" t="n"/>
      <c r="E473" s="19" t="n"/>
      <c r="F473" s="19" t="n"/>
      <c r="G473" s="19" t="n"/>
      <c r="H473" s="19" t="n"/>
      <c r="I473" s="19" t="n"/>
      <c r="J473" s="19" t="n"/>
      <c r="K473" s="19" t="n"/>
      <c r="L473" s="125" t="n"/>
      <c r="M473" s="88">
        <f>IF($D473="","",IFERROR(VLOOKUP($H473,Lists!$N$2:$O$6,2,FALSE),0))</f>
        <v/>
      </c>
      <c r="N473" s="88">
        <f>IF($D473="","",IF(OR($E473="Blocked",$E473="Done",$E473="Archive"),-9999,IF(AND($E473="Waiting",SUMPRODUCT((($E$5:$E$500="Next")+($E$5:$E$500="In Progress")+($E$5:$E$500="Captured"))*($D$5:$D$500&lt;&gt;""))&gt;0),-500,VLOOKUP($F473,Lists!$L$2:$M$4,2,FALSE)+IF($E473="In Progress",10,0)+IF(AND($I473&lt;&gt;"",$I473&lt;TODAY()),25,0)+IF(AND($I473&lt;&gt;"",$I473&gt;=TODAY(),$I473&lt;=TODAY()+7),15,0)+IF($H473="",0,IF($M473&lt;=VLOOKUP(Home!$C$7,Lists!$N$2:$O$6,2,FALSE),20,-10))+IF($G473=Home!$E$7,15,IF(Home!$E$7="",0,-5))-ROW()/100000)))</f>
        <v/>
      </c>
      <c r="O473" s="88">
        <f>IF($D473="","",IF($N473&lt;=-500,"Not recommended right now",IF($E473="Waiting","Nothing else actionable right now — Waiting on: "&amp;IF($K473="","this item",$K473),TEXTJOIN(" • ",TRUE,IF($F473="High","High Priority",""),IF(AND($I473&lt;&gt;"",$I473&lt;TODAY()),"Overdue",""),IF(AND($I473&lt;&gt;"",$I473&gt;=TODAY(),$I473&lt;=TODAY()+7),"Due This Week",""),IF(AND($H473&lt;&gt;"",$M473&lt;=VLOOKUP(Home!$C$7,Lists!$N$2:$O$6,2,FALSE)),$H473&amp;" Task",""),IF($G473=Home!$E$7,"Fits Current Energy",""),"No Blockers"))))</f>
        <v/>
      </c>
      <c r="P473" s="88">
        <f>IF($D473="","",SWITCH('Task Finder'!$C$6,"High Priority",AND($F473="High",$E473&lt;&gt;"Done",$E473&lt;&gt;"Archive"),"Due This Week",AND($I473&lt;&gt;"",$I473&gt;=TODAY(),$I473&lt;=TODAY()+7,$E473&lt;&gt;"Done"),"Quick Wins (15 mins or less)",AND($M473&lt;=15,$E473&lt;&gt;"Done",$E473&lt;&gt;"Blocked"),"Deep Thinking",AND($G473="Deep Thinking",$E473&lt;&gt;"Done"),"Processing",AND($G473="Processing",$E473&lt;&gt;"Done"),"Blocked",$E473="Blocked","Waiting",$E473="Waiting","Recently Updated",AND($L473&lt;&gt;"",$L473&gt;=TODAY()-7),"Keyword",AND('Task Finder'!$C$7&lt;&gt;"",OR(ISNUMBER(SEARCH('Task Finder'!$C$7,$A473)),ISNUMBER(SEARCH('Task Finder'!$C$7,$B473)),ISNUMBER(SEARCH('Task Finder'!$C$7,$C473)),ISNUMBER(SEARCH('Task Finder'!$C$7,$D473)),ISNUMBER(SEARCH('Task Finder'!$C$7,$K473)))),TRUE))</f>
        <v/>
      </c>
    </row>
    <row r="474">
      <c r="A474" s="19" t="n"/>
      <c r="B474" s="19" t="n"/>
      <c r="C474" s="19" t="n"/>
      <c r="D474" s="19" t="n"/>
      <c r="E474" s="19" t="n"/>
      <c r="F474" s="19" t="n"/>
      <c r="G474" s="19" t="n"/>
      <c r="H474" s="19" t="n"/>
      <c r="I474" s="19" t="n"/>
      <c r="J474" s="19" t="n"/>
      <c r="K474" s="19" t="n"/>
      <c r="L474" s="125" t="n"/>
      <c r="M474" s="88">
        <f>IF($D474="","",IFERROR(VLOOKUP($H474,Lists!$N$2:$O$6,2,FALSE),0))</f>
        <v/>
      </c>
      <c r="N474" s="88">
        <f>IF($D474="","",IF(OR($E474="Blocked",$E474="Done",$E474="Archive"),-9999,IF(AND($E474="Waiting",SUMPRODUCT((($E$5:$E$500="Next")+($E$5:$E$500="In Progress")+($E$5:$E$500="Captured"))*($D$5:$D$500&lt;&gt;""))&gt;0),-500,VLOOKUP($F474,Lists!$L$2:$M$4,2,FALSE)+IF($E474="In Progress",10,0)+IF(AND($I474&lt;&gt;"",$I474&lt;TODAY()),25,0)+IF(AND($I474&lt;&gt;"",$I474&gt;=TODAY(),$I474&lt;=TODAY()+7),15,0)+IF($H474="",0,IF($M474&lt;=VLOOKUP(Home!$C$7,Lists!$N$2:$O$6,2,FALSE),20,-10))+IF($G474=Home!$E$7,15,IF(Home!$E$7="",0,-5))-ROW()/100000)))</f>
        <v/>
      </c>
      <c r="O474" s="88">
        <f>IF($D474="","",IF($N474&lt;=-500,"Not recommended right now",IF($E474="Waiting","Nothing else actionable right now — Waiting on: "&amp;IF($K474="","this item",$K474),TEXTJOIN(" • ",TRUE,IF($F474="High","High Priority",""),IF(AND($I474&lt;&gt;"",$I474&lt;TODAY()),"Overdue",""),IF(AND($I474&lt;&gt;"",$I474&gt;=TODAY(),$I474&lt;=TODAY()+7),"Due This Week",""),IF(AND($H474&lt;&gt;"",$M474&lt;=VLOOKUP(Home!$C$7,Lists!$N$2:$O$6,2,FALSE)),$H474&amp;" Task",""),IF($G474=Home!$E$7,"Fits Current Energy",""),"No Blockers"))))</f>
        <v/>
      </c>
      <c r="P474" s="88">
        <f>IF($D474="","",SWITCH('Task Finder'!$C$6,"High Priority",AND($F474="High",$E474&lt;&gt;"Done",$E474&lt;&gt;"Archive"),"Due This Week",AND($I474&lt;&gt;"",$I474&gt;=TODAY(),$I474&lt;=TODAY()+7,$E474&lt;&gt;"Done"),"Quick Wins (15 mins or less)",AND($M474&lt;=15,$E474&lt;&gt;"Done",$E474&lt;&gt;"Blocked"),"Deep Thinking",AND($G474="Deep Thinking",$E474&lt;&gt;"Done"),"Processing",AND($G474="Processing",$E474&lt;&gt;"Done"),"Blocked",$E474="Blocked","Waiting",$E474="Waiting","Recently Updated",AND($L474&lt;&gt;"",$L474&gt;=TODAY()-7),"Keyword",AND('Task Finder'!$C$7&lt;&gt;"",OR(ISNUMBER(SEARCH('Task Finder'!$C$7,$A474)),ISNUMBER(SEARCH('Task Finder'!$C$7,$B474)),ISNUMBER(SEARCH('Task Finder'!$C$7,$C474)),ISNUMBER(SEARCH('Task Finder'!$C$7,$D474)),ISNUMBER(SEARCH('Task Finder'!$C$7,$K474)))),TRUE))</f>
        <v/>
      </c>
    </row>
    <row r="475">
      <c r="A475" s="19" t="n"/>
      <c r="B475" s="19" t="n"/>
      <c r="C475" s="19" t="n"/>
      <c r="D475" s="19" t="n"/>
      <c r="E475" s="19" t="n"/>
      <c r="F475" s="19" t="n"/>
      <c r="G475" s="19" t="n"/>
      <c r="H475" s="19" t="n"/>
      <c r="I475" s="19" t="n"/>
      <c r="J475" s="19" t="n"/>
      <c r="K475" s="19" t="n"/>
      <c r="L475" s="125" t="n"/>
      <c r="M475" s="88">
        <f>IF($D475="","",IFERROR(VLOOKUP($H475,Lists!$N$2:$O$6,2,FALSE),0))</f>
        <v/>
      </c>
      <c r="N475" s="88">
        <f>IF($D475="","",IF(OR($E475="Blocked",$E475="Done",$E475="Archive"),-9999,IF(AND($E475="Waiting",SUMPRODUCT((($E$5:$E$500="Next")+($E$5:$E$500="In Progress")+($E$5:$E$500="Captured"))*($D$5:$D$500&lt;&gt;""))&gt;0),-500,VLOOKUP($F475,Lists!$L$2:$M$4,2,FALSE)+IF($E475="In Progress",10,0)+IF(AND($I475&lt;&gt;"",$I475&lt;TODAY()),25,0)+IF(AND($I475&lt;&gt;"",$I475&gt;=TODAY(),$I475&lt;=TODAY()+7),15,0)+IF($H475="",0,IF($M475&lt;=VLOOKUP(Home!$C$7,Lists!$N$2:$O$6,2,FALSE),20,-10))+IF($G475=Home!$E$7,15,IF(Home!$E$7="",0,-5))-ROW()/100000)))</f>
        <v/>
      </c>
      <c r="O475" s="88">
        <f>IF($D475="","",IF($N475&lt;=-500,"Not recommended right now",IF($E475="Waiting","Nothing else actionable right now — Waiting on: "&amp;IF($K475="","this item",$K475),TEXTJOIN(" • ",TRUE,IF($F475="High","High Priority",""),IF(AND($I475&lt;&gt;"",$I475&lt;TODAY()),"Overdue",""),IF(AND($I475&lt;&gt;"",$I475&gt;=TODAY(),$I475&lt;=TODAY()+7),"Due This Week",""),IF(AND($H475&lt;&gt;"",$M475&lt;=VLOOKUP(Home!$C$7,Lists!$N$2:$O$6,2,FALSE)),$H475&amp;" Task",""),IF($G475=Home!$E$7,"Fits Current Energy",""),"No Blockers"))))</f>
        <v/>
      </c>
      <c r="P475" s="88">
        <f>IF($D475="","",SWITCH('Task Finder'!$C$6,"High Priority",AND($F475="High",$E475&lt;&gt;"Done",$E475&lt;&gt;"Archive"),"Due This Week",AND($I475&lt;&gt;"",$I475&gt;=TODAY(),$I475&lt;=TODAY()+7,$E475&lt;&gt;"Done"),"Quick Wins (15 mins or less)",AND($M475&lt;=15,$E475&lt;&gt;"Done",$E475&lt;&gt;"Blocked"),"Deep Thinking",AND($G475="Deep Thinking",$E475&lt;&gt;"Done"),"Processing",AND($G475="Processing",$E475&lt;&gt;"Done"),"Blocked",$E475="Blocked","Waiting",$E475="Waiting","Recently Updated",AND($L475&lt;&gt;"",$L475&gt;=TODAY()-7),"Keyword",AND('Task Finder'!$C$7&lt;&gt;"",OR(ISNUMBER(SEARCH('Task Finder'!$C$7,$A475)),ISNUMBER(SEARCH('Task Finder'!$C$7,$B475)),ISNUMBER(SEARCH('Task Finder'!$C$7,$C475)),ISNUMBER(SEARCH('Task Finder'!$C$7,$D475)),ISNUMBER(SEARCH('Task Finder'!$C$7,$K475)))),TRUE))</f>
        <v/>
      </c>
    </row>
    <row r="476">
      <c r="A476" s="19" t="n"/>
      <c r="B476" s="19" t="n"/>
      <c r="C476" s="19" t="n"/>
      <c r="D476" s="19" t="n"/>
      <c r="E476" s="19" t="n"/>
      <c r="F476" s="19" t="n"/>
      <c r="G476" s="19" t="n"/>
      <c r="H476" s="19" t="n"/>
      <c r="I476" s="19" t="n"/>
      <c r="J476" s="19" t="n"/>
      <c r="K476" s="19" t="n"/>
      <c r="L476" s="125" t="n"/>
      <c r="M476" s="88">
        <f>IF($D476="","",IFERROR(VLOOKUP($H476,Lists!$N$2:$O$6,2,FALSE),0))</f>
        <v/>
      </c>
      <c r="N476" s="88">
        <f>IF($D476="","",IF(OR($E476="Blocked",$E476="Done",$E476="Archive"),-9999,IF(AND($E476="Waiting",SUMPRODUCT((($E$5:$E$500="Next")+($E$5:$E$500="In Progress")+($E$5:$E$500="Captured"))*($D$5:$D$500&lt;&gt;""))&gt;0),-500,VLOOKUP($F476,Lists!$L$2:$M$4,2,FALSE)+IF($E476="In Progress",10,0)+IF(AND($I476&lt;&gt;"",$I476&lt;TODAY()),25,0)+IF(AND($I476&lt;&gt;"",$I476&gt;=TODAY(),$I476&lt;=TODAY()+7),15,0)+IF($H476="",0,IF($M476&lt;=VLOOKUP(Home!$C$7,Lists!$N$2:$O$6,2,FALSE),20,-10))+IF($G476=Home!$E$7,15,IF(Home!$E$7="",0,-5))-ROW()/100000)))</f>
        <v/>
      </c>
      <c r="O476" s="88">
        <f>IF($D476="","",IF($N476&lt;=-500,"Not recommended right now",IF($E476="Waiting","Nothing else actionable right now — Waiting on: "&amp;IF($K476="","this item",$K476),TEXTJOIN(" • ",TRUE,IF($F476="High","High Priority",""),IF(AND($I476&lt;&gt;"",$I476&lt;TODAY()),"Overdue",""),IF(AND($I476&lt;&gt;"",$I476&gt;=TODAY(),$I476&lt;=TODAY()+7),"Due This Week",""),IF(AND($H476&lt;&gt;"",$M476&lt;=VLOOKUP(Home!$C$7,Lists!$N$2:$O$6,2,FALSE)),$H476&amp;" Task",""),IF($G476=Home!$E$7,"Fits Current Energy",""),"No Blockers"))))</f>
        <v/>
      </c>
      <c r="P476" s="88">
        <f>IF($D476="","",SWITCH('Task Finder'!$C$6,"High Priority",AND($F476="High",$E476&lt;&gt;"Done",$E476&lt;&gt;"Archive"),"Due This Week",AND($I476&lt;&gt;"",$I476&gt;=TODAY(),$I476&lt;=TODAY()+7,$E476&lt;&gt;"Done"),"Quick Wins (15 mins or less)",AND($M476&lt;=15,$E476&lt;&gt;"Done",$E476&lt;&gt;"Blocked"),"Deep Thinking",AND($G476="Deep Thinking",$E476&lt;&gt;"Done"),"Processing",AND($G476="Processing",$E476&lt;&gt;"Done"),"Blocked",$E476="Blocked","Waiting",$E476="Waiting","Recently Updated",AND($L476&lt;&gt;"",$L476&gt;=TODAY()-7),"Keyword",AND('Task Finder'!$C$7&lt;&gt;"",OR(ISNUMBER(SEARCH('Task Finder'!$C$7,$A476)),ISNUMBER(SEARCH('Task Finder'!$C$7,$B476)),ISNUMBER(SEARCH('Task Finder'!$C$7,$C476)),ISNUMBER(SEARCH('Task Finder'!$C$7,$D476)),ISNUMBER(SEARCH('Task Finder'!$C$7,$K476)))),TRUE))</f>
        <v/>
      </c>
    </row>
    <row r="477">
      <c r="A477" s="19" t="n"/>
      <c r="B477" s="19" t="n"/>
      <c r="C477" s="19" t="n"/>
      <c r="D477" s="19" t="n"/>
      <c r="E477" s="19" t="n"/>
      <c r="F477" s="19" t="n"/>
      <c r="G477" s="19" t="n"/>
      <c r="H477" s="19" t="n"/>
      <c r="I477" s="19" t="n"/>
      <c r="J477" s="19" t="n"/>
      <c r="K477" s="19" t="n"/>
      <c r="L477" s="125" t="n"/>
      <c r="M477" s="88">
        <f>IF($D477="","",IFERROR(VLOOKUP($H477,Lists!$N$2:$O$6,2,FALSE),0))</f>
        <v/>
      </c>
      <c r="N477" s="88">
        <f>IF($D477="","",IF(OR($E477="Blocked",$E477="Done",$E477="Archive"),-9999,IF(AND($E477="Waiting",SUMPRODUCT((($E$5:$E$500="Next")+($E$5:$E$500="In Progress")+($E$5:$E$500="Captured"))*($D$5:$D$500&lt;&gt;""))&gt;0),-500,VLOOKUP($F477,Lists!$L$2:$M$4,2,FALSE)+IF($E477="In Progress",10,0)+IF(AND($I477&lt;&gt;"",$I477&lt;TODAY()),25,0)+IF(AND($I477&lt;&gt;"",$I477&gt;=TODAY(),$I477&lt;=TODAY()+7),15,0)+IF($H477="",0,IF($M477&lt;=VLOOKUP(Home!$C$7,Lists!$N$2:$O$6,2,FALSE),20,-10))+IF($G477=Home!$E$7,15,IF(Home!$E$7="",0,-5))-ROW()/100000)))</f>
        <v/>
      </c>
      <c r="O477" s="88">
        <f>IF($D477="","",IF($N477&lt;=-500,"Not recommended right now",IF($E477="Waiting","Nothing else actionable right now — Waiting on: "&amp;IF($K477="","this item",$K477),TEXTJOIN(" • ",TRUE,IF($F477="High","High Priority",""),IF(AND($I477&lt;&gt;"",$I477&lt;TODAY()),"Overdue",""),IF(AND($I477&lt;&gt;"",$I477&gt;=TODAY(),$I477&lt;=TODAY()+7),"Due This Week",""),IF(AND($H477&lt;&gt;"",$M477&lt;=VLOOKUP(Home!$C$7,Lists!$N$2:$O$6,2,FALSE)),$H477&amp;" Task",""),IF($G477=Home!$E$7,"Fits Current Energy",""),"No Blockers"))))</f>
        <v/>
      </c>
      <c r="P477" s="88">
        <f>IF($D477="","",SWITCH('Task Finder'!$C$6,"High Priority",AND($F477="High",$E477&lt;&gt;"Done",$E477&lt;&gt;"Archive"),"Due This Week",AND($I477&lt;&gt;"",$I477&gt;=TODAY(),$I477&lt;=TODAY()+7,$E477&lt;&gt;"Done"),"Quick Wins (15 mins or less)",AND($M477&lt;=15,$E477&lt;&gt;"Done",$E477&lt;&gt;"Blocked"),"Deep Thinking",AND($G477="Deep Thinking",$E477&lt;&gt;"Done"),"Processing",AND($G477="Processing",$E477&lt;&gt;"Done"),"Blocked",$E477="Blocked","Waiting",$E477="Waiting","Recently Updated",AND($L477&lt;&gt;"",$L477&gt;=TODAY()-7),"Keyword",AND('Task Finder'!$C$7&lt;&gt;"",OR(ISNUMBER(SEARCH('Task Finder'!$C$7,$A477)),ISNUMBER(SEARCH('Task Finder'!$C$7,$B477)),ISNUMBER(SEARCH('Task Finder'!$C$7,$C477)),ISNUMBER(SEARCH('Task Finder'!$C$7,$D477)),ISNUMBER(SEARCH('Task Finder'!$C$7,$K477)))),TRUE))</f>
        <v/>
      </c>
    </row>
    <row r="478">
      <c r="A478" s="19" t="n"/>
      <c r="B478" s="19" t="n"/>
      <c r="C478" s="19" t="n"/>
      <c r="D478" s="19" t="n"/>
      <c r="E478" s="19" t="n"/>
      <c r="F478" s="19" t="n"/>
      <c r="G478" s="19" t="n"/>
      <c r="H478" s="19" t="n"/>
      <c r="I478" s="19" t="n"/>
      <c r="J478" s="19" t="n"/>
      <c r="K478" s="19" t="n"/>
      <c r="L478" s="125" t="n"/>
      <c r="M478" s="88">
        <f>IF($D478="","",IFERROR(VLOOKUP($H478,Lists!$N$2:$O$6,2,FALSE),0))</f>
        <v/>
      </c>
      <c r="N478" s="88">
        <f>IF($D478="","",IF(OR($E478="Blocked",$E478="Done",$E478="Archive"),-9999,IF(AND($E478="Waiting",SUMPRODUCT((($E$5:$E$500="Next")+($E$5:$E$500="In Progress")+($E$5:$E$500="Captured"))*($D$5:$D$500&lt;&gt;""))&gt;0),-500,VLOOKUP($F478,Lists!$L$2:$M$4,2,FALSE)+IF($E478="In Progress",10,0)+IF(AND($I478&lt;&gt;"",$I478&lt;TODAY()),25,0)+IF(AND($I478&lt;&gt;"",$I478&gt;=TODAY(),$I478&lt;=TODAY()+7),15,0)+IF($H478="",0,IF($M478&lt;=VLOOKUP(Home!$C$7,Lists!$N$2:$O$6,2,FALSE),20,-10))+IF($G478=Home!$E$7,15,IF(Home!$E$7="",0,-5))-ROW()/100000)))</f>
        <v/>
      </c>
      <c r="O478" s="88">
        <f>IF($D478="","",IF($N478&lt;=-500,"Not recommended right now",IF($E478="Waiting","Nothing else actionable right now — Waiting on: "&amp;IF($K478="","this item",$K478),TEXTJOIN(" • ",TRUE,IF($F478="High","High Priority",""),IF(AND($I478&lt;&gt;"",$I478&lt;TODAY()),"Overdue",""),IF(AND($I478&lt;&gt;"",$I478&gt;=TODAY(),$I478&lt;=TODAY()+7),"Due This Week",""),IF(AND($H478&lt;&gt;"",$M478&lt;=VLOOKUP(Home!$C$7,Lists!$N$2:$O$6,2,FALSE)),$H478&amp;" Task",""),IF($G478=Home!$E$7,"Fits Current Energy",""),"No Blockers"))))</f>
        <v/>
      </c>
      <c r="P478" s="88">
        <f>IF($D478="","",SWITCH('Task Finder'!$C$6,"High Priority",AND($F478="High",$E478&lt;&gt;"Done",$E478&lt;&gt;"Archive"),"Due This Week",AND($I478&lt;&gt;"",$I478&gt;=TODAY(),$I478&lt;=TODAY()+7,$E478&lt;&gt;"Done"),"Quick Wins (15 mins or less)",AND($M478&lt;=15,$E478&lt;&gt;"Done",$E478&lt;&gt;"Blocked"),"Deep Thinking",AND($G478="Deep Thinking",$E478&lt;&gt;"Done"),"Processing",AND($G478="Processing",$E478&lt;&gt;"Done"),"Blocked",$E478="Blocked","Waiting",$E478="Waiting","Recently Updated",AND($L478&lt;&gt;"",$L478&gt;=TODAY()-7),"Keyword",AND('Task Finder'!$C$7&lt;&gt;"",OR(ISNUMBER(SEARCH('Task Finder'!$C$7,$A478)),ISNUMBER(SEARCH('Task Finder'!$C$7,$B478)),ISNUMBER(SEARCH('Task Finder'!$C$7,$C478)),ISNUMBER(SEARCH('Task Finder'!$C$7,$D478)),ISNUMBER(SEARCH('Task Finder'!$C$7,$K478)))),TRUE))</f>
        <v/>
      </c>
    </row>
    <row r="479">
      <c r="A479" s="19" t="n"/>
      <c r="B479" s="19" t="n"/>
      <c r="C479" s="19" t="n"/>
      <c r="D479" s="19" t="n"/>
      <c r="E479" s="19" t="n"/>
      <c r="F479" s="19" t="n"/>
      <c r="G479" s="19" t="n"/>
      <c r="H479" s="19" t="n"/>
      <c r="I479" s="19" t="n"/>
      <c r="J479" s="19" t="n"/>
      <c r="K479" s="19" t="n"/>
      <c r="L479" s="125" t="n"/>
      <c r="M479" s="88">
        <f>IF($D479="","",IFERROR(VLOOKUP($H479,Lists!$N$2:$O$6,2,FALSE),0))</f>
        <v/>
      </c>
      <c r="N479" s="88">
        <f>IF($D479="","",IF(OR($E479="Blocked",$E479="Done",$E479="Archive"),-9999,IF(AND($E479="Waiting",SUMPRODUCT((($E$5:$E$500="Next")+($E$5:$E$500="In Progress")+($E$5:$E$500="Captured"))*($D$5:$D$500&lt;&gt;""))&gt;0),-500,VLOOKUP($F479,Lists!$L$2:$M$4,2,FALSE)+IF($E479="In Progress",10,0)+IF(AND($I479&lt;&gt;"",$I479&lt;TODAY()),25,0)+IF(AND($I479&lt;&gt;"",$I479&gt;=TODAY(),$I479&lt;=TODAY()+7),15,0)+IF($H479="",0,IF($M479&lt;=VLOOKUP(Home!$C$7,Lists!$N$2:$O$6,2,FALSE),20,-10))+IF($G479=Home!$E$7,15,IF(Home!$E$7="",0,-5))-ROW()/100000)))</f>
        <v/>
      </c>
      <c r="O479" s="88">
        <f>IF($D479="","",IF($N479&lt;=-500,"Not recommended right now",IF($E479="Waiting","Nothing else actionable right now — Waiting on: "&amp;IF($K479="","this item",$K479),TEXTJOIN(" • ",TRUE,IF($F479="High","High Priority",""),IF(AND($I479&lt;&gt;"",$I479&lt;TODAY()),"Overdue",""),IF(AND($I479&lt;&gt;"",$I479&gt;=TODAY(),$I479&lt;=TODAY()+7),"Due This Week",""),IF(AND($H479&lt;&gt;"",$M479&lt;=VLOOKUP(Home!$C$7,Lists!$N$2:$O$6,2,FALSE)),$H479&amp;" Task",""),IF($G479=Home!$E$7,"Fits Current Energy",""),"No Blockers"))))</f>
        <v/>
      </c>
      <c r="P479" s="88">
        <f>IF($D479="","",SWITCH('Task Finder'!$C$6,"High Priority",AND($F479="High",$E479&lt;&gt;"Done",$E479&lt;&gt;"Archive"),"Due This Week",AND($I479&lt;&gt;"",$I479&gt;=TODAY(),$I479&lt;=TODAY()+7,$E479&lt;&gt;"Done"),"Quick Wins (15 mins or less)",AND($M479&lt;=15,$E479&lt;&gt;"Done",$E479&lt;&gt;"Blocked"),"Deep Thinking",AND($G479="Deep Thinking",$E479&lt;&gt;"Done"),"Processing",AND($G479="Processing",$E479&lt;&gt;"Done"),"Blocked",$E479="Blocked","Waiting",$E479="Waiting","Recently Updated",AND($L479&lt;&gt;"",$L479&gt;=TODAY()-7),"Keyword",AND('Task Finder'!$C$7&lt;&gt;"",OR(ISNUMBER(SEARCH('Task Finder'!$C$7,$A479)),ISNUMBER(SEARCH('Task Finder'!$C$7,$B479)),ISNUMBER(SEARCH('Task Finder'!$C$7,$C479)),ISNUMBER(SEARCH('Task Finder'!$C$7,$D479)),ISNUMBER(SEARCH('Task Finder'!$C$7,$K479)))),TRUE))</f>
        <v/>
      </c>
    </row>
    <row r="480">
      <c r="A480" s="19" t="n"/>
      <c r="B480" s="19" t="n"/>
      <c r="C480" s="19" t="n"/>
      <c r="D480" s="19" t="n"/>
      <c r="E480" s="19" t="n"/>
      <c r="F480" s="19" t="n"/>
      <c r="G480" s="19" t="n"/>
      <c r="H480" s="19" t="n"/>
      <c r="I480" s="19" t="n"/>
      <c r="J480" s="19" t="n"/>
      <c r="K480" s="19" t="n"/>
      <c r="L480" s="125" t="n"/>
      <c r="M480" s="88">
        <f>IF($D480="","",IFERROR(VLOOKUP($H480,Lists!$N$2:$O$6,2,FALSE),0))</f>
        <v/>
      </c>
      <c r="N480" s="88">
        <f>IF($D480="","",IF(OR($E480="Blocked",$E480="Done",$E480="Archive"),-9999,IF(AND($E480="Waiting",SUMPRODUCT((($E$5:$E$500="Next")+($E$5:$E$500="In Progress")+($E$5:$E$500="Captured"))*($D$5:$D$500&lt;&gt;""))&gt;0),-500,VLOOKUP($F480,Lists!$L$2:$M$4,2,FALSE)+IF($E480="In Progress",10,0)+IF(AND($I480&lt;&gt;"",$I480&lt;TODAY()),25,0)+IF(AND($I480&lt;&gt;"",$I480&gt;=TODAY(),$I480&lt;=TODAY()+7),15,0)+IF($H480="",0,IF($M480&lt;=VLOOKUP(Home!$C$7,Lists!$N$2:$O$6,2,FALSE),20,-10))+IF($G480=Home!$E$7,15,IF(Home!$E$7="",0,-5))-ROW()/100000)))</f>
        <v/>
      </c>
      <c r="O480" s="88">
        <f>IF($D480="","",IF($N480&lt;=-500,"Not recommended right now",IF($E480="Waiting","Nothing else actionable right now — Waiting on: "&amp;IF($K480="","this item",$K480),TEXTJOIN(" • ",TRUE,IF($F480="High","High Priority",""),IF(AND($I480&lt;&gt;"",$I480&lt;TODAY()),"Overdue",""),IF(AND($I480&lt;&gt;"",$I480&gt;=TODAY(),$I480&lt;=TODAY()+7),"Due This Week",""),IF(AND($H480&lt;&gt;"",$M480&lt;=VLOOKUP(Home!$C$7,Lists!$N$2:$O$6,2,FALSE)),$H480&amp;" Task",""),IF($G480=Home!$E$7,"Fits Current Energy",""),"No Blockers"))))</f>
        <v/>
      </c>
      <c r="P480" s="88">
        <f>IF($D480="","",SWITCH('Task Finder'!$C$6,"High Priority",AND($F480="High",$E480&lt;&gt;"Done",$E480&lt;&gt;"Archive"),"Due This Week",AND($I480&lt;&gt;"",$I480&gt;=TODAY(),$I480&lt;=TODAY()+7,$E480&lt;&gt;"Done"),"Quick Wins (15 mins or less)",AND($M480&lt;=15,$E480&lt;&gt;"Done",$E480&lt;&gt;"Blocked"),"Deep Thinking",AND($G480="Deep Thinking",$E480&lt;&gt;"Done"),"Processing",AND($G480="Processing",$E480&lt;&gt;"Done"),"Blocked",$E480="Blocked","Waiting",$E480="Waiting","Recently Updated",AND($L480&lt;&gt;"",$L480&gt;=TODAY()-7),"Keyword",AND('Task Finder'!$C$7&lt;&gt;"",OR(ISNUMBER(SEARCH('Task Finder'!$C$7,$A480)),ISNUMBER(SEARCH('Task Finder'!$C$7,$B480)),ISNUMBER(SEARCH('Task Finder'!$C$7,$C480)),ISNUMBER(SEARCH('Task Finder'!$C$7,$D480)),ISNUMBER(SEARCH('Task Finder'!$C$7,$K480)))),TRUE))</f>
        <v/>
      </c>
    </row>
    <row r="481">
      <c r="A481" s="19" t="n"/>
      <c r="B481" s="19" t="n"/>
      <c r="C481" s="19" t="n"/>
      <c r="D481" s="19" t="n"/>
      <c r="E481" s="19" t="n"/>
      <c r="F481" s="19" t="n"/>
      <c r="G481" s="19" t="n"/>
      <c r="H481" s="19" t="n"/>
      <c r="I481" s="19" t="n"/>
      <c r="J481" s="19" t="n"/>
      <c r="K481" s="19" t="n"/>
      <c r="L481" s="125" t="n"/>
      <c r="M481" s="88">
        <f>IF($D481="","",IFERROR(VLOOKUP($H481,Lists!$N$2:$O$6,2,FALSE),0))</f>
        <v/>
      </c>
      <c r="N481" s="88">
        <f>IF($D481="","",IF(OR($E481="Blocked",$E481="Done",$E481="Archive"),-9999,IF(AND($E481="Waiting",SUMPRODUCT((($E$5:$E$500="Next")+($E$5:$E$500="In Progress")+($E$5:$E$500="Captured"))*($D$5:$D$500&lt;&gt;""))&gt;0),-500,VLOOKUP($F481,Lists!$L$2:$M$4,2,FALSE)+IF($E481="In Progress",10,0)+IF(AND($I481&lt;&gt;"",$I481&lt;TODAY()),25,0)+IF(AND($I481&lt;&gt;"",$I481&gt;=TODAY(),$I481&lt;=TODAY()+7),15,0)+IF($H481="",0,IF($M481&lt;=VLOOKUP(Home!$C$7,Lists!$N$2:$O$6,2,FALSE),20,-10))+IF($G481=Home!$E$7,15,IF(Home!$E$7="",0,-5))-ROW()/100000)))</f>
        <v/>
      </c>
      <c r="O481" s="88">
        <f>IF($D481="","",IF($N481&lt;=-500,"Not recommended right now",IF($E481="Waiting","Nothing else actionable right now — Waiting on: "&amp;IF($K481="","this item",$K481),TEXTJOIN(" • ",TRUE,IF($F481="High","High Priority",""),IF(AND($I481&lt;&gt;"",$I481&lt;TODAY()),"Overdue",""),IF(AND($I481&lt;&gt;"",$I481&gt;=TODAY(),$I481&lt;=TODAY()+7),"Due This Week",""),IF(AND($H481&lt;&gt;"",$M481&lt;=VLOOKUP(Home!$C$7,Lists!$N$2:$O$6,2,FALSE)),$H481&amp;" Task",""),IF($G481=Home!$E$7,"Fits Current Energy",""),"No Blockers"))))</f>
        <v/>
      </c>
      <c r="P481" s="88">
        <f>IF($D481="","",SWITCH('Task Finder'!$C$6,"High Priority",AND($F481="High",$E481&lt;&gt;"Done",$E481&lt;&gt;"Archive"),"Due This Week",AND($I481&lt;&gt;"",$I481&gt;=TODAY(),$I481&lt;=TODAY()+7,$E481&lt;&gt;"Done"),"Quick Wins (15 mins or less)",AND($M481&lt;=15,$E481&lt;&gt;"Done",$E481&lt;&gt;"Blocked"),"Deep Thinking",AND($G481="Deep Thinking",$E481&lt;&gt;"Done"),"Processing",AND($G481="Processing",$E481&lt;&gt;"Done"),"Blocked",$E481="Blocked","Waiting",$E481="Waiting","Recently Updated",AND($L481&lt;&gt;"",$L481&gt;=TODAY()-7),"Keyword",AND('Task Finder'!$C$7&lt;&gt;"",OR(ISNUMBER(SEARCH('Task Finder'!$C$7,$A481)),ISNUMBER(SEARCH('Task Finder'!$C$7,$B481)),ISNUMBER(SEARCH('Task Finder'!$C$7,$C481)),ISNUMBER(SEARCH('Task Finder'!$C$7,$D481)),ISNUMBER(SEARCH('Task Finder'!$C$7,$K481)))),TRUE))</f>
        <v/>
      </c>
    </row>
    <row r="482">
      <c r="A482" s="19" t="n"/>
      <c r="B482" s="19" t="n"/>
      <c r="C482" s="19" t="n"/>
      <c r="D482" s="19" t="n"/>
      <c r="E482" s="19" t="n"/>
      <c r="F482" s="19" t="n"/>
      <c r="G482" s="19" t="n"/>
      <c r="H482" s="19" t="n"/>
      <c r="I482" s="19" t="n"/>
      <c r="J482" s="19" t="n"/>
      <c r="K482" s="19" t="n"/>
      <c r="L482" s="125" t="n"/>
      <c r="M482" s="88">
        <f>IF($D482="","",IFERROR(VLOOKUP($H482,Lists!$N$2:$O$6,2,FALSE),0))</f>
        <v/>
      </c>
      <c r="N482" s="88">
        <f>IF($D482="","",IF(OR($E482="Blocked",$E482="Done",$E482="Archive"),-9999,IF(AND($E482="Waiting",SUMPRODUCT((($E$5:$E$500="Next")+($E$5:$E$500="In Progress")+($E$5:$E$500="Captured"))*($D$5:$D$500&lt;&gt;""))&gt;0),-500,VLOOKUP($F482,Lists!$L$2:$M$4,2,FALSE)+IF($E482="In Progress",10,0)+IF(AND($I482&lt;&gt;"",$I482&lt;TODAY()),25,0)+IF(AND($I482&lt;&gt;"",$I482&gt;=TODAY(),$I482&lt;=TODAY()+7),15,0)+IF($H482="",0,IF($M482&lt;=VLOOKUP(Home!$C$7,Lists!$N$2:$O$6,2,FALSE),20,-10))+IF($G482=Home!$E$7,15,IF(Home!$E$7="",0,-5))-ROW()/100000)))</f>
        <v/>
      </c>
      <c r="O482" s="88">
        <f>IF($D482="","",IF($N482&lt;=-500,"Not recommended right now",IF($E482="Waiting","Nothing else actionable right now — Waiting on: "&amp;IF($K482="","this item",$K482),TEXTJOIN(" • ",TRUE,IF($F482="High","High Priority",""),IF(AND($I482&lt;&gt;"",$I482&lt;TODAY()),"Overdue",""),IF(AND($I482&lt;&gt;"",$I482&gt;=TODAY(),$I482&lt;=TODAY()+7),"Due This Week",""),IF(AND($H482&lt;&gt;"",$M482&lt;=VLOOKUP(Home!$C$7,Lists!$N$2:$O$6,2,FALSE)),$H482&amp;" Task",""),IF($G482=Home!$E$7,"Fits Current Energy",""),"No Blockers"))))</f>
        <v/>
      </c>
      <c r="P482" s="88">
        <f>IF($D482="","",SWITCH('Task Finder'!$C$6,"High Priority",AND($F482="High",$E482&lt;&gt;"Done",$E482&lt;&gt;"Archive"),"Due This Week",AND($I482&lt;&gt;"",$I482&gt;=TODAY(),$I482&lt;=TODAY()+7,$E482&lt;&gt;"Done"),"Quick Wins (15 mins or less)",AND($M482&lt;=15,$E482&lt;&gt;"Done",$E482&lt;&gt;"Blocked"),"Deep Thinking",AND($G482="Deep Thinking",$E482&lt;&gt;"Done"),"Processing",AND($G482="Processing",$E482&lt;&gt;"Done"),"Blocked",$E482="Blocked","Waiting",$E482="Waiting","Recently Updated",AND($L482&lt;&gt;"",$L482&gt;=TODAY()-7),"Keyword",AND('Task Finder'!$C$7&lt;&gt;"",OR(ISNUMBER(SEARCH('Task Finder'!$C$7,$A482)),ISNUMBER(SEARCH('Task Finder'!$C$7,$B482)),ISNUMBER(SEARCH('Task Finder'!$C$7,$C482)),ISNUMBER(SEARCH('Task Finder'!$C$7,$D482)),ISNUMBER(SEARCH('Task Finder'!$C$7,$K482)))),TRUE))</f>
        <v/>
      </c>
    </row>
    <row r="483">
      <c r="A483" s="19" t="n"/>
      <c r="B483" s="19" t="n"/>
      <c r="C483" s="19" t="n"/>
      <c r="D483" s="19" t="n"/>
      <c r="E483" s="19" t="n"/>
      <c r="F483" s="19" t="n"/>
      <c r="G483" s="19" t="n"/>
      <c r="H483" s="19" t="n"/>
      <c r="I483" s="19" t="n"/>
      <c r="J483" s="19" t="n"/>
      <c r="K483" s="19" t="n"/>
      <c r="L483" s="125" t="n"/>
      <c r="M483" s="88">
        <f>IF($D483="","",IFERROR(VLOOKUP($H483,Lists!$N$2:$O$6,2,FALSE),0))</f>
        <v/>
      </c>
      <c r="N483" s="88">
        <f>IF($D483="","",IF(OR($E483="Blocked",$E483="Done",$E483="Archive"),-9999,IF(AND($E483="Waiting",SUMPRODUCT((($E$5:$E$500="Next")+($E$5:$E$500="In Progress")+($E$5:$E$500="Captured"))*($D$5:$D$500&lt;&gt;""))&gt;0),-500,VLOOKUP($F483,Lists!$L$2:$M$4,2,FALSE)+IF($E483="In Progress",10,0)+IF(AND($I483&lt;&gt;"",$I483&lt;TODAY()),25,0)+IF(AND($I483&lt;&gt;"",$I483&gt;=TODAY(),$I483&lt;=TODAY()+7),15,0)+IF($H483="",0,IF($M483&lt;=VLOOKUP(Home!$C$7,Lists!$N$2:$O$6,2,FALSE),20,-10))+IF($G483=Home!$E$7,15,IF(Home!$E$7="",0,-5))-ROW()/100000)))</f>
        <v/>
      </c>
      <c r="O483" s="88">
        <f>IF($D483="","",IF($N483&lt;=-500,"Not recommended right now",IF($E483="Waiting","Nothing else actionable right now — Waiting on: "&amp;IF($K483="","this item",$K483),TEXTJOIN(" • ",TRUE,IF($F483="High","High Priority",""),IF(AND($I483&lt;&gt;"",$I483&lt;TODAY()),"Overdue",""),IF(AND($I483&lt;&gt;"",$I483&gt;=TODAY(),$I483&lt;=TODAY()+7),"Due This Week",""),IF(AND($H483&lt;&gt;"",$M483&lt;=VLOOKUP(Home!$C$7,Lists!$N$2:$O$6,2,FALSE)),$H483&amp;" Task",""),IF($G483=Home!$E$7,"Fits Current Energy",""),"No Blockers"))))</f>
        <v/>
      </c>
      <c r="P483" s="88">
        <f>IF($D483="","",SWITCH('Task Finder'!$C$6,"High Priority",AND($F483="High",$E483&lt;&gt;"Done",$E483&lt;&gt;"Archive"),"Due This Week",AND($I483&lt;&gt;"",$I483&gt;=TODAY(),$I483&lt;=TODAY()+7,$E483&lt;&gt;"Done"),"Quick Wins (15 mins or less)",AND($M483&lt;=15,$E483&lt;&gt;"Done",$E483&lt;&gt;"Blocked"),"Deep Thinking",AND($G483="Deep Thinking",$E483&lt;&gt;"Done"),"Processing",AND($G483="Processing",$E483&lt;&gt;"Done"),"Blocked",$E483="Blocked","Waiting",$E483="Waiting","Recently Updated",AND($L483&lt;&gt;"",$L483&gt;=TODAY()-7),"Keyword",AND('Task Finder'!$C$7&lt;&gt;"",OR(ISNUMBER(SEARCH('Task Finder'!$C$7,$A483)),ISNUMBER(SEARCH('Task Finder'!$C$7,$B483)),ISNUMBER(SEARCH('Task Finder'!$C$7,$C483)),ISNUMBER(SEARCH('Task Finder'!$C$7,$D483)),ISNUMBER(SEARCH('Task Finder'!$C$7,$K483)))),TRUE))</f>
        <v/>
      </c>
    </row>
    <row r="484">
      <c r="A484" s="19" t="n"/>
      <c r="B484" s="19" t="n"/>
      <c r="C484" s="19" t="n"/>
      <c r="D484" s="19" t="n"/>
      <c r="E484" s="19" t="n"/>
      <c r="F484" s="19" t="n"/>
      <c r="G484" s="19" t="n"/>
      <c r="H484" s="19" t="n"/>
      <c r="I484" s="19" t="n"/>
      <c r="J484" s="19" t="n"/>
      <c r="K484" s="19" t="n"/>
      <c r="L484" s="125" t="n"/>
      <c r="M484" s="88">
        <f>IF($D484="","",IFERROR(VLOOKUP($H484,Lists!$N$2:$O$6,2,FALSE),0))</f>
        <v/>
      </c>
      <c r="N484" s="88">
        <f>IF($D484="","",IF(OR($E484="Blocked",$E484="Done",$E484="Archive"),-9999,IF(AND($E484="Waiting",SUMPRODUCT((($E$5:$E$500="Next")+($E$5:$E$500="In Progress")+($E$5:$E$500="Captured"))*($D$5:$D$500&lt;&gt;""))&gt;0),-500,VLOOKUP($F484,Lists!$L$2:$M$4,2,FALSE)+IF($E484="In Progress",10,0)+IF(AND($I484&lt;&gt;"",$I484&lt;TODAY()),25,0)+IF(AND($I484&lt;&gt;"",$I484&gt;=TODAY(),$I484&lt;=TODAY()+7),15,0)+IF($H484="",0,IF($M484&lt;=VLOOKUP(Home!$C$7,Lists!$N$2:$O$6,2,FALSE),20,-10))+IF($G484=Home!$E$7,15,IF(Home!$E$7="",0,-5))-ROW()/100000)))</f>
        <v/>
      </c>
      <c r="O484" s="88">
        <f>IF($D484="","",IF($N484&lt;=-500,"Not recommended right now",IF($E484="Waiting","Nothing else actionable right now — Waiting on: "&amp;IF($K484="","this item",$K484),TEXTJOIN(" • ",TRUE,IF($F484="High","High Priority",""),IF(AND($I484&lt;&gt;"",$I484&lt;TODAY()),"Overdue",""),IF(AND($I484&lt;&gt;"",$I484&gt;=TODAY(),$I484&lt;=TODAY()+7),"Due This Week",""),IF(AND($H484&lt;&gt;"",$M484&lt;=VLOOKUP(Home!$C$7,Lists!$N$2:$O$6,2,FALSE)),$H484&amp;" Task",""),IF($G484=Home!$E$7,"Fits Current Energy",""),"No Blockers"))))</f>
        <v/>
      </c>
      <c r="P484" s="88">
        <f>IF($D484="","",SWITCH('Task Finder'!$C$6,"High Priority",AND($F484="High",$E484&lt;&gt;"Done",$E484&lt;&gt;"Archive"),"Due This Week",AND($I484&lt;&gt;"",$I484&gt;=TODAY(),$I484&lt;=TODAY()+7,$E484&lt;&gt;"Done"),"Quick Wins (15 mins or less)",AND($M484&lt;=15,$E484&lt;&gt;"Done",$E484&lt;&gt;"Blocked"),"Deep Thinking",AND($G484="Deep Thinking",$E484&lt;&gt;"Done"),"Processing",AND($G484="Processing",$E484&lt;&gt;"Done"),"Blocked",$E484="Blocked","Waiting",$E484="Waiting","Recently Updated",AND($L484&lt;&gt;"",$L484&gt;=TODAY()-7),"Keyword",AND('Task Finder'!$C$7&lt;&gt;"",OR(ISNUMBER(SEARCH('Task Finder'!$C$7,$A484)),ISNUMBER(SEARCH('Task Finder'!$C$7,$B484)),ISNUMBER(SEARCH('Task Finder'!$C$7,$C484)),ISNUMBER(SEARCH('Task Finder'!$C$7,$D484)),ISNUMBER(SEARCH('Task Finder'!$C$7,$K484)))),TRUE))</f>
        <v/>
      </c>
    </row>
    <row r="485">
      <c r="A485" s="19" t="n"/>
      <c r="B485" s="19" t="n"/>
      <c r="C485" s="19" t="n"/>
      <c r="D485" s="19" t="n"/>
      <c r="E485" s="19" t="n"/>
      <c r="F485" s="19" t="n"/>
      <c r="G485" s="19" t="n"/>
      <c r="H485" s="19" t="n"/>
      <c r="I485" s="19" t="n"/>
      <c r="J485" s="19" t="n"/>
      <c r="K485" s="19" t="n"/>
      <c r="L485" s="125" t="n"/>
      <c r="M485" s="88">
        <f>IF($D485="","",IFERROR(VLOOKUP($H485,Lists!$N$2:$O$6,2,FALSE),0))</f>
        <v/>
      </c>
      <c r="N485" s="88">
        <f>IF($D485="","",IF(OR($E485="Blocked",$E485="Done",$E485="Archive"),-9999,IF(AND($E485="Waiting",SUMPRODUCT((($E$5:$E$500="Next")+($E$5:$E$500="In Progress")+($E$5:$E$500="Captured"))*($D$5:$D$500&lt;&gt;""))&gt;0),-500,VLOOKUP($F485,Lists!$L$2:$M$4,2,FALSE)+IF($E485="In Progress",10,0)+IF(AND($I485&lt;&gt;"",$I485&lt;TODAY()),25,0)+IF(AND($I485&lt;&gt;"",$I485&gt;=TODAY(),$I485&lt;=TODAY()+7),15,0)+IF($H485="",0,IF($M485&lt;=VLOOKUP(Home!$C$7,Lists!$N$2:$O$6,2,FALSE),20,-10))+IF($G485=Home!$E$7,15,IF(Home!$E$7="",0,-5))-ROW()/100000)))</f>
        <v/>
      </c>
      <c r="O485" s="88">
        <f>IF($D485="","",IF($N485&lt;=-500,"Not recommended right now",IF($E485="Waiting","Nothing else actionable right now — Waiting on: "&amp;IF($K485="","this item",$K485),TEXTJOIN(" • ",TRUE,IF($F485="High","High Priority",""),IF(AND($I485&lt;&gt;"",$I485&lt;TODAY()),"Overdue",""),IF(AND($I485&lt;&gt;"",$I485&gt;=TODAY(),$I485&lt;=TODAY()+7),"Due This Week",""),IF(AND($H485&lt;&gt;"",$M485&lt;=VLOOKUP(Home!$C$7,Lists!$N$2:$O$6,2,FALSE)),$H485&amp;" Task",""),IF($G485=Home!$E$7,"Fits Current Energy",""),"No Blockers"))))</f>
        <v/>
      </c>
      <c r="P485" s="88">
        <f>IF($D485="","",SWITCH('Task Finder'!$C$6,"High Priority",AND($F485="High",$E485&lt;&gt;"Done",$E485&lt;&gt;"Archive"),"Due This Week",AND($I485&lt;&gt;"",$I485&gt;=TODAY(),$I485&lt;=TODAY()+7,$E485&lt;&gt;"Done"),"Quick Wins (15 mins or less)",AND($M485&lt;=15,$E485&lt;&gt;"Done",$E485&lt;&gt;"Blocked"),"Deep Thinking",AND($G485="Deep Thinking",$E485&lt;&gt;"Done"),"Processing",AND($G485="Processing",$E485&lt;&gt;"Done"),"Blocked",$E485="Blocked","Waiting",$E485="Waiting","Recently Updated",AND($L485&lt;&gt;"",$L485&gt;=TODAY()-7),"Keyword",AND('Task Finder'!$C$7&lt;&gt;"",OR(ISNUMBER(SEARCH('Task Finder'!$C$7,$A485)),ISNUMBER(SEARCH('Task Finder'!$C$7,$B485)),ISNUMBER(SEARCH('Task Finder'!$C$7,$C485)),ISNUMBER(SEARCH('Task Finder'!$C$7,$D485)),ISNUMBER(SEARCH('Task Finder'!$C$7,$K485)))),TRUE))</f>
        <v/>
      </c>
    </row>
    <row r="486">
      <c r="A486" s="19" t="n"/>
      <c r="B486" s="19" t="n"/>
      <c r="C486" s="19" t="n"/>
      <c r="D486" s="19" t="n"/>
      <c r="E486" s="19" t="n"/>
      <c r="F486" s="19" t="n"/>
      <c r="G486" s="19" t="n"/>
      <c r="H486" s="19" t="n"/>
      <c r="I486" s="19" t="n"/>
      <c r="J486" s="19" t="n"/>
      <c r="K486" s="19" t="n"/>
      <c r="L486" s="125" t="n"/>
      <c r="M486" s="88">
        <f>IF($D486="","",IFERROR(VLOOKUP($H486,Lists!$N$2:$O$6,2,FALSE),0))</f>
        <v/>
      </c>
      <c r="N486" s="88">
        <f>IF($D486="","",IF(OR($E486="Blocked",$E486="Done",$E486="Archive"),-9999,IF(AND($E486="Waiting",SUMPRODUCT((($E$5:$E$500="Next")+($E$5:$E$500="In Progress")+($E$5:$E$500="Captured"))*($D$5:$D$500&lt;&gt;""))&gt;0),-500,VLOOKUP($F486,Lists!$L$2:$M$4,2,FALSE)+IF($E486="In Progress",10,0)+IF(AND($I486&lt;&gt;"",$I486&lt;TODAY()),25,0)+IF(AND($I486&lt;&gt;"",$I486&gt;=TODAY(),$I486&lt;=TODAY()+7),15,0)+IF($H486="",0,IF($M486&lt;=VLOOKUP(Home!$C$7,Lists!$N$2:$O$6,2,FALSE),20,-10))+IF($G486=Home!$E$7,15,IF(Home!$E$7="",0,-5))-ROW()/100000)))</f>
        <v/>
      </c>
      <c r="O486" s="88">
        <f>IF($D486="","",IF($N486&lt;=-500,"Not recommended right now",IF($E486="Waiting","Nothing else actionable right now — Waiting on: "&amp;IF($K486="","this item",$K486),TEXTJOIN(" • ",TRUE,IF($F486="High","High Priority",""),IF(AND($I486&lt;&gt;"",$I486&lt;TODAY()),"Overdue",""),IF(AND($I486&lt;&gt;"",$I486&gt;=TODAY(),$I486&lt;=TODAY()+7),"Due This Week",""),IF(AND($H486&lt;&gt;"",$M486&lt;=VLOOKUP(Home!$C$7,Lists!$N$2:$O$6,2,FALSE)),$H486&amp;" Task",""),IF($G486=Home!$E$7,"Fits Current Energy",""),"No Blockers"))))</f>
        <v/>
      </c>
      <c r="P486" s="88">
        <f>IF($D486="","",SWITCH('Task Finder'!$C$6,"High Priority",AND($F486="High",$E486&lt;&gt;"Done",$E486&lt;&gt;"Archive"),"Due This Week",AND($I486&lt;&gt;"",$I486&gt;=TODAY(),$I486&lt;=TODAY()+7,$E486&lt;&gt;"Done"),"Quick Wins (15 mins or less)",AND($M486&lt;=15,$E486&lt;&gt;"Done",$E486&lt;&gt;"Blocked"),"Deep Thinking",AND($G486="Deep Thinking",$E486&lt;&gt;"Done"),"Processing",AND($G486="Processing",$E486&lt;&gt;"Done"),"Blocked",$E486="Blocked","Waiting",$E486="Waiting","Recently Updated",AND($L486&lt;&gt;"",$L486&gt;=TODAY()-7),"Keyword",AND('Task Finder'!$C$7&lt;&gt;"",OR(ISNUMBER(SEARCH('Task Finder'!$C$7,$A486)),ISNUMBER(SEARCH('Task Finder'!$C$7,$B486)),ISNUMBER(SEARCH('Task Finder'!$C$7,$C486)),ISNUMBER(SEARCH('Task Finder'!$C$7,$D486)),ISNUMBER(SEARCH('Task Finder'!$C$7,$K486)))),TRUE))</f>
        <v/>
      </c>
    </row>
    <row r="487">
      <c r="A487" s="19" t="n"/>
      <c r="B487" s="19" t="n"/>
      <c r="C487" s="19" t="n"/>
      <c r="D487" s="19" t="n"/>
      <c r="E487" s="19" t="n"/>
      <c r="F487" s="19" t="n"/>
      <c r="G487" s="19" t="n"/>
      <c r="H487" s="19" t="n"/>
      <c r="I487" s="19" t="n"/>
      <c r="J487" s="19" t="n"/>
      <c r="K487" s="19" t="n"/>
      <c r="L487" s="125" t="n"/>
      <c r="M487" s="88">
        <f>IF($D487="","",IFERROR(VLOOKUP($H487,Lists!$N$2:$O$6,2,FALSE),0))</f>
        <v/>
      </c>
      <c r="N487" s="88">
        <f>IF($D487="","",IF(OR($E487="Blocked",$E487="Done",$E487="Archive"),-9999,IF(AND($E487="Waiting",SUMPRODUCT((($E$5:$E$500="Next")+($E$5:$E$500="In Progress")+($E$5:$E$500="Captured"))*($D$5:$D$500&lt;&gt;""))&gt;0),-500,VLOOKUP($F487,Lists!$L$2:$M$4,2,FALSE)+IF($E487="In Progress",10,0)+IF(AND($I487&lt;&gt;"",$I487&lt;TODAY()),25,0)+IF(AND($I487&lt;&gt;"",$I487&gt;=TODAY(),$I487&lt;=TODAY()+7),15,0)+IF($H487="",0,IF($M487&lt;=VLOOKUP(Home!$C$7,Lists!$N$2:$O$6,2,FALSE),20,-10))+IF($G487=Home!$E$7,15,IF(Home!$E$7="",0,-5))-ROW()/100000)))</f>
        <v/>
      </c>
      <c r="O487" s="88">
        <f>IF($D487="","",IF($N487&lt;=-500,"Not recommended right now",IF($E487="Waiting","Nothing else actionable right now — Waiting on: "&amp;IF($K487="","this item",$K487),TEXTJOIN(" • ",TRUE,IF($F487="High","High Priority",""),IF(AND($I487&lt;&gt;"",$I487&lt;TODAY()),"Overdue",""),IF(AND($I487&lt;&gt;"",$I487&gt;=TODAY(),$I487&lt;=TODAY()+7),"Due This Week",""),IF(AND($H487&lt;&gt;"",$M487&lt;=VLOOKUP(Home!$C$7,Lists!$N$2:$O$6,2,FALSE)),$H487&amp;" Task",""),IF($G487=Home!$E$7,"Fits Current Energy",""),"No Blockers"))))</f>
        <v/>
      </c>
      <c r="P487" s="88">
        <f>IF($D487="","",SWITCH('Task Finder'!$C$6,"High Priority",AND($F487="High",$E487&lt;&gt;"Done",$E487&lt;&gt;"Archive"),"Due This Week",AND($I487&lt;&gt;"",$I487&gt;=TODAY(),$I487&lt;=TODAY()+7,$E487&lt;&gt;"Done"),"Quick Wins (15 mins or less)",AND($M487&lt;=15,$E487&lt;&gt;"Done",$E487&lt;&gt;"Blocked"),"Deep Thinking",AND($G487="Deep Thinking",$E487&lt;&gt;"Done"),"Processing",AND($G487="Processing",$E487&lt;&gt;"Done"),"Blocked",$E487="Blocked","Waiting",$E487="Waiting","Recently Updated",AND($L487&lt;&gt;"",$L487&gt;=TODAY()-7),"Keyword",AND('Task Finder'!$C$7&lt;&gt;"",OR(ISNUMBER(SEARCH('Task Finder'!$C$7,$A487)),ISNUMBER(SEARCH('Task Finder'!$C$7,$B487)),ISNUMBER(SEARCH('Task Finder'!$C$7,$C487)),ISNUMBER(SEARCH('Task Finder'!$C$7,$D487)),ISNUMBER(SEARCH('Task Finder'!$C$7,$K487)))),TRUE))</f>
        <v/>
      </c>
    </row>
    <row r="488">
      <c r="A488" s="19" t="n"/>
      <c r="B488" s="19" t="n"/>
      <c r="C488" s="19" t="n"/>
      <c r="D488" s="19" t="n"/>
      <c r="E488" s="19" t="n"/>
      <c r="F488" s="19" t="n"/>
      <c r="G488" s="19" t="n"/>
      <c r="H488" s="19" t="n"/>
      <c r="I488" s="19" t="n"/>
      <c r="J488" s="19" t="n"/>
      <c r="K488" s="19" t="n"/>
      <c r="L488" s="125" t="n"/>
      <c r="M488" s="88">
        <f>IF($D488="","",IFERROR(VLOOKUP($H488,Lists!$N$2:$O$6,2,FALSE),0))</f>
        <v/>
      </c>
      <c r="N488" s="88">
        <f>IF($D488="","",IF(OR($E488="Blocked",$E488="Done",$E488="Archive"),-9999,IF(AND($E488="Waiting",SUMPRODUCT((($E$5:$E$500="Next")+($E$5:$E$500="In Progress")+($E$5:$E$500="Captured"))*($D$5:$D$500&lt;&gt;""))&gt;0),-500,VLOOKUP($F488,Lists!$L$2:$M$4,2,FALSE)+IF($E488="In Progress",10,0)+IF(AND($I488&lt;&gt;"",$I488&lt;TODAY()),25,0)+IF(AND($I488&lt;&gt;"",$I488&gt;=TODAY(),$I488&lt;=TODAY()+7),15,0)+IF($H488="",0,IF($M488&lt;=VLOOKUP(Home!$C$7,Lists!$N$2:$O$6,2,FALSE),20,-10))+IF($G488=Home!$E$7,15,IF(Home!$E$7="",0,-5))-ROW()/100000)))</f>
        <v/>
      </c>
      <c r="O488" s="88">
        <f>IF($D488="","",IF($N488&lt;=-500,"Not recommended right now",IF($E488="Waiting","Nothing else actionable right now — Waiting on: "&amp;IF($K488="","this item",$K488),TEXTJOIN(" • ",TRUE,IF($F488="High","High Priority",""),IF(AND($I488&lt;&gt;"",$I488&lt;TODAY()),"Overdue",""),IF(AND($I488&lt;&gt;"",$I488&gt;=TODAY(),$I488&lt;=TODAY()+7),"Due This Week",""),IF(AND($H488&lt;&gt;"",$M488&lt;=VLOOKUP(Home!$C$7,Lists!$N$2:$O$6,2,FALSE)),$H488&amp;" Task",""),IF($G488=Home!$E$7,"Fits Current Energy",""),"No Blockers"))))</f>
        <v/>
      </c>
      <c r="P488" s="88">
        <f>IF($D488="","",SWITCH('Task Finder'!$C$6,"High Priority",AND($F488="High",$E488&lt;&gt;"Done",$E488&lt;&gt;"Archive"),"Due This Week",AND($I488&lt;&gt;"",$I488&gt;=TODAY(),$I488&lt;=TODAY()+7,$E488&lt;&gt;"Done"),"Quick Wins (15 mins or less)",AND($M488&lt;=15,$E488&lt;&gt;"Done",$E488&lt;&gt;"Blocked"),"Deep Thinking",AND($G488="Deep Thinking",$E488&lt;&gt;"Done"),"Processing",AND($G488="Processing",$E488&lt;&gt;"Done"),"Blocked",$E488="Blocked","Waiting",$E488="Waiting","Recently Updated",AND($L488&lt;&gt;"",$L488&gt;=TODAY()-7),"Keyword",AND('Task Finder'!$C$7&lt;&gt;"",OR(ISNUMBER(SEARCH('Task Finder'!$C$7,$A488)),ISNUMBER(SEARCH('Task Finder'!$C$7,$B488)),ISNUMBER(SEARCH('Task Finder'!$C$7,$C488)),ISNUMBER(SEARCH('Task Finder'!$C$7,$D488)),ISNUMBER(SEARCH('Task Finder'!$C$7,$K488)))),TRUE))</f>
        <v/>
      </c>
    </row>
    <row r="489">
      <c r="A489" s="19" t="n"/>
      <c r="B489" s="19" t="n"/>
      <c r="C489" s="19" t="n"/>
      <c r="D489" s="19" t="n"/>
      <c r="E489" s="19" t="n"/>
      <c r="F489" s="19" t="n"/>
      <c r="G489" s="19" t="n"/>
      <c r="H489" s="19" t="n"/>
      <c r="I489" s="19" t="n"/>
      <c r="J489" s="19" t="n"/>
      <c r="K489" s="19" t="n"/>
      <c r="L489" s="125" t="n"/>
      <c r="M489" s="88">
        <f>IF($D489="","",IFERROR(VLOOKUP($H489,Lists!$N$2:$O$6,2,FALSE),0))</f>
        <v/>
      </c>
      <c r="N489" s="88">
        <f>IF($D489="","",IF(OR($E489="Blocked",$E489="Done",$E489="Archive"),-9999,IF(AND($E489="Waiting",SUMPRODUCT((($E$5:$E$500="Next")+($E$5:$E$500="In Progress")+($E$5:$E$500="Captured"))*($D$5:$D$500&lt;&gt;""))&gt;0),-500,VLOOKUP($F489,Lists!$L$2:$M$4,2,FALSE)+IF($E489="In Progress",10,0)+IF(AND($I489&lt;&gt;"",$I489&lt;TODAY()),25,0)+IF(AND($I489&lt;&gt;"",$I489&gt;=TODAY(),$I489&lt;=TODAY()+7),15,0)+IF($H489="",0,IF($M489&lt;=VLOOKUP(Home!$C$7,Lists!$N$2:$O$6,2,FALSE),20,-10))+IF($G489=Home!$E$7,15,IF(Home!$E$7="",0,-5))-ROW()/100000)))</f>
        <v/>
      </c>
      <c r="O489" s="88">
        <f>IF($D489="","",IF($N489&lt;=-500,"Not recommended right now",IF($E489="Waiting","Nothing else actionable right now — Waiting on: "&amp;IF($K489="","this item",$K489),TEXTJOIN(" • ",TRUE,IF($F489="High","High Priority",""),IF(AND($I489&lt;&gt;"",$I489&lt;TODAY()),"Overdue",""),IF(AND($I489&lt;&gt;"",$I489&gt;=TODAY(),$I489&lt;=TODAY()+7),"Due This Week",""),IF(AND($H489&lt;&gt;"",$M489&lt;=VLOOKUP(Home!$C$7,Lists!$N$2:$O$6,2,FALSE)),$H489&amp;" Task",""),IF($G489=Home!$E$7,"Fits Current Energy",""),"No Blockers"))))</f>
        <v/>
      </c>
      <c r="P489" s="88">
        <f>IF($D489="","",SWITCH('Task Finder'!$C$6,"High Priority",AND($F489="High",$E489&lt;&gt;"Done",$E489&lt;&gt;"Archive"),"Due This Week",AND($I489&lt;&gt;"",$I489&gt;=TODAY(),$I489&lt;=TODAY()+7,$E489&lt;&gt;"Done"),"Quick Wins (15 mins or less)",AND($M489&lt;=15,$E489&lt;&gt;"Done",$E489&lt;&gt;"Blocked"),"Deep Thinking",AND($G489="Deep Thinking",$E489&lt;&gt;"Done"),"Processing",AND($G489="Processing",$E489&lt;&gt;"Done"),"Blocked",$E489="Blocked","Waiting",$E489="Waiting","Recently Updated",AND($L489&lt;&gt;"",$L489&gt;=TODAY()-7),"Keyword",AND('Task Finder'!$C$7&lt;&gt;"",OR(ISNUMBER(SEARCH('Task Finder'!$C$7,$A489)),ISNUMBER(SEARCH('Task Finder'!$C$7,$B489)),ISNUMBER(SEARCH('Task Finder'!$C$7,$C489)),ISNUMBER(SEARCH('Task Finder'!$C$7,$D489)),ISNUMBER(SEARCH('Task Finder'!$C$7,$K489)))),TRUE))</f>
        <v/>
      </c>
    </row>
    <row r="490">
      <c r="A490" s="19" t="n"/>
      <c r="B490" s="19" t="n"/>
      <c r="C490" s="19" t="n"/>
      <c r="D490" s="19" t="n"/>
      <c r="E490" s="19" t="n"/>
      <c r="F490" s="19" t="n"/>
      <c r="G490" s="19" t="n"/>
      <c r="H490" s="19" t="n"/>
      <c r="I490" s="19" t="n"/>
      <c r="J490" s="19" t="n"/>
      <c r="K490" s="19" t="n"/>
      <c r="L490" s="125" t="n"/>
      <c r="M490" s="88">
        <f>IF($D490="","",IFERROR(VLOOKUP($H490,Lists!$N$2:$O$6,2,FALSE),0))</f>
        <v/>
      </c>
      <c r="N490" s="88">
        <f>IF($D490="","",IF(OR($E490="Blocked",$E490="Done",$E490="Archive"),-9999,IF(AND($E490="Waiting",SUMPRODUCT((($E$5:$E$500="Next")+($E$5:$E$500="In Progress")+($E$5:$E$500="Captured"))*($D$5:$D$500&lt;&gt;""))&gt;0),-500,VLOOKUP($F490,Lists!$L$2:$M$4,2,FALSE)+IF($E490="In Progress",10,0)+IF(AND($I490&lt;&gt;"",$I490&lt;TODAY()),25,0)+IF(AND($I490&lt;&gt;"",$I490&gt;=TODAY(),$I490&lt;=TODAY()+7),15,0)+IF($H490="",0,IF($M490&lt;=VLOOKUP(Home!$C$7,Lists!$N$2:$O$6,2,FALSE),20,-10))+IF($G490=Home!$E$7,15,IF(Home!$E$7="",0,-5))-ROW()/100000)))</f>
        <v/>
      </c>
      <c r="O490" s="88">
        <f>IF($D490="","",IF($N490&lt;=-500,"Not recommended right now",IF($E490="Waiting","Nothing else actionable right now — Waiting on: "&amp;IF($K490="","this item",$K490),TEXTJOIN(" • ",TRUE,IF($F490="High","High Priority",""),IF(AND($I490&lt;&gt;"",$I490&lt;TODAY()),"Overdue",""),IF(AND($I490&lt;&gt;"",$I490&gt;=TODAY(),$I490&lt;=TODAY()+7),"Due This Week",""),IF(AND($H490&lt;&gt;"",$M490&lt;=VLOOKUP(Home!$C$7,Lists!$N$2:$O$6,2,FALSE)),$H490&amp;" Task",""),IF($G490=Home!$E$7,"Fits Current Energy",""),"No Blockers"))))</f>
        <v/>
      </c>
      <c r="P490" s="88">
        <f>IF($D490="","",SWITCH('Task Finder'!$C$6,"High Priority",AND($F490="High",$E490&lt;&gt;"Done",$E490&lt;&gt;"Archive"),"Due This Week",AND($I490&lt;&gt;"",$I490&gt;=TODAY(),$I490&lt;=TODAY()+7,$E490&lt;&gt;"Done"),"Quick Wins (15 mins or less)",AND($M490&lt;=15,$E490&lt;&gt;"Done",$E490&lt;&gt;"Blocked"),"Deep Thinking",AND($G490="Deep Thinking",$E490&lt;&gt;"Done"),"Processing",AND($G490="Processing",$E490&lt;&gt;"Done"),"Blocked",$E490="Blocked","Waiting",$E490="Waiting","Recently Updated",AND($L490&lt;&gt;"",$L490&gt;=TODAY()-7),"Keyword",AND('Task Finder'!$C$7&lt;&gt;"",OR(ISNUMBER(SEARCH('Task Finder'!$C$7,$A490)),ISNUMBER(SEARCH('Task Finder'!$C$7,$B490)),ISNUMBER(SEARCH('Task Finder'!$C$7,$C490)),ISNUMBER(SEARCH('Task Finder'!$C$7,$D490)),ISNUMBER(SEARCH('Task Finder'!$C$7,$K490)))),TRUE))</f>
        <v/>
      </c>
    </row>
    <row r="491">
      <c r="A491" s="19" t="n"/>
      <c r="B491" s="19" t="n"/>
      <c r="C491" s="19" t="n"/>
      <c r="D491" s="19" t="n"/>
      <c r="E491" s="19" t="n"/>
      <c r="F491" s="19" t="n"/>
      <c r="G491" s="19" t="n"/>
      <c r="H491" s="19" t="n"/>
      <c r="I491" s="19" t="n"/>
      <c r="J491" s="19" t="n"/>
      <c r="K491" s="19" t="n"/>
      <c r="L491" s="125" t="n"/>
      <c r="M491" s="88">
        <f>IF($D491="","",IFERROR(VLOOKUP($H491,Lists!$N$2:$O$6,2,FALSE),0))</f>
        <v/>
      </c>
      <c r="N491" s="88">
        <f>IF($D491="","",IF(OR($E491="Blocked",$E491="Done",$E491="Archive"),-9999,IF(AND($E491="Waiting",SUMPRODUCT((($E$5:$E$500="Next")+($E$5:$E$500="In Progress")+($E$5:$E$500="Captured"))*($D$5:$D$500&lt;&gt;""))&gt;0),-500,VLOOKUP($F491,Lists!$L$2:$M$4,2,FALSE)+IF($E491="In Progress",10,0)+IF(AND($I491&lt;&gt;"",$I491&lt;TODAY()),25,0)+IF(AND($I491&lt;&gt;"",$I491&gt;=TODAY(),$I491&lt;=TODAY()+7),15,0)+IF($H491="",0,IF($M491&lt;=VLOOKUP(Home!$C$7,Lists!$N$2:$O$6,2,FALSE),20,-10))+IF($G491=Home!$E$7,15,IF(Home!$E$7="",0,-5))-ROW()/100000)))</f>
        <v/>
      </c>
      <c r="O491" s="88">
        <f>IF($D491="","",IF($N491&lt;=-500,"Not recommended right now",IF($E491="Waiting","Nothing else actionable right now — Waiting on: "&amp;IF($K491="","this item",$K491),TEXTJOIN(" • ",TRUE,IF($F491="High","High Priority",""),IF(AND($I491&lt;&gt;"",$I491&lt;TODAY()),"Overdue",""),IF(AND($I491&lt;&gt;"",$I491&gt;=TODAY(),$I491&lt;=TODAY()+7),"Due This Week",""),IF(AND($H491&lt;&gt;"",$M491&lt;=VLOOKUP(Home!$C$7,Lists!$N$2:$O$6,2,FALSE)),$H491&amp;" Task",""),IF($G491=Home!$E$7,"Fits Current Energy",""),"No Blockers"))))</f>
        <v/>
      </c>
      <c r="P491" s="88">
        <f>IF($D491="","",SWITCH('Task Finder'!$C$6,"High Priority",AND($F491="High",$E491&lt;&gt;"Done",$E491&lt;&gt;"Archive"),"Due This Week",AND($I491&lt;&gt;"",$I491&gt;=TODAY(),$I491&lt;=TODAY()+7,$E491&lt;&gt;"Done"),"Quick Wins (15 mins or less)",AND($M491&lt;=15,$E491&lt;&gt;"Done",$E491&lt;&gt;"Blocked"),"Deep Thinking",AND($G491="Deep Thinking",$E491&lt;&gt;"Done"),"Processing",AND($G491="Processing",$E491&lt;&gt;"Done"),"Blocked",$E491="Blocked","Waiting",$E491="Waiting","Recently Updated",AND($L491&lt;&gt;"",$L491&gt;=TODAY()-7),"Keyword",AND('Task Finder'!$C$7&lt;&gt;"",OR(ISNUMBER(SEARCH('Task Finder'!$C$7,$A491)),ISNUMBER(SEARCH('Task Finder'!$C$7,$B491)),ISNUMBER(SEARCH('Task Finder'!$C$7,$C491)),ISNUMBER(SEARCH('Task Finder'!$C$7,$D491)),ISNUMBER(SEARCH('Task Finder'!$C$7,$K491)))),TRUE))</f>
        <v/>
      </c>
    </row>
    <row r="492">
      <c r="A492" s="19" t="n"/>
      <c r="B492" s="19" t="n"/>
      <c r="C492" s="19" t="n"/>
      <c r="D492" s="19" t="n"/>
      <c r="E492" s="19" t="n"/>
      <c r="F492" s="19" t="n"/>
      <c r="G492" s="19" t="n"/>
      <c r="H492" s="19" t="n"/>
      <c r="I492" s="19" t="n"/>
      <c r="J492" s="19" t="n"/>
      <c r="K492" s="19" t="n"/>
      <c r="L492" s="125" t="n"/>
      <c r="M492" s="88">
        <f>IF($D492="","",IFERROR(VLOOKUP($H492,Lists!$N$2:$O$6,2,FALSE),0))</f>
        <v/>
      </c>
      <c r="N492" s="88">
        <f>IF($D492="","",IF(OR($E492="Blocked",$E492="Done",$E492="Archive"),-9999,IF(AND($E492="Waiting",SUMPRODUCT((($E$5:$E$500="Next")+($E$5:$E$500="In Progress")+($E$5:$E$500="Captured"))*($D$5:$D$500&lt;&gt;""))&gt;0),-500,VLOOKUP($F492,Lists!$L$2:$M$4,2,FALSE)+IF($E492="In Progress",10,0)+IF(AND($I492&lt;&gt;"",$I492&lt;TODAY()),25,0)+IF(AND($I492&lt;&gt;"",$I492&gt;=TODAY(),$I492&lt;=TODAY()+7),15,0)+IF($H492="",0,IF($M492&lt;=VLOOKUP(Home!$C$7,Lists!$N$2:$O$6,2,FALSE),20,-10))+IF($G492=Home!$E$7,15,IF(Home!$E$7="",0,-5))-ROW()/100000)))</f>
        <v/>
      </c>
      <c r="O492" s="88">
        <f>IF($D492="","",IF($N492&lt;=-500,"Not recommended right now",IF($E492="Waiting","Nothing else actionable right now — Waiting on: "&amp;IF($K492="","this item",$K492),TEXTJOIN(" • ",TRUE,IF($F492="High","High Priority",""),IF(AND($I492&lt;&gt;"",$I492&lt;TODAY()),"Overdue",""),IF(AND($I492&lt;&gt;"",$I492&gt;=TODAY(),$I492&lt;=TODAY()+7),"Due This Week",""),IF(AND($H492&lt;&gt;"",$M492&lt;=VLOOKUP(Home!$C$7,Lists!$N$2:$O$6,2,FALSE)),$H492&amp;" Task",""),IF($G492=Home!$E$7,"Fits Current Energy",""),"No Blockers"))))</f>
        <v/>
      </c>
      <c r="P492" s="88">
        <f>IF($D492="","",SWITCH('Task Finder'!$C$6,"High Priority",AND($F492="High",$E492&lt;&gt;"Done",$E492&lt;&gt;"Archive"),"Due This Week",AND($I492&lt;&gt;"",$I492&gt;=TODAY(),$I492&lt;=TODAY()+7,$E492&lt;&gt;"Done"),"Quick Wins (15 mins or less)",AND($M492&lt;=15,$E492&lt;&gt;"Done",$E492&lt;&gt;"Blocked"),"Deep Thinking",AND($G492="Deep Thinking",$E492&lt;&gt;"Done"),"Processing",AND($G492="Processing",$E492&lt;&gt;"Done"),"Blocked",$E492="Blocked","Waiting",$E492="Waiting","Recently Updated",AND($L492&lt;&gt;"",$L492&gt;=TODAY()-7),"Keyword",AND('Task Finder'!$C$7&lt;&gt;"",OR(ISNUMBER(SEARCH('Task Finder'!$C$7,$A492)),ISNUMBER(SEARCH('Task Finder'!$C$7,$B492)),ISNUMBER(SEARCH('Task Finder'!$C$7,$C492)),ISNUMBER(SEARCH('Task Finder'!$C$7,$D492)),ISNUMBER(SEARCH('Task Finder'!$C$7,$K492)))),TRUE))</f>
        <v/>
      </c>
    </row>
    <row r="493">
      <c r="A493" s="19" t="n"/>
      <c r="B493" s="19" t="n"/>
      <c r="C493" s="19" t="n"/>
      <c r="D493" s="19" t="n"/>
      <c r="E493" s="19" t="n"/>
      <c r="F493" s="19" t="n"/>
      <c r="G493" s="19" t="n"/>
      <c r="H493" s="19" t="n"/>
      <c r="I493" s="19" t="n"/>
      <c r="J493" s="19" t="n"/>
      <c r="K493" s="19" t="n"/>
      <c r="L493" s="125" t="n"/>
      <c r="M493" s="88">
        <f>IF($D493="","",IFERROR(VLOOKUP($H493,Lists!$N$2:$O$6,2,FALSE),0))</f>
        <v/>
      </c>
      <c r="N493" s="88">
        <f>IF($D493="","",IF(OR($E493="Blocked",$E493="Done",$E493="Archive"),-9999,IF(AND($E493="Waiting",SUMPRODUCT((($E$5:$E$500="Next")+($E$5:$E$500="In Progress")+($E$5:$E$500="Captured"))*($D$5:$D$500&lt;&gt;""))&gt;0),-500,VLOOKUP($F493,Lists!$L$2:$M$4,2,FALSE)+IF($E493="In Progress",10,0)+IF(AND($I493&lt;&gt;"",$I493&lt;TODAY()),25,0)+IF(AND($I493&lt;&gt;"",$I493&gt;=TODAY(),$I493&lt;=TODAY()+7),15,0)+IF($H493="",0,IF($M493&lt;=VLOOKUP(Home!$C$7,Lists!$N$2:$O$6,2,FALSE),20,-10))+IF($G493=Home!$E$7,15,IF(Home!$E$7="",0,-5))-ROW()/100000)))</f>
        <v/>
      </c>
      <c r="O493" s="88">
        <f>IF($D493="","",IF($N493&lt;=-500,"Not recommended right now",IF($E493="Waiting","Nothing else actionable right now — Waiting on: "&amp;IF($K493="","this item",$K493),TEXTJOIN(" • ",TRUE,IF($F493="High","High Priority",""),IF(AND($I493&lt;&gt;"",$I493&lt;TODAY()),"Overdue",""),IF(AND($I493&lt;&gt;"",$I493&gt;=TODAY(),$I493&lt;=TODAY()+7),"Due This Week",""),IF(AND($H493&lt;&gt;"",$M493&lt;=VLOOKUP(Home!$C$7,Lists!$N$2:$O$6,2,FALSE)),$H493&amp;" Task",""),IF($G493=Home!$E$7,"Fits Current Energy",""),"No Blockers"))))</f>
        <v/>
      </c>
      <c r="P493" s="88">
        <f>IF($D493="","",SWITCH('Task Finder'!$C$6,"High Priority",AND($F493="High",$E493&lt;&gt;"Done",$E493&lt;&gt;"Archive"),"Due This Week",AND($I493&lt;&gt;"",$I493&gt;=TODAY(),$I493&lt;=TODAY()+7,$E493&lt;&gt;"Done"),"Quick Wins (15 mins or less)",AND($M493&lt;=15,$E493&lt;&gt;"Done",$E493&lt;&gt;"Blocked"),"Deep Thinking",AND($G493="Deep Thinking",$E493&lt;&gt;"Done"),"Processing",AND($G493="Processing",$E493&lt;&gt;"Done"),"Blocked",$E493="Blocked","Waiting",$E493="Waiting","Recently Updated",AND($L493&lt;&gt;"",$L493&gt;=TODAY()-7),"Keyword",AND('Task Finder'!$C$7&lt;&gt;"",OR(ISNUMBER(SEARCH('Task Finder'!$C$7,$A493)),ISNUMBER(SEARCH('Task Finder'!$C$7,$B493)),ISNUMBER(SEARCH('Task Finder'!$C$7,$C493)),ISNUMBER(SEARCH('Task Finder'!$C$7,$D493)),ISNUMBER(SEARCH('Task Finder'!$C$7,$K493)))),TRUE))</f>
        <v/>
      </c>
    </row>
    <row r="494">
      <c r="A494" s="19" t="n"/>
      <c r="B494" s="19" t="n"/>
      <c r="C494" s="19" t="n"/>
      <c r="D494" s="19" t="n"/>
      <c r="E494" s="19" t="n"/>
      <c r="F494" s="19" t="n"/>
      <c r="G494" s="19" t="n"/>
      <c r="H494" s="19" t="n"/>
      <c r="I494" s="19" t="n"/>
      <c r="J494" s="19" t="n"/>
      <c r="K494" s="19" t="n"/>
      <c r="L494" s="125" t="n"/>
      <c r="M494" s="88">
        <f>IF($D494="","",IFERROR(VLOOKUP($H494,Lists!$N$2:$O$6,2,FALSE),0))</f>
        <v/>
      </c>
      <c r="N494" s="88">
        <f>IF($D494="","",IF(OR($E494="Blocked",$E494="Done",$E494="Archive"),-9999,IF(AND($E494="Waiting",SUMPRODUCT((($E$5:$E$500="Next")+($E$5:$E$500="In Progress")+($E$5:$E$500="Captured"))*($D$5:$D$500&lt;&gt;""))&gt;0),-500,VLOOKUP($F494,Lists!$L$2:$M$4,2,FALSE)+IF($E494="In Progress",10,0)+IF(AND($I494&lt;&gt;"",$I494&lt;TODAY()),25,0)+IF(AND($I494&lt;&gt;"",$I494&gt;=TODAY(),$I494&lt;=TODAY()+7),15,0)+IF($H494="",0,IF($M494&lt;=VLOOKUP(Home!$C$7,Lists!$N$2:$O$6,2,FALSE),20,-10))+IF($G494=Home!$E$7,15,IF(Home!$E$7="",0,-5))-ROW()/100000)))</f>
        <v/>
      </c>
      <c r="O494" s="88">
        <f>IF($D494="","",IF($N494&lt;=-500,"Not recommended right now",IF($E494="Waiting","Nothing else actionable right now — Waiting on: "&amp;IF($K494="","this item",$K494),TEXTJOIN(" • ",TRUE,IF($F494="High","High Priority",""),IF(AND($I494&lt;&gt;"",$I494&lt;TODAY()),"Overdue",""),IF(AND($I494&lt;&gt;"",$I494&gt;=TODAY(),$I494&lt;=TODAY()+7),"Due This Week",""),IF(AND($H494&lt;&gt;"",$M494&lt;=VLOOKUP(Home!$C$7,Lists!$N$2:$O$6,2,FALSE)),$H494&amp;" Task",""),IF($G494=Home!$E$7,"Fits Current Energy",""),"No Blockers"))))</f>
        <v/>
      </c>
      <c r="P494" s="88">
        <f>IF($D494="","",SWITCH('Task Finder'!$C$6,"High Priority",AND($F494="High",$E494&lt;&gt;"Done",$E494&lt;&gt;"Archive"),"Due This Week",AND($I494&lt;&gt;"",$I494&gt;=TODAY(),$I494&lt;=TODAY()+7,$E494&lt;&gt;"Done"),"Quick Wins (15 mins or less)",AND($M494&lt;=15,$E494&lt;&gt;"Done",$E494&lt;&gt;"Blocked"),"Deep Thinking",AND($G494="Deep Thinking",$E494&lt;&gt;"Done"),"Processing",AND($G494="Processing",$E494&lt;&gt;"Done"),"Blocked",$E494="Blocked","Waiting",$E494="Waiting","Recently Updated",AND($L494&lt;&gt;"",$L494&gt;=TODAY()-7),"Keyword",AND('Task Finder'!$C$7&lt;&gt;"",OR(ISNUMBER(SEARCH('Task Finder'!$C$7,$A494)),ISNUMBER(SEARCH('Task Finder'!$C$7,$B494)),ISNUMBER(SEARCH('Task Finder'!$C$7,$C494)),ISNUMBER(SEARCH('Task Finder'!$C$7,$D494)),ISNUMBER(SEARCH('Task Finder'!$C$7,$K494)))),TRUE))</f>
        <v/>
      </c>
    </row>
    <row r="495">
      <c r="A495" s="19" t="n"/>
      <c r="B495" s="19" t="n"/>
      <c r="C495" s="19" t="n"/>
      <c r="D495" s="19" t="n"/>
      <c r="E495" s="19" t="n"/>
      <c r="F495" s="19" t="n"/>
      <c r="G495" s="19" t="n"/>
      <c r="H495" s="19" t="n"/>
      <c r="I495" s="19" t="n"/>
      <c r="J495" s="19" t="n"/>
      <c r="K495" s="19" t="n"/>
      <c r="L495" s="125" t="n"/>
      <c r="M495" s="88">
        <f>IF($D495="","",IFERROR(VLOOKUP($H495,Lists!$N$2:$O$6,2,FALSE),0))</f>
        <v/>
      </c>
      <c r="N495" s="88">
        <f>IF($D495="","",IF(OR($E495="Blocked",$E495="Done",$E495="Archive"),-9999,IF(AND($E495="Waiting",SUMPRODUCT((($E$5:$E$500="Next")+($E$5:$E$500="In Progress")+($E$5:$E$500="Captured"))*($D$5:$D$500&lt;&gt;""))&gt;0),-500,VLOOKUP($F495,Lists!$L$2:$M$4,2,FALSE)+IF($E495="In Progress",10,0)+IF(AND($I495&lt;&gt;"",$I495&lt;TODAY()),25,0)+IF(AND($I495&lt;&gt;"",$I495&gt;=TODAY(),$I495&lt;=TODAY()+7),15,0)+IF($H495="",0,IF($M495&lt;=VLOOKUP(Home!$C$7,Lists!$N$2:$O$6,2,FALSE),20,-10))+IF($G495=Home!$E$7,15,IF(Home!$E$7="",0,-5))-ROW()/100000)))</f>
        <v/>
      </c>
      <c r="O495" s="88">
        <f>IF($D495="","",IF($N495&lt;=-500,"Not recommended right now",IF($E495="Waiting","Nothing else actionable right now — Waiting on: "&amp;IF($K495="","this item",$K495),TEXTJOIN(" • ",TRUE,IF($F495="High","High Priority",""),IF(AND($I495&lt;&gt;"",$I495&lt;TODAY()),"Overdue",""),IF(AND($I495&lt;&gt;"",$I495&gt;=TODAY(),$I495&lt;=TODAY()+7),"Due This Week",""),IF(AND($H495&lt;&gt;"",$M495&lt;=VLOOKUP(Home!$C$7,Lists!$N$2:$O$6,2,FALSE)),$H495&amp;" Task",""),IF($G495=Home!$E$7,"Fits Current Energy",""),"No Blockers"))))</f>
        <v/>
      </c>
      <c r="P495" s="88">
        <f>IF($D495="","",SWITCH('Task Finder'!$C$6,"High Priority",AND($F495="High",$E495&lt;&gt;"Done",$E495&lt;&gt;"Archive"),"Due This Week",AND($I495&lt;&gt;"",$I495&gt;=TODAY(),$I495&lt;=TODAY()+7,$E495&lt;&gt;"Done"),"Quick Wins (15 mins or less)",AND($M495&lt;=15,$E495&lt;&gt;"Done",$E495&lt;&gt;"Blocked"),"Deep Thinking",AND($G495="Deep Thinking",$E495&lt;&gt;"Done"),"Processing",AND($G495="Processing",$E495&lt;&gt;"Done"),"Blocked",$E495="Blocked","Waiting",$E495="Waiting","Recently Updated",AND($L495&lt;&gt;"",$L495&gt;=TODAY()-7),"Keyword",AND('Task Finder'!$C$7&lt;&gt;"",OR(ISNUMBER(SEARCH('Task Finder'!$C$7,$A495)),ISNUMBER(SEARCH('Task Finder'!$C$7,$B495)),ISNUMBER(SEARCH('Task Finder'!$C$7,$C495)),ISNUMBER(SEARCH('Task Finder'!$C$7,$D495)),ISNUMBER(SEARCH('Task Finder'!$C$7,$K495)))),TRUE))</f>
        <v/>
      </c>
    </row>
    <row r="496">
      <c r="A496" s="19" t="n"/>
      <c r="B496" s="19" t="n"/>
      <c r="C496" s="19" t="n"/>
      <c r="D496" s="19" t="n"/>
      <c r="E496" s="19" t="n"/>
      <c r="F496" s="19" t="n"/>
      <c r="G496" s="19" t="n"/>
      <c r="H496" s="19" t="n"/>
      <c r="I496" s="19" t="n"/>
      <c r="J496" s="19" t="n"/>
      <c r="K496" s="19" t="n"/>
      <c r="L496" s="125" t="n"/>
      <c r="M496" s="88">
        <f>IF($D496="","",IFERROR(VLOOKUP($H496,Lists!$N$2:$O$6,2,FALSE),0))</f>
        <v/>
      </c>
      <c r="N496" s="88">
        <f>IF($D496="","",IF(OR($E496="Blocked",$E496="Done",$E496="Archive"),-9999,IF(AND($E496="Waiting",SUMPRODUCT((($E$5:$E$500="Next")+($E$5:$E$500="In Progress")+($E$5:$E$500="Captured"))*($D$5:$D$500&lt;&gt;""))&gt;0),-500,VLOOKUP($F496,Lists!$L$2:$M$4,2,FALSE)+IF($E496="In Progress",10,0)+IF(AND($I496&lt;&gt;"",$I496&lt;TODAY()),25,0)+IF(AND($I496&lt;&gt;"",$I496&gt;=TODAY(),$I496&lt;=TODAY()+7),15,0)+IF($H496="",0,IF($M496&lt;=VLOOKUP(Home!$C$7,Lists!$N$2:$O$6,2,FALSE),20,-10))+IF($G496=Home!$E$7,15,IF(Home!$E$7="",0,-5))-ROW()/100000)))</f>
        <v/>
      </c>
      <c r="O496" s="88">
        <f>IF($D496="","",IF($N496&lt;=-500,"Not recommended right now",IF($E496="Waiting","Nothing else actionable right now — Waiting on: "&amp;IF($K496="","this item",$K496),TEXTJOIN(" • ",TRUE,IF($F496="High","High Priority",""),IF(AND($I496&lt;&gt;"",$I496&lt;TODAY()),"Overdue",""),IF(AND($I496&lt;&gt;"",$I496&gt;=TODAY(),$I496&lt;=TODAY()+7),"Due This Week",""),IF(AND($H496&lt;&gt;"",$M496&lt;=VLOOKUP(Home!$C$7,Lists!$N$2:$O$6,2,FALSE)),$H496&amp;" Task",""),IF($G496=Home!$E$7,"Fits Current Energy",""),"No Blockers"))))</f>
        <v/>
      </c>
      <c r="P496" s="88">
        <f>IF($D496="","",SWITCH('Task Finder'!$C$6,"High Priority",AND($F496="High",$E496&lt;&gt;"Done",$E496&lt;&gt;"Archive"),"Due This Week",AND($I496&lt;&gt;"",$I496&gt;=TODAY(),$I496&lt;=TODAY()+7,$E496&lt;&gt;"Done"),"Quick Wins (15 mins or less)",AND($M496&lt;=15,$E496&lt;&gt;"Done",$E496&lt;&gt;"Blocked"),"Deep Thinking",AND($G496="Deep Thinking",$E496&lt;&gt;"Done"),"Processing",AND($G496="Processing",$E496&lt;&gt;"Done"),"Blocked",$E496="Blocked","Waiting",$E496="Waiting","Recently Updated",AND($L496&lt;&gt;"",$L496&gt;=TODAY()-7),"Keyword",AND('Task Finder'!$C$7&lt;&gt;"",OR(ISNUMBER(SEARCH('Task Finder'!$C$7,$A496)),ISNUMBER(SEARCH('Task Finder'!$C$7,$B496)),ISNUMBER(SEARCH('Task Finder'!$C$7,$C496)),ISNUMBER(SEARCH('Task Finder'!$C$7,$D496)),ISNUMBER(SEARCH('Task Finder'!$C$7,$K496)))),TRUE))</f>
        <v/>
      </c>
    </row>
    <row r="497">
      <c r="A497" s="19" t="n"/>
      <c r="B497" s="19" t="n"/>
      <c r="C497" s="19" t="n"/>
      <c r="D497" s="19" t="n"/>
      <c r="E497" s="19" t="n"/>
      <c r="F497" s="19" t="n"/>
      <c r="G497" s="19" t="n"/>
      <c r="H497" s="19" t="n"/>
      <c r="I497" s="19" t="n"/>
      <c r="J497" s="19" t="n"/>
      <c r="K497" s="19" t="n"/>
      <c r="L497" s="125" t="n"/>
      <c r="M497" s="88">
        <f>IF($D497="","",IFERROR(VLOOKUP($H497,Lists!$N$2:$O$6,2,FALSE),0))</f>
        <v/>
      </c>
      <c r="N497" s="88">
        <f>IF($D497="","",IF(OR($E497="Blocked",$E497="Done",$E497="Archive"),-9999,IF(AND($E497="Waiting",SUMPRODUCT((($E$5:$E$500="Next")+($E$5:$E$500="In Progress")+($E$5:$E$500="Captured"))*($D$5:$D$500&lt;&gt;""))&gt;0),-500,VLOOKUP($F497,Lists!$L$2:$M$4,2,FALSE)+IF($E497="In Progress",10,0)+IF(AND($I497&lt;&gt;"",$I497&lt;TODAY()),25,0)+IF(AND($I497&lt;&gt;"",$I497&gt;=TODAY(),$I497&lt;=TODAY()+7),15,0)+IF($H497="",0,IF($M497&lt;=VLOOKUP(Home!$C$7,Lists!$N$2:$O$6,2,FALSE),20,-10))+IF($G497=Home!$E$7,15,IF(Home!$E$7="",0,-5))-ROW()/100000)))</f>
        <v/>
      </c>
      <c r="O497" s="88">
        <f>IF($D497="","",IF($N497&lt;=-500,"Not recommended right now",IF($E497="Waiting","Nothing else actionable right now — Waiting on: "&amp;IF($K497="","this item",$K497),TEXTJOIN(" • ",TRUE,IF($F497="High","High Priority",""),IF(AND($I497&lt;&gt;"",$I497&lt;TODAY()),"Overdue",""),IF(AND($I497&lt;&gt;"",$I497&gt;=TODAY(),$I497&lt;=TODAY()+7),"Due This Week",""),IF(AND($H497&lt;&gt;"",$M497&lt;=VLOOKUP(Home!$C$7,Lists!$N$2:$O$6,2,FALSE)),$H497&amp;" Task",""),IF($G497=Home!$E$7,"Fits Current Energy",""),"No Blockers"))))</f>
        <v/>
      </c>
      <c r="P497" s="88">
        <f>IF($D497="","",SWITCH('Task Finder'!$C$6,"High Priority",AND($F497="High",$E497&lt;&gt;"Done",$E497&lt;&gt;"Archive"),"Due This Week",AND($I497&lt;&gt;"",$I497&gt;=TODAY(),$I497&lt;=TODAY()+7,$E497&lt;&gt;"Done"),"Quick Wins (15 mins or less)",AND($M497&lt;=15,$E497&lt;&gt;"Done",$E497&lt;&gt;"Blocked"),"Deep Thinking",AND($G497="Deep Thinking",$E497&lt;&gt;"Done"),"Processing",AND($G497="Processing",$E497&lt;&gt;"Done"),"Blocked",$E497="Blocked","Waiting",$E497="Waiting","Recently Updated",AND($L497&lt;&gt;"",$L497&gt;=TODAY()-7),"Keyword",AND('Task Finder'!$C$7&lt;&gt;"",OR(ISNUMBER(SEARCH('Task Finder'!$C$7,$A497)),ISNUMBER(SEARCH('Task Finder'!$C$7,$B497)),ISNUMBER(SEARCH('Task Finder'!$C$7,$C497)),ISNUMBER(SEARCH('Task Finder'!$C$7,$D497)),ISNUMBER(SEARCH('Task Finder'!$C$7,$K497)))),TRUE))</f>
        <v/>
      </c>
    </row>
    <row r="498">
      <c r="A498" s="19" t="n"/>
      <c r="B498" s="19" t="n"/>
      <c r="C498" s="19" t="n"/>
      <c r="D498" s="19" t="n"/>
      <c r="E498" s="19" t="n"/>
      <c r="F498" s="19" t="n"/>
      <c r="G498" s="19" t="n"/>
      <c r="H498" s="19" t="n"/>
      <c r="I498" s="19" t="n"/>
      <c r="J498" s="19" t="n"/>
      <c r="K498" s="19" t="n"/>
      <c r="L498" s="125" t="n"/>
      <c r="M498" s="88">
        <f>IF($D498="","",IFERROR(VLOOKUP($H498,Lists!$N$2:$O$6,2,FALSE),0))</f>
        <v/>
      </c>
      <c r="N498" s="88">
        <f>IF($D498="","",IF(OR($E498="Blocked",$E498="Done",$E498="Archive"),-9999,IF(AND($E498="Waiting",SUMPRODUCT((($E$5:$E$500="Next")+($E$5:$E$500="In Progress")+($E$5:$E$500="Captured"))*($D$5:$D$500&lt;&gt;""))&gt;0),-500,VLOOKUP($F498,Lists!$L$2:$M$4,2,FALSE)+IF($E498="In Progress",10,0)+IF(AND($I498&lt;&gt;"",$I498&lt;TODAY()),25,0)+IF(AND($I498&lt;&gt;"",$I498&gt;=TODAY(),$I498&lt;=TODAY()+7),15,0)+IF($H498="",0,IF($M498&lt;=VLOOKUP(Home!$C$7,Lists!$N$2:$O$6,2,FALSE),20,-10))+IF($G498=Home!$E$7,15,IF(Home!$E$7="",0,-5))-ROW()/100000)))</f>
        <v/>
      </c>
      <c r="O498" s="88">
        <f>IF($D498="","",IF($N498&lt;=-500,"Not recommended right now",IF($E498="Waiting","Nothing else actionable right now — Waiting on: "&amp;IF($K498="","this item",$K498),TEXTJOIN(" • ",TRUE,IF($F498="High","High Priority",""),IF(AND($I498&lt;&gt;"",$I498&lt;TODAY()),"Overdue",""),IF(AND($I498&lt;&gt;"",$I498&gt;=TODAY(),$I498&lt;=TODAY()+7),"Due This Week",""),IF(AND($H498&lt;&gt;"",$M498&lt;=VLOOKUP(Home!$C$7,Lists!$N$2:$O$6,2,FALSE)),$H498&amp;" Task",""),IF($G498=Home!$E$7,"Fits Current Energy",""),"No Blockers"))))</f>
        <v/>
      </c>
      <c r="P498" s="88">
        <f>IF($D498="","",SWITCH('Task Finder'!$C$6,"High Priority",AND($F498="High",$E498&lt;&gt;"Done",$E498&lt;&gt;"Archive"),"Due This Week",AND($I498&lt;&gt;"",$I498&gt;=TODAY(),$I498&lt;=TODAY()+7,$E498&lt;&gt;"Done"),"Quick Wins (15 mins or less)",AND($M498&lt;=15,$E498&lt;&gt;"Done",$E498&lt;&gt;"Blocked"),"Deep Thinking",AND($G498="Deep Thinking",$E498&lt;&gt;"Done"),"Processing",AND($G498="Processing",$E498&lt;&gt;"Done"),"Blocked",$E498="Blocked","Waiting",$E498="Waiting","Recently Updated",AND($L498&lt;&gt;"",$L498&gt;=TODAY()-7),"Keyword",AND('Task Finder'!$C$7&lt;&gt;"",OR(ISNUMBER(SEARCH('Task Finder'!$C$7,$A498)),ISNUMBER(SEARCH('Task Finder'!$C$7,$B498)),ISNUMBER(SEARCH('Task Finder'!$C$7,$C498)),ISNUMBER(SEARCH('Task Finder'!$C$7,$D498)),ISNUMBER(SEARCH('Task Finder'!$C$7,$K498)))),TRUE))</f>
        <v/>
      </c>
    </row>
    <row r="499">
      <c r="A499" s="19" t="n"/>
      <c r="B499" s="19" t="n"/>
      <c r="C499" s="19" t="n"/>
      <c r="D499" s="19" t="n"/>
      <c r="E499" s="19" t="n"/>
      <c r="F499" s="19" t="n"/>
      <c r="G499" s="19" t="n"/>
      <c r="H499" s="19" t="n"/>
      <c r="I499" s="19" t="n"/>
      <c r="J499" s="19" t="n"/>
      <c r="K499" s="19" t="n"/>
      <c r="L499" s="125" t="n"/>
      <c r="M499" s="88">
        <f>IF($D499="","",IFERROR(VLOOKUP($H499,Lists!$N$2:$O$6,2,FALSE),0))</f>
        <v/>
      </c>
      <c r="N499" s="88">
        <f>IF($D499="","",IF(OR($E499="Blocked",$E499="Done",$E499="Archive"),-9999,IF(AND($E499="Waiting",SUMPRODUCT((($E$5:$E$500="Next")+($E$5:$E$500="In Progress")+($E$5:$E$500="Captured"))*($D$5:$D$500&lt;&gt;""))&gt;0),-500,VLOOKUP($F499,Lists!$L$2:$M$4,2,FALSE)+IF($E499="In Progress",10,0)+IF(AND($I499&lt;&gt;"",$I499&lt;TODAY()),25,0)+IF(AND($I499&lt;&gt;"",$I499&gt;=TODAY(),$I499&lt;=TODAY()+7),15,0)+IF($H499="",0,IF($M499&lt;=VLOOKUP(Home!$C$7,Lists!$N$2:$O$6,2,FALSE),20,-10))+IF($G499=Home!$E$7,15,IF(Home!$E$7="",0,-5))-ROW()/100000)))</f>
        <v/>
      </c>
      <c r="O499" s="88">
        <f>IF($D499="","",IF($N499&lt;=-500,"Not recommended right now",IF($E499="Waiting","Nothing else actionable right now — Waiting on: "&amp;IF($K499="","this item",$K499),TEXTJOIN(" • ",TRUE,IF($F499="High","High Priority",""),IF(AND($I499&lt;&gt;"",$I499&lt;TODAY()),"Overdue",""),IF(AND($I499&lt;&gt;"",$I499&gt;=TODAY(),$I499&lt;=TODAY()+7),"Due This Week",""),IF(AND($H499&lt;&gt;"",$M499&lt;=VLOOKUP(Home!$C$7,Lists!$N$2:$O$6,2,FALSE)),$H499&amp;" Task",""),IF($G499=Home!$E$7,"Fits Current Energy",""),"No Blockers"))))</f>
        <v/>
      </c>
      <c r="P499" s="88">
        <f>IF($D499="","",SWITCH('Task Finder'!$C$6,"High Priority",AND($F499="High",$E499&lt;&gt;"Done",$E499&lt;&gt;"Archive"),"Due This Week",AND($I499&lt;&gt;"",$I499&gt;=TODAY(),$I499&lt;=TODAY()+7,$E499&lt;&gt;"Done"),"Quick Wins (15 mins or less)",AND($M499&lt;=15,$E499&lt;&gt;"Done",$E499&lt;&gt;"Blocked"),"Deep Thinking",AND($G499="Deep Thinking",$E499&lt;&gt;"Done"),"Processing",AND($G499="Processing",$E499&lt;&gt;"Done"),"Blocked",$E499="Blocked","Waiting",$E499="Waiting","Recently Updated",AND($L499&lt;&gt;"",$L499&gt;=TODAY()-7),"Keyword",AND('Task Finder'!$C$7&lt;&gt;"",OR(ISNUMBER(SEARCH('Task Finder'!$C$7,$A499)),ISNUMBER(SEARCH('Task Finder'!$C$7,$B499)),ISNUMBER(SEARCH('Task Finder'!$C$7,$C499)),ISNUMBER(SEARCH('Task Finder'!$C$7,$D499)),ISNUMBER(SEARCH('Task Finder'!$C$7,$K499)))),TRUE))</f>
        <v/>
      </c>
    </row>
    <row r="500">
      <c r="A500" s="19" t="n"/>
      <c r="B500" s="19" t="n"/>
      <c r="C500" s="19" t="n"/>
      <c r="D500" s="19" t="n"/>
      <c r="E500" s="19" t="n"/>
      <c r="F500" s="19" t="n"/>
      <c r="G500" s="19" t="n"/>
      <c r="H500" s="19" t="n"/>
      <c r="I500" s="19" t="n"/>
      <c r="J500" s="19" t="n"/>
      <c r="K500" s="19" t="n"/>
      <c r="L500" s="125" t="n"/>
      <c r="M500" s="88">
        <f>IF($D500="","",IFERROR(VLOOKUP($H500,Lists!$N$2:$O$6,2,FALSE),0))</f>
        <v/>
      </c>
      <c r="N500" s="88">
        <f>IF($D500="","",IF(OR($E500="Blocked",$E500="Done",$E500="Archive"),-9999,IF(AND($E500="Waiting",SUMPRODUCT((($E$5:$E$500="Next")+($E$5:$E$500="In Progress")+($E$5:$E$500="Captured"))*($D$5:$D$500&lt;&gt;""))&gt;0),-500,VLOOKUP($F500,Lists!$L$2:$M$4,2,FALSE)+IF($E500="In Progress",10,0)+IF(AND($I500&lt;&gt;"",$I500&lt;TODAY()),25,0)+IF(AND($I500&lt;&gt;"",$I500&gt;=TODAY(),$I500&lt;=TODAY()+7),15,0)+IF($H500="",0,IF($M500&lt;=VLOOKUP(Home!$C$7,Lists!$N$2:$O$6,2,FALSE),20,-10))+IF($G500=Home!$E$7,15,IF(Home!$E$7="",0,-5))-ROW()/100000)))</f>
        <v/>
      </c>
      <c r="O500" s="88">
        <f>IF($D500="","",IF($N500&lt;=-500,"Not recommended right now",IF($E500="Waiting","Nothing else actionable right now — Waiting on: "&amp;IF($K500="","this item",$K500),TEXTJOIN(" • ",TRUE,IF($F500="High","High Priority",""),IF(AND($I500&lt;&gt;"",$I500&lt;TODAY()),"Overdue",""),IF(AND($I500&lt;&gt;"",$I500&gt;=TODAY(),$I500&lt;=TODAY()+7),"Due This Week",""),IF(AND($H500&lt;&gt;"",$M500&lt;=VLOOKUP(Home!$C$7,Lists!$N$2:$O$6,2,FALSE)),$H500&amp;" Task",""),IF($G500=Home!$E$7,"Fits Current Energy",""),"No Blockers"))))</f>
        <v/>
      </c>
      <c r="P500" s="88">
        <f>IF($D500="","",SWITCH('Task Finder'!$C$6,"High Priority",AND($F500="High",$E500&lt;&gt;"Done",$E500&lt;&gt;"Archive"),"Due This Week",AND($I500&lt;&gt;"",$I500&gt;=TODAY(),$I500&lt;=TODAY()+7,$E500&lt;&gt;"Done"),"Quick Wins (15 mins or less)",AND($M500&lt;=15,$E500&lt;&gt;"Done",$E500&lt;&gt;"Blocked"),"Deep Thinking",AND($G500="Deep Thinking",$E500&lt;&gt;"Done"),"Processing",AND($G500="Processing",$E500&lt;&gt;"Done"),"Blocked",$E500="Blocked","Waiting",$E500="Waiting","Recently Updated",AND($L500&lt;&gt;"",$L500&gt;=TODAY()-7),"Keyword",AND('Task Finder'!$C$7&lt;&gt;"",OR(ISNUMBER(SEARCH('Task Finder'!$C$7,$A500)),ISNUMBER(SEARCH('Task Finder'!$C$7,$B500)),ISNUMBER(SEARCH('Task Finder'!$C$7,$C500)),ISNUMBER(SEARCH('Task Finder'!$C$7,$D500)),ISNUMBER(SEARCH('Task Finder'!$C$7,$K500)))),TRUE))</f>
        <v/>
      </c>
    </row>
  </sheetData>
  <sheetProtection selectLockedCells="0" selectUnlockedCells="0" sheet="1" objects="0" insertRows="1" insertHyperlinks="1" autoFilter="1" scenarios="0" formatColumns="1" deleteColumns="1" insertColumns="1" pivotTables="1" deleteRows="1" formatCells="1" formatRows="1" sort="1"/>
  <conditionalFormatting sqref="E5:E500">
    <cfRule type="cellIs" priority="1" operator="equal" dxfId="0">
      <formula>"Done"</formula>
    </cfRule>
    <cfRule type="cellIs" priority="2" operator="equal" dxfId="1">
      <formula>"In Progress"</formula>
    </cfRule>
    <cfRule type="cellIs" priority="3" operator="equal" dxfId="2">
      <formula>"Waiting"</formula>
    </cfRule>
    <cfRule type="cellIs" priority="4" operator="equal" dxfId="3">
      <formula>"Blocked"</formula>
    </cfRule>
    <cfRule type="cellIs" priority="5" operator="equal" dxfId="4">
      <formula>"Captured"</formula>
    </cfRule>
  </conditionalFormatting>
  <conditionalFormatting sqref="F5:F500">
    <cfRule type="cellIs" priority="6" operator="equal" dxfId="3">
      <formula>"High"</formula>
    </cfRule>
    <cfRule type="cellIs" priority="7" operator="equal" dxfId="2">
      <formula>"Medium"</formula>
    </cfRule>
    <cfRule type="cellIs" priority="8" operator="equal" dxfId="0">
      <formula>"Low"</formula>
    </cfRule>
  </conditionalFormatting>
  <dataValidations count="4">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E334 E335 E336 E337 E338 E339 E340 E341 E342 E343 E344 E345 E346 E347 E348 E349 E350 E351 E352 E353 E354 E355 E356 E357 E358 E359 E360 E361 E362 E363 E364 E365 E366 E367 E368 E369 E370 E371 E372 E373 E374 E375 E376 E377 E378 E379 E380 E381 E382 E383 E384 E385 E386 E387 E388 E389 E390 E391 E392 E393 E394 E395 E396 E397 E398 E399 E400 E401 E402 E403 E404 E405 E406 E407 E408 E409 E410 E411 E412 E413 E414 E415 E416 E417 E418 E419 E420 E421 E422 E423 E424 E425 E426 E427 E428 E429 E430 E431 E432 E433 E434 E435 E436 E437 E438 E439 E440 E441 E442 E443 E444 E445 E446 E447 E448 E449 E450 E451 E452 E453 E454 E455 E456 E457 E458 E459 E460 E461 E462 E463 E464 E465 E466 E467 E468 E469 E470 E471 E472 E473 E474 E475 E476 E477 E478 E479 E480 E481 E482 E483 E484 E485 E486 E487 E488 E489 E490 E491 E492 E493 E494 E495 E496 E497 E498 E499 E500" showDropDown="0" showInputMessage="0" showErrorMessage="0" allowBlank="1" type="list">
      <formula1>StatusList</formula1>
    </dataValidation>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F305 F306 F307 F308 F309 F310 F311 F312 F313 F314 F315 F316 F317 F318 F319 F320 F321 F322 F323 F324 F325 F326 F327 F328 F329 F330 F331 F332 F333 F334 F335 F336 F337 F338 F339 F340 F341 F342 F343 F344 F345 F346 F347 F348 F349 F350 F351 F352 F353 F354 F355 F356 F357 F358 F359 F360 F361 F362 F363 F364 F365 F366 F367 F368 F369 F370 F371 F372 F373 F374 F375 F376 F377 F378 F379 F380 F381 F382 F383 F384 F385 F386 F387 F388 F389 F390 F391 F392 F393 F394 F395 F396 F397 F398 F399 F400 F401 F402 F403 F404 F405 F406 F407 F408 F409 F410 F411 F412 F413 F414 F415 F416 F417 F418 F419 F420 F421 F422 F423 F424 F425 F426 F427 F428 F429 F430 F431 F432 F433 F434 F435 F436 F437 F438 F439 F440 F441 F442 F443 F444 F445 F446 F447 F448 F449 F450 F451 F452 F453 F454 F455 F456 F457 F458 F459 F460 F461 F462 F463 F464 F465 F466 F467 F468 F469 F470 F471 F472 F473 F474 F475 F476 F477 F478 F479 F480 F481 F482 F483 F484 F485 F486 F487 F488 F489 F490 F491 F492 F493 F494 F495 F496 F497 F498 F499 F500" showDropDown="0" showInputMessage="0" showErrorMessage="0" allowBlank="1" type="list">
      <formula1>PriorityList</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showDropDown="0" showInputMessage="0" showErrorMessage="0" allowBlank="1" type="list">
      <formula1>EnergyList</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showDropDown="0" showInputMessage="0" showErrorMessage="0" allowBlank="1" type="list">
      <formula1>TimeList</formula1>
    </dataValidation>
  </dataValidations>
  <hyperlinks>
    <hyperlink xmlns:r="http://schemas.openxmlformats.org/officeDocument/2006/relationships" ref="A2"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0"/>
  <sheetViews>
    <sheetView showGridLines="0" workbookViewId="0">
      <selection activeCell="A1" sqref="A1"/>
    </sheetView>
  </sheetViews>
  <sheetFormatPr baseColWidth="8" defaultRowHeight="15"/>
  <cols>
    <col width="24" customWidth="1" min="1" max="1"/>
    <col width="10" customWidth="1" min="2" max="2"/>
    <col width="12" customWidth="1" min="3" max="3"/>
    <col width="14" customWidth="1" min="4" max="4"/>
    <col width="8" customWidth="1" min="5" max="5"/>
    <col width="10" customWidth="1" min="6" max="6"/>
    <col width="8" customWidth="1" min="7" max="7"/>
    <col width="10" customWidth="1" min="8" max="8"/>
    <col width="14" customWidth="1" min="9" max="9"/>
    <col width="13" customWidth="1" min="10" max="10"/>
    <col width="12" customWidth="1" min="11" max="11"/>
    <col width="13" customWidth="1" min="12" max="12"/>
    <col width="13" customWidth="1" min="13" max="13"/>
    <col width="26" customWidth="1" min="14" max="14"/>
    <col width="9" customWidth="1" min="15" max="15"/>
    <col width="40" customWidth="1" min="16" max="16"/>
    <col width="10" customWidth="1" min="17" max="17"/>
    <col width="10" customWidth="1" min="18" max="18"/>
    <col width="14" customWidth="1" min="19" max="19"/>
  </cols>
  <sheetData>
    <row r="1">
      <c r="A1" s="10" t="inlineStr">
        <is>
          <t>Missions</t>
        </is>
      </c>
      <c r="N1" s="3" t="inlineStr">
        <is>
          <t>Warning</t>
        </is>
      </c>
      <c r="O1" s="3" t="inlineStr">
        <is>
          <t>Active</t>
        </is>
      </c>
      <c r="P1" s="3" t="inlineStr">
        <is>
          <t>Detail</t>
        </is>
      </c>
      <c r="Q1" s="119" t="inlineStr">
        <is>
          <t>Threshold</t>
        </is>
      </c>
    </row>
    <row r="2" ht="20" customHeight="1">
      <c r="A2" s="11" t="inlineStr">
        <is>
          <t>← Home</t>
        </is>
      </c>
      <c r="N2" s="5" t="inlineStr">
        <is>
          <t>Deep Thinking Overload</t>
        </is>
      </c>
      <c r="O2" s="36">
        <f>IF(Home!$D$30=0,FALSE,Home!$E$25&gt;0.6)</f>
        <v/>
      </c>
      <c r="P2" s="5" t="inlineStr">
        <is>
          <t>More than 60% of active work is Deep Thinking</t>
        </is>
      </c>
    </row>
    <row r="3">
      <c r="A3" s="33" t="inlineStr">
        <is>
          <t>One row per mission. Add a row here whenever you start a new mission — this powers Mission Balance and workload warnings.</t>
        </is>
      </c>
      <c r="N3" s="5" t="inlineStr">
        <is>
          <t>Too Many Blocked Tasks</t>
        </is>
      </c>
      <c r="O3" s="36">
        <f>COUNTIF('Work Register'!$E$5:$E$500,"Blocked")&gt;$Q$3</f>
        <v/>
      </c>
      <c r="P3" s="5">
        <f>"More than "&amp;$Q$3&amp;" tasks are Blocked"</f>
        <v/>
      </c>
      <c r="Q3" s="126" t="n">
        <v>10</v>
      </c>
    </row>
    <row r="4">
      <c r="A4" s="31" t="inlineStr">
        <is>
          <t>Mission</t>
        </is>
      </c>
      <c r="B4" s="31" t="inlineStr">
        <is>
          <t>Priority</t>
        </is>
      </c>
      <c r="C4" s="31" t="inlineStr">
        <is>
          <t>Due Date</t>
        </is>
      </c>
      <c r="D4" s="31" t="inlineStr">
        <is>
          <t>Status</t>
        </is>
      </c>
      <c r="E4" s="31" t="inlineStr">
        <is>
          <t>Open</t>
        </is>
      </c>
      <c r="F4" s="31" t="inlineStr">
        <is>
          <t>In Progress</t>
        </is>
      </c>
      <c r="G4" s="31" t="inlineStr">
        <is>
          <t>Blocked</t>
        </is>
      </c>
      <c r="H4" s="31" t="inlineStr">
        <is>
          <t>Completed</t>
        </is>
      </c>
      <c r="I4" s="31" t="inlineStr">
        <is>
          <t>Est. Remaining Hrs</t>
        </is>
      </c>
      <c r="J4" s="31" t="inlineStr">
        <is>
          <t>Last Activity</t>
        </is>
      </c>
      <c r="K4" s="31" t="inlineStr">
        <is>
          <t>No Next Action</t>
        </is>
      </c>
      <c r="L4" s="31" t="inlineStr">
        <is>
          <t>Inactive 14+ Days</t>
        </is>
      </c>
      <c r="M4" s="86" t="inlineStr">
        <is>
          <t>Duplicate Name</t>
        </is>
      </c>
      <c r="N4" s="5" t="inlineStr">
        <is>
          <t>Mission Missing Next Action</t>
        </is>
      </c>
      <c r="O4" s="36">
        <f>COUNTIF($K$5:$K$20,TRUE)&gt;0</f>
        <v/>
      </c>
      <c r="P4" s="5" t="inlineStr">
        <is>
          <t>A mission has no task with Status = Next</t>
        </is>
      </c>
      <c r="R4" s="137" t="inlineStr">
        <is>
          <t>Waiting</t>
        </is>
      </c>
      <c r="S4" s="137" t="inlineStr">
        <is>
          <t>Only Blocked/Waiting</t>
        </is>
      </c>
    </row>
    <row r="5">
      <c r="A5" s="35" t="inlineStr">
        <is>
          <t>Operational Resilience Framework</t>
        </is>
      </c>
      <c r="B5" s="17" t="inlineStr">
        <is>
          <t>High</t>
        </is>
      </c>
      <c r="C5" s="17" t="inlineStr">
        <is>
          <t>2026-09-15</t>
        </is>
      </c>
      <c r="D5" s="17" t="inlineStr">
        <is>
          <t>In Progress</t>
        </is>
      </c>
      <c r="E5" s="36">
        <f>IF($A5="","",COUNTIFS('Work Register'!$A$5:$A$500,$A5,'Work Register'!$E$5:$E$500,"Captured")+COUNTIFS('Work Register'!$A$5:$A$500,$A5,'Work Register'!$E$5:$E$500,"Next"))</f>
        <v/>
      </c>
      <c r="F5" s="36">
        <f>IF($A5="","",COUNTIFS('Work Register'!$A$5:$A$500,$A5,'Work Register'!$E$5:$E$500,"In Progress"))</f>
        <v/>
      </c>
      <c r="G5" s="36">
        <f>IF($A5="","",COUNTIFS('Work Register'!$A$5:$A$500,$A5,'Work Register'!$E$5:$E$500,"Blocked"))</f>
        <v/>
      </c>
      <c r="H5" s="36">
        <f>IF($A5="","",COUNTIFS('Work Register'!$A$5:$A$500,$A5,'Work Register'!$E$5:$E$500,"Done"))</f>
        <v/>
      </c>
      <c r="I5" s="36">
        <f>IF($A5="","",ROUND(SUMIFS('Work Register'!$M$5:$M$500,'Work Register'!$A$5:$A$500,$A5,'Work Register'!$E$5:$E$500,"&lt;&gt;Done")/60,1))</f>
        <v/>
      </c>
      <c r="J5" s="37">
        <f>IF($A5="","",IFERROR(MAXIFS('Work Register'!$L$5:$L$500,'Work Register'!$A$5:$A$500,$A5),""))</f>
        <v/>
      </c>
      <c r="K5" s="36">
        <f>IF($A5="",FALSE,COUNTIFS('Work Register'!$A$5:$A$500,$A5,'Work Register'!$E$5:$E$500,"Next")=0)</f>
        <v/>
      </c>
      <c r="L5" s="36">
        <f>IF($A5="",FALSE,AND($J5&lt;&gt;"",$J5&lt;TODAY()-14,$D5&lt;&gt;"Done"))</f>
        <v/>
      </c>
      <c r="M5" s="87">
        <f>IF($A5="",FALSE,COUNTIF($A$5:$A$20,$A5)&gt;1)</f>
        <v/>
      </c>
      <c r="N5" s="5" t="inlineStr">
        <is>
          <t>Mission Inactive 14+ Days</t>
        </is>
      </c>
      <c r="O5" s="36">
        <f>COUNTIF($L$5:$L$20,TRUE)&gt;0</f>
        <v/>
      </c>
      <c r="P5" s="5" t="inlineStr">
        <is>
          <t>A mission has had no activity in 14+ days</t>
        </is>
      </c>
      <c r="R5" s="138">
        <f>IF($A5="","",COUNTIFS('Work Register'!$A$5:$A$500,$A5,'Work Register'!$E$5:$E$500,"Waiting"))</f>
        <v/>
      </c>
      <c r="S5" s="138">
        <f>IF($A5="",FALSE,AND($E5=0,$F5=0,$H5=0,OR($G5&gt;0,$R5&gt;0)))</f>
        <v/>
      </c>
    </row>
    <row r="6">
      <c r="A6" s="35" t="inlineStr">
        <is>
          <t>Client Onboarding Playbook</t>
        </is>
      </c>
      <c r="B6" s="17" t="inlineStr">
        <is>
          <t>High</t>
        </is>
      </c>
      <c r="C6" s="17" t="inlineStr">
        <is>
          <t>2026-08-20</t>
        </is>
      </c>
      <c r="D6" s="17" t="inlineStr">
        <is>
          <t>In Progress</t>
        </is>
      </c>
      <c r="E6" s="36">
        <f>IF($A6="","",COUNTIFS('Work Register'!$A$5:$A$500,$A6,'Work Register'!$E$5:$E$500,"Captured")+COUNTIFS('Work Register'!$A$5:$A$500,$A6,'Work Register'!$E$5:$E$500,"Next"))</f>
        <v/>
      </c>
      <c r="F6" s="36">
        <f>IF($A6="","",COUNTIFS('Work Register'!$A$5:$A$500,$A6,'Work Register'!$E$5:$E$500,"In Progress"))</f>
        <v/>
      </c>
      <c r="G6" s="36">
        <f>IF($A6="","",COUNTIFS('Work Register'!$A$5:$A$500,$A6,'Work Register'!$E$5:$E$500,"Blocked"))</f>
        <v/>
      </c>
      <c r="H6" s="36">
        <f>IF($A6="","",COUNTIFS('Work Register'!$A$5:$A$500,$A6,'Work Register'!$E$5:$E$500,"Done"))</f>
        <v/>
      </c>
      <c r="I6" s="36">
        <f>IF($A6="","",ROUND(SUMIFS('Work Register'!$M$5:$M$500,'Work Register'!$A$5:$A$500,$A6,'Work Register'!$E$5:$E$500,"&lt;&gt;Done")/60,1))</f>
        <v/>
      </c>
      <c r="J6" s="37">
        <f>IF($A6="","",IFERROR(MAXIFS('Work Register'!$L$5:$L$500,'Work Register'!$A$5:$A$500,$A6),""))</f>
        <v/>
      </c>
      <c r="K6" s="36">
        <f>IF($A6="",FALSE,COUNTIFS('Work Register'!$A$5:$A$500,$A6,'Work Register'!$E$5:$E$500,"Next")=0)</f>
        <v/>
      </c>
      <c r="L6" s="36">
        <f>IF($A6="",FALSE,AND($J6&lt;&gt;"",$J6&lt;TODAY()-14,$D6&lt;&gt;"Done"))</f>
        <v/>
      </c>
      <c r="M6" s="87">
        <f>IF($A6="",FALSE,COUNTIF($A$5:$A$20,$A6)&gt;1)</f>
        <v/>
      </c>
      <c r="N6" s="5" t="inlineStr">
        <is>
          <t>Overdue Tasks</t>
        </is>
      </c>
      <c r="O6" s="36">
        <f>COUNTIFS('Work Register'!$I$5:$I$500,"&lt;&gt;",'Work Register'!$I$5:$I$500,"&lt;"&amp;TODAY(),'Work Register'!$E$5:$E$500,"&lt;&gt;Done")&gt;0</f>
        <v/>
      </c>
      <c r="P6" s="5" t="inlineStr">
        <is>
          <t>One or more tasks are past their Due Date</t>
        </is>
      </c>
      <c r="R6" s="138">
        <f>IF($A6="","",COUNTIFS('Work Register'!$A$5:$A$500,$A6,'Work Register'!$E$5:$E$500,"Waiting"))</f>
        <v/>
      </c>
      <c r="S6" s="138">
        <f>IF($A6="",FALSE,AND($E6=0,$F6=0,$H6=0,OR($G6&gt;0,$R6&gt;0)))</f>
        <v/>
      </c>
    </row>
    <row r="7">
      <c r="A7" s="35" t="n"/>
      <c r="B7" s="17" t="n"/>
      <c r="C7" s="17" t="n"/>
      <c r="D7" s="17" t="n"/>
      <c r="E7" s="36">
        <f>IF($A7="","",COUNTIFS('Work Register'!$A$5:$A$500,$A7,'Work Register'!$E$5:$E$500,"Captured")+COUNTIFS('Work Register'!$A$5:$A$500,$A7,'Work Register'!$E$5:$E$500,"Next"))</f>
        <v/>
      </c>
      <c r="F7" s="36">
        <f>IF($A7="","",COUNTIFS('Work Register'!$A$5:$A$500,$A7,'Work Register'!$E$5:$E$500,"In Progress"))</f>
        <v/>
      </c>
      <c r="G7" s="36">
        <f>IF($A7="","",COUNTIFS('Work Register'!$A$5:$A$500,$A7,'Work Register'!$E$5:$E$500,"Blocked"))</f>
        <v/>
      </c>
      <c r="H7" s="36">
        <f>IF($A7="","",COUNTIFS('Work Register'!$A$5:$A$500,$A7,'Work Register'!$E$5:$E$500,"Done"))</f>
        <v/>
      </c>
      <c r="I7" s="36">
        <f>IF($A7="","",ROUND(SUMIFS('Work Register'!$M$5:$M$500,'Work Register'!$A$5:$A$500,$A7,'Work Register'!$E$5:$E$500,"&lt;&gt;Done")/60,1))</f>
        <v/>
      </c>
      <c r="J7" s="37">
        <f>IF($A7="","",IFERROR(MAXIFS('Work Register'!$L$5:$L$500,'Work Register'!$A$5:$A$500,$A7),""))</f>
        <v/>
      </c>
      <c r="K7" s="36">
        <f>IF($A7="",FALSE,COUNTIFS('Work Register'!$A$5:$A$500,$A7,'Work Register'!$E$5:$E$500,"Next")=0)</f>
        <v/>
      </c>
      <c r="L7" s="36">
        <f>IF($A7="",FALSE,AND($J7&lt;&gt;"",$J7&lt;TODAY()-14,$D7&lt;&gt;"Done"))</f>
        <v/>
      </c>
      <c r="M7" s="87">
        <f>IF($A7="",FALSE,COUNTIF($A$5:$A$20,$A7)&gt;1)</f>
        <v/>
      </c>
      <c r="N7" s="5" t="inlineStr">
        <is>
          <t>Too Many High Priority</t>
        </is>
      </c>
      <c r="O7" s="36">
        <f>COUNTIFS('Work Register'!$F$5:$F$500,"High",'Work Register'!$E$5:$E$500,"&lt;&gt;Done")&gt;$Q$7</f>
        <v/>
      </c>
      <c r="P7" s="5">
        <f>"More than "&amp;$Q$7&amp;" active tasks are High Priority"</f>
        <v/>
      </c>
      <c r="Q7" s="126" t="n">
        <v>5</v>
      </c>
      <c r="R7" s="138">
        <f>IF($A7="","",COUNTIFS('Work Register'!$A$5:$A$500,$A7,'Work Register'!$E$5:$E$500,"Waiting"))</f>
        <v/>
      </c>
      <c r="S7" s="138">
        <f>IF($A7="",FALSE,AND($E7=0,$F7=0,$H7=0,OR($G7&gt;0,$R7&gt;0)))</f>
        <v/>
      </c>
    </row>
    <row r="8">
      <c r="A8" s="35" t="n"/>
      <c r="B8" s="17" t="n"/>
      <c r="C8" s="17" t="n"/>
      <c r="D8" s="17" t="n"/>
      <c r="E8" s="36">
        <f>IF($A8="","",COUNTIFS('Work Register'!$A$5:$A$500,$A8,'Work Register'!$E$5:$E$500,"Captured")+COUNTIFS('Work Register'!$A$5:$A$500,$A8,'Work Register'!$E$5:$E$500,"Next"))</f>
        <v/>
      </c>
      <c r="F8" s="36">
        <f>IF($A8="","",COUNTIFS('Work Register'!$A$5:$A$500,$A8,'Work Register'!$E$5:$E$500,"In Progress"))</f>
        <v/>
      </c>
      <c r="G8" s="36">
        <f>IF($A8="","",COUNTIFS('Work Register'!$A$5:$A$500,$A8,'Work Register'!$E$5:$E$500,"Blocked"))</f>
        <v/>
      </c>
      <c r="H8" s="36">
        <f>IF($A8="","",COUNTIFS('Work Register'!$A$5:$A$500,$A8,'Work Register'!$E$5:$E$500,"Done"))</f>
        <v/>
      </c>
      <c r="I8" s="36">
        <f>IF($A8="","",ROUND(SUMIFS('Work Register'!$M$5:$M$500,'Work Register'!$A$5:$A$500,$A8,'Work Register'!$E$5:$E$500,"&lt;&gt;Done")/60,1))</f>
        <v/>
      </c>
      <c r="J8" s="37">
        <f>IF($A8="","",IFERROR(MAXIFS('Work Register'!$L$5:$L$500,'Work Register'!$A$5:$A$500,$A8),""))</f>
        <v/>
      </c>
      <c r="K8" s="36">
        <f>IF($A8="",FALSE,COUNTIFS('Work Register'!$A$5:$A$500,$A8,'Work Register'!$E$5:$E$500,"Next")=0)</f>
        <v/>
      </c>
      <c r="L8" s="36">
        <f>IF($A8="",FALSE,AND($J8&lt;&gt;"",$J8&lt;TODAY()-14,$D8&lt;&gt;"Done"))</f>
        <v/>
      </c>
      <c r="M8" s="87">
        <f>IF($A8="",FALSE,COUNTIF($A$5:$A$20,$A8)&gt;1)</f>
        <v/>
      </c>
      <c r="N8" s="88" t="inlineStr">
        <is>
          <t>Duplicate Mission Name</t>
        </is>
      </c>
      <c r="O8" s="87">
        <f>COUNTIF($M$5:$M$20,TRUE)&gt;0</f>
        <v/>
      </c>
      <c r="P8" s="88" t="inlineStr">
        <is>
          <t>Two missions share the same name — task counts will double up between them</t>
        </is>
      </c>
      <c r="R8" s="138">
        <f>IF($A8="","",COUNTIFS('Work Register'!$A$5:$A$500,$A8,'Work Register'!$E$5:$E$500,"Waiting"))</f>
        <v/>
      </c>
      <c r="S8" s="138">
        <f>IF($A8="",FALSE,AND($E8=0,$F8=0,$H8=0,OR($G8&gt;0,$R8&gt;0)))</f>
        <v/>
      </c>
    </row>
    <row r="9">
      <c r="A9" s="35" t="n"/>
      <c r="B9" s="17" t="n"/>
      <c r="C9" s="17" t="n"/>
      <c r="D9" s="17" t="n"/>
      <c r="E9" s="36">
        <f>IF($A9="","",COUNTIFS('Work Register'!$A$5:$A$500,$A9,'Work Register'!$E$5:$E$500,"Captured")+COUNTIFS('Work Register'!$A$5:$A$500,$A9,'Work Register'!$E$5:$E$500,"Next"))</f>
        <v/>
      </c>
      <c r="F9" s="36">
        <f>IF($A9="","",COUNTIFS('Work Register'!$A$5:$A$500,$A9,'Work Register'!$E$5:$E$500,"In Progress"))</f>
        <v/>
      </c>
      <c r="G9" s="36">
        <f>IF($A9="","",COUNTIFS('Work Register'!$A$5:$A$500,$A9,'Work Register'!$E$5:$E$500,"Blocked"))</f>
        <v/>
      </c>
      <c r="H9" s="36">
        <f>IF($A9="","",COUNTIFS('Work Register'!$A$5:$A$500,$A9,'Work Register'!$E$5:$E$500,"Done"))</f>
        <v/>
      </c>
      <c r="I9" s="36">
        <f>IF($A9="","",ROUND(SUMIFS('Work Register'!$M$5:$M$500,'Work Register'!$A$5:$A$500,$A9,'Work Register'!$E$5:$E$500,"&lt;&gt;Done")/60,1))</f>
        <v/>
      </c>
      <c r="J9" s="37">
        <f>IF($A9="","",IFERROR(MAXIFS('Work Register'!$L$5:$L$500,'Work Register'!$A$5:$A$500,$A9),""))</f>
        <v/>
      </c>
      <c r="K9" s="36">
        <f>IF($A9="",FALSE,COUNTIFS('Work Register'!$A$5:$A$500,$A9,'Work Register'!$E$5:$E$500,"Next")=0)</f>
        <v/>
      </c>
      <c r="L9" s="36">
        <f>IF($A9="",FALSE,AND($J9&lt;&gt;"",$J9&lt;TODAY()-14,$D9&lt;&gt;"Done"))</f>
        <v/>
      </c>
      <c r="M9" s="87">
        <f>IF($A9="",FALSE,COUNTIF($A$5:$A$20,$A9)&gt;1)</f>
        <v/>
      </c>
      <c r="N9" s="130" t="inlineStr">
        <is>
          <t>Mission Has Only Blocked/Waiting Work</t>
        </is>
      </c>
      <c r="O9" s="138">
        <f>COUNTIF($S$5:$S$20,TRUE)&gt;0</f>
        <v/>
      </c>
      <c r="P9" s="130" t="inlineStr">
        <is>
          <t>A mission has tasks, but none are actionable — only Blocked or Waiting</t>
        </is>
      </c>
      <c r="R9" s="138">
        <f>IF($A9="","",COUNTIFS('Work Register'!$A$5:$A$500,$A9,'Work Register'!$E$5:$E$500,"Waiting"))</f>
        <v/>
      </c>
      <c r="S9" s="138">
        <f>IF($A9="",FALSE,AND($E9=0,$F9=0,$H9=0,OR($G9&gt;0,$R9&gt;0)))</f>
        <v/>
      </c>
    </row>
    <row r="10">
      <c r="A10" s="35" t="n"/>
      <c r="B10" s="17" t="n"/>
      <c r="C10" s="17" t="n"/>
      <c r="D10" s="17" t="n"/>
      <c r="E10" s="36">
        <f>IF($A10="","",COUNTIFS('Work Register'!$A$5:$A$500,$A10,'Work Register'!$E$5:$E$500,"Captured")+COUNTIFS('Work Register'!$A$5:$A$500,$A10,'Work Register'!$E$5:$E$500,"Next"))</f>
        <v/>
      </c>
      <c r="F10" s="36">
        <f>IF($A10="","",COUNTIFS('Work Register'!$A$5:$A$500,$A10,'Work Register'!$E$5:$E$500,"In Progress"))</f>
        <v/>
      </c>
      <c r="G10" s="36">
        <f>IF($A10="","",COUNTIFS('Work Register'!$A$5:$A$500,$A10,'Work Register'!$E$5:$E$500,"Blocked"))</f>
        <v/>
      </c>
      <c r="H10" s="36">
        <f>IF($A10="","",COUNTIFS('Work Register'!$A$5:$A$500,$A10,'Work Register'!$E$5:$E$500,"Done"))</f>
        <v/>
      </c>
      <c r="I10" s="36">
        <f>IF($A10="","",ROUND(SUMIFS('Work Register'!$M$5:$M$500,'Work Register'!$A$5:$A$500,$A10,'Work Register'!$E$5:$E$500,"&lt;&gt;Done")/60,1))</f>
        <v/>
      </c>
      <c r="J10" s="37">
        <f>IF($A10="","",IFERROR(MAXIFS('Work Register'!$L$5:$L$500,'Work Register'!$A$5:$A$500,$A10),""))</f>
        <v/>
      </c>
      <c r="K10" s="36">
        <f>IF($A10="",FALSE,COUNTIFS('Work Register'!$A$5:$A$500,$A10,'Work Register'!$E$5:$E$500,"Next")=0)</f>
        <v/>
      </c>
      <c r="L10" s="36">
        <f>IF($A10="",FALSE,AND($J10&lt;&gt;"",$J10&lt;TODAY()-14,$D10&lt;&gt;"Done"))</f>
        <v/>
      </c>
      <c r="M10" s="87">
        <f>IF($A10="",FALSE,COUNTIF($A$5:$A$20,$A10)&gt;1)</f>
        <v/>
      </c>
      <c r="R10" s="138">
        <f>IF($A10="","",COUNTIFS('Work Register'!$A$5:$A$500,$A10,'Work Register'!$E$5:$E$500,"Waiting"))</f>
        <v/>
      </c>
      <c r="S10" s="138">
        <f>IF($A10="",FALSE,AND($E10=0,$F10=0,$H10=0,OR($G10&gt;0,$R10&gt;0)))</f>
        <v/>
      </c>
    </row>
    <row r="11">
      <c r="A11" s="35" t="n"/>
      <c r="B11" s="17" t="n"/>
      <c r="C11" s="17" t="n"/>
      <c r="D11" s="17" t="n"/>
      <c r="E11" s="36">
        <f>IF($A11="","",COUNTIFS('Work Register'!$A$5:$A$500,$A11,'Work Register'!$E$5:$E$500,"Captured")+COUNTIFS('Work Register'!$A$5:$A$500,$A11,'Work Register'!$E$5:$E$500,"Next"))</f>
        <v/>
      </c>
      <c r="F11" s="36">
        <f>IF($A11="","",COUNTIFS('Work Register'!$A$5:$A$500,$A11,'Work Register'!$E$5:$E$500,"In Progress"))</f>
        <v/>
      </c>
      <c r="G11" s="36">
        <f>IF($A11="","",COUNTIFS('Work Register'!$A$5:$A$500,$A11,'Work Register'!$E$5:$E$500,"Blocked"))</f>
        <v/>
      </c>
      <c r="H11" s="36">
        <f>IF($A11="","",COUNTIFS('Work Register'!$A$5:$A$500,$A11,'Work Register'!$E$5:$E$500,"Done"))</f>
        <v/>
      </c>
      <c r="I11" s="36">
        <f>IF($A11="","",ROUND(SUMIFS('Work Register'!$M$5:$M$500,'Work Register'!$A$5:$A$500,$A11,'Work Register'!$E$5:$E$500,"&lt;&gt;Done")/60,1))</f>
        <v/>
      </c>
      <c r="J11" s="37">
        <f>IF($A11="","",IFERROR(MAXIFS('Work Register'!$L$5:$L$500,'Work Register'!$A$5:$A$500,$A11),""))</f>
        <v/>
      </c>
      <c r="K11" s="36">
        <f>IF($A11="",FALSE,COUNTIFS('Work Register'!$A$5:$A$500,$A11,'Work Register'!$E$5:$E$500,"Next")=0)</f>
        <v/>
      </c>
      <c r="L11" s="36">
        <f>IF($A11="",FALSE,AND($J11&lt;&gt;"",$J11&lt;TODAY()-14,$D11&lt;&gt;"Done"))</f>
        <v/>
      </c>
      <c r="M11" s="87">
        <f>IF($A11="",FALSE,COUNTIF($A$5:$A$20,$A11)&gt;1)</f>
        <v/>
      </c>
      <c r="R11" s="138">
        <f>IF($A11="","",COUNTIFS('Work Register'!$A$5:$A$500,$A11,'Work Register'!$E$5:$E$500,"Waiting"))</f>
        <v/>
      </c>
      <c r="S11" s="138">
        <f>IF($A11="",FALSE,AND($E11=0,$F11=0,$H11=0,OR($G11&gt;0,$R11&gt;0)))</f>
        <v/>
      </c>
    </row>
    <row r="12">
      <c r="A12" s="35" t="n"/>
      <c r="B12" s="17" t="n"/>
      <c r="C12" s="17" t="n"/>
      <c r="D12" s="17" t="n"/>
      <c r="E12" s="36">
        <f>IF($A12="","",COUNTIFS('Work Register'!$A$5:$A$500,$A12,'Work Register'!$E$5:$E$500,"Captured")+COUNTIFS('Work Register'!$A$5:$A$500,$A12,'Work Register'!$E$5:$E$500,"Next"))</f>
        <v/>
      </c>
      <c r="F12" s="36">
        <f>IF($A12="","",COUNTIFS('Work Register'!$A$5:$A$500,$A12,'Work Register'!$E$5:$E$500,"In Progress"))</f>
        <v/>
      </c>
      <c r="G12" s="36">
        <f>IF($A12="","",COUNTIFS('Work Register'!$A$5:$A$500,$A12,'Work Register'!$E$5:$E$500,"Blocked"))</f>
        <v/>
      </c>
      <c r="H12" s="36">
        <f>IF($A12="","",COUNTIFS('Work Register'!$A$5:$A$500,$A12,'Work Register'!$E$5:$E$500,"Done"))</f>
        <v/>
      </c>
      <c r="I12" s="36">
        <f>IF($A12="","",ROUND(SUMIFS('Work Register'!$M$5:$M$500,'Work Register'!$A$5:$A$500,$A12,'Work Register'!$E$5:$E$500,"&lt;&gt;Done")/60,1))</f>
        <v/>
      </c>
      <c r="J12" s="37">
        <f>IF($A12="","",IFERROR(MAXIFS('Work Register'!$L$5:$L$500,'Work Register'!$A$5:$A$500,$A12),""))</f>
        <v/>
      </c>
      <c r="K12" s="36">
        <f>IF($A12="",FALSE,COUNTIFS('Work Register'!$A$5:$A$500,$A12,'Work Register'!$E$5:$E$500,"Next")=0)</f>
        <v/>
      </c>
      <c r="L12" s="36">
        <f>IF($A12="",FALSE,AND($J12&lt;&gt;"",$J12&lt;TODAY()-14,$D12&lt;&gt;"Done"))</f>
        <v/>
      </c>
      <c r="M12" s="87">
        <f>IF($A12="",FALSE,COUNTIF($A$5:$A$20,$A12)&gt;1)</f>
        <v/>
      </c>
      <c r="R12" s="138">
        <f>IF($A12="","",COUNTIFS('Work Register'!$A$5:$A$500,$A12,'Work Register'!$E$5:$E$500,"Waiting"))</f>
        <v/>
      </c>
      <c r="S12" s="138">
        <f>IF($A12="",FALSE,AND($E12=0,$F12=0,$H12=0,OR($G12&gt;0,$R12&gt;0)))</f>
        <v/>
      </c>
    </row>
    <row r="13">
      <c r="A13" s="35" t="n"/>
      <c r="B13" s="17" t="n"/>
      <c r="C13" s="17" t="n"/>
      <c r="D13" s="17" t="n"/>
      <c r="E13" s="36">
        <f>IF($A13="","",COUNTIFS('Work Register'!$A$5:$A$500,$A13,'Work Register'!$E$5:$E$500,"Captured")+COUNTIFS('Work Register'!$A$5:$A$500,$A13,'Work Register'!$E$5:$E$500,"Next"))</f>
        <v/>
      </c>
      <c r="F13" s="36">
        <f>IF($A13="","",COUNTIFS('Work Register'!$A$5:$A$500,$A13,'Work Register'!$E$5:$E$500,"In Progress"))</f>
        <v/>
      </c>
      <c r="G13" s="36">
        <f>IF($A13="","",COUNTIFS('Work Register'!$A$5:$A$500,$A13,'Work Register'!$E$5:$E$500,"Blocked"))</f>
        <v/>
      </c>
      <c r="H13" s="36">
        <f>IF($A13="","",COUNTIFS('Work Register'!$A$5:$A$500,$A13,'Work Register'!$E$5:$E$500,"Done"))</f>
        <v/>
      </c>
      <c r="I13" s="36">
        <f>IF($A13="","",ROUND(SUMIFS('Work Register'!$M$5:$M$500,'Work Register'!$A$5:$A$500,$A13,'Work Register'!$E$5:$E$500,"&lt;&gt;Done")/60,1))</f>
        <v/>
      </c>
      <c r="J13" s="37">
        <f>IF($A13="","",IFERROR(MAXIFS('Work Register'!$L$5:$L$500,'Work Register'!$A$5:$A$500,$A13),""))</f>
        <v/>
      </c>
      <c r="K13" s="36">
        <f>IF($A13="",FALSE,COUNTIFS('Work Register'!$A$5:$A$500,$A13,'Work Register'!$E$5:$E$500,"Next")=0)</f>
        <v/>
      </c>
      <c r="L13" s="36">
        <f>IF($A13="",FALSE,AND($J13&lt;&gt;"",$J13&lt;TODAY()-14,$D13&lt;&gt;"Done"))</f>
        <v/>
      </c>
      <c r="M13" s="87">
        <f>IF($A13="",FALSE,COUNTIF($A$5:$A$20,$A13)&gt;1)</f>
        <v/>
      </c>
      <c r="R13" s="138">
        <f>IF($A13="","",COUNTIFS('Work Register'!$A$5:$A$500,$A13,'Work Register'!$E$5:$E$500,"Waiting"))</f>
        <v/>
      </c>
      <c r="S13" s="138">
        <f>IF($A13="",FALSE,AND($E13=0,$F13=0,$H13=0,OR($G13&gt;0,$R13&gt;0)))</f>
        <v/>
      </c>
    </row>
    <row r="14">
      <c r="A14" s="35" t="n"/>
      <c r="B14" s="17" t="n"/>
      <c r="C14" s="17" t="n"/>
      <c r="D14" s="17" t="n"/>
      <c r="E14" s="36">
        <f>IF($A14="","",COUNTIFS('Work Register'!$A$5:$A$500,$A14,'Work Register'!$E$5:$E$500,"Captured")+COUNTIFS('Work Register'!$A$5:$A$500,$A14,'Work Register'!$E$5:$E$500,"Next"))</f>
        <v/>
      </c>
      <c r="F14" s="36">
        <f>IF($A14="","",COUNTIFS('Work Register'!$A$5:$A$500,$A14,'Work Register'!$E$5:$E$500,"In Progress"))</f>
        <v/>
      </c>
      <c r="G14" s="36">
        <f>IF($A14="","",COUNTIFS('Work Register'!$A$5:$A$500,$A14,'Work Register'!$E$5:$E$500,"Blocked"))</f>
        <v/>
      </c>
      <c r="H14" s="36">
        <f>IF($A14="","",COUNTIFS('Work Register'!$A$5:$A$500,$A14,'Work Register'!$E$5:$E$500,"Done"))</f>
        <v/>
      </c>
      <c r="I14" s="36">
        <f>IF($A14="","",ROUND(SUMIFS('Work Register'!$M$5:$M$500,'Work Register'!$A$5:$A$500,$A14,'Work Register'!$E$5:$E$500,"&lt;&gt;Done")/60,1))</f>
        <v/>
      </c>
      <c r="J14" s="37">
        <f>IF($A14="","",IFERROR(MAXIFS('Work Register'!$L$5:$L$500,'Work Register'!$A$5:$A$500,$A14),""))</f>
        <v/>
      </c>
      <c r="K14" s="36">
        <f>IF($A14="",FALSE,COUNTIFS('Work Register'!$A$5:$A$500,$A14,'Work Register'!$E$5:$E$500,"Next")=0)</f>
        <v/>
      </c>
      <c r="L14" s="36">
        <f>IF($A14="",FALSE,AND($J14&lt;&gt;"",$J14&lt;TODAY()-14,$D14&lt;&gt;"Done"))</f>
        <v/>
      </c>
      <c r="M14" s="87">
        <f>IF($A14="",FALSE,COUNTIF($A$5:$A$20,$A14)&gt;1)</f>
        <v/>
      </c>
      <c r="R14" s="138">
        <f>IF($A14="","",COUNTIFS('Work Register'!$A$5:$A$500,$A14,'Work Register'!$E$5:$E$500,"Waiting"))</f>
        <v/>
      </c>
      <c r="S14" s="138">
        <f>IF($A14="",FALSE,AND($E14=0,$F14=0,$H14=0,OR($G14&gt;0,$R14&gt;0)))</f>
        <v/>
      </c>
    </row>
    <row r="15">
      <c r="A15" s="35" t="n"/>
      <c r="B15" s="17" t="n"/>
      <c r="C15" s="17" t="n"/>
      <c r="D15" s="17" t="n"/>
      <c r="E15" s="36">
        <f>IF($A15="","",COUNTIFS('Work Register'!$A$5:$A$500,$A15,'Work Register'!$E$5:$E$500,"Captured")+COUNTIFS('Work Register'!$A$5:$A$500,$A15,'Work Register'!$E$5:$E$500,"Next"))</f>
        <v/>
      </c>
      <c r="F15" s="36">
        <f>IF($A15="","",COUNTIFS('Work Register'!$A$5:$A$500,$A15,'Work Register'!$E$5:$E$500,"In Progress"))</f>
        <v/>
      </c>
      <c r="G15" s="36">
        <f>IF($A15="","",COUNTIFS('Work Register'!$A$5:$A$500,$A15,'Work Register'!$E$5:$E$500,"Blocked"))</f>
        <v/>
      </c>
      <c r="H15" s="36">
        <f>IF($A15="","",COUNTIFS('Work Register'!$A$5:$A$500,$A15,'Work Register'!$E$5:$E$500,"Done"))</f>
        <v/>
      </c>
      <c r="I15" s="36">
        <f>IF($A15="","",ROUND(SUMIFS('Work Register'!$M$5:$M$500,'Work Register'!$A$5:$A$500,$A15,'Work Register'!$E$5:$E$500,"&lt;&gt;Done")/60,1))</f>
        <v/>
      </c>
      <c r="J15" s="37">
        <f>IF($A15="","",IFERROR(MAXIFS('Work Register'!$L$5:$L$500,'Work Register'!$A$5:$A$500,$A15),""))</f>
        <v/>
      </c>
      <c r="K15" s="36">
        <f>IF($A15="",FALSE,COUNTIFS('Work Register'!$A$5:$A$500,$A15,'Work Register'!$E$5:$E$500,"Next")=0)</f>
        <v/>
      </c>
      <c r="L15" s="36">
        <f>IF($A15="",FALSE,AND($J15&lt;&gt;"",$J15&lt;TODAY()-14,$D15&lt;&gt;"Done"))</f>
        <v/>
      </c>
      <c r="M15" s="87">
        <f>IF($A15="",FALSE,COUNTIF($A$5:$A$20,$A15)&gt;1)</f>
        <v/>
      </c>
      <c r="R15" s="138">
        <f>IF($A15="","",COUNTIFS('Work Register'!$A$5:$A$500,$A15,'Work Register'!$E$5:$E$500,"Waiting"))</f>
        <v/>
      </c>
      <c r="S15" s="138">
        <f>IF($A15="",FALSE,AND($E15=0,$F15=0,$H15=0,OR($G15&gt;0,$R15&gt;0)))</f>
        <v/>
      </c>
    </row>
    <row r="16">
      <c r="A16" s="35" t="n"/>
      <c r="B16" s="17" t="n"/>
      <c r="C16" s="17" t="n"/>
      <c r="D16" s="17" t="n"/>
      <c r="E16" s="36">
        <f>IF($A16="","",COUNTIFS('Work Register'!$A$5:$A$500,$A16,'Work Register'!$E$5:$E$500,"Captured")+COUNTIFS('Work Register'!$A$5:$A$500,$A16,'Work Register'!$E$5:$E$500,"Next"))</f>
        <v/>
      </c>
      <c r="F16" s="36">
        <f>IF($A16="","",COUNTIFS('Work Register'!$A$5:$A$500,$A16,'Work Register'!$E$5:$E$500,"In Progress"))</f>
        <v/>
      </c>
      <c r="G16" s="36">
        <f>IF($A16="","",COUNTIFS('Work Register'!$A$5:$A$500,$A16,'Work Register'!$E$5:$E$500,"Blocked"))</f>
        <v/>
      </c>
      <c r="H16" s="36">
        <f>IF($A16="","",COUNTIFS('Work Register'!$A$5:$A$500,$A16,'Work Register'!$E$5:$E$500,"Done"))</f>
        <v/>
      </c>
      <c r="I16" s="36">
        <f>IF($A16="","",ROUND(SUMIFS('Work Register'!$M$5:$M$500,'Work Register'!$A$5:$A$500,$A16,'Work Register'!$E$5:$E$500,"&lt;&gt;Done")/60,1))</f>
        <v/>
      </c>
      <c r="J16" s="37">
        <f>IF($A16="","",IFERROR(MAXIFS('Work Register'!$L$5:$L$500,'Work Register'!$A$5:$A$500,$A16),""))</f>
        <v/>
      </c>
      <c r="K16" s="36">
        <f>IF($A16="",FALSE,COUNTIFS('Work Register'!$A$5:$A$500,$A16,'Work Register'!$E$5:$E$500,"Next")=0)</f>
        <v/>
      </c>
      <c r="L16" s="36">
        <f>IF($A16="",FALSE,AND($J16&lt;&gt;"",$J16&lt;TODAY()-14,$D16&lt;&gt;"Done"))</f>
        <v/>
      </c>
      <c r="M16" s="87">
        <f>IF($A16="",FALSE,COUNTIF($A$5:$A$20,$A16)&gt;1)</f>
        <v/>
      </c>
      <c r="R16" s="138">
        <f>IF($A16="","",COUNTIFS('Work Register'!$A$5:$A$500,$A16,'Work Register'!$E$5:$E$500,"Waiting"))</f>
        <v/>
      </c>
      <c r="S16" s="138">
        <f>IF($A16="",FALSE,AND($E16=0,$F16=0,$H16=0,OR($G16&gt;0,$R16&gt;0)))</f>
        <v/>
      </c>
    </row>
    <row r="17">
      <c r="A17" s="35" t="n"/>
      <c r="B17" s="17" t="n"/>
      <c r="C17" s="17" t="n"/>
      <c r="D17" s="17" t="n"/>
      <c r="E17" s="36">
        <f>IF($A17="","",COUNTIFS('Work Register'!$A$5:$A$500,$A17,'Work Register'!$E$5:$E$500,"Captured")+COUNTIFS('Work Register'!$A$5:$A$500,$A17,'Work Register'!$E$5:$E$500,"Next"))</f>
        <v/>
      </c>
      <c r="F17" s="36">
        <f>IF($A17="","",COUNTIFS('Work Register'!$A$5:$A$500,$A17,'Work Register'!$E$5:$E$500,"In Progress"))</f>
        <v/>
      </c>
      <c r="G17" s="36">
        <f>IF($A17="","",COUNTIFS('Work Register'!$A$5:$A$500,$A17,'Work Register'!$E$5:$E$500,"Blocked"))</f>
        <v/>
      </c>
      <c r="H17" s="36">
        <f>IF($A17="","",COUNTIFS('Work Register'!$A$5:$A$500,$A17,'Work Register'!$E$5:$E$500,"Done"))</f>
        <v/>
      </c>
      <c r="I17" s="36">
        <f>IF($A17="","",ROUND(SUMIFS('Work Register'!$M$5:$M$500,'Work Register'!$A$5:$A$500,$A17,'Work Register'!$E$5:$E$500,"&lt;&gt;Done")/60,1))</f>
        <v/>
      </c>
      <c r="J17" s="37">
        <f>IF($A17="","",IFERROR(MAXIFS('Work Register'!$L$5:$L$500,'Work Register'!$A$5:$A$500,$A17),""))</f>
        <v/>
      </c>
      <c r="K17" s="36">
        <f>IF($A17="",FALSE,COUNTIFS('Work Register'!$A$5:$A$500,$A17,'Work Register'!$E$5:$E$500,"Next")=0)</f>
        <v/>
      </c>
      <c r="L17" s="36">
        <f>IF($A17="",FALSE,AND($J17&lt;&gt;"",$J17&lt;TODAY()-14,$D17&lt;&gt;"Done"))</f>
        <v/>
      </c>
      <c r="M17" s="87">
        <f>IF($A17="",FALSE,COUNTIF($A$5:$A$20,$A17)&gt;1)</f>
        <v/>
      </c>
      <c r="R17" s="138">
        <f>IF($A17="","",COUNTIFS('Work Register'!$A$5:$A$500,$A17,'Work Register'!$E$5:$E$500,"Waiting"))</f>
        <v/>
      </c>
      <c r="S17" s="138">
        <f>IF($A17="",FALSE,AND($E17=0,$F17=0,$H17=0,OR($G17&gt;0,$R17&gt;0)))</f>
        <v/>
      </c>
    </row>
    <row r="18">
      <c r="A18" s="35" t="n"/>
      <c r="B18" s="17" t="n"/>
      <c r="C18" s="17" t="n"/>
      <c r="D18" s="17" t="n"/>
      <c r="E18" s="36">
        <f>IF($A18="","",COUNTIFS('Work Register'!$A$5:$A$500,$A18,'Work Register'!$E$5:$E$500,"Captured")+COUNTIFS('Work Register'!$A$5:$A$500,$A18,'Work Register'!$E$5:$E$500,"Next"))</f>
        <v/>
      </c>
      <c r="F18" s="36">
        <f>IF($A18="","",COUNTIFS('Work Register'!$A$5:$A$500,$A18,'Work Register'!$E$5:$E$500,"In Progress"))</f>
        <v/>
      </c>
      <c r="G18" s="36">
        <f>IF($A18="","",COUNTIFS('Work Register'!$A$5:$A$500,$A18,'Work Register'!$E$5:$E$500,"Blocked"))</f>
        <v/>
      </c>
      <c r="H18" s="36">
        <f>IF($A18="","",COUNTIFS('Work Register'!$A$5:$A$500,$A18,'Work Register'!$E$5:$E$500,"Done"))</f>
        <v/>
      </c>
      <c r="I18" s="36">
        <f>IF($A18="","",ROUND(SUMIFS('Work Register'!$M$5:$M$500,'Work Register'!$A$5:$A$500,$A18,'Work Register'!$E$5:$E$500,"&lt;&gt;Done")/60,1))</f>
        <v/>
      </c>
      <c r="J18" s="37">
        <f>IF($A18="","",IFERROR(MAXIFS('Work Register'!$L$5:$L$500,'Work Register'!$A$5:$A$500,$A18),""))</f>
        <v/>
      </c>
      <c r="K18" s="36">
        <f>IF($A18="",FALSE,COUNTIFS('Work Register'!$A$5:$A$500,$A18,'Work Register'!$E$5:$E$500,"Next")=0)</f>
        <v/>
      </c>
      <c r="L18" s="36">
        <f>IF($A18="",FALSE,AND($J18&lt;&gt;"",$J18&lt;TODAY()-14,$D18&lt;&gt;"Done"))</f>
        <v/>
      </c>
      <c r="M18" s="87">
        <f>IF($A18="",FALSE,COUNTIF($A$5:$A$20,$A18)&gt;1)</f>
        <v/>
      </c>
      <c r="R18" s="138">
        <f>IF($A18="","",COUNTIFS('Work Register'!$A$5:$A$500,$A18,'Work Register'!$E$5:$E$500,"Waiting"))</f>
        <v/>
      </c>
      <c r="S18" s="138">
        <f>IF($A18="",FALSE,AND($E18=0,$F18=0,$H18=0,OR($G18&gt;0,$R18&gt;0)))</f>
        <v/>
      </c>
    </row>
    <row r="19">
      <c r="A19" s="35" t="n"/>
      <c r="B19" s="17" t="n"/>
      <c r="C19" s="17" t="n"/>
      <c r="D19" s="17" t="n"/>
      <c r="E19" s="36">
        <f>IF($A19="","",COUNTIFS('Work Register'!$A$5:$A$500,$A19,'Work Register'!$E$5:$E$500,"Captured")+COUNTIFS('Work Register'!$A$5:$A$500,$A19,'Work Register'!$E$5:$E$500,"Next"))</f>
        <v/>
      </c>
      <c r="F19" s="36">
        <f>IF($A19="","",COUNTIFS('Work Register'!$A$5:$A$500,$A19,'Work Register'!$E$5:$E$500,"In Progress"))</f>
        <v/>
      </c>
      <c r="G19" s="36">
        <f>IF($A19="","",COUNTIFS('Work Register'!$A$5:$A$500,$A19,'Work Register'!$E$5:$E$500,"Blocked"))</f>
        <v/>
      </c>
      <c r="H19" s="36">
        <f>IF($A19="","",COUNTIFS('Work Register'!$A$5:$A$500,$A19,'Work Register'!$E$5:$E$500,"Done"))</f>
        <v/>
      </c>
      <c r="I19" s="36">
        <f>IF($A19="","",ROUND(SUMIFS('Work Register'!$M$5:$M$500,'Work Register'!$A$5:$A$500,$A19,'Work Register'!$E$5:$E$500,"&lt;&gt;Done")/60,1))</f>
        <v/>
      </c>
      <c r="J19" s="37">
        <f>IF($A19="","",IFERROR(MAXIFS('Work Register'!$L$5:$L$500,'Work Register'!$A$5:$A$500,$A19),""))</f>
        <v/>
      </c>
      <c r="K19" s="36">
        <f>IF($A19="",FALSE,COUNTIFS('Work Register'!$A$5:$A$500,$A19,'Work Register'!$E$5:$E$500,"Next")=0)</f>
        <v/>
      </c>
      <c r="L19" s="36">
        <f>IF($A19="",FALSE,AND($J19&lt;&gt;"",$J19&lt;TODAY()-14,$D19&lt;&gt;"Done"))</f>
        <v/>
      </c>
      <c r="M19" s="87">
        <f>IF($A19="",FALSE,COUNTIF($A$5:$A$20,$A19)&gt;1)</f>
        <v/>
      </c>
      <c r="R19" s="138">
        <f>IF($A19="","",COUNTIFS('Work Register'!$A$5:$A$500,$A19,'Work Register'!$E$5:$E$500,"Waiting"))</f>
        <v/>
      </c>
      <c r="S19" s="138">
        <f>IF($A19="",FALSE,AND($E19=0,$F19=0,$H19=0,OR($G19&gt;0,$R19&gt;0)))</f>
        <v/>
      </c>
    </row>
    <row r="20">
      <c r="A20" s="35" t="n"/>
      <c r="B20" s="17" t="n"/>
      <c r="C20" s="17" t="n"/>
      <c r="D20" s="17" t="n"/>
      <c r="E20" s="36">
        <f>IF($A20="","",COUNTIFS('Work Register'!$A$5:$A$500,$A20,'Work Register'!$E$5:$E$500,"Captured")+COUNTIFS('Work Register'!$A$5:$A$500,$A20,'Work Register'!$E$5:$E$500,"Next"))</f>
        <v/>
      </c>
      <c r="F20" s="36">
        <f>IF($A20="","",COUNTIFS('Work Register'!$A$5:$A$500,$A20,'Work Register'!$E$5:$E$500,"In Progress"))</f>
        <v/>
      </c>
      <c r="G20" s="36">
        <f>IF($A20="","",COUNTIFS('Work Register'!$A$5:$A$500,$A20,'Work Register'!$E$5:$E$500,"Blocked"))</f>
        <v/>
      </c>
      <c r="H20" s="36">
        <f>IF($A20="","",COUNTIFS('Work Register'!$A$5:$A$500,$A20,'Work Register'!$E$5:$E$500,"Done"))</f>
        <v/>
      </c>
      <c r="I20" s="36">
        <f>IF($A20="","",ROUND(SUMIFS('Work Register'!$M$5:$M$500,'Work Register'!$A$5:$A$500,$A20,'Work Register'!$E$5:$E$500,"&lt;&gt;Done")/60,1))</f>
        <v/>
      </c>
      <c r="J20" s="37">
        <f>IF($A20="","",IFERROR(MAXIFS('Work Register'!$L$5:$L$500,'Work Register'!$A$5:$A$500,$A20),""))</f>
        <v/>
      </c>
      <c r="K20" s="36">
        <f>IF($A20="",FALSE,COUNTIFS('Work Register'!$A$5:$A$500,$A20,'Work Register'!$E$5:$E$500,"Next")=0)</f>
        <v/>
      </c>
      <c r="L20" s="36">
        <f>IF($A20="",FALSE,AND($J20&lt;&gt;"",$J20&lt;TODAY()-14,$D20&lt;&gt;"Done"))</f>
        <v/>
      </c>
      <c r="M20" s="87">
        <f>IF($A20="",FALSE,COUNTIF($A$5:$A$20,$A20)&gt;1)</f>
        <v/>
      </c>
      <c r="R20" s="138">
        <f>IF($A20="","",COUNTIFS('Work Register'!$A$5:$A$500,$A20,'Work Register'!$E$5:$E$500,"Waiting"))</f>
        <v/>
      </c>
      <c r="S20" s="138">
        <f>IF($A20="",FALSE,AND($E20=0,$F20=0,$H20=0,OR($G20&gt;0,$R20&gt;0)))</f>
        <v/>
      </c>
    </row>
  </sheetData>
  <sheetProtection selectLockedCells="0" selectUnlockedCells="0" sheet="1" objects="0" insertRows="1" insertHyperlinks="1" autoFilter="1" scenarios="0" formatColumns="1" deleteColumns="1" insertColumns="1" pivotTables="1" deleteRows="1" formatCells="1" formatRows="1" sort="1"/>
  <mergeCells count="1">
    <mergeCell ref="A3:D3"/>
  </mergeCells>
  <conditionalFormatting sqref="A5:A20">
    <cfRule type="expression" priority="1" dxfId="6">
      <formula>COUNTIF($A$5:$A$20,A5)&gt;1</formula>
    </cfRule>
  </conditionalFormatting>
  <dataValidations count="2">
    <dataValidation sqref="B5 B6 B7 B8 B9 B10 B11 B12 B13 B14 B15 B16 B17 B18 B19 B20" showDropDown="0" showInputMessage="0" showErrorMessage="0" allowBlank="1" type="list">
      <formula1>PriorityList</formula1>
    </dataValidation>
    <dataValidation sqref="D5 D6 D7 D8 D9 D10 D11 D12 D13 D14 D15 D16 D17 D18 D19 D20" showDropDown="0" showInputMessage="0" showErrorMessage="0" allowBlank="1" type="list">
      <formula1>StatusList</formula1>
    </dataValidation>
  </dataValidations>
  <hyperlinks>
    <hyperlink xmlns:r="http://schemas.openxmlformats.org/officeDocument/2006/relationships" ref="A2" r:id="rId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0"/>
  <sheetViews>
    <sheetView showGridLines="0" workbookViewId="0">
      <selection activeCell="A1" sqref="A1"/>
    </sheetView>
  </sheetViews>
  <sheetFormatPr baseColWidth="8" defaultRowHeight="15"/>
  <cols>
    <col width="26" customWidth="1" min="2" max="2"/>
    <col width="22" customWidth="1" min="3" max="3"/>
    <col width="16" customWidth="1" min="4" max="4"/>
    <col width="12" customWidth="1" min="5" max="5"/>
    <col width="10" customWidth="1" min="6" max="6"/>
    <col width="12" customWidth="1" min="7" max="7"/>
    <col width="10" customWidth="1" min="8" max="8"/>
    <col width="14" customWidth="1" min="9" max="9"/>
  </cols>
  <sheetData>
    <row r="1">
      <c r="A1" s="39" t="n"/>
      <c r="B1" s="39" t="n"/>
      <c r="C1" s="39" t="n"/>
      <c r="D1" s="39" t="n"/>
      <c r="E1" s="39" t="n"/>
      <c r="F1" s="39" t="n"/>
      <c r="G1" s="39" t="n"/>
      <c r="H1" s="39" t="n"/>
      <c r="I1" s="39" t="n"/>
      <c r="J1" s="39" t="n"/>
      <c r="T1" t="inlineStr">
        <is>
          <t>All</t>
        </is>
      </c>
    </row>
    <row r="2">
      <c r="A2" s="39" t="n"/>
      <c r="B2" s="89" t="inlineStr">
        <is>
          <t>Task Finder</t>
        </is>
      </c>
      <c r="C2" s="39" t="n"/>
      <c r="D2" s="39" t="n"/>
      <c r="E2" s="39" t="n"/>
      <c r="F2" s="39" t="n"/>
      <c r="G2" s="39" t="n"/>
      <c r="H2" s="39" t="n"/>
      <c r="I2" s="39" t="n"/>
      <c r="J2" s="39" t="n"/>
      <c r="T2" t="inlineStr">
        <is>
          <t>High Priority</t>
        </is>
      </c>
    </row>
    <row r="3">
      <c r="A3" s="39" t="n"/>
      <c r="B3" s="39" t="n"/>
      <c r="C3" s="39" t="n"/>
      <c r="D3" s="39" t="n"/>
      <c r="E3" s="39" t="n"/>
      <c r="F3" s="39" t="n"/>
      <c r="G3" s="39" t="n"/>
      <c r="H3" s="39" t="n"/>
      <c r="I3" s="39" t="n"/>
      <c r="J3" s="39" t="n"/>
      <c r="T3" t="inlineStr">
        <is>
          <t>Due This Week</t>
        </is>
      </c>
    </row>
    <row r="4" ht="20" customHeight="1">
      <c r="A4" s="39" t="n"/>
      <c r="B4" s="90" t="inlineStr">
        <is>
          <t>← Home</t>
        </is>
      </c>
      <c r="C4" s="39" t="n"/>
      <c r="D4" s="39" t="n"/>
      <c r="E4" s="39" t="n"/>
      <c r="F4" s="39" t="n"/>
      <c r="G4" s="39" t="n"/>
      <c r="H4" s="39" t="n"/>
      <c r="I4" s="39" t="n"/>
      <c r="J4" s="39" t="n"/>
      <c r="T4" t="inlineStr">
        <is>
          <t>Quick Wins (15 mins or less)</t>
        </is>
      </c>
    </row>
    <row r="5">
      <c r="A5" s="39" t="n"/>
      <c r="B5" s="39" t="n"/>
      <c r="C5" s="39" t="n"/>
      <c r="D5" s="39" t="n"/>
      <c r="E5" s="39" t="n"/>
      <c r="F5" s="39" t="n"/>
      <c r="G5" s="39" t="n"/>
      <c r="H5" s="39" t="n"/>
      <c r="I5" s="39" t="n"/>
      <c r="J5" s="39" t="n"/>
      <c r="T5" t="inlineStr">
        <is>
          <t>Deep Thinking</t>
        </is>
      </c>
    </row>
    <row r="6">
      <c r="A6" s="39" t="n"/>
      <c r="B6" s="77" t="inlineStr">
        <is>
          <t>Filter</t>
        </is>
      </c>
      <c r="C6" s="91" t="inlineStr">
        <is>
          <t>All</t>
        </is>
      </c>
      <c r="D6" s="92">
        <f>COUNTIF('Work Register'!$P$5:$P$500,TRUE)&amp;" matching task(s)"</f>
        <v/>
      </c>
      <c r="G6" s="39" t="n"/>
      <c r="H6" s="39" t="n"/>
      <c r="I6" s="39" t="n"/>
      <c r="J6" s="39" t="n"/>
      <c r="T6" t="inlineStr">
        <is>
          <t>Processing</t>
        </is>
      </c>
    </row>
    <row r="7">
      <c r="A7" s="39" t="n"/>
      <c r="B7" s="77" t="inlineStr">
        <is>
          <t>Keyword</t>
        </is>
      </c>
      <c r="C7" s="98" t="n"/>
      <c r="D7" s="83" t="inlineStr">
        <is>
          <t>Only used when Filter = Keyword. Searches Mission, Deliverable, Component, Task, and Notes.</t>
        </is>
      </c>
      <c r="I7" s="39" t="n"/>
      <c r="J7" s="39" t="n"/>
      <c r="T7" t="inlineStr">
        <is>
          <t>Blocked</t>
        </is>
      </c>
    </row>
    <row r="8">
      <c r="A8" s="39" t="n"/>
      <c r="B8" s="39" t="n"/>
      <c r="C8" s="39" t="n"/>
      <c r="D8" s="39" t="n"/>
      <c r="E8" s="39" t="n"/>
      <c r="F8" s="39" t="n"/>
      <c r="G8" s="39" t="n"/>
      <c r="H8" s="39" t="n"/>
      <c r="I8" s="39" t="n"/>
      <c r="J8" s="39" t="n"/>
      <c r="T8" t="inlineStr">
        <is>
          <t>Waiting</t>
        </is>
      </c>
    </row>
    <row r="9">
      <c r="A9" s="39" t="n"/>
      <c r="B9" s="89" t="inlineStr">
        <is>
          <t>Matching Tasks</t>
        </is>
      </c>
      <c r="C9" s="39" t="n"/>
      <c r="D9" s="39" t="n"/>
      <c r="E9" s="39" t="n"/>
      <c r="F9" s="39" t="n"/>
      <c r="G9" s="39" t="n"/>
      <c r="H9" s="39" t="n"/>
      <c r="I9" s="39" t="n"/>
      <c r="J9" s="39" t="n"/>
      <c r="T9" t="inlineStr">
        <is>
          <t>Recently Updated</t>
        </is>
      </c>
    </row>
    <row r="10">
      <c r="A10" s="39" t="n"/>
      <c r="B10" s="94" t="inlineStr">
        <is>
          <t>Task</t>
        </is>
      </c>
      <c r="C10" s="94" t="inlineStr">
        <is>
          <t>Mission</t>
        </is>
      </c>
      <c r="D10" s="94" t="inlineStr">
        <is>
          <t>Component</t>
        </is>
      </c>
      <c r="E10" s="94" t="inlineStr">
        <is>
          <t>Status</t>
        </is>
      </c>
      <c r="F10" s="94" t="inlineStr">
        <is>
          <t>Priority</t>
        </is>
      </c>
      <c r="G10" s="94" t="inlineStr">
        <is>
          <t>Due Date</t>
        </is>
      </c>
      <c r="H10" s="94" t="inlineStr">
        <is>
          <t>Time</t>
        </is>
      </c>
      <c r="I10" s="94" t="inlineStr">
        <is>
          <t>Energy</t>
        </is>
      </c>
      <c r="J10" s="39" t="n"/>
      <c r="T10" t="inlineStr">
        <is>
          <t>Keyword</t>
        </is>
      </c>
    </row>
    <row r="11">
      <c r="A11" s="39" t="n"/>
      <c r="B11" s="95">
        <f>IFERROR(INDEX('Work Register'!D:D,AGGREGATE(15,6,ROW('Work Register'!$D$5:$D$500)/('Work Register'!$P$5:$P$500=TRUE),1)),"")</f>
        <v/>
      </c>
      <c r="C11" s="95">
        <f>IFERROR(INDEX('Work Register'!A:A,AGGREGATE(15,6,ROW('Work Register'!$D$5:$D$500)/('Work Register'!$P$5:$P$500=TRUE),1)),"")</f>
        <v/>
      </c>
      <c r="D11" s="95">
        <f>IFERROR(INDEX('Work Register'!C:C,AGGREGATE(15,6,ROW('Work Register'!$D$5:$D$500)/('Work Register'!$P$5:$P$500=TRUE),1)),"")</f>
        <v/>
      </c>
      <c r="E11" s="96">
        <f>IFERROR(INDEX('Work Register'!E:E,AGGREGATE(15,6,ROW('Work Register'!$D$5:$D$500)/('Work Register'!$P$5:$P$500=TRUE),1)),"")</f>
        <v/>
      </c>
      <c r="F11" s="96">
        <f>IFERROR(INDEX('Work Register'!F:F,AGGREGATE(15,6,ROW('Work Register'!$D$5:$D$500)/('Work Register'!$P$5:$P$500=TRUE),1)),"")</f>
        <v/>
      </c>
      <c r="G11" s="96">
        <f>IFERROR(INDEX('Work Register'!I:I,AGGREGATE(15,6,ROW('Work Register'!$D$5:$D$500)/('Work Register'!$P$5:$P$500=TRUE),1)),"")</f>
        <v/>
      </c>
      <c r="H11" s="96">
        <f>IFERROR(INDEX('Work Register'!H:H,AGGREGATE(15,6,ROW('Work Register'!$D$5:$D$500)/('Work Register'!$P$5:$P$500=TRUE),1)),"")</f>
        <v/>
      </c>
      <c r="I11" s="96">
        <f>IFERROR(INDEX('Work Register'!G:G,AGGREGATE(15,6,ROW('Work Register'!$D$5:$D$500)/('Work Register'!$P$5:$P$500=TRUE),1)),"")</f>
        <v/>
      </c>
      <c r="J11" s="39" t="n"/>
    </row>
    <row r="12">
      <c r="A12" s="39" t="n"/>
      <c r="B12" s="95">
        <f>IFERROR(INDEX('Work Register'!D:D,AGGREGATE(15,6,ROW('Work Register'!$D$5:$D$500)/('Work Register'!$P$5:$P$500=TRUE),2)),"")</f>
        <v/>
      </c>
      <c r="C12" s="95">
        <f>IFERROR(INDEX('Work Register'!A:A,AGGREGATE(15,6,ROW('Work Register'!$D$5:$D$500)/('Work Register'!$P$5:$P$500=TRUE),2)),"")</f>
        <v/>
      </c>
      <c r="D12" s="95">
        <f>IFERROR(INDEX('Work Register'!C:C,AGGREGATE(15,6,ROW('Work Register'!$D$5:$D$500)/('Work Register'!$P$5:$P$500=TRUE),2)),"")</f>
        <v/>
      </c>
      <c r="E12" s="96">
        <f>IFERROR(INDEX('Work Register'!E:E,AGGREGATE(15,6,ROW('Work Register'!$D$5:$D$500)/('Work Register'!$P$5:$P$500=TRUE),2)),"")</f>
        <v/>
      </c>
      <c r="F12" s="96">
        <f>IFERROR(INDEX('Work Register'!F:F,AGGREGATE(15,6,ROW('Work Register'!$D$5:$D$500)/('Work Register'!$P$5:$P$500=TRUE),2)),"")</f>
        <v/>
      </c>
      <c r="G12" s="96">
        <f>IFERROR(INDEX('Work Register'!I:I,AGGREGATE(15,6,ROW('Work Register'!$D$5:$D$500)/('Work Register'!$P$5:$P$500=TRUE),2)),"")</f>
        <v/>
      </c>
      <c r="H12" s="96">
        <f>IFERROR(INDEX('Work Register'!H:H,AGGREGATE(15,6,ROW('Work Register'!$D$5:$D$500)/('Work Register'!$P$5:$P$500=TRUE),2)),"")</f>
        <v/>
      </c>
      <c r="I12" s="96">
        <f>IFERROR(INDEX('Work Register'!G:G,AGGREGATE(15,6,ROW('Work Register'!$D$5:$D$500)/('Work Register'!$P$5:$P$500=TRUE),2)),"")</f>
        <v/>
      </c>
      <c r="J12" s="39" t="n"/>
    </row>
    <row r="13">
      <c r="A13" s="39" t="n"/>
      <c r="B13" s="95">
        <f>IFERROR(INDEX('Work Register'!D:D,AGGREGATE(15,6,ROW('Work Register'!$D$5:$D$500)/('Work Register'!$P$5:$P$500=TRUE),3)),"")</f>
        <v/>
      </c>
      <c r="C13" s="95">
        <f>IFERROR(INDEX('Work Register'!A:A,AGGREGATE(15,6,ROW('Work Register'!$D$5:$D$500)/('Work Register'!$P$5:$P$500=TRUE),3)),"")</f>
        <v/>
      </c>
      <c r="D13" s="95">
        <f>IFERROR(INDEX('Work Register'!C:C,AGGREGATE(15,6,ROW('Work Register'!$D$5:$D$500)/('Work Register'!$P$5:$P$500=TRUE),3)),"")</f>
        <v/>
      </c>
      <c r="E13" s="96">
        <f>IFERROR(INDEX('Work Register'!E:E,AGGREGATE(15,6,ROW('Work Register'!$D$5:$D$500)/('Work Register'!$P$5:$P$500=TRUE),3)),"")</f>
        <v/>
      </c>
      <c r="F13" s="96">
        <f>IFERROR(INDEX('Work Register'!F:F,AGGREGATE(15,6,ROW('Work Register'!$D$5:$D$500)/('Work Register'!$P$5:$P$500=TRUE),3)),"")</f>
        <v/>
      </c>
      <c r="G13" s="96">
        <f>IFERROR(INDEX('Work Register'!I:I,AGGREGATE(15,6,ROW('Work Register'!$D$5:$D$500)/('Work Register'!$P$5:$P$500=TRUE),3)),"")</f>
        <v/>
      </c>
      <c r="H13" s="96">
        <f>IFERROR(INDEX('Work Register'!H:H,AGGREGATE(15,6,ROW('Work Register'!$D$5:$D$500)/('Work Register'!$P$5:$P$500=TRUE),3)),"")</f>
        <v/>
      </c>
      <c r="I13" s="96">
        <f>IFERROR(INDEX('Work Register'!G:G,AGGREGATE(15,6,ROW('Work Register'!$D$5:$D$500)/('Work Register'!$P$5:$P$500=TRUE),3)),"")</f>
        <v/>
      </c>
      <c r="J13" s="39" t="n"/>
    </row>
    <row r="14">
      <c r="A14" s="39" t="n"/>
      <c r="B14" s="95">
        <f>IFERROR(INDEX('Work Register'!D:D,AGGREGATE(15,6,ROW('Work Register'!$D$5:$D$500)/('Work Register'!$P$5:$P$500=TRUE),4)),"")</f>
        <v/>
      </c>
      <c r="C14" s="95">
        <f>IFERROR(INDEX('Work Register'!A:A,AGGREGATE(15,6,ROW('Work Register'!$D$5:$D$500)/('Work Register'!$P$5:$P$500=TRUE),4)),"")</f>
        <v/>
      </c>
      <c r="D14" s="95">
        <f>IFERROR(INDEX('Work Register'!C:C,AGGREGATE(15,6,ROW('Work Register'!$D$5:$D$500)/('Work Register'!$P$5:$P$500=TRUE),4)),"")</f>
        <v/>
      </c>
      <c r="E14" s="96">
        <f>IFERROR(INDEX('Work Register'!E:E,AGGREGATE(15,6,ROW('Work Register'!$D$5:$D$500)/('Work Register'!$P$5:$P$500=TRUE),4)),"")</f>
        <v/>
      </c>
      <c r="F14" s="96">
        <f>IFERROR(INDEX('Work Register'!F:F,AGGREGATE(15,6,ROW('Work Register'!$D$5:$D$500)/('Work Register'!$P$5:$P$500=TRUE),4)),"")</f>
        <v/>
      </c>
      <c r="G14" s="96">
        <f>IFERROR(INDEX('Work Register'!I:I,AGGREGATE(15,6,ROW('Work Register'!$D$5:$D$500)/('Work Register'!$P$5:$P$500=TRUE),4)),"")</f>
        <v/>
      </c>
      <c r="H14" s="96">
        <f>IFERROR(INDEX('Work Register'!H:H,AGGREGATE(15,6,ROW('Work Register'!$D$5:$D$500)/('Work Register'!$P$5:$P$500=TRUE),4)),"")</f>
        <v/>
      </c>
      <c r="I14" s="96">
        <f>IFERROR(INDEX('Work Register'!G:G,AGGREGATE(15,6,ROW('Work Register'!$D$5:$D$500)/('Work Register'!$P$5:$P$500=TRUE),4)),"")</f>
        <v/>
      </c>
      <c r="J14" s="39" t="n"/>
    </row>
    <row r="15">
      <c r="A15" s="39" t="n"/>
      <c r="B15" s="95">
        <f>IFERROR(INDEX('Work Register'!D:D,AGGREGATE(15,6,ROW('Work Register'!$D$5:$D$500)/('Work Register'!$P$5:$P$500=TRUE),5)),"")</f>
        <v/>
      </c>
      <c r="C15" s="95">
        <f>IFERROR(INDEX('Work Register'!A:A,AGGREGATE(15,6,ROW('Work Register'!$D$5:$D$500)/('Work Register'!$P$5:$P$500=TRUE),5)),"")</f>
        <v/>
      </c>
      <c r="D15" s="95">
        <f>IFERROR(INDEX('Work Register'!C:C,AGGREGATE(15,6,ROW('Work Register'!$D$5:$D$500)/('Work Register'!$P$5:$P$500=TRUE),5)),"")</f>
        <v/>
      </c>
      <c r="E15" s="96">
        <f>IFERROR(INDEX('Work Register'!E:E,AGGREGATE(15,6,ROW('Work Register'!$D$5:$D$500)/('Work Register'!$P$5:$P$500=TRUE),5)),"")</f>
        <v/>
      </c>
      <c r="F15" s="96">
        <f>IFERROR(INDEX('Work Register'!F:F,AGGREGATE(15,6,ROW('Work Register'!$D$5:$D$500)/('Work Register'!$P$5:$P$500=TRUE),5)),"")</f>
        <v/>
      </c>
      <c r="G15" s="96">
        <f>IFERROR(INDEX('Work Register'!I:I,AGGREGATE(15,6,ROW('Work Register'!$D$5:$D$500)/('Work Register'!$P$5:$P$500=TRUE),5)),"")</f>
        <v/>
      </c>
      <c r="H15" s="96">
        <f>IFERROR(INDEX('Work Register'!H:H,AGGREGATE(15,6,ROW('Work Register'!$D$5:$D$500)/('Work Register'!$P$5:$P$500=TRUE),5)),"")</f>
        <v/>
      </c>
      <c r="I15" s="96">
        <f>IFERROR(INDEX('Work Register'!G:G,AGGREGATE(15,6,ROW('Work Register'!$D$5:$D$500)/('Work Register'!$P$5:$P$500=TRUE),5)),"")</f>
        <v/>
      </c>
      <c r="J15" s="39" t="n"/>
    </row>
    <row r="16">
      <c r="A16" s="39" t="n"/>
      <c r="B16" s="95">
        <f>IFERROR(INDEX('Work Register'!D:D,AGGREGATE(15,6,ROW('Work Register'!$D$5:$D$500)/('Work Register'!$P$5:$P$500=TRUE),6)),"")</f>
        <v/>
      </c>
      <c r="C16" s="95">
        <f>IFERROR(INDEX('Work Register'!A:A,AGGREGATE(15,6,ROW('Work Register'!$D$5:$D$500)/('Work Register'!$P$5:$P$500=TRUE),6)),"")</f>
        <v/>
      </c>
      <c r="D16" s="95">
        <f>IFERROR(INDEX('Work Register'!C:C,AGGREGATE(15,6,ROW('Work Register'!$D$5:$D$500)/('Work Register'!$P$5:$P$500=TRUE),6)),"")</f>
        <v/>
      </c>
      <c r="E16" s="96">
        <f>IFERROR(INDEX('Work Register'!E:E,AGGREGATE(15,6,ROW('Work Register'!$D$5:$D$500)/('Work Register'!$P$5:$P$500=TRUE),6)),"")</f>
        <v/>
      </c>
      <c r="F16" s="96">
        <f>IFERROR(INDEX('Work Register'!F:F,AGGREGATE(15,6,ROW('Work Register'!$D$5:$D$500)/('Work Register'!$P$5:$P$500=TRUE),6)),"")</f>
        <v/>
      </c>
      <c r="G16" s="96">
        <f>IFERROR(INDEX('Work Register'!I:I,AGGREGATE(15,6,ROW('Work Register'!$D$5:$D$500)/('Work Register'!$P$5:$P$500=TRUE),6)),"")</f>
        <v/>
      </c>
      <c r="H16" s="96">
        <f>IFERROR(INDEX('Work Register'!H:H,AGGREGATE(15,6,ROW('Work Register'!$D$5:$D$500)/('Work Register'!$P$5:$P$500=TRUE),6)),"")</f>
        <v/>
      </c>
      <c r="I16" s="96">
        <f>IFERROR(INDEX('Work Register'!G:G,AGGREGATE(15,6,ROW('Work Register'!$D$5:$D$500)/('Work Register'!$P$5:$P$500=TRUE),6)),"")</f>
        <v/>
      </c>
      <c r="J16" s="39" t="n"/>
    </row>
    <row r="17">
      <c r="A17" s="39" t="n"/>
      <c r="B17" s="95">
        <f>IFERROR(INDEX('Work Register'!D:D,AGGREGATE(15,6,ROW('Work Register'!$D$5:$D$500)/('Work Register'!$P$5:$P$500=TRUE),7)),"")</f>
        <v/>
      </c>
      <c r="C17" s="95">
        <f>IFERROR(INDEX('Work Register'!A:A,AGGREGATE(15,6,ROW('Work Register'!$D$5:$D$500)/('Work Register'!$P$5:$P$500=TRUE),7)),"")</f>
        <v/>
      </c>
      <c r="D17" s="95">
        <f>IFERROR(INDEX('Work Register'!C:C,AGGREGATE(15,6,ROW('Work Register'!$D$5:$D$500)/('Work Register'!$P$5:$P$500=TRUE),7)),"")</f>
        <v/>
      </c>
      <c r="E17" s="96">
        <f>IFERROR(INDEX('Work Register'!E:E,AGGREGATE(15,6,ROW('Work Register'!$D$5:$D$500)/('Work Register'!$P$5:$P$500=TRUE),7)),"")</f>
        <v/>
      </c>
      <c r="F17" s="96">
        <f>IFERROR(INDEX('Work Register'!F:F,AGGREGATE(15,6,ROW('Work Register'!$D$5:$D$500)/('Work Register'!$P$5:$P$500=TRUE),7)),"")</f>
        <v/>
      </c>
      <c r="G17" s="96">
        <f>IFERROR(INDEX('Work Register'!I:I,AGGREGATE(15,6,ROW('Work Register'!$D$5:$D$500)/('Work Register'!$P$5:$P$500=TRUE),7)),"")</f>
        <v/>
      </c>
      <c r="H17" s="96">
        <f>IFERROR(INDEX('Work Register'!H:H,AGGREGATE(15,6,ROW('Work Register'!$D$5:$D$500)/('Work Register'!$P$5:$P$500=TRUE),7)),"")</f>
        <v/>
      </c>
      <c r="I17" s="96">
        <f>IFERROR(INDEX('Work Register'!G:G,AGGREGATE(15,6,ROW('Work Register'!$D$5:$D$500)/('Work Register'!$P$5:$P$500=TRUE),7)),"")</f>
        <v/>
      </c>
      <c r="J17" s="39" t="n"/>
    </row>
    <row r="18">
      <c r="A18" s="39" t="n"/>
      <c r="B18" s="95">
        <f>IFERROR(INDEX('Work Register'!D:D,AGGREGATE(15,6,ROW('Work Register'!$D$5:$D$500)/('Work Register'!$P$5:$P$500=TRUE),8)),"")</f>
        <v/>
      </c>
      <c r="C18" s="95">
        <f>IFERROR(INDEX('Work Register'!A:A,AGGREGATE(15,6,ROW('Work Register'!$D$5:$D$500)/('Work Register'!$P$5:$P$500=TRUE),8)),"")</f>
        <v/>
      </c>
      <c r="D18" s="95">
        <f>IFERROR(INDEX('Work Register'!C:C,AGGREGATE(15,6,ROW('Work Register'!$D$5:$D$500)/('Work Register'!$P$5:$P$500=TRUE),8)),"")</f>
        <v/>
      </c>
      <c r="E18" s="96">
        <f>IFERROR(INDEX('Work Register'!E:E,AGGREGATE(15,6,ROW('Work Register'!$D$5:$D$500)/('Work Register'!$P$5:$P$500=TRUE),8)),"")</f>
        <v/>
      </c>
      <c r="F18" s="96">
        <f>IFERROR(INDEX('Work Register'!F:F,AGGREGATE(15,6,ROW('Work Register'!$D$5:$D$500)/('Work Register'!$P$5:$P$500=TRUE),8)),"")</f>
        <v/>
      </c>
      <c r="G18" s="96">
        <f>IFERROR(INDEX('Work Register'!I:I,AGGREGATE(15,6,ROW('Work Register'!$D$5:$D$500)/('Work Register'!$P$5:$P$500=TRUE),8)),"")</f>
        <v/>
      </c>
      <c r="H18" s="96">
        <f>IFERROR(INDEX('Work Register'!H:H,AGGREGATE(15,6,ROW('Work Register'!$D$5:$D$500)/('Work Register'!$P$5:$P$500=TRUE),8)),"")</f>
        <v/>
      </c>
      <c r="I18" s="96">
        <f>IFERROR(INDEX('Work Register'!G:G,AGGREGATE(15,6,ROW('Work Register'!$D$5:$D$500)/('Work Register'!$P$5:$P$500=TRUE),8)),"")</f>
        <v/>
      </c>
      <c r="J18" s="39" t="n"/>
    </row>
    <row r="19">
      <c r="A19" s="39" t="n"/>
      <c r="B19" s="95">
        <f>IFERROR(INDEX('Work Register'!D:D,AGGREGATE(15,6,ROW('Work Register'!$D$5:$D$500)/('Work Register'!$P$5:$P$500=TRUE),9)),"")</f>
        <v/>
      </c>
      <c r="C19" s="95">
        <f>IFERROR(INDEX('Work Register'!A:A,AGGREGATE(15,6,ROW('Work Register'!$D$5:$D$500)/('Work Register'!$P$5:$P$500=TRUE),9)),"")</f>
        <v/>
      </c>
      <c r="D19" s="95">
        <f>IFERROR(INDEX('Work Register'!C:C,AGGREGATE(15,6,ROW('Work Register'!$D$5:$D$500)/('Work Register'!$P$5:$P$500=TRUE),9)),"")</f>
        <v/>
      </c>
      <c r="E19" s="96">
        <f>IFERROR(INDEX('Work Register'!E:E,AGGREGATE(15,6,ROW('Work Register'!$D$5:$D$500)/('Work Register'!$P$5:$P$500=TRUE),9)),"")</f>
        <v/>
      </c>
      <c r="F19" s="96">
        <f>IFERROR(INDEX('Work Register'!F:F,AGGREGATE(15,6,ROW('Work Register'!$D$5:$D$500)/('Work Register'!$P$5:$P$500=TRUE),9)),"")</f>
        <v/>
      </c>
      <c r="G19" s="96">
        <f>IFERROR(INDEX('Work Register'!I:I,AGGREGATE(15,6,ROW('Work Register'!$D$5:$D$500)/('Work Register'!$P$5:$P$500=TRUE),9)),"")</f>
        <v/>
      </c>
      <c r="H19" s="96">
        <f>IFERROR(INDEX('Work Register'!H:H,AGGREGATE(15,6,ROW('Work Register'!$D$5:$D$500)/('Work Register'!$P$5:$P$500=TRUE),9)),"")</f>
        <v/>
      </c>
      <c r="I19" s="96">
        <f>IFERROR(INDEX('Work Register'!G:G,AGGREGATE(15,6,ROW('Work Register'!$D$5:$D$500)/('Work Register'!$P$5:$P$500=TRUE),9)),"")</f>
        <v/>
      </c>
      <c r="J19" s="39" t="n"/>
    </row>
    <row r="20">
      <c r="A20" s="39" t="n"/>
      <c r="B20" s="95">
        <f>IFERROR(INDEX('Work Register'!D:D,AGGREGATE(15,6,ROW('Work Register'!$D$5:$D$500)/('Work Register'!$P$5:$P$500=TRUE),10)),"")</f>
        <v/>
      </c>
      <c r="C20" s="95">
        <f>IFERROR(INDEX('Work Register'!A:A,AGGREGATE(15,6,ROW('Work Register'!$D$5:$D$500)/('Work Register'!$P$5:$P$500=TRUE),10)),"")</f>
        <v/>
      </c>
      <c r="D20" s="95">
        <f>IFERROR(INDEX('Work Register'!C:C,AGGREGATE(15,6,ROW('Work Register'!$D$5:$D$500)/('Work Register'!$P$5:$P$500=TRUE),10)),"")</f>
        <v/>
      </c>
      <c r="E20" s="96">
        <f>IFERROR(INDEX('Work Register'!E:E,AGGREGATE(15,6,ROW('Work Register'!$D$5:$D$500)/('Work Register'!$P$5:$P$500=TRUE),10)),"")</f>
        <v/>
      </c>
      <c r="F20" s="96">
        <f>IFERROR(INDEX('Work Register'!F:F,AGGREGATE(15,6,ROW('Work Register'!$D$5:$D$500)/('Work Register'!$P$5:$P$500=TRUE),10)),"")</f>
        <v/>
      </c>
      <c r="G20" s="96">
        <f>IFERROR(INDEX('Work Register'!I:I,AGGREGATE(15,6,ROW('Work Register'!$D$5:$D$500)/('Work Register'!$P$5:$P$500=TRUE),10)),"")</f>
        <v/>
      </c>
      <c r="H20" s="96">
        <f>IFERROR(INDEX('Work Register'!H:H,AGGREGATE(15,6,ROW('Work Register'!$D$5:$D$500)/('Work Register'!$P$5:$P$500=TRUE),10)),"")</f>
        <v/>
      </c>
      <c r="I20" s="96">
        <f>IFERROR(INDEX('Work Register'!G:G,AGGREGATE(15,6,ROW('Work Register'!$D$5:$D$500)/('Work Register'!$P$5:$P$500=TRUE),10)),"")</f>
        <v/>
      </c>
      <c r="J20" s="39" t="n"/>
    </row>
    <row r="21">
      <c r="A21" s="39" t="n"/>
      <c r="B21" s="95">
        <f>IFERROR(INDEX('Work Register'!D:D,AGGREGATE(15,6,ROW('Work Register'!$D$5:$D$500)/('Work Register'!$P$5:$P$500=TRUE),11)),"")</f>
        <v/>
      </c>
      <c r="C21" s="95">
        <f>IFERROR(INDEX('Work Register'!A:A,AGGREGATE(15,6,ROW('Work Register'!$D$5:$D$500)/('Work Register'!$P$5:$P$500=TRUE),11)),"")</f>
        <v/>
      </c>
      <c r="D21" s="95">
        <f>IFERROR(INDEX('Work Register'!C:C,AGGREGATE(15,6,ROW('Work Register'!$D$5:$D$500)/('Work Register'!$P$5:$P$500=TRUE),11)),"")</f>
        <v/>
      </c>
      <c r="E21" s="96">
        <f>IFERROR(INDEX('Work Register'!E:E,AGGREGATE(15,6,ROW('Work Register'!$D$5:$D$500)/('Work Register'!$P$5:$P$500=TRUE),11)),"")</f>
        <v/>
      </c>
      <c r="F21" s="96">
        <f>IFERROR(INDEX('Work Register'!F:F,AGGREGATE(15,6,ROW('Work Register'!$D$5:$D$500)/('Work Register'!$P$5:$P$500=TRUE),11)),"")</f>
        <v/>
      </c>
      <c r="G21" s="96">
        <f>IFERROR(INDEX('Work Register'!I:I,AGGREGATE(15,6,ROW('Work Register'!$D$5:$D$500)/('Work Register'!$P$5:$P$500=TRUE),11)),"")</f>
        <v/>
      </c>
      <c r="H21" s="96">
        <f>IFERROR(INDEX('Work Register'!H:H,AGGREGATE(15,6,ROW('Work Register'!$D$5:$D$500)/('Work Register'!$P$5:$P$500=TRUE),11)),"")</f>
        <v/>
      </c>
      <c r="I21" s="96">
        <f>IFERROR(INDEX('Work Register'!G:G,AGGREGATE(15,6,ROW('Work Register'!$D$5:$D$500)/('Work Register'!$P$5:$P$500=TRUE),11)),"")</f>
        <v/>
      </c>
      <c r="J21" s="39" t="n"/>
    </row>
    <row r="22">
      <c r="A22" s="39" t="n"/>
      <c r="B22" s="95">
        <f>IFERROR(INDEX('Work Register'!D:D,AGGREGATE(15,6,ROW('Work Register'!$D$5:$D$500)/('Work Register'!$P$5:$P$500=TRUE),12)),"")</f>
        <v/>
      </c>
      <c r="C22" s="95">
        <f>IFERROR(INDEX('Work Register'!A:A,AGGREGATE(15,6,ROW('Work Register'!$D$5:$D$500)/('Work Register'!$P$5:$P$500=TRUE),12)),"")</f>
        <v/>
      </c>
      <c r="D22" s="95">
        <f>IFERROR(INDEX('Work Register'!C:C,AGGREGATE(15,6,ROW('Work Register'!$D$5:$D$500)/('Work Register'!$P$5:$P$500=TRUE),12)),"")</f>
        <v/>
      </c>
      <c r="E22" s="96">
        <f>IFERROR(INDEX('Work Register'!E:E,AGGREGATE(15,6,ROW('Work Register'!$D$5:$D$500)/('Work Register'!$P$5:$P$500=TRUE),12)),"")</f>
        <v/>
      </c>
      <c r="F22" s="96">
        <f>IFERROR(INDEX('Work Register'!F:F,AGGREGATE(15,6,ROW('Work Register'!$D$5:$D$500)/('Work Register'!$P$5:$P$500=TRUE),12)),"")</f>
        <v/>
      </c>
      <c r="G22" s="96">
        <f>IFERROR(INDEX('Work Register'!I:I,AGGREGATE(15,6,ROW('Work Register'!$D$5:$D$500)/('Work Register'!$P$5:$P$500=TRUE),12)),"")</f>
        <v/>
      </c>
      <c r="H22" s="96">
        <f>IFERROR(INDEX('Work Register'!H:H,AGGREGATE(15,6,ROW('Work Register'!$D$5:$D$500)/('Work Register'!$P$5:$P$500=TRUE),12)),"")</f>
        <v/>
      </c>
      <c r="I22" s="96">
        <f>IFERROR(INDEX('Work Register'!G:G,AGGREGATE(15,6,ROW('Work Register'!$D$5:$D$500)/('Work Register'!$P$5:$P$500=TRUE),12)),"")</f>
        <v/>
      </c>
      <c r="J22" s="39" t="n"/>
    </row>
    <row r="23">
      <c r="A23" s="39" t="n"/>
      <c r="B23" s="95">
        <f>IFERROR(INDEX('Work Register'!D:D,AGGREGATE(15,6,ROW('Work Register'!$D$5:$D$500)/('Work Register'!$P$5:$P$500=TRUE),13)),"")</f>
        <v/>
      </c>
      <c r="C23" s="95">
        <f>IFERROR(INDEX('Work Register'!A:A,AGGREGATE(15,6,ROW('Work Register'!$D$5:$D$500)/('Work Register'!$P$5:$P$500=TRUE),13)),"")</f>
        <v/>
      </c>
      <c r="D23" s="95">
        <f>IFERROR(INDEX('Work Register'!C:C,AGGREGATE(15,6,ROW('Work Register'!$D$5:$D$500)/('Work Register'!$P$5:$P$500=TRUE),13)),"")</f>
        <v/>
      </c>
      <c r="E23" s="96">
        <f>IFERROR(INDEX('Work Register'!E:E,AGGREGATE(15,6,ROW('Work Register'!$D$5:$D$500)/('Work Register'!$P$5:$P$500=TRUE),13)),"")</f>
        <v/>
      </c>
      <c r="F23" s="96">
        <f>IFERROR(INDEX('Work Register'!F:F,AGGREGATE(15,6,ROW('Work Register'!$D$5:$D$500)/('Work Register'!$P$5:$P$500=TRUE),13)),"")</f>
        <v/>
      </c>
      <c r="G23" s="96">
        <f>IFERROR(INDEX('Work Register'!I:I,AGGREGATE(15,6,ROW('Work Register'!$D$5:$D$500)/('Work Register'!$P$5:$P$500=TRUE),13)),"")</f>
        <v/>
      </c>
      <c r="H23" s="96">
        <f>IFERROR(INDEX('Work Register'!H:H,AGGREGATE(15,6,ROW('Work Register'!$D$5:$D$500)/('Work Register'!$P$5:$P$500=TRUE),13)),"")</f>
        <v/>
      </c>
      <c r="I23" s="96">
        <f>IFERROR(INDEX('Work Register'!G:G,AGGREGATE(15,6,ROW('Work Register'!$D$5:$D$500)/('Work Register'!$P$5:$P$500=TRUE),13)),"")</f>
        <v/>
      </c>
      <c r="J23" s="39" t="n"/>
    </row>
    <row r="24">
      <c r="A24" s="39" t="n"/>
      <c r="B24" s="95">
        <f>IFERROR(INDEX('Work Register'!D:D,AGGREGATE(15,6,ROW('Work Register'!$D$5:$D$500)/('Work Register'!$P$5:$P$500=TRUE),14)),"")</f>
        <v/>
      </c>
      <c r="C24" s="95">
        <f>IFERROR(INDEX('Work Register'!A:A,AGGREGATE(15,6,ROW('Work Register'!$D$5:$D$500)/('Work Register'!$P$5:$P$500=TRUE),14)),"")</f>
        <v/>
      </c>
      <c r="D24" s="95">
        <f>IFERROR(INDEX('Work Register'!C:C,AGGREGATE(15,6,ROW('Work Register'!$D$5:$D$500)/('Work Register'!$P$5:$P$500=TRUE),14)),"")</f>
        <v/>
      </c>
      <c r="E24" s="96">
        <f>IFERROR(INDEX('Work Register'!E:E,AGGREGATE(15,6,ROW('Work Register'!$D$5:$D$500)/('Work Register'!$P$5:$P$500=TRUE),14)),"")</f>
        <v/>
      </c>
      <c r="F24" s="96">
        <f>IFERROR(INDEX('Work Register'!F:F,AGGREGATE(15,6,ROW('Work Register'!$D$5:$D$500)/('Work Register'!$P$5:$P$500=TRUE),14)),"")</f>
        <v/>
      </c>
      <c r="G24" s="96">
        <f>IFERROR(INDEX('Work Register'!I:I,AGGREGATE(15,6,ROW('Work Register'!$D$5:$D$500)/('Work Register'!$P$5:$P$500=TRUE),14)),"")</f>
        <v/>
      </c>
      <c r="H24" s="96">
        <f>IFERROR(INDEX('Work Register'!H:H,AGGREGATE(15,6,ROW('Work Register'!$D$5:$D$500)/('Work Register'!$P$5:$P$500=TRUE),14)),"")</f>
        <v/>
      </c>
      <c r="I24" s="96">
        <f>IFERROR(INDEX('Work Register'!G:G,AGGREGATE(15,6,ROW('Work Register'!$D$5:$D$500)/('Work Register'!$P$5:$P$500=TRUE),14)),"")</f>
        <v/>
      </c>
      <c r="J24" s="39" t="n"/>
    </row>
    <row r="25">
      <c r="A25" s="39" t="n"/>
      <c r="B25" s="95">
        <f>IFERROR(INDEX('Work Register'!D:D,AGGREGATE(15,6,ROW('Work Register'!$D$5:$D$500)/('Work Register'!$P$5:$P$500=TRUE),15)),"")</f>
        <v/>
      </c>
      <c r="C25" s="95">
        <f>IFERROR(INDEX('Work Register'!A:A,AGGREGATE(15,6,ROW('Work Register'!$D$5:$D$500)/('Work Register'!$P$5:$P$500=TRUE),15)),"")</f>
        <v/>
      </c>
      <c r="D25" s="95">
        <f>IFERROR(INDEX('Work Register'!C:C,AGGREGATE(15,6,ROW('Work Register'!$D$5:$D$500)/('Work Register'!$P$5:$P$500=TRUE),15)),"")</f>
        <v/>
      </c>
      <c r="E25" s="96">
        <f>IFERROR(INDEX('Work Register'!E:E,AGGREGATE(15,6,ROW('Work Register'!$D$5:$D$500)/('Work Register'!$P$5:$P$500=TRUE),15)),"")</f>
        <v/>
      </c>
      <c r="F25" s="96">
        <f>IFERROR(INDEX('Work Register'!F:F,AGGREGATE(15,6,ROW('Work Register'!$D$5:$D$500)/('Work Register'!$P$5:$P$500=TRUE),15)),"")</f>
        <v/>
      </c>
      <c r="G25" s="96">
        <f>IFERROR(INDEX('Work Register'!I:I,AGGREGATE(15,6,ROW('Work Register'!$D$5:$D$500)/('Work Register'!$P$5:$P$500=TRUE),15)),"")</f>
        <v/>
      </c>
      <c r="H25" s="96">
        <f>IFERROR(INDEX('Work Register'!H:H,AGGREGATE(15,6,ROW('Work Register'!$D$5:$D$500)/('Work Register'!$P$5:$P$500=TRUE),15)),"")</f>
        <v/>
      </c>
      <c r="I25" s="96">
        <f>IFERROR(INDEX('Work Register'!G:G,AGGREGATE(15,6,ROW('Work Register'!$D$5:$D$500)/('Work Register'!$P$5:$P$500=TRUE),15)),"")</f>
        <v/>
      </c>
      <c r="J25" s="39" t="n"/>
    </row>
    <row r="26">
      <c r="A26" s="39" t="n"/>
      <c r="B26" s="39" t="n"/>
      <c r="C26" s="39" t="n"/>
      <c r="D26" s="39" t="n"/>
      <c r="E26" s="39" t="n"/>
      <c r="F26" s="39" t="n"/>
      <c r="G26" s="39" t="n"/>
      <c r="H26" s="39" t="n"/>
      <c r="I26" s="39" t="n"/>
      <c r="J26" s="39" t="n"/>
    </row>
    <row r="27">
      <c r="A27" s="39" t="n"/>
      <c r="B27" s="83" t="n"/>
      <c r="G27" s="39" t="n"/>
      <c r="H27" s="39" t="n"/>
      <c r="I27" s="39" t="n"/>
      <c r="J27" s="39" t="n"/>
    </row>
    <row r="28">
      <c r="A28" s="39" t="n"/>
      <c r="B28" s="39" t="n"/>
      <c r="C28" s="39" t="n"/>
      <c r="D28" s="39" t="n"/>
      <c r="E28" s="39" t="n"/>
      <c r="F28" s="39" t="n"/>
      <c r="G28" s="39" t="n"/>
      <c r="H28" s="39" t="n"/>
      <c r="I28" s="39" t="n"/>
      <c r="J28" s="39" t="n"/>
    </row>
    <row r="29">
      <c r="A29" s="39" t="n"/>
      <c r="B29" s="131" t="inlineStr">
        <is>
          <t>Archived Matches (Keyword search only)</t>
        </is>
      </c>
      <c r="C29" s="39" t="n"/>
      <c r="D29" s="39" t="n"/>
      <c r="E29" s="39" t="n"/>
      <c r="F29" s="39" t="n"/>
      <c r="G29" s="39" t="n"/>
      <c r="H29" s="39" t="n"/>
      <c r="I29" s="39" t="n"/>
      <c r="J29" s="39" t="n"/>
    </row>
    <row r="30">
      <c r="A30" s="39" t="n"/>
      <c r="B30" s="132">
        <f>IF('Task Finder'!$C$6&lt;&gt;"Keyword","Set Filter to Keyword above to search Archive.",COUNTIF(Archive!$M$6:$M$500,TRUE)&amp;" archived match(es)")</f>
        <v/>
      </c>
      <c r="G30" s="39" t="n"/>
      <c r="H30" s="39" t="n"/>
      <c r="I30" s="39" t="n"/>
      <c r="J30" s="39" t="n"/>
    </row>
    <row r="31">
      <c r="B31" s="133" t="inlineStr">
        <is>
          <t>Task</t>
        </is>
      </c>
      <c r="C31" s="133" t="inlineStr">
        <is>
          <t>Mission</t>
        </is>
      </c>
      <c r="D31" s="133" t="inlineStr">
        <is>
          <t>Component</t>
        </is>
      </c>
      <c r="E31" s="133" t="inlineStr">
        <is>
          <t>Status</t>
        </is>
      </c>
      <c r="F31" s="133" t="inlineStr">
        <is>
          <t>Completed Date</t>
        </is>
      </c>
    </row>
    <row r="32">
      <c r="B32" s="134">
        <f>IFERROR(INDEX(Archive!D:D,AGGREGATE(15,6,ROW(Archive!$A$6:$A$500)/(Archive!$M$6:$M$500=TRUE),1)),"")</f>
        <v/>
      </c>
      <c r="C32" s="134">
        <f>IFERROR(INDEX(Archive!A:A,AGGREGATE(15,6,ROW(Archive!$A$6:$A$500)/(Archive!$M$6:$M$500=TRUE),1)),"")</f>
        <v/>
      </c>
      <c r="D32" s="134">
        <f>IFERROR(INDEX(Archive!C:C,AGGREGATE(15,6,ROW(Archive!$A$6:$A$500)/(Archive!$M$6:$M$500=TRUE),1)),"")</f>
        <v/>
      </c>
      <c r="E32" s="135">
        <f>IFERROR(INDEX(Archive!E:E,AGGREGATE(15,6,ROW(Archive!$A$6:$A$500)/(Archive!$M$6:$M$500=TRUE),1)),"")</f>
        <v/>
      </c>
      <c r="F32" s="135">
        <f>IFERROR(INDEX(Archive!L:L,AGGREGATE(15,6,ROW(Archive!$A$6:$A$500)/(Archive!$M$6:$M$500=TRUE),1)),"")</f>
        <v/>
      </c>
    </row>
    <row r="33">
      <c r="B33" s="134">
        <f>IFERROR(INDEX(Archive!D:D,AGGREGATE(15,6,ROW(Archive!$A$6:$A$500)/(Archive!$M$6:$M$500=TRUE),2)),"")</f>
        <v/>
      </c>
      <c r="C33" s="134">
        <f>IFERROR(INDEX(Archive!A:A,AGGREGATE(15,6,ROW(Archive!$A$6:$A$500)/(Archive!$M$6:$M$500=TRUE),2)),"")</f>
        <v/>
      </c>
      <c r="D33" s="134">
        <f>IFERROR(INDEX(Archive!C:C,AGGREGATE(15,6,ROW(Archive!$A$6:$A$500)/(Archive!$M$6:$M$500=TRUE),2)),"")</f>
        <v/>
      </c>
      <c r="E33" s="135">
        <f>IFERROR(INDEX(Archive!E:E,AGGREGATE(15,6,ROW(Archive!$A$6:$A$500)/(Archive!$M$6:$M$500=TRUE),2)),"")</f>
        <v/>
      </c>
      <c r="F33" s="135">
        <f>IFERROR(INDEX(Archive!L:L,AGGREGATE(15,6,ROW(Archive!$A$6:$A$500)/(Archive!$M$6:$M$500=TRUE),2)),"")</f>
        <v/>
      </c>
    </row>
    <row r="34">
      <c r="B34" s="134">
        <f>IFERROR(INDEX(Archive!D:D,AGGREGATE(15,6,ROW(Archive!$A$6:$A$500)/(Archive!$M$6:$M$500=TRUE),3)),"")</f>
        <v/>
      </c>
      <c r="C34" s="134">
        <f>IFERROR(INDEX(Archive!A:A,AGGREGATE(15,6,ROW(Archive!$A$6:$A$500)/(Archive!$M$6:$M$500=TRUE),3)),"")</f>
        <v/>
      </c>
      <c r="D34" s="134">
        <f>IFERROR(INDEX(Archive!C:C,AGGREGATE(15,6,ROW(Archive!$A$6:$A$500)/(Archive!$M$6:$M$500=TRUE),3)),"")</f>
        <v/>
      </c>
      <c r="E34" s="135">
        <f>IFERROR(INDEX(Archive!E:E,AGGREGATE(15,6,ROW(Archive!$A$6:$A$500)/(Archive!$M$6:$M$500=TRUE),3)),"")</f>
        <v/>
      </c>
      <c r="F34" s="135">
        <f>IFERROR(INDEX(Archive!L:L,AGGREGATE(15,6,ROW(Archive!$A$6:$A$500)/(Archive!$M$6:$M$500=TRUE),3)),"")</f>
        <v/>
      </c>
    </row>
    <row r="35">
      <c r="B35" s="134">
        <f>IFERROR(INDEX(Archive!D:D,AGGREGATE(15,6,ROW(Archive!$A$6:$A$500)/(Archive!$M$6:$M$500=TRUE),4)),"")</f>
        <v/>
      </c>
      <c r="C35" s="134">
        <f>IFERROR(INDEX(Archive!A:A,AGGREGATE(15,6,ROW(Archive!$A$6:$A$500)/(Archive!$M$6:$M$500=TRUE),4)),"")</f>
        <v/>
      </c>
      <c r="D35" s="134">
        <f>IFERROR(INDEX(Archive!C:C,AGGREGATE(15,6,ROW(Archive!$A$6:$A$500)/(Archive!$M$6:$M$500=TRUE),4)),"")</f>
        <v/>
      </c>
      <c r="E35" s="135">
        <f>IFERROR(INDEX(Archive!E:E,AGGREGATE(15,6,ROW(Archive!$A$6:$A$500)/(Archive!$M$6:$M$500=TRUE),4)),"")</f>
        <v/>
      </c>
      <c r="F35" s="135">
        <f>IFERROR(INDEX(Archive!L:L,AGGREGATE(15,6,ROW(Archive!$A$6:$A$500)/(Archive!$M$6:$M$500=TRUE),4)),"")</f>
        <v/>
      </c>
    </row>
    <row r="36">
      <c r="B36" s="134">
        <f>IFERROR(INDEX(Archive!D:D,AGGREGATE(15,6,ROW(Archive!$A$6:$A$500)/(Archive!$M$6:$M$500=TRUE),5)),"")</f>
        <v/>
      </c>
      <c r="C36" s="134">
        <f>IFERROR(INDEX(Archive!A:A,AGGREGATE(15,6,ROW(Archive!$A$6:$A$500)/(Archive!$M$6:$M$500=TRUE),5)),"")</f>
        <v/>
      </c>
      <c r="D36" s="134">
        <f>IFERROR(INDEX(Archive!C:C,AGGREGATE(15,6,ROW(Archive!$A$6:$A$500)/(Archive!$M$6:$M$500=TRUE),5)),"")</f>
        <v/>
      </c>
      <c r="E36" s="135">
        <f>IFERROR(INDEX(Archive!E:E,AGGREGATE(15,6,ROW(Archive!$A$6:$A$500)/(Archive!$M$6:$M$500=TRUE),5)),"")</f>
        <v/>
      </c>
      <c r="F36" s="135">
        <f>IFERROR(INDEX(Archive!L:L,AGGREGATE(15,6,ROW(Archive!$A$6:$A$500)/(Archive!$M$6:$M$500=TRUE),5)),"")</f>
        <v/>
      </c>
    </row>
    <row r="37">
      <c r="B37" s="134">
        <f>IFERROR(INDEX(Archive!D:D,AGGREGATE(15,6,ROW(Archive!$A$6:$A$500)/(Archive!$M$6:$M$500=TRUE),6)),"")</f>
        <v/>
      </c>
      <c r="C37" s="134">
        <f>IFERROR(INDEX(Archive!A:A,AGGREGATE(15,6,ROW(Archive!$A$6:$A$500)/(Archive!$M$6:$M$500=TRUE),6)),"")</f>
        <v/>
      </c>
      <c r="D37" s="134">
        <f>IFERROR(INDEX(Archive!C:C,AGGREGATE(15,6,ROW(Archive!$A$6:$A$500)/(Archive!$M$6:$M$500=TRUE),6)),"")</f>
        <v/>
      </c>
      <c r="E37" s="135">
        <f>IFERROR(INDEX(Archive!E:E,AGGREGATE(15,6,ROW(Archive!$A$6:$A$500)/(Archive!$M$6:$M$500=TRUE),6)),"")</f>
        <v/>
      </c>
      <c r="F37" s="135">
        <f>IFERROR(INDEX(Archive!L:L,AGGREGATE(15,6,ROW(Archive!$A$6:$A$500)/(Archive!$M$6:$M$500=TRUE),6)),"")</f>
        <v/>
      </c>
    </row>
    <row r="38">
      <c r="B38" s="134">
        <f>IFERROR(INDEX(Archive!D:D,AGGREGATE(15,6,ROW(Archive!$A$6:$A$500)/(Archive!$M$6:$M$500=TRUE),7)),"")</f>
        <v/>
      </c>
      <c r="C38" s="134">
        <f>IFERROR(INDEX(Archive!A:A,AGGREGATE(15,6,ROW(Archive!$A$6:$A$500)/(Archive!$M$6:$M$500=TRUE),7)),"")</f>
        <v/>
      </c>
      <c r="D38" s="134">
        <f>IFERROR(INDEX(Archive!C:C,AGGREGATE(15,6,ROW(Archive!$A$6:$A$500)/(Archive!$M$6:$M$500=TRUE),7)),"")</f>
        <v/>
      </c>
      <c r="E38" s="135">
        <f>IFERROR(INDEX(Archive!E:E,AGGREGATE(15,6,ROW(Archive!$A$6:$A$500)/(Archive!$M$6:$M$500=TRUE),7)),"")</f>
        <v/>
      </c>
      <c r="F38" s="135">
        <f>IFERROR(INDEX(Archive!L:L,AGGREGATE(15,6,ROW(Archive!$A$6:$A$500)/(Archive!$M$6:$M$500=TRUE),7)),"")</f>
        <v/>
      </c>
    </row>
    <row r="39">
      <c r="B39" s="134">
        <f>IFERROR(INDEX(Archive!D:D,AGGREGATE(15,6,ROW(Archive!$A$6:$A$500)/(Archive!$M$6:$M$500=TRUE),8)),"")</f>
        <v/>
      </c>
      <c r="C39" s="134">
        <f>IFERROR(INDEX(Archive!A:A,AGGREGATE(15,6,ROW(Archive!$A$6:$A$500)/(Archive!$M$6:$M$500=TRUE),8)),"")</f>
        <v/>
      </c>
      <c r="D39" s="134">
        <f>IFERROR(INDEX(Archive!C:C,AGGREGATE(15,6,ROW(Archive!$A$6:$A$500)/(Archive!$M$6:$M$500=TRUE),8)),"")</f>
        <v/>
      </c>
      <c r="E39" s="135">
        <f>IFERROR(INDEX(Archive!E:E,AGGREGATE(15,6,ROW(Archive!$A$6:$A$500)/(Archive!$M$6:$M$500=TRUE),8)),"")</f>
        <v/>
      </c>
      <c r="F39" s="135">
        <f>IFERROR(INDEX(Archive!L:L,AGGREGATE(15,6,ROW(Archive!$A$6:$A$500)/(Archive!$M$6:$M$500=TRUE),8)),"")</f>
        <v/>
      </c>
    </row>
    <row r="40">
      <c r="B40" s="136" t="inlineStr">
        <is>
          <t>Showing up to 15 active matches and 8 archived matches. Narrow the filter for a shorter list.</t>
        </is>
      </c>
    </row>
  </sheetData>
  <sheetProtection selectLockedCells="0" selectUnlockedCells="0" sheet="1" objects="0" insertRows="1" insertHyperlinks="1" autoFilter="1" scenarios="0" formatColumns="1" deleteColumns="1" insertColumns="1" pivotTables="1" deleteRows="1" formatCells="1" formatRows="1" sort="1"/>
  <mergeCells count="5">
    <mergeCell ref="B30:F30"/>
    <mergeCell ref="D7:H7"/>
    <mergeCell ref="D6:F6"/>
    <mergeCell ref="B40:F40"/>
    <mergeCell ref="B27:F27"/>
  </mergeCells>
  <dataValidations count="1">
    <dataValidation sqref="C6" showDropDown="0" showInputMessage="0" showErrorMessage="0" allowBlank="0" type="list">
      <formula1>FilterOptions</formula1>
    </dataValidation>
  </dataValidations>
  <hyperlinks>
    <hyperlink xmlns:r="http://schemas.openxmlformats.org/officeDocument/2006/relationships" ref="B4"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0"/>
  <sheetViews>
    <sheetView showGridLines="0" workbookViewId="0">
      <selection activeCell="A1" sqref="A1"/>
    </sheetView>
  </sheetViews>
  <sheetFormatPr baseColWidth="8" defaultRowHeight="15"/>
  <cols>
    <col width="25" customWidth="1" min="2" max="2"/>
    <col width="20" customWidth="1" min="3" max="3"/>
    <col width="20" customWidth="1" min="4" max="4"/>
    <col width="15" customWidth="1" min="5" max="5"/>
    <col width="15" customWidth="1" min="6" max="6"/>
    <col width="25" customWidth="1" min="7" max="7"/>
  </cols>
  <sheetData>
    <row r="1"/>
    <row r="2">
      <c r="B2" s="10" t="inlineStr">
        <is>
          <t>Today</t>
        </is>
      </c>
    </row>
    <row r="3">
      <c r="B3" s="20">
        <f>TEXT(TODAY(),"dddd, mmmm d, yyyy")</f>
        <v/>
      </c>
    </row>
    <row r="4" ht="20" customHeight="1">
      <c r="B4" s="11" t="inlineStr">
        <is>
          <t>← Home</t>
        </is>
      </c>
    </row>
    <row r="5">
      <c r="A5" s="39" t="n"/>
      <c r="B5" s="39" t="n"/>
      <c r="C5" s="39" t="n"/>
      <c r="D5" s="39" t="n"/>
      <c r="E5" s="39" t="n"/>
      <c r="F5" s="39" t="n"/>
      <c r="G5" s="39" t="n"/>
      <c r="H5" s="39" t="n"/>
      <c r="I5" s="39" t="n"/>
      <c r="J5" s="39" t="n"/>
    </row>
    <row r="6">
      <c r="A6" s="39" t="n"/>
      <c r="B6" s="40" t="inlineStr">
        <is>
          <t>Recommended Next Task</t>
        </is>
      </c>
      <c r="H6" s="39" t="n"/>
      <c r="I6" s="39" t="n"/>
      <c r="J6" s="39" t="n"/>
    </row>
    <row r="7" ht="26" customHeight="1">
      <c r="A7" s="39" t="n"/>
      <c r="B7" s="147">
        <f>IF(Home!$Z$1=0,"No actionable tasks right now",Home!C10&amp;"  ›  "&amp;Home!C11&amp;"  ›  "&amp;Home!C12)</f>
        <v/>
      </c>
      <c r="C7" s="113" t="n"/>
      <c r="D7" s="113" t="n"/>
      <c r="E7" s="113" t="n"/>
      <c r="F7" s="113" t="n"/>
      <c r="G7" s="114" t="n"/>
      <c r="H7" s="39" t="n"/>
      <c r="I7" s="39" t="n"/>
      <c r="J7" s="39" t="n"/>
    </row>
    <row r="8" ht="18" customHeight="1">
      <c r="A8" s="39" t="n"/>
      <c r="B8" s="71">
        <f>Home!C13</f>
        <v/>
      </c>
      <c r="G8" s="72">
        <f>Home!C14</f>
        <v/>
      </c>
      <c r="H8" s="39" t="n"/>
      <c r="I8" s="39" t="n"/>
      <c r="J8" s="39" t="n"/>
    </row>
    <row r="9" ht="16" customHeight="1">
      <c r="A9" s="39" t="n"/>
      <c r="B9" s="117">
        <f>IF(Home!$Z$1=0,"","Energy: "&amp;Home!C16&amp;"   •   Due: "&amp;Home!C17&amp;"   •   Status: "&amp;Home!C18)</f>
        <v/>
      </c>
      <c r="H9" s="39" t="n"/>
      <c r="I9" s="39" t="n"/>
      <c r="J9" s="39" t="n"/>
    </row>
    <row r="10">
      <c r="A10" s="39" t="n"/>
      <c r="B10" s="40" t="inlineStr">
        <is>
          <t>Planned Tasks (Your Selection)</t>
        </is>
      </c>
      <c r="C10" s="39" t="n"/>
      <c r="D10" s="39" t="n"/>
      <c r="E10" s="39" t="n"/>
      <c r="F10" s="39" t="n"/>
      <c r="G10" s="39" t="n"/>
      <c r="H10" s="39" t="n"/>
      <c r="I10" s="39" t="n"/>
      <c r="J10" s="39" t="n"/>
    </row>
    <row r="11">
      <c r="A11" s="39" t="n"/>
      <c r="B11" s="61" t="inlineStr">
        <is>
          <t>Copy from Recommended Next Task or Top 3 below — the user always has the final say.</t>
        </is>
      </c>
      <c r="H11" s="39" t="n"/>
      <c r="I11" s="39" t="n"/>
      <c r="J11" s="39" t="n"/>
    </row>
    <row r="12">
      <c r="A12" s="39" t="n"/>
      <c r="B12" s="13" t="inlineStr">
        <is>
          <t>Priority</t>
        </is>
      </c>
      <c r="C12" s="13" t="inlineStr">
        <is>
          <t>Task</t>
        </is>
      </c>
      <c r="D12" s="13" t="inlineStr">
        <is>
          <t>Mission</t>
        </is>
      </c>
      <c r="E12" s="13" t="inlineStr">
        <is>
          <t>Estimated Time</t>
        </is>
      </c>
      <c r="F12" s="13" t="inlineStr">
        <is>
          <t>Energy</t>
        </is>
      </c>
      <c r="G12" s="13" t="inlineStr">
        <is>
          <t>Status</t>
        </is>
      </c>
      <c r="H12" s="39" t="n"/>
      <c r="I12" s="39" t="n"/>
      <c r="J12" s="39" t="n"/>
    </row>
    <row r="13" ht="25" customHeight="1">
      <c r="A13" s="39" t="n"/>
      <c r="B13" s="63" t="n"/>
      <c r="C13" s="63" t="n"/>
      <c r="D13" s="63" t="n"/>
      <c r="E13" s="63" t="n"/>
      <c r="F13" s="63" t="n"/>
      <c r="G13" s="63" t="n"/>
      <c r="H13" s="39" t="n"/>
      <c r="I13" s="39" t="n"/>
      <c r="J13" s="39" t="n"/>
    </row>
    <row r="14" ht="25" customHeight="1">
      <c r="A14" s="39" t="n"/>
      <c r="B14" s="63" t="n"/>
      <c r="C14" s="63" t="n"/>
      <c r="D14" s="63" t="n"/>
      <c r="E14" s="63" t="n"/>
      <c r="F14" s="63" t="n"/>
      <c r="G14" s="63" t="n"/>
      <c r="H14" s="39" t="n"/>
      <c r="I14" s="39" t="n"/>
      <c r="J14" s="39" t="n"/>
    </row>
    <row r="15" ht="25" customHeight="1">
      <c r="A15" s="39" t="n"/>
      <c r="B15" s="63" t="n"/>
      <c r="C15" s="63" t="n"/>
      <c r="D15" s="63" t="n"/>
      <c r="E15" s="63" t="n"/>
      <c r="F15" s="63" t="n"/>
      <c r="G15" s="63" t="n"/>
      <c r="H15" s="39" t="n"/>
      <c r="I15" s="39" t="n"/>
      <c r="J15" s="39" t="n"/>
    </row>
    <row r="16" ht="25" customHeight="1">
      <c r="A16" s="39" t="n"/>
      <c r="B16" s="39" t="n"/>
      <c r="C16" s="39" t="n"/>
      <c r="D16" s="39" t="n"/>
      <c r="E16" s="39" t="n"/>
      <c r="F16" s="39" t="n"/>
      <c r="G16" s="39" t="n"/>
      <c r="H16" s="39" t="n"/>
      <c r="I16" s="39" t="n"/>
      <c r="J16" s="39" t="n"/>
    </row>
    <row r="17" ht="25" customHeight="1">
      <c r="A17" s="39" t="n"/>
      <c r="B17" s="39" t="n"/>
      <c r="C17" s="39" t="n"/>
      <c r="D17" s="39" t="n"/>
      <c r="E17" s="39" t="n"/>
      <c r="F17" s="39" t="n"/>
      <c r="G17" s="39" t="n"/>
      <c r="H17" s="39" t="n"/>
      <c r="I17" s="39" t="n"/>
      <c r="J17" s="39" t="n"/>
    </row>
    <row r="18" ht="25" customHeight="1">
      <c r="A18" s="39" t="n"/>
      <c r="B18" s="40" t="inlineStr">
        <is>
          <t>Current Focus</t>
        </is>
      </c>
      <c r="C18" s="39" t="n"/>
      <c r="D18" s="39" t="n"/>
      <c r="E18" s="39" t="n"/>
      <c r="F18" s="39" t="n"/>
      <c r="G18" s="39" t="n"/>
      <c r="H18" s="39" t="n"/>
      <c r="I18" s="39" t="n"/>
      <c r="J18" s="39" t="n"/>
    </row>
    <row r="19" ht="22" customHeight="1">
      <c r="A19" s="39" t="n"/>
      <c r="B19" s="8" t="inlineStr">
        <is>
          <t>Current Mission</t>
        </is>
      </c>
      <c r="C19" s="148">
        <f>'Current Focus'!C7</f>
        <v/>
      </c>
      <c r="D19" s="113" t="n"/>
      <c r="E19" s="113" t="n"/>
      <c r="F19" s="113" t="n"/>
      <c r="G19" s="114" t="n"/>
      <c r="H19" s="39" t="n"/>
      <c r="I19" s="39" t="n"/>
      <c r="J19" s="39" t="n"/>
    </row>
    <row r="20" ht="22" customHeight="1">
      <c r="A20" s="39" t="n"/>
      <c r="B20" s="8" t="inlineStr">
        <is>
          <t>Current Deliverable</t>
        </is>
      </c>
      <c r="C20" s="148">
        <f>'Current Focus'!C8</f>
        <v/>
      </c>
      <c r="D20" s="113" t="n"/>
      <c r="E20" s="113" t="n"/>
      <c r="F20" s="113" t="n"/>
      <c r="G20" s="114" t="n"/>
      <c r="H20" s="39" t="n"/>
      <c r="I20" s="39" t="n"/>
      <c r="J20" s="39" t="n"/>
    </row>
    <row r="21" ht="22" customHeight="1">
      <c r="A21" s="39" t="n"/>
      <c r="B21" s="8" t="inlineStr">
        <is>
          <t>Current Component</t>
        </is>
      </c>
      <c r="C21" s="148">
        <f>'Current Focus'!C9</f>
        <v/>
      </c>
      <c r="D21" s="113" t="n"/>
      <c r="E21" s="113" t="n"/>
      <c r="F21" s="113" t="n"/>
      <c r="G21" s="114" t="n"/>
      <c r="H21" s="39" t="n"/>
      <c r="I21" s="39" t="n"/>
      <c r="J21" s="39" t="n"/>
    </row>
    <row r="22" ht="22" customHeight="1">
      <c r="A22" s="39" t="n"/>
      <c r="B22" s="8" t="inlineStr">
        <is>
          <t>Current Task</t>
        </is>
      </c>
      <c r="C22" s="148">
        <f>'Current Focus'!C5</f>
        <v/>
      </c>
      <c r="D22" s="113" t="n"/>
      <c r="E22" s="113" t="n"/>
      <c r="F22" s="113" t="n"/>
      <c r="G22" s="114" t="n"/>
      <c r="H22" s="39" t="n"/>
      <c r="I22" s="39" t="n"/>
      <c r="J22" s="39" t="n"/>
    </row>
    <row r="23" ht="22" customHeight="1">
      <c r="A23" s="39" t="n"/>
      <c r="B23" s="8" t="inlineStr">
        <is>
          <t>Definition of Done</t>
        </is>
      </c>
      <c r="C23" s="148">
        <f>'Current Focus'!C11</f>
        <v/>
      </c>
      <c r="D23" s="113" t="n"/>
      <c r="E23" s="113" t="n"/>
      <c r="F23" s="113" t="n"/>
      <c r="G23" s="114" t="n"/>
      <c r="H23" s="39" t="n"/>
      <c r="I23" s="39" t="n"/>
      <c r="J23" s="39" t="n"/>
    </row>
    <row r="24" ht="22" customHeight="1">
      <c r="A24" s="39" t="n"/>
      <c r="B24" s="8" t="inlineStr">
        <is>
          <t>Current Blocker</t>
        </is>
      </c>
      <c r="C24" s="148">
        <f>'Current Focus'!C13</f>
        <v/>
      </c>
      <c r="D24" s="113" t="n"/>
      <c r="E24" s="113" t="n"/>
      <c r="F24" s="113" t="n"/>
      <c r="G24" s="114" t="n"/>
      <c r="H24" s="39" t="n"/>
      <c r="I24" s="39" t="n"/>
      <c r="J24" s="39" t="n"/>
    </row>
    <row r="25" ht="22" customHeight="1">
      <c r="A25" s="39" t="n"/>
      <c r="B25" s="8" t="inlineStr">
        <is>
          <t>Next Physical Action</t>
        </is>
      </c>
      <c r="C25" s="148">
        <f>'Current Focus'!C12</f>
        <v/>
      </c>
      <c r="D25" s="113" t="n"/>
      <c r="E25" s="113" t="n"/>
      <c r="F25" s="113" t="n"/>
      <c r="G25" s="114" t="n"/>
      <c r="H25" s="39" t="n"/>
      <c r="I25" s="39" t="n"/>
      <c r="J25" s="39" t="n"/>
    </row>
    <row r="26">
      <c r="A26" s="39" t="n"/>
      <c r="B26" s="85" t="inlineStr">
        <is>
          <t>Edit Current Focus on the Current Focus sheet — this section mirrors it automatically.</t>
        </is>
      </c>
      <c r="H26" s="39" t="n"/>
      <c r="I26" s="39" t="n"/>
      <c r="J26" s="39" t="n"/>
    </row>
    <row r="27">
      <c r="A27" s="39" t="n"/>
      <c r="B27" s="40" t="inlineStr">
        <is>
          <t>Top 3 Recommended (Auto)</t>
        </is>
      </c>
      <c r="C27" s="39" t="n"/>
      <c r="D27" s="39" t="n"/>
      <c r="E27" s="39" t="n"/>
      <c r="F27" s="39" t="n"/>
      <c r="G27" s="39" t="n"/>
      <c r="H27" s="39" t="n"/>
      <c r="I27" s="39" t="n"/>
      <c r="J27" s="39" t="n"/>
    </row>
    <row r="28">
      <c r="A28" s="39" t="n"/>
      <c r="B28" s="61" t="inlineStr">
        <is>
          <t>Ranked automatically by priority, due date, fit to your available time, and current energy.</t>
        </is>
      </c>
      <c r="H28" s="39" t="n"/>
      <c r="I28" s="39" t="n"/>
      <c r="J28" s="39" t="n"/>
    </row>
    <row r="29">
      <c r="A29" s="39" t="n"/>
      <c r="B29" s="13" t="inlineStr">
        <is>
          <t>Priority</t>
        </is>
      </c>
      <c r="C29" s="13" t="inlineStr">
        <is>
          <t>Task</t>
        </is>
      </c>
      <c r="D29" s="13" t="inlineStr">
        <is>
          <t>Mission</t>
        </is>
      </c>
      <c r="E29" s="13" t="inlineStr">
        <is>
          <t>Due Date</t>
        </is>
      </c>
      <c r="F29" s="13" t="inlineStr">
        <is>
          <t>Time</t>
        </is>
      </c>
      <c r="G29" s="13" t="inlineStr">
        <is>
          <t>Energy</t>
        </is>
      </c>
      <c r="H29" s="39" t="n"/>
      <c r="I29" s="39" t="n"/>
      <c r="J29" s="39" t="n"/>
    </row>
    <row r="30">
      <c r="A30" s="39" t="n"/>
      <c r="B30" s="64">
        <f>IFERROR(IF(LARGE('Work Register'!$N$5:$N$500,1)&lt;=-500,"",INDEX('Work Register'!F:F,MATCH(LARGE('Work Register'!$N$5:$N$500,1),'Work Register'!$N$5:$N$500,0)+4)),"")</f>
        <v/>
      </c>
      <c r="C30" s="42">
        <f>IFERROR(IF(LARGE('Work Register'!$N$5:$N$500,1)&lt;=-500,"",INDEX('Work Register'!D:D,MATCH(LARGE('Work Register'!$N$5:$N$500,1),'Work Register'!$N$5:$N$500,0)+4)),"")</f>
        <v/>
      </c>
      <c r="D30" s="42">
        <f>IFERROR(IF(LARGE('Work Register'!$N$5:$N$500,1)&lt;=-500,"",INDEX('Work Register'!A:A,MATCH(LARGE('Work Register'!$N$5:$N$500,1),'Work Register'!$N$5:$N$500,0)+4)),"")</f>
        <v/>
      </c>
      <c r="E30" s="64">
        <f>IFERROR(IF(LARGE('Work Register'!$N$5:$N$500,1)&lt;=-500,"",INDEX('Work Register'!I:I,MATCH(LARGE('Work Register'!$N$5:$N$500,1),'Work Register'!$N$5:$N$500,0)+4)),"")</f>
        <v/>
      </c>
      <c r="F30" s="64">
        <f>IFERROR(IF(LARGE('Work Register'!$N$5:$N$500,1)&lt;=-500,"",INDEX('Work Register'!H:H,MATCH(LARGE('Work Register'!$N$5:$N$500,1),'Work Register'!$N$5:$N$500,0)+4)),"")</f>
        <v/>
      </c>
      <c r="G30" s="64">
        <f>IFERROR(IF(LARGE('Work Register'!$N$5:$N$500,1)&lt;=-500,"",INDEX('Work Register'!G:G,MATCH(LARGE('Work Register'!$N$5:$N$500,1),'Work Register'!$N$5:$N$500,0)+4)),"")</f>
        <v/>
      </c>
      <c r="H30" s="39" t="n"/>
      <c r="I30" s="39" t="n"/>
      <c r="J30" s="39" t="n"/>
    </row>
    <row r="31">
      <c r="A31" s="39" t="n"/>
      <c r="B31" s="64">
        <f>IFERROR(IF(LARGE('Work Register'!$N$5:$N$500,2)&lt;=-500,"",INDEX('Work Register'!F:F,MATCH(LARGE('Work Register'!$N$5:$N$500,2),'Work Register'!$N$5:$N$500,0)+4)),"")</f>
        <v/>
      </c>
      <c r="C31" s="42">
        <f>IFERROR(IF(LARGE('Work Register'!$N$5:$N$500,2)&lt;=-500,"",INDEX('Work Register'!D:D,MATCH(LARGE('Work Register'!$N$5:$N$500,2),'Work Register'!$N$5:$N$500,0)+4)),"")</f>
        <v/>
      </c>
      <c r="D31" s="42">
        <f>IFERROR(IF(LARGE('Work Register'!$N$5:$N$500,2)&lt;=-500,"",INDEX('Work Register'!A:A,MATCH(LARGE('Work Register'!$N$5:$N$500,2),'Work Register'!$N$5:$N$500,0)+4)),"")</f>
        <v/>
      </c>
      <c r="E31" s="64">
        <f>IFERROR(IF(LARGE('Work Register'!$N$5:$N$500,2)&lt;=-500,"",INDEX('Work Register'!I:I,MATCH(LARGE('Work Register'!$N$5:$N$500,2),'Work Register'!$N$5:$N$500,0)+4)),"")</f>
        <v/>
      </c>
      <c r="F31" s="64">
        <f>IFERROR(IF(LARGE('Work Register'!$N$5:$N$500,2)&lt;=-500,"",INDEX('Work Register'!H:H,MATCH(LARGE('Work Register'!$N$5:$N$500,2),'Work Register'!$N$5:$N$500,0)+4)),"")</f>
        <v/>
      </c>
      <c r="G31" s="64">
        <f>IFERROR(IF(LARGE('Work Register'!$N$5:$N$500,2)&lt;=-500,"",INDEX('Work Register'!G:G,MATCH(LARGE('Work Register'!$N$5:$N$500,2),'Work Register'!$N$5:$N$500,0)+4)),"")</f>
        <v/>
      </c>
      <c r="H31" s="39" t="n"/>
      <c r="I31" s="39" t="n"/>
      <c r="J31" s="39" t="n"/>
    </row>
    <row r="32">
      <c r="A32" s="39" t="n"/>
      <c r="B32" s="64">
        <f>IFERROR(IF(LARGE('Work Register'!$N$5:$N$500,3)&lt;=-500,"",INDEX('Work Register'!F:F,MATCH(LARGE('Work Register'!$N$5:$N$500,3),'Work Register'!$N$5:$N$500,0)+4)),"")</f>
        <v/>
      </c>
      <c r="C32" s="42">
        <f>IFERROR(IF(LARGE('Work Register'!$N$5:$N$500,3)&lt;=-500,"",INDEX('Work Register'!D:D,MATCH(LARGE('Work Register'!$N$5:$N$500,3),'Work Register'!$N$5:$N$500,0)+4)),"")</f>
        <v/>
      </c>
      <c r="D32" s="42">
        <f>IFERROR(IF(LARGE('Work Register'!$N$5:$N$500,3)&lt;=-500,"",INDEX('Work Register'!A:A,MATCH(LARGE('Work Register'!$N$5:$N$500,3),'Work Register'!$N$5:$N$500,0)+4)),"")</f>
        <v/>
      </c>
      <c r="E32" s="64">
        <f>IFERROR(IF(LARGE('Work Register'!$N$5:$N$500,3)&lt;=-500,"",INDEX('Work Register'!I:I,MATCH(LARGE('Work Register'!$N$5:$N$500,3),'Work Register'!$N$5:$N$500,0)+4)),"")</f>
        <v/>
      </c>
      <c r="F32" s="64">
        <f>IFERROR(IF(LARGE('Work Register'!$N$5:$N$500,3)&lt;=-500,"",INDEX('Work Register'!H:H,MATCH(LARGE('Work Register'!$N$5:$N$500,3),'Work Register'!$N$5:$N$500,0)+4)),"")</f>
        <v/>
      </c>
      <c r="G32" s="64">
        <f>IFERROR(IF(LARGE('Work Register'!$N$5:$N$500,3)&lt;=-500,"",INDEX('Work Register'!G:G,MATCH(LARGE('Work Register'!$N$5:$N$500,3),'Work Register'!$N$5:$N$500,0)+4)),"")</f>
        <v/>
      </c>
      <c r="H32" s="39" t="n"/>
      <c r="I32" s="39" t="n"/>
      <c r="J32" s="39" t="n"/>
    </row>
    <row r="33">
      <c r="A33" s="39" t="n"/>
      <c r="B33" s="39" t="n"/>
      <c r="C33" s="39" t="n"/>
      <c r="D33" s="39" t="n"/>
      <c r="E33" s="39" t="n"/>
      <c r="F33" s="39" t="n"/>
      <c r="G33" s="39" t="n"/>
      <c r="H33" s="39" t="n"/>
      <c r="I33" s="39" t="n"/>
      <c r="J33" s="39" t="n"/>
    </row>
    <row r="34">
      <c r="A34" s="39" t="n"/>
      <c r="B34" s="39" t="n"/>
      <c r="C34" s="39" t="n"/>
      <c r="D34" s="39" t="n"/>
      <c r="E34" s="39" t="n"/>
      <c r="F34" s="39" t="n"/>
      <c r="G34" s="39" t="n"/>
      <c r="H34" s="39" t="n"/>
      <c r="I34" s="39" t="n"/>
      <c r="J34" s="39" t="n"/>
    </row>
    <row r="35">
      <c r="A35" s="39" t="n"/>
      <c r="B35" s="39" t="n"/>
      <c r="C35" s="39" t="n"/>
      <c r="D35" s="39" t="n"/>
      <c r="E35" s="39" t="n"/>
      <c r="F35" s="39" t="n"/>
      <c r="G35" s="39" t="n"/>
      <c r="H35" s="39" t="n"/>
      <c r="I35" s="39" t="n"/>
      <c r="J35" s="39" t="n"/>
    </row>
    <row r="36">
      <c r="A36" s="39" t="n"/>
      <c r="B36" s="39" t="n"/>
      <c r="C36" s="39" t="n"/>
      <c r="D36" s="39" t="n"/>
      <c r="E36" s="39" t="n"/>
      <c r="F36" s="39" t="n"/>
      <c r="G36" s="39" t="n"/>
      <c r="H36" s="39" t="n"/>
      <c r="I36" s="39" t="n"/>
      <c r="J36" s="39" t="n"/>
    </row>
    <row r="37">
      <c r="A37" s="39" t="n"/>
      <c r="B37" s="39" t="n"/>
      <c r="C37" s="39" t="n"/>
      <c r="D37" s="39" t="n"/>
      <c r="E37" s="39" t="n"/>
      <c r="F37" s="39" t="n"/>
      <c r="G37" s="39" t="n"/>
      <c r="H37" s="39" t="n"/>
      <c r="I37" s="39" t="n"/>
      <c r="J37" s="39" t="n"/>
    </row>
    <row r="38">
      <c r="A38" s="39" t="n"/>
      <c r="B38" s="39" t="n"/>
      <c r="C38" s="39" t="n"/>
      <c r="D38" s="39" t="n"/>
      <c r="E38" s="39" t="n"/>
      <c r="F38" s="39" t="n"/>
      <c r="G38" s="39" t="n"/>
      <c r="H38" s="39" t="n"/>
      <c r="I38" s="39" t="n"/>
      <c r="J38" s="39" t="n"/>
    </row>
    <row r="39">
      <c r="A39" s="39" t="n"/>
      <c r="B39" s="39" t="n"/>
      <c r="C39" s="39" t="n"/>
      <c r="D39" s="39" t="n"/>
      <c r="E39" s="39" t="n"/>
      <c r="F39" s="39" t="n"/>
      <c r="G39" s="39" t="n"/>
      <c r="H39" s="39" t="n"/>
      <c r="I39" s="39" t="n"/>
      <c r="J39" s="39" t="n"/>
    </row>
    <row r="40">
      <c r="A40" s="39" t="n"/>
      <c r="B40" s="39" t="n"/>
      <c r="C40" s="39" t="n"/>
      <c r="D40" s="39" t="n"/>
      <c r="E40" s="39" t="n"/>
      <c r="F40" s="39" t="n"/>
      <c r="G40" s="39" t="n"/>
      <c r="H40" s="39" t="n"/>
      <c r="I40" s="39" t="n"/>
      <c r="J40" s="39" t="n"/>
    </row>
  </sheetData>
  <sheetProtection selectLockedCells="0" selectUnlockedCells="0" sheet="1" objects="0" insertRows="1" insertHyperlinks="1" autoFilter="1" scenarios="0" formatColumns="1" deleteColumns="1" insertColumns="1" pivotTables="1" deleteRows="1" formatCells="1" formatRows="1" sort="1"/>
  <mergeCells count="14">
    <mergeCell ref="C21:G21"/>
    <mergeCell ref="C20:G20"/>
    <mergeCell ref="B28:G28"/>
    <mergeCell ref="C24:G24"/>
    <mergeCell ref="B9:G9"/>
    <mergeCell ref="C25:G25"/>
    <mergeCell ref="C19:G19"/>
    <mergeCell ref="B26:G26"/>
    <mergeCell ref="C23:G23"/>
    <mergeCell ref="C22:G22"/>
    <mergeCell ref="B8:F8"/>
    <mergeCell ref="B7:G7"/>
    <mergeCell ref="B11:G11"/>
    <mergeCell ref="B6:G6"/>
  </mergeCells>
  <dataValidations count="6">
    <dataValidation sqref="B8 B9 B10" showDropDown="0" showInputMessage="0" showErrorMessage="0" allowBlank="1" type="list">
      <formula1>PriorityList</formula1>
    </dataValidation>
    <dataValidation sqref="F8 F9 F10" showDropDown="0" showInputMessage="0" showErrorMessage="0" allowBlank="1" type="list">
      <formula1>EnergyList</formula1>
    </dataValidation>
    <dataValidation sqref="G8 G9 G10" showDropDown="0" showInputMessage="0" showErrorMessage="0" allowBlank="1" type="list">
      <formula1>StatusList</formula1>
    </dataValidation>
    <dataValidation sqref="B13 B14 B15" showDropDown="0" showInputMessage="0" showErrorMessage="0" allowBlank="1" type="list">
      <formula1>PriorityList</formula1>
    </dataValidation>
    <dataValidation sqref="F13 F14 F15" showDropDown="0" showInputMessage="0" showErrorMessage="0" allowBlank="1" type="list">
      <formula1>EnergyList</formula1>
    </dataValidation>
    <dataValidation sqref="G13 G14 G15" showDropDown="0" showInputMessage="0" showErrorMessage="0" allowBlank="1" type="list">
      <formula1>StatusList</formula1>
    </dataValidation>
  </dataValidations>
  <hyperlinks>
    <hyperlink xmlns:r="http://schemas.openxmlformats.org/officeDocument/2006/relationships" ref="B4"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2"/>
  <sheetViews>
    <sheetView showGridLines="0" workbookViewId="0">
      <selection activeCell="A1" sqref="A1"/>
    </sheetView>
  </sheetViews>
  <sheetFormatPr baseColWidth="8" defaultRowHeight="15"/>
  <cols>
    <col width="25" customWidth="1" min="2" max="2"/>
    <col width="45" customWidth="1" min="3" max="3"/>
  </cols>
  <sheetData>
    <row r="1"/>
    <row r="2">
      <c r="B2" s="10" t="inlineStr">
        <is>
          <t>Current Focus</t>
        </is>
      </c>
    </row>
    <row r="3" ht="20" customHeight="1">
      <c r="B3" s="11" t="inlineStr">
        <is>
          <t>← Home</t>
        </is>
      </c>
    </row>
    <row r="4"/>
    <row r="5" ht="22" customHeight="1">
      <c r="A5" s="39" t="n"/>
      <c r="B5" s="77" t="inlineStr">
        <is>
          <t>Current Task</t>
        </is>
      </c>
      <c r="C5" s="78" t="n"/>
      <c r="D5" s="39" t="n"/>
      <c r="E5" s="39" t="n"/>
      <c r="F5" s="39" t="n"/>
      <c r="G5" s="39" t="n"/>
      <c r="H5" s="39" t="n"/>
    </row>
    <row r="6" ht="18" customHeight="1">
      <c r="A6" s="39" t="n"/>
      <c r="B6" s="79">
        <f>IF($C$5="","",IF(ISNA(MATCH($C$5,'Work Register'!$D:$D,0)),"⚠ No task matches this name in Work Register — it may be a typo, or the task was renamed, completed and archived, or deleted. Update Current Task above.",IF($C$10="Done","⚠ This task is marked Done — pick a new Current Task",IF($C$10="Blocked","⚠ This task is Blocked — consider updating your focus",""))))</f>
        <v/>
      </c>
      <c r="E6" s="39" t="n"/>
      <c r="F6" s="39" t="n"/>
      <c r="G6" s="39" t="n"/>
      <c r="H6" s="39" t="n"/>
    </row>
    <row r="7" ht="20" customHeight="1">
      <c r="A7" s="39" t="n"/>
      <c r="B7" s="77" t="inlineStr">
        <is>
          <t>Mission</t>
        </is>
      </c>
      <c r="C7" s="95">
        <f>IFERROR(INDEX('Work Register'!A:A,MATCH($C$5,'Work Register'!$D:$D,0)),"")</f>
        <v/>
      </c>
      <c r="D7" s="39" t="n"/>
      <c r="E7" s="39" t="n"/>
      <c r="F7" s="39" t="n"/>
      <c r="G7" s="39" t="n"/>
      <c r="H7" s="39" t="n"/>
    </row>
    <row r="8" ht="20" customHeight="1">
      <c r="A8" s="39" t="n"/>
      <c r="B8" s="77" t="inlineStr">
        <is>
          <t>Deliverable</t>
        </is>
      </c>
      <c r="C8" s="95">
        <f>IFERROR(INDEX('Work Register'!B:B,MATCH($C$5,'Work Register'!$D:$D,0)),"")</f>
        <v/>
      </c>
      <c r="D8" s="39" t="n"/>
      <c r="E8" s="39" t="n"/>
      <c r="F8" s="39" t="n"/>
      <c r="G8" s="39" t="n"/>
      <c r="H8" s="39" t="n"/>
    </row>
    <row r="9" ht="20" customHeight="1">
      <c r="A9" s="39" t="n"/>
      <c r="B9" s="77" t="inlineStr">
        <is>
          <t>Component</t>
        </is>
      </c>
      <c r="C9" s="95">
        <f>IFERROR(INDEX('Work Register'!C:C,MATCH($C$5,'Work Register'!$D:$D,0)),"")</f>
        <v/>
      </c>
      <c r="D9" s="39" t="n"/>
      <c r="E9" s="39" t="n"/>
      <c r="F9" s="39" t="n"/>
      <c r="G9" s="39" t="n"/>
      <c r="H9" s="39" t="n"/>
    </row>
    <row r="10" ht="20" customHeight="1">
      <c r="A10" s="39" t="n"/>
      <c r="B10" s="77" t="inlineStr">
        <is>
          <t>Status</t>
        </is>
      </c>
      <c r="C10" s="95">
        <f>IFERROR(INDEX('Work Register'!E:E,MATCH($C$5,'Work Register'!$D:$D,0)),"")</f>
        <v/>
      </c>
      <c r="D10" s="39" t="n"/>
      <c r="E10" s="39" t="n"/>
      <c r="F10" s="39" t="n"/>
      <c r="G10" s="39" t="n"/>
      <c r="H10" s="39" t="n"/>
    </row>
    <row r="11" ht="20" customHeight="1">
      <c r="A11" s="39" t="n"/>
      <c r="B11" s="77" t="inlineStr">
        <is>
          <t>Definition of Done</t>
        </is>
      </c>
      <c r="C11" s="80" t="n"/>
      <c r="D11" s="39" t="n"/>
      <c r="E11" s="39" t="n"/>
      <c r="F11" s="39" t="n"/>
      <c r="G11" s="39" t="n"/>
      <c r="H11" s="39" t="n"/>
    </row>
    <row r="12" ht="20" customHeight="1">
      <c r="A12" s="39" t="n"/>
      <c r="B12" s="77" t="inlineStr">
        <is>
          <t>Next Physical Action</t>
        </is>
      </c>
      <c r="C12" s="80" t="n"/>
      <c r="D12" s="39" t="n"/>
      <c r="E12" s="39" t="n"/>
      <c r="F12" s="39" t="n"/>
      <c r="G12" s="39" t="n"/>
      <c r="H12" s="39" t="n"/>
    </row>
    <row r="13" ht="20" customHeight="1">
      <c r="A13" s="39" t="n"/>
      <c r="B13" s="77" t="inlineStr">
        <is>
          <t>Current Blocker</t>
        </is>
      </c>
      <c r="C13" s="80" t="n"/>
      <c r="D13" s="39" t="n"/>
      <c r="E13" s="39" t="n"/>
      <c r="F13" s="39" t="n"/>
      <c r="G13" s="39" t="n"/>
      <c r="H13" s="39" t="n"/>
    </row>
    <row r="14" ht="20" customHeight="1">
      <c r="A14" s="39" t="n"/>
      <c r="B14" s="77" t="inlineStr">
        <is>
          <t>Last Updated</t>
        </is>
      </c>
      <c r="C14" s="80" t="n"/>
      <c r="D14" s="39" t="n"/>
      <c r="E14" s="39" t="n"/>
      <c r="F14" s="39" t="n"/>
      <c r="G14" s="39" t="n"/>
      <c r="H14" s="39" t="n"/>
    </row>
    <row r="15">
      <c r="A15" s="39" t="n"/>
      <c r="B15" s="140" t="inlineStr">
        <is>
          <t>Reminder: changing Current Task above does NOT clear Definition of Done, Next Action, or Blocker — update those yourself too.</t>
        </is>
      </c>
      <c r="E15" s="39" t="n"/>
      <c r="F15" s="39" t="n"/>
      <c r="G15" s="39" t="n"/>
      <c r="H15" s="39" t="n"/>
    </row>
    <row r="16">
      <c r="A16" s="39" t="n"/>
      <c r="B16" s="82" t="inlineStr">
        <is>
          <t>How to use Current Focus:</t>
        </is>
      </c>
      <c r="C16" s="39" t="n"/>
      <c r="D16" s="39" t="n"/>
      <c r="E16" s="39" t="n"/>
      <c r="F16" s="39" t="n"/>
      <c r="G16" s="39" t="n"/>
      <c r="H16" s="39" t="n"/>
    </row>
    <row r="17">
      <c r="A17" s="39" t="n"/>
      <c r="B17" s="83" t="inlineStr">
        <is>
          <t>1. Type or paste the exact Task name from Work Register into Current Task above.</t>
        </is>
      </c>
      <c r="C17" s="39" t="n"/>
      <c r="D17" s="39" t="n"/>
      <c r="E17" s="39" t="n"/>
      <c r="F17" s="39" t="n"/>
      <c r="G17" s="39" t="n"/>
      <c r="H17" s="39" t="n"/>
    </row>
    <row r="18">
      <c r="A18" s="39" t="n"/>
      <c r="B18" s="83" t="inlineStr">
        <is>
          <t>2. Mission, Deliverable, Component, and Status fill in automatically.</t>
        </is>
      </c>
      <c r="C18" s="39" t="n"/>
      <c r="D18" s="39" t="n"/>
      <c r="E18" s="39" t="n"/>
      <c r="F18" s="39" t="n"/>
      <c r="G18" s="39" t="n"/>
      <c r="H18" s="39" t="n"/>
    </row>
    <row r="19">
      <c r="A19" s="39" t="n"/>
      <c r="B19" s="83" t="inlineStr">
        <is>
          <t>3. Fill in Definition of Done, Next Physical Action, and Blocker yourself — these aren't</t>
        </is>
      </c>
      <c r="C19" s="39" t="n"/>
      <c r="D19" s="39" t="n"/>
      <c r="E19" s="39" t="n"/>
      <c r="F19" s="39" t="n"/>
      <c r="G19" s="39" t="n"/>
      <c r="H19" s="39" t="n"/>
    </row>
    <row r="20">
      <c r="A20" s="39" t="n"/>
      <c r="B20" s="83" t="inlineStr">
        <is>
          <t xml:space="preserve">   tracked per-task in Work Register, only for whatever you're actively working on.</t>
        </is>
      </c>
      <c r="C20" s="39" t="n"/>
      <c r="D20" s="39" t="n"/>
      <c r="E20" s="39" t="n"/>
      <c r="F20" s="39" t="n"/>
      <c r="G20" s="39" t="n"/>
      <c r="H20" s="39" t="n"/>
    </row>
    <row r="21">
      <c r="B21" s="84" t="inlineStr">
        <is>
          <t>4. This is now the only place Current Focus lives — Today's Current Focus section</t>
        </is>
      </c>
    </row>
    <row r="22">
      <c r="B22" s="84" t="inlineStr">
        <is>
          <t xml:space="preserve">   reads from here automatically, so you only ever update it in one place.</t>
        </is>
      </c>
    </row>
  </sheetData>
  <sheetProtection selectLockedCells="0" selectUnlockedCells="0" sheet="1" objects="0" insertRows="1" insertHyperlinks="1" autoFilter="1" scenarios="0" formatColumns="1" deleteColumns="1" insertColumns="1" pivotTables="1" deleteRows="1" formatCells="1" formatRows="1" sort="1"/>
  <mergeCells count="2">
    <mergeCell ref="B15:D15"/>
    <mergeCell ref="B6:D6"/>
  </mergeCells>
  <hyperlinks>
    <hyperlink xmlns:r="http://schemas.openxmlformats.org/officeDocument/2006/relationships" ref="B3"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20" customWidth="1" min="2" max="2"/>
    <col width="20" customWidth="1" min="3" max="3"/>
    <col width="20" customWidth="1" min="4" max="4"/>
    <col width="20" customWidth="1" min="5" max="5"/>
  </cols>
  <sheetData>
    <row r="1"/>
    <row r="2">
      <c r="B2" s="10" t="inlineStr">
        <is>
          <t>Weekly Review</t>
        </is>
      </c>
    </row>
    <row r="3" ht="20" customHeight="1">
      <c r="B3" s="11" t="inlineStr">
        <is>
          <t>← Home</t>
        </is>
      </c>
    </row>
    <row r="4">
      <c r="B4" s="20" t="inlineStr">
        <is>
          <t>Week of August 06, 2026</t>
        </is>
      </c>
    </row>
    <row r="5"/>
    <row r="6">
      <c r="B6" s="29" t="inlineStr">
        <is>
          <t>Active Missions</t>
        </is>
      </c>
      <c r="C6" s="29" t="inlineStr">
        <is>
          <t>Blocked Tasks</t>
        </is>
      </c>
      <c r="D6" s="29" t="inlineStr">
        <is>
          <t>Waiting Tasks</t>
        </is>
      </c>
      <c r="E6" s="29" t="inlineStr">
        <is>
          <t>Completed This Week</t>
        </is>
      </c>
    </row>
    <row r="7">
      <c r="B7" s="9">
        <f>COUNTIFS('Work Register'!E:E,"In Progress")+COUNTIFS('Work Register'!E:E,"Captured")+COUNTIFS('Work Register'!E:E,"Next")</f>
        <v/>
      </c>
      <c r="C7" s="9">
        <f>COUNTIF('Work Register'!E:E,"Blocked")</f>
        <v/>
      </c>
      <c r="D7" s="9">
        <f>COUNTIF('Work Register'!E:E,"Waiting")</f>
        <v/>
      </c>
      <c r="E7" s="9">
        <f>COUNTIFS('Work Register'!E:E,"Done",'Work Register'!L:L,"&gt;="&amp;(TODAY()-WEEKDAY(TODAY(),3)))</f>
        <v/>
      </c>
    </row>
    <row r="8">
      <c r="B8" s="73" t="inlineStr">
        <is>
          <t>Week starts Monday. Based on current Status/Priority; "Completed" uses each task's Last Updated date.</t>
        </is>
      </c>
    </row>
    <row r="9"/>
    <row r="10">
      <c r="B10" s="4" t="inlineStr">
        <is>
          <t>Weekly Review Checklist</t>
        </is>
      </c>
    </row>
    <row r="11" ht="20" customHeight="1">
      <c r="B11" s="134" t="inlineStr">
        <is>
          <t>□ Review all Blocked tasks - escalate or reassign</t>
        </is>
      </c>
      <c r="C11" s="113" t="n"/>
      <c r="D11" s="113" t="n"/>
      <c r="E11" s="114" t="n"/>
    </row>
    <row r="12" ht="20" customHeight="1">
      <c r="B12" s="134" t="inlineStr">
        <is>
          <t>□ Review all Waiting tasks - follow up on dependencies</t>
        </is>
      </c>
      <c r="C12" s="113" t="n"/>
      <c r="D12" s="113" t="n"/>
      <c r="E12" s="114" t="n"/>
    </row>
    <row r="13" ht="20" customHeight="1">
      <c r="B13" s="134" t="inlineStr">
        <is>
          <t>□ Check for overdue tasks - adjust priority or defer</t>
        </is>
      </c>
      <c r="C13" s="113" t="n"/>
      <c r="D13" s="113" t="n"/>
      <c r="E13" s="114" t="n"/>
    </row>
    <row r="14" ht="20" customHeight="1">
      <c r="B14" s="134" t="inlineStr">
        <is>
          <t>□ Celebrate completed work from this week</t>
        </is>
      </c>
      <c r="C14" s="113" t="n"/>
      <c r="D14" s="113" t="n"/>
      <c r="E14" s="114" t="n"/>
    </row>
    <row r="15" ht="20" customHeight="1">
      <c r="B15" s="134" t="inlineStr">
        <is>
          <t>□ Identify missions with no recent activity</t>
        </is>
      </c>
      <c r="C15" s="113" t="n"/>
      <c r="D15" s="113" t="n"/>
      <c r="E15" s="114" t="n"/>
    </row>
    <row r="16" ht="20" customHeight="1">
      <c r="B16" s="134" t="inlineStr">
        <is>
          <t>□ Check for tasks with no Next Action defined</t>
        </is>
      </c>
      <c r="C16" s="113" t="n"/>
      <c r="D16" s="113" t="n"/>
      <c r="E16" s="114" t="n"/>
    </row>
    <row r="17" ht="20" customHeight="1">
      <c r="B17" s="134" t="inlineStr">
        <is>
          <t>□ Plan new missions for next week</t>
        </is>
      </c>
      <c r="C17" s="113" t="n"/>
      <c r="D17" s="113" t="n"/>
      <c r="E17" s="114" t="n"/>
    </row>
    <row r="18" ht="20" customHeight="1">
      <c r="B18" s="134" t="inlineStr">
        <is>
          <t>□ Archive completed missions</t>
        </is>
      </c>
      <c r="C18" s="113" t="n"/>
      <c r="D18" s="113" t="n"/>
      <c r="E18" s="114" t="n"/>
    </row>
  </sheetData>
  <sheetProtection selectLockedCells="0" selectUnlockedCells="0" sheet="1" objects="0" insertRows="1" insertHyperlinks="1" autoFilter="1" scenarios="0" formatColumns="1" deleteColumns="1" insertColumns="1" pivotTables="1" deleteRows="1" formatCells="1" formatRows="1" sort="1"/>
  <mergeCells count="10">
    <mergeCell ref="B17:E17"/>
    <mergeCell ref="B18:E18"/>
    <mergeCell ref="B8:E8"/>
    <mergeCell ref="B12:E12"/>
    <mergeCell ref="B13:E13"/>
    <mergeCell ref="B16:E16"/>
    <mergeCell ref="B15:E15"/>
    <mergeCell ref="B11:E11"/>
    <mergeCell ref="B10:E10"/>
    <mergeCell ref="B14:E14"/>
  </mergeCells>
  <hyperlinks>
    <hyperlink xmlns:r="http://schemas.openxmlformats.org/officeDocument/2006/relationships" ref="B3" r:id="rId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500"/>
  <sheetViews>
    <sheetView showGridLines="0" workbookViewId="0">
      <selection activeCell="A1" sqref="A1"/>
    </sheetView>
  </sheetViews>
  <sheetFormatPr baseColWidth="8" defaultRowHeight="15"/>
  <cols>
    <col width="20" customWidth="1" min="1" max="1"/>
    <col width="20" customWidth="1" min="2" max="2"/>
    <col width="18" customWidth="1" min="3" max="3"/>
    <col width="25" customWidth="1" min="4" max="4"/>
    <col width="15" customWidth="1" min="5" max="5"/>
    <col width="12" customWidth="1" min="6" max="6"/>
    <col width="16" customWidth="1" min="7" max="7"/>
    <col width="16" customWidth="1" min="8" max="8"/>
    <col width="12" customWidth="1" min="9" max="9"/>
    <col width="10" customWidth="1" min="10" max="10"/>
    <col width="25" customWidth="1" min="11" max="11"/>
    <col width="15" customWidth="1" min="12" max="12"/>
    <col width="13" customWidth="1" min="13" max="13"/>
  </cols>
  <sheetData>
    <row r="1">
      <c r="A1" s="10" t="inlineStr">
        <is>
          <t>Archive</t>
        </is>
      </c>
    </row>
    <row r="2" ht="20" customHeight="1">
      <c r="A2" s="11" t="inlineStr">
        <is>
          <t>← Home</t>
        </is>
      </c>
    </row>
    <row r="3">
      <c r="A3" s="20" t="inlineStr">
        <is>
          <t>Completed missions and archived tasks</t>
        </is>
      </c>
    </row>
    <row r="4" ht="28" customHeight="1">
      <c r="A4" s="136" t="inlineStr">
        <is>
          <t>To archive: select the full row A:K on Work Register, copy, paste into the first empty row here starting at column A, then add today's date in Completed Date (L). Delete the row from Work Register. Rows highlighted amber below have a Status other than Done — confirm the task is really finished before leaving it archived.</t>
        </is>
      </c>
    </row>
    <row r="5">
      <c r="A5" s="74" t="inlineStr">
        <is>
          <t>Mission</t>
        </is>
      </c>
      <c r="B5" s="74" t="inlineStr">
        <is>
          <t>Deliverable</t>
        </is>
      </c>
      <c r="C5" s="74" t="inlineStr">
        <is>
          <t>Component</t>
        </is>
      </c>
      <c r="D5" s="74" t="inlineStr">
        <is>
          <t>Task</t>
        </is>
      </c>
      <c r="E5" s="74" t="inlineStr">
        <is>
          <t>Status</t>
        </is>
      </c>
      <c r="F5" s="74" t="inlineStr">
        <is>
          <t>Priority</t>
        </is>
      </c>
      <c r="G5" s="74" t="inlineStr">
        <is>
          <t>Energy</t>
        </is>
      </c>
      <c r="H5" s="74" t="inlineStr">
        <is>
          <t>Estimated Time</t>
        </is>
      </c>
      <c r="I5" s="74" t="inlineStr">
        <is>
          <t>Due Date</t>
        </is>
      </c>
      <c r="J5" s="74" t="inlineStr">
        <is>
          <t>Owner</t>
        </is>
      </c>
      <c r="K5" s="74" t="inlineStr">
        <is>
          <t>Notes</t>
        </is>
      </c>
      <c r="L5" s="74" t="inlineStr">
        <is>
          <t>Completed Date</t>
        </is>
      </c>
      <c r="M5" s="129" t="inlineStr">
        <is>
          <t>Keyword Match</t>
        </is>
      </c>
    </row>
    <row r="6">
      <c r="A6" s="76" t="n"/>
      <c r="B6" s="19" t="n"/>
      <c r="C6" s="19" t="n"/>
      <c r="D6" s="19" t="n"/>
      <c r="E6" s="19" t="n"/>
      <c r="F6" s="19" t="n"/>
      <c r="G6" s="19" t="n"/>
      <c r="H6" s="19" t="n"/>
      <c r="I6" s="19" t="n"/>
      <c r="J6" s="19" t="n"/>
      <c r="K6" s="19" t="n"/>
      <c r="L6" s="19" t="n"/>
      <c r="M6" s="130">
        <f>IF($A6="","",AND('Task Finder'!$C$7&lt;&gt;"",OR(ISNUMBER(SEARCH('Task Finder'!$C$7,$A6)),ISNUMBER(SEARCH('Task Finder'!$C$7,$B6)),ISNUMBER(SEARCH('Task Finder'!$C$7,$C6)),ISNUMBER(SEARCH('Task Finder'!$C$7,$D6)),ISNUMBER(SEARCH('Task Finder'!$C$7,$K6)))))</f>
        <v/>
      </c>
    </row>
    <row r="7">
      <c r="A7" s="139" t="n"/>
      <c r="B7" s="19" t="n"/>
      <c r="C7" s="19" t="n"/>
      <c r="D7" s="19" t="n"/>
      <c r="E7" s="19" t="n"/>
      <c r="F7" s="19" t="n"/>
      <c r="G7" s="19" t="n"/>
      <c r="H7" s="19" t="n"/>
      <c r="I7" s="19" t="n"/>
      <c r="J7" s="19" t="n"/>
      <c r="K7" s="19" t="n"/>
      <c r="L7" s="19" t="n"/>
      <c r="M7" s="130">
        <f>IF($A7="","",AND('Task Finder'!$C$7&lt;&gt;"",OR(ISNUMBER(SEARCH('Task Finder'!$C$7,$A7)),ISNUMBER(SEARCH('Task Finder'!$C$7,$B7)),ISNUMBER(SEARCH('Task Finder'!$C$7,$C7)),ISNUMBER(SEARCH('Task Finder'!$C$7,$D7)),ISNUMBER(SEARCH('Task Finder'!$C$7,$K7)))))</f>
        <v/>
      </c>
    </row>
    <row r="8">
      <c r="A8" s="19" t="n"/>
      <c r="B8" s="19" t="n"/>
      <c r="C8" s="19" t="n"/>
      <c r="D8" s="19" t="n"/>
      <c r="E8" s="19" t="n"/>
      <c r="F8" s="19" t="n"/>
      <c r="G8" s="19" t="n"/>
      <c r="H8" s="19" t="n"/>
      <c r="I8" s="19" t="n"/>
      <c r="J8" s="19" t="n"/>
      <c r="K8" s="19" t="n"/>
      <c r="L8" s="19" t="n"/>
      <c r="M8" s="130">
        <f>IF($A8="","",AND('Task Finder'!$C$7&lt;&gt;"",OR(ISNUMBER(SEARCH('Task Finder'!$C$7,$A8)),ISNUMBER(SEARCH('Task Finder'!$C$7,$B8)),ISNUMBER(SEARCH('Task Finder'!$C$7,$C8)),ISNUMBER(SEARCH('Task Finder'!$C$7,$D8)),ISNUMBER(SEARCH('Task Finder'!$C$7,$K8)))))</f>
        <v/>
      </c>
    </row>
    <row r="9">
      <c r="A9" s="19" t="n"/>
      <c r="B9" s="19" t="n"/>
      <c r="C9" s="19" t="n"/>
      <c r="D9" s="19" t="n"/>
      <c r="E9" s="19" t="n"/>
      <c r="F9" s="19" t="n"/>
      <c r="G9" s="19" t="n"/>
      <c r="H9" s="19" t="n"/>
      <c r="I9" s="19" t="n"/>
      <c r="J9" s="19" t="n"/>
      <c r="K9" s="19" t="n"/>
      <c r="L9" s="19" t="n"/>
      <c r="M9" s="130">
        <f>IF($A9="","",AND('Task Finder'!$C$7&lt;&gt;"",OR(ISNUMBER(SEARCH('Task Finder'!$C$7,$A9)),ISNUMBER(SEARCH('Task Finder'!$C$7,$B9)),ISNUMBER(SEARCH('Task Finder'!$C$7,$C9)),ISNUMBER(SEARCH('Task Finder'!$C$7,$D9)),ISNUMBER(SEARCH('Task Finder'!$C$7,$K9)))))</f>
        <v/>
      </c>
    </row>
    <row r="10">
      <c r="A10" s="19" t="n"/>
      <c r="B10" s="19" t="n"/>
      <c r="C10" s="19" t="n"/>
      <c r="D10" s="19" t="n"/>
      <c r="E10" s="19" t="n"/>
      <c r="F10" s="19" t="n"/>
      <c r="G10" s="19" t="n"/>
      <c r="H10" s="19" t="n"/>
      <c r="I10" s="19" t="n"/>
      <c r="J10" s="19" t="n"/>
      <c r="K10" s="19" t="n"/>
      <c r="L10" s="19" t="n"/>
      <c r="M10" s="130">
        <f>IF($A10="","",AND('Task Finder'!$C$7&lt;&gt;"",OR(ISNUMBER(SEARCH('Task Finder'!$C$7,$A10)),ISNUMBER(SEARCH('Task Finder'!$C$7,$B10)),ISNUMBER(SEARCH('Task Finder'!$C$7,$C10)),ISNUMBER(SEARCH('Task Finder'!$C$7,$D10)),ISNUMBER(SEARCH('Task Finder'!$C$7,$K10)))))</f>
        <v/>
      </c>
    </row>
    <row r="11">
      <c r="A11" s="19" t="n"/>
      <c r="B11" s="19" t="n"/>
      <c r="C11" s="19" t="n"/>
      <c r="D11" s="19" t="n"/>
      <c r="E11" s="19" t="n"/>
      <c r="F11" s="19" t="n"/>
      <c r="G11" s="19" t="n"/>
      <c r="H11" s="19" t="n"/>
      <c r="I11" s="19" t="n"/>
      <c r="J11" s="19" t="n"/>
      <c r="K11" s="19" t="n"/>
      <c r="L11" s="19" t="n"/>
      <c r="M11" s="130">
        <f>IF($A11="","",AND('Task Finder'!$C$7&lt;&gt;"",OR(ISNUMBER(SEARCH('Task Finder'!$C$7,$A11)),ISNUMBER(SEARCH('Task Finder'!$C$7,$B11)),ISNUMBER(SEARCH('Task Finder'!$C$7,$C11)),ISNUMBER(SEARCH('Task Finder'!$C$7,$D11)),ISNUMBER(SEARCH('Task Finder'!$C$7,$K11)))))</f>
        <v/>
      </c>
    </row>
    <row r="12">
      <c r="A12" s="19" t="n"/>
      <c r="B12" s="19" t="n"/>
      <c r="C12" s="19" t="n"/>
      <c r="D12" s="19" t="n"/>
      <c r="E12" s="19" t="n"/>
      <c r="F12" s="19" t="n"/>
      <c r="G12" s="19" t="n"/>
      <c r="H12" s="19" t="n"/>
      <c r="I12" s="19" t="n"/>
      <c r="J12" s="19" t="n"/>
      <c r="K12" s="19" t="n"/>
      <c r="L12" s="19" t="n"/>
      <c r="M12" s="130">
        <f>IF($A12="","",AND('Task Finder'!$C$7&lt;&gt;"",OR(ISNUMBER(SEARCH('Task Finder'!$C$7,$A12)),ISNUMBER(SEARCH('Task Finder'!$C$7,$B12)),ISNUMBER(SEARCH('Task Finder'!$C$7,$C12)),ISNUMBER(SEARCH('Task Finder'!$C$7,$D12)),ISNUMBER(SEARCH('Task Finder'!$C$7,$K12)))))</f>
        <v/>
      </c>
    </row>
    <row r="13">
      <c r="A13" s="19" t="n"/>
      <c r="B13" s="19" t="n"/>
      <c r="C13" s="19" t="n"/>
      <c r="D13" s="19" t="n"/>
      <c r="E13" s="19" t="n"/>
      <c r="F13" s="19" t="n"/>
      <c r="G13" s="19" t="n"/>
      <c r="H13" s="19" t="n"/>
      <c r="I13" s="19" t="n"/>
      <c r="J13" s="19" t="n"/>
      <c r="K13" s="19" t="n"/>
      <c r="L13" s="19" t="n"/>
      <c r="M13" s="130">
        <f>IF($A13="","",AND('Task Finder'!$C$7&lt;&gt;"",OR(ISNUMBER(SEARCH('Task Finder'!$C$7,$A13)),ISNUMBER(SEARCH('Task Finder'!$C$7,$B13)),ISNUMBER(SEARCH('Task Finder'!$C$7,$C13)),ISNUMBER(SEARCH('Task Finder'!$C$7,$D13)),ISNUMBER(SEARCH('Task Finder'!$C$7,$K13)))))</f>
        <v/>
      </c>
    </row>
    <row r="14">
      <c r="A14" s="19" t="n"/>
      <c r="B14" s="19" t="n"/>
      <c r="C14" s="19" t="n"/>
      <c r="D14" s="19" t="n"/>
      <c r="E14" s="19" t="n"/>
      <c r="F14" s="19" t="n"/>
      <c r="G14" s="19" t="n"/>
      <c r="H14" s="19" t="n"/>
      <c r="I14" s="19" t="n"/>
      <c r="J14" s="19" t="n"/>
      <c r="K14" s="19" t="n"/>
      <c r="L14" s="19" t="n"/>
      <c r="M14" s="130">
        <f>IF($A14="","",AND('Task Finder'!$C$7&lt;&gt;"",OR(ISNUMBER(SEARCH('Task Finder'!$C$7,$A14)),ISNUMBER(SEARCH('Task Finder'!$C$7,$B14)),ISNUMBER(SEARCH('Task Finder'!$C$7,$C14)),ISNUMBER(SEARCH('Task Finder'!$C$7,$D14)),ISNUMBER(SEARCH('Task Finder'!$C$7,$K14)))))</f>
        <v/>
      </c>
    </row>
    <row r="15">
      <c r="A15" s="19" t="n"/>
      <c r="B15" s="19" t="n"/>
      <c r="C15" s="19" t="n"/>
      <c r="D15" s="19" t="n"/>
      <c r="E15" s="19" t="n"/>
      <c r="F15" s="19" t="n"/>
      <c r="G15" s="19" t="n"/>
      <c r="H15" s="19" t="n"/>
      <c r="I15" s="19" t="n"/>
      <c r="J15" s="19" t="n"/>
      <c r="K15" s="19" t="n"/>
      <c r="L15" s="19" t="n"/>
      <c r="M15" s="130">
        <f>IF($A15="","",AND('Task Finder'!$C$7&lt;&gt;"",OR(ISNUMBER(SEARCH('Task Finder'!$C$7,$A15)),ISNUMBER(SEARCH('Task Finder'!$C$7,$B15)),ISNUMBER(SEARCH('Task Finder'!$C$7,$C15)),ISNUMBER(SEARCH('Task Finder'!$C$7,$D15)),ISNUMBER(SEARCH('Task Finder'!$C$7,$K15)))))</f>
        <v/>
      </c>
    </row>
    <row r="16">
      <c r="A16" s="19" t="n"/>
      <c r="B16" s="19" t="n"/>
      <c r="C16" s="19" t="n"/>
      <c r="D16" s="19" t="n"/>
      <c r="E16" s="19" t="n"/>
      <c r="F16" s="19" t="n"/>
      <c r="G16" s="19" t="n"/>
      <c r="H16" s="19" t="n"/>
      <c r="I16" s="19" t="n"/>
      <c r="J16" s="19" t="n"/>
      <c r="K16" s="19" t="n"/>
      <c r="L16" s="19" t="n"/>
      <c r="M16" s="130">
        <f>IF($A16="","",AND('Task Finder'!$C$7&lt;&gt;"",OR(ISNUMBER(SEARCH('Task Finder'!$C$7,$A16)),ISNUMBER(SEARCH('Task Finder'!$C$7,$B16)),ISNUMBER(SEARCH('Task Finder'!$C$7,$C16)),ISNUMBER(SEARCH('Task Finder'!$C$7,$D16)),ISNUMBER(SEARCH('Task Finder'!$C$7,$K16)))))</f>
        <v/>
      </c>
    </row>
    <row r="17">
      <c r="A17" s="19" t="n"/>
      <c r="B17" s="19" t="n"/>
      <c r="C17" s="19" t="n"/>
      <c r="D17" s="19" t="n"/>
      <c r="E17" s="19" t="n"/>
      <c r="F17" s="19" t="n"/>
      <c r="G17" s="19" t="n"/>
      <c r="H17" s="19" t="n"/>
      <c r="I17" s="19" t="n"/>
      <c r="J17" s="19" t="n"/>
      <c r="K17" s="19" t="n"/>
      <c r="L17" s="19" t="n"/>
      <c r="M17" s="130">
        <f>IF($A17="","",AND('Task Finder'!$C$7&lt;&gt;"",OR(ISNUMBER(SEARCH('Task Finder'!$C$7,$A17)),ISNUMBER(SEARCH('Task Finder'!$C$7,$B17)),ISNUMBER(SEARCH('Task Finder'!$C$7,$C17)),ISNUMBER(SEARCH('Task Finder'!$C$7,$D17)),ISNUMBER(SEARCH('Task Finder'!$C$7,$K17)))))</f>
        <v/>
      </c>
    </row>
    <row r="18">
      <c r="A18" s="19" t="n"/>
      <c r="B18" s="19" t="n"/>
      <c r="C18" s="19" t="n"/>
      <c r="D18" s="19" t="n"/>
      <c r="E18" s="19" t="n"/>
      <c r="F18" s="19" t="n"/>
      <c r="G18" s="19" t="n"/>
      <c r="H18" s="19" t="n"/>
      <c r="I18" s="19" t="n"/>
      <c r="J18" s="19" t="n"/>
      <c r="K18" s="19" t="n"/>
      <c r="L18" s="19" t="n"/>
      <c r="M18" s="130">
        <f>IF($A18="","",AND('Task Finder'!$C$7&lt;&gt;"",OR(ISNUMBER(SEARCH('Task Finder'!$C$7,$A18)),ISNUMBER(SEARCH('Task Finder'!$C$7,$B18)),ISNUMBER(SEARCH('Task Finder'!$C$7,$C18)),ISNUMBER(SEARCH('Task Finder'!$C$7,$D18)),ISNUMBER(SEARCH('Task Finder'!$C$7,$K18)))))</f>
        <v/>
      </c>
    </row>
    <row r="19">
      <c r="A19" s="19" t="n"/>
      <c r="B19" s="19" t="n"/>
      <c r="C19" s="19" t="n"/>
      <c r="D19" s="19" t="n"/>
      <c r="E19" s="19" t="n"/>
      <c r="F19" s="19" t="n"/>
      <c r="G19" s="19" t="n"/>
      <c r="H19" s="19" t="n"/>
      <c r="I19" s="19" t="n"/>
      <c r="J19" s="19" t="n"/>
      <c r="K19" s="19" t="n"/>
      <c r="L19" s="19" t="n"/>
      <c r="M19" s="130">
        <f>IF($A19="","",AND('Task Finder'!$C$7&lt;&gt;"",OR(ISNUMBER(SEARCH('Task Finder'!$C$7,$A19)),ISNUMBER(SEARCH('Task Finder'!$C$7,$B19)),ISNUMBER(SEARCH('Task Finder'!$C$7,$C19)),ISNUMBER(SEARCH('Task Finder'!$C$7,$D19)),ISNUMBER(SEARCH('Task Finder'!$C$7,$K19)))))</f>
        <v/>
      </c>
    </row>
    <row r="20">
      <c r="A20" s="19" t="n"/>
      <c r="B20" s="19" t="n"/>
      <c r="C20" s="19" t="n"/>
      <c r="D20" s="19" t="n"/>
      <c r="E20" s="19" t="n"/>
      <c r="F20" s="19" t="n"/>
      <c r="G20" s="19" t="n"/>
      <c r="H20" s="19" t="n"/>
      <c r="I20" s="19" t="n"/>
      <c r="J20" s="19" t="n"/>
      <c r="K20" s="19" t="n"/>
      <c r="L20" s="19" t="n"/>
      <c r="M20" s="130">
        <f>IF($A20="","",AND('Task Finder'!$C$7&lt;&gt;"",OR(ISNUMBER(SEARCH('Task Finder'!$C$7,$A20)),ISNUMBER(SEARCH('Task Finder'!$C$7,$B20)),ISNUMBER(SEARCH('Task Finder'!$C$7,$C20)),ISNUMBER(SEARCH('Task Finder'!$C$7,$D20)),ISNUMBER(SEARCH('Task Finder'!$C$7,$K20)))))</f>
        <v/>
      </c>
    </row>
    <row r="21">
      <c r="A21" s="19" t="n"/>
      <c r="B21" s="19" t="n"/>
      <c r="C21" s="19" t="n"/>
      <c r="D21" s="19" t="n"/>
      <c r="E21" s="19" t="n"/>
      <c r="F21" s="19" t="n"/>
      <c r="G21" s="19" t="n"/>
      <c r="H21" s="19" t="n"/>
      <c r="I21" s="19" t="n"/>
      <c r="J21" s="19" t="n"/>
      <c r="K21" s="19" t="n"/>
      <c r="L21" s="19" t="n"/>
      <c r="M21" s="130">
        <f>IF($A21="","",AND('Task Finder'!$C$7&lt;&gt;"",OR(ISNUMBER(SEARCH('Task Finder'!$C$7,$A21)),ISNUMBER(SEARCH('Task Finder'!$C$7,$B21)),ISNUMBER(SEARCH('Task Finder'!$C$7,$C21)),ISNUMBER(SEARCH('Task Finder'!$C$7,$D21)),ISNUMBER(SEARCH('Task Finder'!$C$7,$K21)))))</f>
        <v/>
      </c>
    </row>
    <row r="22">
      <c r="A22" s="19" t="n"/>
      <c r="B22" s="19" t="n"/>
      <c r="C22" s="19" t="n"/>
      <c r="D22" s="19" t="n"/>
      <c r="E22" s="19" t="n"/>
      <c r="F22" s="19" t="n"/>
      <c r="G22" s="19" t="n"/>
      <c r="H22" s="19" t="n"/>
      <c r="I22" s="19" t="n"/>
      <c r="J22" s="19" t="n"/>
      <c r="K22" s="19" t="n"/>
      <c r="L22" s="19" t="n"/>
      <c r="M22" s="130">
        <f>IF($A22="","",AND('Task Finder'!$C$7&lt;&gt;"",OR(ISNUMBER(SEARCH('Task Finder'!$C$7,$A22)),ISNUMBER(SEARCH('Task Finder'!$C$7,$B22)),ISNUMBER(SEARCH('Task Finder'!$C$7,$C22)),ISNUMBER(SEARCH('Task Finder'!$C$7,$D22)),ISNUMBER(SEARCH('Task Finder'!$C$7,$K22)))))</f>
        <v/>
      </c>
    </row>
    <row r="23">
      <c r="A23" s="19" t="n"/>
      <c r="B23" s="19" t="n"/>
      <c r="C23" s="19" t="n"/>
      <c r="D23" s="19" t="n"/>
      <c r="E23" s="19" t="n"/>
      <c r="F23" s="19" t="n"/>
      <c r="G23" s="19" t="n"/>
      <c r="H23" s="19" t="n"/>
      <c r="I23" s="19" t="n"/>
      <c r="J23" s="19" t="n"/>
      <c r="K23" s="19" t="n"/>
      <c r="L23" s="19" t="n"/>
      <c r="M23" s="130">
        <f>IF($A23="","",AND('Task Finder'!$C$7&lt;&gt;"",OR(ISNUMBER(SEARCH('Task Finder'!$C$7,$A23)),ISNUMBER(SEARCH('Task Finder'!$C$7,$B23)),ISNUMBER(SEARCH('Task Finder'!$C$7,$C23)),ISNUMBER(SEARCH('Task Finder'!$C$7,$D23)),ISNUMBER(SEARCH('Task Finder'!$C$7,$K23)))))</f>
        <v/>
      </c>
    </row>
    <row r="24">
      <c r="A24" s="19" t="n"/>
      <c r="B24" s="19" t="n"/>
      <c r="C24" s="19" t="n"/>
      <c r="D24" s="19" t="n"/>
      <c r="E24" s="19" t="n"/>
      <c r="F24" s="19" t="n"/>
      <c r="G24" s="19" t="n"/>
      <c r="H24" s="19" t="n"/>
      <c r="I24" s="19" t="n"/>
      <c r="J24" s="19" t="n"/>
      <c r="K24" s="19" t="n"/>
      <c r="L24" s="19" t="n"/>
      <c r="M24" s="130">
        <f>IF($A24="","",AND('Task Finder'!$C$7&lt;&gt;"",OR(ISNUMBER(SEARCH('Task Finder'!$C$7,$A24)),ISNUMBER(SEARCH('Task Finder'!$C$7,$B24)),ISNUMBER(SEARCH('Task Finder'!$C$7,$C24)),ISNUMBER(SEARCH('Task Finder'!$C$7,$D24)),ISNUMBER(SEARCH('Task Finder'!$C$7,$K24)))))</f>
        <v/>
      </c>
    </row>
    <row r="25">
      <c r="A25" s="19" t="n"/>
      <c r="B25" s="19" t="n"/>
      <c r="C25" s="19" t="n"/>
      <c r="D25" s="19" t="n"/>
      <c r="E25" s="19" t="n"/>
      <c r="F25" s="19" t="n"/>
      <c r="G25" s="19" t="n"/>
      <c r="H25" s="19" t="n"/>
      <c r="I25" s="19" t="n"/>
      <c r="J25" s="19" t="n"/>
      <c r="K25" s="19" t="n"/>
      <c r="L25" s="19" t="n"/>
      <c r="M25" s="130">
        <f>IF($A25="","",AND('Task Finder'!$C$7&lt;&gt;"",OR(ISNUMBER(SEARCH('Task Finder'!$C$7,$A25)),ISNUMBER(SEARCH('Task Finder'!$C$7,$B25)),ISNUMBER(SEARCH('Task Finder'!$C$7,$C25)),ISNUMBER(SEARCH('Task Finder'!$C$7,$D25)),ISNUMBER(SEARCH('Task Finder'!$C$7,$K25)))))</f>
        <v/>
      </c>
    </row>
    <row r="26">
      <c r="A26" s="19" t="n"/>
      <c r="B26" s="19" t="n"/>
      <c r="C26" s="19" t="n"/>
      <c r="D26" s="19" t="n"/>
      <c r="E26" s="19" t="n"/>
      <c r="F26" s="19" t="n"/>
      <c r="G26" s="19" t="n"/>
      <c r="H26" s="19" t="n"/>
      <c r="I26" s="19" t="n"/>
      <c r="J26" s="19" t="n"/>
      <c r="K26" s="19" t="n"/>
      <c r="L26" s="19" t="n"/>
      <c r="M26" s="130">
        <f>IF($A26="","",AND('Task Finder'!$C$7&lt;&gt;"",OR(ISNUMBER(SEARCH('Task Finder'!$C$7,$A26)),ISNUMBER(SEARCH('Task Finder'!$C$7,$B26)),ISNUMBER(SEARCH('Task Finder'!$C$7,$C26)),ISNUMBER(SEARCH('Task Finder'!$C$7,$D26)),ISNUMBER(SEARCH('Task Finder'!$C$7,$K26)))))</f>
        <v/>
      </c>
    </row>
    <row r="27">
      <c r="A27" s="19" t="n"/>
      <c r="B27" s="19" t="n"/>
      <c r="C27" s="19" t="n"/>
      <c r="D27" s="19" t="n"/>
      <c r="E27" s="19" t="n"/>
      <c r="F27" s="19" t="n"/>
      <c r="G27" s="19" t="n"/>
      <c r="H27" s="19" t="n"/>
      <c r="I27" s="19" t="n"/>
      <c r="J27" s="19" t="n"/>
      <c r="K27" s="19" t="n"/>
      <c r="L27" s="19" t="n"/>
      <c r="M27" s="130">
        <f>IF($A27="","",AND('Task Finder'!$C$7&lt;&gt;"",OR(ISNUMBER(SEARCH('Task Finder'!$C$7,$A27)),ISNUMBER(SEARCH('Task Finder'!$C$7,$B27)),ISNUMBER(SEARCH('Task Finder'!$C$7,$C27)),ISNUMBER(SEARCH('Task Finder'!$C$7,$D27)),ISNUMBER(SEARCH('Task Finder'!$C$7,$K27)))))</f>
        <v/>
      </c>
    </row>
    <row r="28">
      <c r="A28" s="19" t="n"/>
      <c r="B28" s="19" t="n"/>
      <c r="C28" s="19" t="n"/>
      <c r="D28" s="19" t="n"/>
      <c r="E28" s="19" t="n"/>
      <c r="F28" s="19" t="n"/>
      <c r="G28" s="19" t="n"/>
      <c r="H28" s="19" t="n"/>
      <c r="I28" s="19" t="n"/>
      <c r="J28" s="19" t="n"/>
      <c r="K28" s="19" t="n"/>
      <c r="L28" s="19" t="n"/>
      <c r="M28" s="130">
        <f>IF($A28="","",AND('Task Finder'!$C$7&lt;&gt;"",OR(ISNUMBER(SEARCH('Task Finder'!$C$7,$A28)),ISNUMBER(SEARCH('Task Finder'!$C$7,$B28)),ISNUMBER(SEARCH('Task Finder'!$C$7,$C28)),ISNUMBER(SEARCH('Task Finder'!$C$7,$D28)),ISNUMBER(SEARCH('Task Finder'!$C$7,$K28)))))</f>
        <v/>
      </c>
    </row>
    <row r="29">
      <c r="A29" s="19" t="n"/>
      <c r="B29" s="19" t="n"/>
      <c r="C29" s="19" t="n"/>
      <c r="D29" s="19" t="n"/>
      <c r="E29" s="19" t="n"/>
      <c r="F29" s="19" t="n"/>
      <c r="G29" s="19" t="n"/>
      <c r="H29" s="19" t="n"/>
      <c r="I29" s="19" t="n"/>
      <c r="J29" s="19" t="n"/>
      <c r="K29" s="19" t="n"/>
      <c r="L29" s="19" t="n"/>
      <c r="M29" s="130">
        <f>IF($A29="","",AND('Task Finder'!$C$7&lt;&gt;"",OR(ISNUMBER(SEARCH('Task Finder'!$C$7,$A29)),ISNUMBER(SEARCH('Task Finder'!$C$7,$B29)),ISNUMBER(SEARCH('Task Finder'!$C$7,$C29)),ISNUMBER(SEARCH('Task Finder'!$C$7,$D29)),ISNUMBER(SEARCH('Task Finder'!$C$7,$K29)))))</f>
        <v/>
      </c>
    </row>
    <row r="30">
      <c r="A30" s="19" t="n"/>
      <c r="B30" s="19" t="n"/>
      <c r="C30" s="19" t="n"/>
      <c r="D30" s="19" t="n"/>
      <c r="E30" s="19" t="n"/>
      <c r="F30" s="19" t="n"/>
      <c r="G30" s="19" t="n"/>
      <c r="H30" s="19" t="n"/>
      <c r="I30" s="19" t="n"/>
      <c r="J30" s="19" t="n"/>
      <c r="K30" s="19" t="n"/>
      <c r="L30" s="19" t="n"/>
      <c r="M30" s="130">
        <f>IF($A30="","",AND('Task Finder'!$C$7&lt;&gt;"",OR(ISNUMBER(SEARCH('Task Finder'!$C$7,$A30)),ISNUMBER(SEARCH('Task Finder'!$C$7,$B30)),ISNUMBER(SEARCH('Task Finder'!$C$7,$C30)),ISNUMBER(SEARCH('Task Finder'!$C$7,$D30)),ISNUMBER(SEARCH('Task Finder'!$C$7,$K30)))))</f>
        <v/>
      </c>
    </row>
    <row r="31">
      <c r="A31" s="19" t="n"/>
      <c r="B31" s="19" t="n"/>
      <c r="C31" s="19" t="n"/>
      <c r="D31" s="19" t="n"/>
      <c r="E31" s="19" t="n"/>
      <c r="F31" s="19" t="n"/>
      <c r="G31" s="19" t="n"/>
      <c r="H31" s="19" t="n"/>
      <c r="I31" s="19" t="n"/>
      <c r="J31" s="19" t="n"/>
      <c r="K31" s="19" t="n"/>
      <c r="L31" s="19" t="n"/>
      <c r="M31" s="130">
        <f>IF($A31="","",AND('Task Finder'!$C$7&lt;&gt;"",OR(ISNUMBER(SEARCH('Task Finder'!$C$7,$A31)),ISNUMBER(SEARCH('Task Finder'!$C$7,$B31)),ISNUMBER(SEARCH('Task Finder'!$C$7,$C31)),ISNUMBER(SEARCH('Task Finder'!$C$7,$D31)),ISNUMBER(SEARCH('Task Finder'!$C$7,$K31)))))</f>
        <v/>
      </c>
    </row>
    <row r="32">
      <c r="A32" s="19" t="n"/>
      <c r="B32" s="19" t="n"/>
      <c r="C32" s="19" t="n"/>
      <c r="D32" s="19" t="n"/>
      <c r="E32" s="19" t="n"/>
      <c r="F32" s="19" t="n"/>
      <c r="G32" s="19" t="n"/>
      <c r="H32" s="19" t="n"/>
      <c r="I32" s="19" t="n"/>
      <c r="J32" s="19" t="n"/>
      <c r="K32" s="19" t="n"/>
      <c r="L32" s="19" t="n"/>
      <c r="M32" s="130">
        <f>IF($A32="","",AND('Task Finder'!$C$7&lt;&gt;"",OR(ISNUMBER(SEARCH('Task Finder'!$C$7,$A32)),ISNUMBER(SEARCH('Task Finder'!$C$7,$B32)),ISNUMBER(SEARCH('Task Finder'!$C$7,$C32)),ISNUMBER(SEARCH('Task Finder'!$C$7,$D32)),ISNUMBER(SEARCH('Task Finder'!$C$7,$K32)))))</f>
        <v/>
      </c>
    </row>
    <row r="33">
      <c r="A33" s="19" t="n"/>
      <c r="B33" s="19" t="n"/>
      <c r="C33" s="19" t="n"/>
      <c r="D33" s="19" t="n"/>
      <c r="E33" s="19" t="n"/>
      <c r="F33" s="19" t="n"/>
      <c r="G33" s="19" t="n"/>
      <c r="H33" s="19" t="n"/>
      <c r="I33" s="19" t="n"/>
      <c r="J33" s="19" t="n"/>
      <c r="K33" s="19" t="n"/>
      <c r="L33" s="19" t="n"/>
      <c r="M33" s="130">
        <f>IF($A33="","",AND('Task Finder'!$C$7&lt;&gt;"",OR(ISNUMBER(SEARCH('Task Finder'!$C$7,$A33)),ISNUMBER(SEARCH('Task Finder'!$C$7,$B33)),ISNUMBER(SEARCH('Task Finder'!$C$7,$C33)),ISNUMBER(SEARCH('Task Finder'!$C$7,$D33)),ISNUMBER(SEARCH('Task Finder'!$C$7,$K33)))))</f>
        <v/>
      </c>
    </row>
    <row r="34">
      <c r="A34" s="19" t="n"/>
      <c r="B34" s="19" t="n"/>
      <c r="C34" s="19" t="n"/>
      <c r="D34" s="19" t="n"/>
      <c r="E34" s="19" t="n"/>
      <c r="F34" s="19" t="n"/>
      <c r="G34" s="19" t="n"/>
      <c r="H34" s="19" t="n"/>
      <c r="I34" s="19" t="n"/>
      <c r="J34" s="19" t="n"/>
      <c r="K34" s="19" t="n"/>
      <c r="L34" s="19" t="n"/>
      <c r="M34" s="130">
        <f>IF($A34="","",AND('Task Finder'!$C$7&lt;&gt;"",OR(ISNUMBER(SEARCH('Task Finder'!$C$7,$A34)),ISNUMBER(SEARCH('Task Finder'!$C$7,$B34)),ISNUMBER(SEARCH('Task Finder'!$C$7,$C34)),ISNUMBER(SEARCH('Task Finder'!$C$7,$D34)),ISNUMBER(SEARCH('Task Finder'!$C$7,$K34)))))</f>
        <v/>
      </c>
    </row>
    <row r="35">
      <c r="A35" s="19" t="n"/>
      <c r="B35" s="19" t="n"/>
      <c r="C35" s="19" t="n"/>
      <c r="D35" s="19" t="n"/>
      <c r="E35" s="19" t="n"/>
      <c r="F35" s="19" t="n"/>
      <c r="G35" s="19" t="n"/>
      <c r="H35" s="19" t="n"/>
      <c r="I35" s="19" t="n"/>
      <c r="J35" s="19" t="n"/>
      <c r="K35" s="19" t="n"/>
      <c r="L35" s="19" t="n"/>
      <c r="M35" s="130">
        <f>IF($A35="","",AND('Task Finder'!$C$7&lt;&gt;"",OR(ISNUMBER(SEARCH('Task Finder'!$C$7,$A35)),ISNUMBER(SEARCH('Task Finder'!$C$7,$B35)),ISNUMBER(SEARCH('Task Finder'!$C$7,$C35)),ISNUMBER(SEARCH('Task Finder'!$C$7,$D35)),ISNUMBER(SEARCH('Task Finder'!$C$7,$K35)))))</f>
        <v/>
      </c>
    </row>
    <row r="36">
      <c r="A36" s="19" t="n"/>
      <c r="B36" s="19" t="n"/>
      <c r="C36" s="19" t="n"/>
      <c r="D36" s="19" t="n"/>
      <c r="E36" s="19" t="n"/>
      <c r="F36" s="19" t="n"/>
      <c r="G36" s="19" t="n"/>
      <c r="H36" s="19" t="n"/>
      <c r="I36" s="19" t="n"/>
      <c r="J36" s="19" t="n"/>
      <c r="K36" s="19" t="n"/>
      <c r="L36" s="19" t="n"/>
      <c r="M36" s="130">
        <f>IF($A36="","",AND('Task Finder'!$C$7&lt;&gt;"",OR(ISNUMBER(SEARCH('Task Finder'!$C$7,$A36)),ISNUMBER(SEARCH('Task Finder'!$C$7,$B36)),ISNUMBER(SEARCH('Task Finder'!$C$7,$C36)),ISNUMBER(SEARCH('Task Finder'!$C$7,$D36)),ISNUMBER(SEARCH('Task Finder'!$C$7,$K36)))))</f>
        <v/>
      </c>
    </row>
    <row r="37">
      <c r="A37" s="19" t="n"/>
      <c r="B37" s="19" t="n"/>
      <c r="C37" s="19" t="n"/>
      <c r="D37" s="19" t="n"/>
      <c r="E37" s="19" t="n"/>
      <c r="F37" s="19" t="n"/>
      <c r="G37" s="19" t="n"/>
      <c r="H37" s="19" t="n"/>
      <c r="I37" s="19" t="n"/>
      <c r="J37" s="19" t="n"/>
      <c r="K37" s="19" t="n"/>
      <c r="L37" s="19" t="n"/>
      <c r="M37" s="130">
        <f>IF($A37="","",AND('Task Finder'!$C$7&lt;&gt;"",OR(ISNUMBER(SEARCH('Task Finder'!$C$7,$A37)),ISNUMBER(SEARCH('Task Finder'!$C$7,$B37)),ISNUMBER(SEARCH('Task Finder'!$C$7,$C37)),ISNUMBER(SEARCH('Task Finder'!$C$7,$D37)),ISNUMBER(SEARCH('Task Finder'!$C$7,$K37)))))</f>
        <v/>
      </c>
    </row>
    <row r="38">
      <c r="A38" s="19" t="n"/>
      <c r="B38" s="19" t="n"/>
      <c r="C38" s="19" t="n"/>
      <c r="D38" s="19" t="n"/>
      <c r="E38" s="19" t="n"/>
      <c r="F38" s="19" t="n"/>
      <c r="G38" s="19" t="n"/>
      <c r="H38" s="19" t="n"/>
      <c r="I38" s="19" t="n"/>
      <c r="J38" s="19" t="n"/>
      <c r="K38" s="19" t="n"/>
      <c r="L38" s="19" t="n"/>
      <c r="M38" s="130">
        <f>IF($A38="","",AND('Task Finder'!$C$7&lt;&gt;"",OR(ISNUMBER(SEARCH('Task Finder'!$C$7,$A38)),ISNUMBER(SEARCH('Task Finder'!$C$7,$B38)),ISNUMBER(SEARCH('Task Finder'!$C$7,$C38)),ISNUMBER(SEARCH('Task Finder'!$C$7,$D38)),ISNUMBER(SEARCH('Task Finder'!$C$7,$K38)))))</f>
        <v/>
      </c>
    </row>
    <row r="39">
      <c r="A39" s="19" t="n"/>
      <c r="B39" s="19" t="n"/>
      <c r="C39" s="19" t="n"/>
      <c r="D39" s="19" t="n"/>
      <c r="E39" s="19" t="n"/>
      <c r="F39" s="19" t="n"/>
      <c r="G39" s="19" t="n"/>
      <c r="H39" s="19" t="n"/>
      <c r="I39" s="19" t="n"/>
      <c r="J39" s="19" t="n"/>
      <c r="K39" s="19" t="n"/>
      <c r="L39" s="19" t="n"/>
      <c r="M39" s="130">
        <f>IF($A39="","",AND('Task Finder'!$C$7&lt;&gt;"",OR(ISNUMBER(SEARCH('Task Finder'!$C$7,$A39)),ISNUMBER(SEARCH('Task Finder'!$C$7,$B39)),ISNUMBER(SEARCH('Task Finder'!$C$7,$C39)),ISNUMBER(SEARCH('Task Finder'!$C$7,$D39)),ISNUMBER(SEARCH('Task Finder'!$C$7,$K39)))))</f>
        <v/>
      </c>
    </row>
    <row r="40">
      <c r="A40" s="19" t="n"/>
      <c r="B40" s="19" t="n"/>
      <c r="C40" s="19" t="n"/>
      <c r="D40" s="19" t="n"/>
      <c r="E40" s="19" t="n"/>
      <c r="F40" s="19" t="n"/>
      <c r="G40" s="19" t="n"/>
      <c r="H40" s="19" t="n"/>
      <c r="I40" s="19" t="n"/>
      <c r="J40" s="19" t="n"/>
      <c r="K40" s="19" t="n"/>
      <c r="L40" s="19" t="n"/>
      <c r="M40" s="130">
        <f>IF($A40="","",AND('Task Finder'!$C$7&lt;&gt;"",OR(ISNUMBER(SEARCH('Task Finder'!$C$7,$A40)),ISNUMBER(SEARCH('Task Finder'!$C$7,$B40)),ISNUMBER(SEARCH('Task Finder'!$C$7,$C40)),ISNUMBER(SEARCH('Task Finder'!$C$7,$D40)),ISNUMBER(SEARCH('Task Finder'!$C$7,$K40)))))</f>
        <v/>
      </c>
    </row>
    <row r="41">
      <c r="A41" s="19" t="n"/>
      <c r="B41" s="19" t="n"/>
      <c r="C41" s="19" t="n"/>
      <c r="D41" s="19" t="n"/>
      <c r="E41" s="19" t="n"/>
      <c r="F41" s="19" t="n"/>
      <c r="G41" s="19" t="n"/>
      <c r="H41" s="19" t="n"/>
      <c r="I41" s="19" t="n"/>
      <c r="J41" s="19" t="n"/>
      <c r="K41" s="19" t="n"/>
      <c r="L41" s="19" t="n"/>
      <c r="M41" s="130">
        <f>IF($A41="","",AND('Task Finder'!$C$7&lt;&gt;"",OR(ISNUMBER(SEARCH('Task Finder'!$C$7,$A41)),ISNUMBER(SEARCH('Task Finder'!$C$7,$B41)),ISNUMBER(SEARCH('Task Finder'!$C$7,$C41)),ISNUMBER(SEARCH('Task Finder'!$C$7,$D41)),ISNUMBER(SEARCH('Task Finder'!$C$7,$K41)))))</f>
        <v/>
      </c>
    </row>
    <row r="42">
      <c r="A42" s="19" t="n"/>
      <c r="B42" s="19" t="n"/>
      <c r="C42" s="19" t="n"/>
      <c r="D42" s="19" t="n"/>
      <c r="E42" s="19" t="n"/>
      <c r="F42" s="19" t="n"/>
      <c r="G42" s="19" t="n"/>
      <c r="H42" s="19" t="n"/>
      <c r="I42" s="19" t="n"/>
      <c r="J42" s="19" t="n"/>
      <c r="K42" s="19" t="n"/>
      <c r="L42" s="19" t="n"/>
      <c r="M42" s="130">
        <f>IF($A42="","",AND('Task Finder'!$C$7&lt;&gt;"",OR(ISNUMBER(SEARCH('Task Finder'!$C$7,$A42)),ISNUMBER(SEARCH('Task Finder'!$C$7,$B42)),ISNUMBER(SEARCH('Task Finder'!$C$7,$C42)),ISNUMBER(SEARCH('Task Finder'!$C$7,$D42)),ISNUMBER(SEARCH('Task Finder'!$C$7,$K42)))))</f>
        <v/>
      </c>
    </row>
    <row r="43">
      <c r="A43" s="19" t="n"/>
      <c r="B43" s="19" t="n"/>
      <c r="C43" s="19" t="n"/>
      <c r="D43" s="19" t="n"/>
      <c r="E43" s="19" t="n"/>
      <c r="F43" s="19" t="n"/>
      <c r="G43" s="19" t="n"/>
      <c r="H43" s="19" t="n"/>
      <c r="I43" s="19" t="n"/>
      <c r="J43" s="19" t="n"/>
      <c r="K43" s="19" t="n"/>
      <c r="L43" s="19" t="n"/>
      <c r="M43" s="130">
        <f>IF($A43="","",AND('Task Finder'!$C$7&lt;&gt;"",OR(ISNUMBER(SEARCH('Task Finder'!$C$7,$A43)),ISNUMBER(SEARCH('Task Finder'!$C$7,$B43)),ISNUMBER(SEARCH('Task Finder'!$C$7,$C43)),ISNUMBER(SEARCH('Task Finder'!$C$7,$D43)),ISNUMBER(SEARCH('Task Finder'!$C$7,$K43)))))</f>
        <v/>
      </c>
    </row>
    <row r="44">
      <c r="A44" s="19" t="n"/>
      <c r="B44" s="19" t="n"/>
      <c r="C44" s="19" t="n"/>
      <c r="D44" s="19" t="n"/>
      <c r="E44" s="19" t="n"/>
      <c r="F44" s="19" t="n"/>
      <c r="G44" s="19" t="n"/>
      <c r="H44" s="19" t="n"/>
      <c r="I44" s="19" t="n"/>
      <c r="J44" s="19" t="n"/>
      <c r="K44" s="19" t="n"/>
      <c r="L44" s="19" t="n"/>
      <c r="M44" s="130">
        <f>IF($A44="","",AND('Task Finder'!$C$7&lt;&gt;"",OR(ISNUMBER(SEARCH('Task Finder'!$C$7,$A44)),ISNUMBER(SEARCH('Task Finder'!$C$7,$B44)),ISNUMBER(SEARCH('Task Finder'!$C$7,$C44)),ISNUMBER(SEARCH('Task Finder'!$C$7,$D44)),ISNUMBER(SEARCH('Task Finder'!$C$7,$K44)))))</f>
        <v/>
      </c>
    </row>
    <row r="45">
      <c r="A45" s="19" t="n"/>
      <c r="B45" s="19" t="n"/>
      <c r="C45" s="19" t="n"/>
      <c r="D45" s="19" t="n"/>
      <c r="E45" s="19" t="n"/>
      <c r="F45" s="19" t="n"/>
      <c r="G45" s="19" t="n"/>
      <c r="H45" s="19" t="n"/>
      <c r="I45" s="19" t="n"/>
      <c r="J45" s="19" t="n"/>
      <c r="K45" s="19" t="n"/>
      <c r="L45" s="19" t="n"/>
      <c r="M45" s="130">
        <f>IF($A45="","",AND('Task Finder'!$C$7&lt;&gt;"",OR(ISNUMBER(SEARCH('Task Finder'!$C$7,$A45)),ISNUMBER(SEARCH('Task Finder'!$C$7,$B45)),ISNUMBER(SEARCH('Task Finder'!$C$7,$C45)),ISNUMBER(SEARCH('Task Finder'!$C$7,$D45)),ISNUMBER(SEARCH('Task Finder'!$C$7,$K45)))))</f>
        <v/>
      </c>
    </row>
    <row r="46">
      <c r="A46" s="19" t="n"/>
      <c r="B46" s="19" t="n"/>
      <c r="C46" s="19" t="n"/>
      <c r="D46" s="19" t="n"/>
      <c r="E46" s="19" t="n"/>
      <c r="F46" s="19" t="n"/>
      <c r="G46" s="19" t="n"/>
      <c r="H46" s="19" t="n"/>
      <c r="I46" s="19" t="n"/>
      <c r="J46" s="19" t="n"/>
      <c r="K46" s="19" t="n"/>
      <c r="L46" s="19" t="n"/>
      <c r="M46" s="130">
        <f>IF($A46="","",AND('Task Finder'!$C$7&lt;&gt;"",OR(ISNUMBER(SEARCH('Task Finder'!$C$7,$A46)),ISNUMBER(SEARCH('Task Finder'!$C$7,$B46)),ISNUMBER(SEARCH('Task Finder'!$C$7,$C46)),ISNUMBER(SEARCH('Task Finder'!$C$7,$D46)),ISNUMBER(SEARCH('Task Finder'!$C$7,$K46)))))</f>
        <v/>
      </c>
    </row>
    <row r="47">
      <c r="A47" s="19" t="n"/>
      <c r="B47" s="19" t="n"/>
      <c r="C47" s="19" t="n"/>
      <c r="D47" s="19" t="n"/>
      <c r="E47" s="19" t="n"/>
      <c r="F47" s="19" t="n"/>
      <c r="G47" s="19" t="n"/>
      <c r="H47" s="19" t="n"/>
      <c r="I47" s="19" t="n"/>
      <c r="J47" s="19" t="n"/>
      <c r="K47" s="19" t="n"/>
      <c r="L47" s="19" t="n"/>
      <c r="M47" s="130">
        <f>IF($A47="","",AND('Task Finder'!$C$7&lt;&gt;"",OR(ISNUMBER(SEARCH('Task Finder'!$C$7,$A47)),ISNUMBER(SEARCH('Task Finder'!$C$7,$B47)),ISNUMBER(SEARCH('Task Finder'!$C$7,$C47)),ISNUMBER(SEARCH('Task Finder'!$C$7,$D47)),ISNUMBER(SEARCH('Task Finder'!$C$7,$K47)))))</f>
        <v/>
      </c>
    </row>
    <row r="48">
      <c r="A48" s="19" t="n"/>
      <c r="B48" s="19" t="n"/>
      <c r="C48" s="19" t="n"/>
      <c r="D48" s="19" t="n"/>
      <c r="E48" s="19" t="n"/>
      <c r="F48" s="19" t="n"/>
      <c r="G48" s="19" t="n"/>
      <c r="H48" s="19" t="n"/>
      <c r="I48" s="19" t="n"/>
      <c r="J48" s="19" t="n"/>
      <c r="K48" s="19" t="n"/>
      <c r="L48" s="19" t="n"/>
      <c r="M48" s="130">
        <f>IF($A48="","",AND('Task Finder'!$C$7&lt;&gt;"",OR(ISNUMBER(SEARCH('Task Finder'!$C$7,$A48)),ISNUMBER(SEARCH('Task Finder'!$C$7,$B48)),ISNUMBER(SEARCH('Task Finder'!$C$7,$C48)),ISNUMBER(SEARCH('Task Finder'!$C$7,$D48)),ISNUMBER(SEARCH('Task Finder'!$C$7,$K48)))))</f>
        <v/>
      </c>
    </row>
    <row r="49">
      <c r="A49" s="19" t="n"/>
      <c r="B49" s="19" t="n"/>
      <c r="C49" s="19" t="n"/>
      <c r="D49" s="19" t="n"/>
      <c r="E49" s="19" t="n"/>
      <c r="F49" s="19" t="n"/>
      <c r="G49" s="19" t="n"/>
      <c r="H49" s="19" t="n"/>
      <c r="I49" s="19" t="n"/>
      <c r="J49" s="19" t="n"/>
      <c r="K49" s="19" t="n"/>
      <c r="L49" s="19" t="n"/>
      <c r="M49" s="130">
        <f>IF($A49="","",AND('Task Finder'!$C$7&lt;&gt;"",OR(ISNUMBER(SEARCH('Task Finder'!$C$7,$A49)),ISNUMBER(SEARCH('Task Finder'!$C$7,$B49)),ISNUMBER(SEARCH('Task Finder'!$C$7,$C49)),ISNUMBER(SEARCH('Task Finder'!$C$7,$D49)),ISNUMBER(SEARCH('Task Finder'!$C$7,$K49)))))</f>
        <v/>
      </c>
    </row>
    <row r="50">
      <c r="A50" s="19" t="n"/>
      <c r="B50" s="19" t="n"/>
      <c r="C50" s="19" t="n"/>
      <c r="D50" s="19" t="n"/>
      <c r="E50" s="19" t="n"/>
      <c r="F50" s="19" t="n"/>
      <c r="G50" s="19" t="n"/>
      <c r="H50" s="19" t="n"/>
      <c r="I50" s="19" t="n"/>
      <c r="J50" s="19" t="n"/>
      <c r="K50" s="19" t="n"/>
      <c r="L50" s="19" t="n"/>
      <c r="M50" s="130">
        <f>IF($A50="","",AND('Task Finder'!$C$7&lt;&gt;"",OR(ISNUMBER(SEARCH('Task Finder'!$C$7,$A50)),ISNUMBER(SEARCH('Task Finder'!$C$7,$B50)),ISNUMBER(SEARCH('Task Finder'!$C$7,$C50)),ISNUMBER(SEARCH('Task Finder'!$C$7,$D50)),ISNUMBER(SEARCH('Task Finder'!$C$7,$K50)))))</f>
        <v/>
      </c>
    </row>
    <row r="51">
      <c r="A51" s="19" t="n"/>
      <c r="B51" s="19" t="n"/>
      <c r="C51" s="19" t="n"/>
      <c r="D51" s="19" t="n"/>
      <c r="E51" s="19" t="n"/>
      <c r="F51" s="19" t="n"/>
      <c r="G51" s="19" t="n"/>
      <c r="H51" s="19" t="n"/>
      <c r="I51" s="19" t="n"/>
      <c r="J51" s="19" t="n"/>
      <c r="K51" s="19" t="n"/>
      <c r="L51" s="19" t="n"/>
      <c r="M51" s="130">
        <f>IF($A51="","",AND('Task Finder'!$C$7&lt;&gt;"",OR(ISNUMBER(SEARCH('Task Finder'!$C$7,$A51)),ISNUMBER(SEARCH('Task Finder'!$C$7,$B51)),ISNUMBER(SEARCH('Task Finder'!$C$7,$C51)),ISNUMBER(SEARCH('Task Finder'!$C$7,$D51)),ISNUMBER(SEARCH('Task Finder'!$C$7,$K51)))))</f>
        <v/>
      </c>
    </row>
    <row r="52">
      <c r="A52" s="19" t="n"/>
      <c r="B52" s="19" t="n"/>
      <c r="C52" s="19" t="n"/>
      <c r="D52" s="19" t="n"/>
      <c r="E52" s="19" t="n"/>
      <c r="F52" s="19" t="n"/>
      <c r="G52" s="19" t="n"/>
      <c r="H52" s="19" t="n"/>
      <c r="I52" s="19" t="n"/>
      <c r="J52" s="19" t="n"/>
      <c r="K52" s="19" t="n"/>
      <c r="L52" s="19" t="n"/>
      <c r="M52" s="130">
        <f>IF($A52="","",AND('Task Finder'!$C$7&lt;&gt;"",OR(ISNUMBER(SEARCH('Task Finder'!$C$7,$A52)),ISNUMBER(SEARCH('Task Finder'!$C$7,$B52)),ISNUMBER(SEARCH('Task Finder'!$C$7,$C52)),ISNUMBER(SEARCH('Task Finder'!$C$7,$D52)),ISNUMBER(SEARCH('Task Finder'!$C$7,$K52)))))</f>
        <v/>
      </c>
    </row>
    <row r="53">
      <c r="A53" s="19" t="n"/>
      <c r="B53" s="19" t="n"/>
      <c r="C53" s="19" t="n"/>
      <c r="D53" s="19" t="n"/>
      <c r="E53" s="19" t="n"/>
      <c r="F53" s="19" t="n"/>
      <c r="G53" s="19" t="n"/>
      <c r="H53" s="19" t="n"/>
      <c r="I53" s="19" t="n"/>
      <c r="J53" s="19" t="n"/>
      <c r="K53" s="19" t="n"/>
      <c r="L53" s="19" t="n"/>
      <c r="M53" s="130">
        <f>IF($A53="","",AND('Task Finder'!$C$7&lt;&gt;"",OR(ISNUMBER(SEARCH('Task Finder'!$C$7,$A53)),ISNUMBER(SEARCH('Task Finder'!$C$7,$B53)),ISNUMBER(SEARCH('Task Finder'!$C$7,$C53)),ISNUMBER(SEARCH('Task Finder'!$C$7,$D53)),ISNUMBER(SEARCH('Task Finder'!$C$7,$K53)))))</f>
        <v/>
      </c>
    </row>
    <row r="54">
      <c r="A54" s="19" t="n"/>
      <c r="B54" s="19" t="n"/>
      <c r="C54" s="19" t="n"/>
      <c r="D54" s="19" t="n"/>
      <c r="E54" s="19" t="n"/>
      <c r="F54" s="19" t="n"/>
      <c r="G54" s="19" t="n"/>
      <c r="H54" s="19" t="n"/>
      <c r="I54" s="19" t="n"/>
      <c r="J54" s="19" t="n"/>
      <c r="K54" s="19" t="n"/>
      <c r="L54" s="19" t="n"/>
      <c r="M54" s="130">
        <f>IF($A54="","",AND('Task Finder'!$C$7&lt;&gt;"",OR(ISNUMBER(SEARCH('Task Finder'!$C$7,$A54)),ISNUMBER(SEARCH('Task Finder'!$C$7,$B54)),ISNUMBER(SEARCH('Task Finder'!$C$7,$C54)),ISNUMBER(SEARCH('Task Finder'!$C$7,$D54)),ISNUMBER(SEARCH('Task Finder'!$C$7,$K54)))))</f>
        <v/>
      </c>
    </row>
    <row r="55">
      <c r="A55" s="19" t="n"/>
      <c r="B55" s="19" t="n"/>
      <c r="C55" s="19" t="n"/>
      <c r="D55" s="19" t="n"/>
      <c r="E55" s="19" t="n"/>
      <c r="F55" s="19" t="n"/>
      <c r="G55" s="19" t="n"/>
      <c r="H55" s="19" t="n"/>
      <c r="I55" s="19" t="n"/>
      <c r="J55" s="19" t="n"/>
      <c r="K55" s="19" t="n"/>
      <c r="L55" s="19" t="n"/>
      <c r="M55" s="130">
        <f>IF($A55="","",AND('Task Finder'!$C$7&lt;&gt;"",OR(ISNUMBER(SEARCH('Task Finder'!$C$7,$A55)),ISNUMBER(SEARCH('Task Finder'!$C$7,$B55)),ISNUMBER(SEARCH('Task Finder'!$C$7,$C55)),ISNUMBER(SEARCH('Task Finder'!$C$7,$D55)),ISNUMBER(SEARCH('Task Finder'!$C$7,$K55)))))</f>
        <v/>
      </c>
    </row>
    <row r="56">
      <c r="A56" s="19" t="n"/>
      <c r="B56" s="19" t="n"/>
      <c r="C56" s="19" t="n"/>
      <c r="D56" s="19" t="n"/>
      <c r="E56" s="19" t="n"/>
      <c r="F56" s="19" t="n"/>
      <c r="G56" s="19" t="n"/>
      <c r="H56" s="19" t="n"/>
      <c r="I56" s="19" t="n"/>
      <c r="J56" s="19" t="n"/>
      <c r="K56" s="19" t="n"/>
      <c r="L56" s="19" t="n"/>
      <c r="M56" s="130">
        <f>IF($A56="","",AND('Task Finder'!$C$7&lt;&gt;"",OR(ISNUMBER(SEARCH('Task Finder'!$C$7,$A56)),ISNUMBER(SEARCH('Task Finder'!$C$7,$B56)),ISNUMBER(SEARCH('Task Finder'!$C$7,$C56)),ISNUMBER(SEARCH('Task Finder'!$C$7,$D56)),ISNUMBER(SEARCH('Task Finder'!$C$7,$K56)))))</f>
        <v/>
      </c>
    </row>
    <row r="57">
      <c r="A57" s="19" t="n"/>
      <c r="B57" s="19" t="n"/>
      <c r="C57" s="19" t="n"/>
      <c r="D57" s="19" t="n"/>
      <c r="E57" s="19" t="n"/>
      <c r="F57" s="19" t="n"/>
      <c r="G57" s="19" t="n"/>
      <c r="H57" s="19" t="n"/>
      <c r="I57" s="19" t="n"/>
      <c r="J57" s="19" t="n"/>
      <c r="K57" s="19" t="n"/>
      <c r="L57" s="19" t="n"/>
      <c r="M57" s="130">
        <f>IF($A57="","",AND('Task Finder'!$C$7&lt;&gt;"",OR(ISNUMBER(SEARCH('Task Finder'!$C$7,$A57)),ISNUMBER(SEARCH('Task Finder'!$C$7,$B57)),ISNUMBER(SEARCH('Task Finder'!$C$7,$C57)),ISNUMBER(SEARCH('Task Finder'!$C$7,$D57)),ISNUMBER(SEARCH('Task Finder'!$C$7,$K57)))))</f>
        <v/>
      </c>
    </row>
    <row r="58">
      <c r="A58" s="19" t="n"/>
      <c r="B58" s="19" t="n"/>
      <c r="C58" s="19" t="n"/>
      <c r="D58" s="19" t="n"/>
      <c r="E58" s="19" t="n"/>
      <c r="F58" s="19" t="n"/>
      <c r="G58" s="19" t="n"/>
      <c r="H58" s="19" t="n"/>
      <c r="I58" s="19" t="n"/>
      <c r="J58" s="19" t="n"/>
      <c r="K58" s="19" t="n"/>
      <c r="L58" s="19" t="n"/>
      <c r="M58" s="130">
        <f>IF($A58="","",AND('Task Finder'!$C$7&lt;&gt;"",OR(ISNUMBER(SEARCH('Task Finder'!$C$7,$A58)),ISNUMBER(SEARCH('Task Finder'!$C$7,$B58)),ISNUMBER(SEARCH('Task Finder'!$C$7,$C58)),ISNUMBER(SEARCH('Task Finder'!$C$7,$D58)),ISNUMBER(SEARCH('Task Finder'!$C$7,$K58)))))</f>
        <v/>
      </c>
    </row>
    <row r="59">
      <c r="A59" s="19" t="n"/>
      <c r="B59" s="19" t="n"/>
      <c r="C59" s="19" t="n"/>
      <c r="D59" s="19" t="n"/>
      <c r="E59" s="19" t="n"/>
      <c r="F59" s="19" t="n"/>
      <c r="G59" s="19" t="n"/>
      <c r="H59" s="19" t="n"/>
      <c r="I59" s="19" t="n"/>
      <c r="J59" s="19" t="n"/>
      <c r="K59" s="19" t="n"/>
      <c r="L59" s="19" t="n"/>
      <c r="M59" s="130">
        <f>IF($A59="","",AND('Task Finder'!$C$7&lt;&gt;"",OR(ISNUMBER(SEARCH('Task Finder'!$C$7,$A59)),ISNUMBER(SEARCH('Task Finder'!$C$7,$B59)),ISNUMBER(SEARCH('Task Finder'!$C$7,$C59)),ISNUMBER(SEARCH('Task Finder'!$C$7,$D59)),ISNUMBER(SEARCH('Task Finder'!$C$7,$K59)))))</f>
        <v/>
      </c>
    </row>
    <row r="60">
      <c r="A60" s="19" t="n"/>
      <c r="B60" s="19" t="n"/>
      <c r="C60" s="19" t="n"/>
      <c r="D60" s="19" t="n"/>
      <c r="E60" s="19" t="n"/>
      <c r="F60" s="19" t="n"/>
      <c r="G60" s="19" t="n"/>
      <c r="H60" s="19" t="n"/>
      <c r="I60" s="19" t="n"/>
      <c r="J60" s="19" t="n"/>
      <c r="K60" s="19" t="n"/>
      <c r="L60" s="19" t="n"/>
      <c r="M60" s="130">
        <f>IF($A60="","",AND('Task Finder'!$C$7&lt;&gt;"",OR(ISNUMBER(SEARCH('Task Finder'!$C$7,$A60)),ISNUMBER(SEARCH('Task Finder'!$C$7,$B60)),ISNUMBER(SEARCH('Task Finder'!$C$7,$C60)),ISNUMBER(SEARCH('Task Finder'!$C$7,$D60)),ISNUMBER(SEARCH('Task Finder'!$C$7,$K60)))))</f>
        <v/>
      </c>
    </row>
    <row r="61">
      <c r="A61" s="19" t="n"/>
      <c r="B61" s="19" t="n"/>
      <c r="C61" s="19" t="n"/>
      <c r="D61" s="19" t="n"/>
      <c r="E61" s="19" t="n"/>
      <c r="F61" s="19" t="n"/>
      <c r="G61" s="19" t="n"/>
      <c r="H61" s="19" t="n"/>
      <c r="I61" s="19" t="n"/>
      <c r="J61" s="19" t="n"/>
      <c r="K61" s="19" t="n"/>
      <c r="L61" s="19" t="n"/>
      <c r="M61" s="130">
        <f>IF($A61="","",AND('Task Finder'!$C$7&lt;&gt;"",OR(ISNUMBER(SEARCH('Task Finder'!$C$7,$A61)),ISNUMBER(SEARCH('Task Finder'!$C$7,$B61)),ISNUMBER(SEARCH('Task Finder'!$C$7,$C61)),ISNUMBER(SEARCH('Task Finder'!$C$7,$D61)),ISNUMBER(SEARCH('Task Finder'!$C$7,$K61)))))</f>
        <v/>
      </c>
    </row>
    <row r="62">
      <c r="A62" s="19" t="n"/>
      <c r="B62" s="19" t="n"/>
      <c r="C62" s="19" t="n"/>
      <c r="D62" s="19" t="n"/>
      <c r="E62" s="19" t="n"/>
      <c r="F62" s="19" t="n"/>
      <c r="G62" s="19" t="n"/>
      <c r="H62" s="19" t="n"/>
      <c r="I62" s="19" t="n"/>
      <c r="J62" s="19" t="n"/>
      <c r="K62" s="19" t="n"/>
      <c r="L62" s="19" t="n"/>
      <c r="M62" s="130">
        <f>IF($A62="","",AND('Task Finder'!$C$7&lt;&gt;"",OR(ISNUMBER(SEARCH('Task Finder'!$C$7,$A62)),ISNUMBER(SEARCH('Task Finder'!$C$7,$B62)),ISNUMBER(SEARCH('Task Finder'!$C$7,$C62)),ISNUMBER(SEARCH('Task Finder'!$C$7,$D62)),ISNUMBER(SEARCH('Task Finder'!$C$7,$K62)))))</f>
        <v/>
      </c>
    </row>
    <row r="63">
      <c r="A63" s="19" t="n"/>
      <c r="B63" s="19" t="n"/>
      <c r="C63" s="19" t="n"/>
      <c r="D63" s="19" t="n"/>
      <c r="E63" s="19" t="n"/>
      <c r="F63" s="19" t="n"/>
      <c r="G63" s="19" t="n"/>
      <c r="H63" s="19" t="n"/>
      <c r="I63" s="19" t="n"/>
      <c r="J63" s="19" t="n"/>
      <c r="K63" s="19" t="n"/>
      <c r="L63" s="19" t="n"/>
      <c r="M63" s="130">
        <f>IF($A63="","",AND('Task Finder'!$C$7&lt;&gt;"",OR(ISNUMBER(SEARCH('Task Finder'!$C$7,$A63)),ISNUMBER(SEARCH('Task Finder'!$C$7,$B63)),ISNUMBER(SEARCH('Task Finder'!$C$7,$C63)),ISNUMBER(SEARCH('Task Finder'!$C$7,$D63)),ISNUMBER(SEARCH('Task Finder'!$C$7,$K63)))))</f>
        <v/>
      </c>
    </row>
    <row r="64">
      <c r="A64" s="19" t="n"/>
      <c r="B64" s="19" t="n"/>
      <c r="C64" s="19" t="n"/>
      <c r="D64" s="19" t="n"/>
      <c r="E64" s="19" t="n"/>
      <c r="F64" s="19" t="n"/>
      <c r="G64" s="19" t="n"/>
      <c r="H64" s="19" t="n"/>
      <c r="I64" s="19" t="n"/>
      <c r="J64" s="19" t="n"/>
      <c r="K64" s="19" t="n"/>
      <c r="L64" s="19" t="n"/>
      <c r="M64" s="130">
        <f>IF($A64="","",AND('Task Finder'!$C$7&lt;&gt;"",OR(ISNUMBER(SEARCH('Task Finder'!$C$7,$A64)),ISNUMBER(SEARCH('Task Finder'!$C$7,$B64)),ISNUMBER(SEARCH('Task Finder'!$C$7,$C64)),ISNUMBER(SEARCH('Task Finder'!$C$7,$D64)),ISNUMBER(SEARCH('Task Finder'!$C$7,$K64)))))</f>
        <v/>
      </c>
    </row>
    <row r="65">
      <c r="A65" s="19" t="n"/>
      <c r="B65" s="19" t="n"/>
      <c r="C65" s="19" t="n"/>
      <c r="D65" s="19" t="n"/>
      <c r="E65" s="19" t="n"/>
      <c r="F65" s="19" t="n"/>
      <c r="G65" s="19" t="n"/>
      <c r="H65" s="19" t="n"/>
      <c r="I65" s="19" t="n"/>
      <c r="J65" s="19" t="n"/>
      <c r="K65" s="19" t="n"/>
      <c r="L65" s="19" t="n"/>
      <c r="M65" s="130">
        <f>IF($A65="","",AND('Task Finder'!$C$7&lt;&gt;"",OR(ISNUMBER(SEARCH('Task Finder'!$C$7,$A65)),ISNUMBER(SEARCH('Task Finder'!$C$7,$B65)),ISNUMBER(SEARCH('Task Finder'!$C$7,$C65)),ISNUMBER(SEARCH('Task Finder'!$C$7,$D65)),ISNUMBER(SEARCH('Task Finder'!$C$7,$K65)))))</f>
        <v/>
      </c>
    </row>
    <row r="66">
      <c r="A66" s="19" t="n"/>
      <c r="B66" s="19" t="n"/>
      <c r="C66" s="19" t="n"/>
      <c r="D66" s="19" t="n"/>
      <c r="E66" s="19" t="n"/>
      <c r="F66" s="19" t="n"/>
      <c r="G66" s="19" t="n"/>
      <c r="H66" s="19" t="n"/>
      <c r="I66" s="19" t="n"/>
      <c r="J66" s="19" t="n"/>
      <c r="K66" s="19" t="n"/>
      <c r="L66" s="19" t="n"/>
      <c r="M66" s="130">
        <f>IF($A66="","",AND('Task Finder'!$C$7&lt;&gt;"",OR(ISNUMBER(SEARCH('Task Finder'!$C$7,$A66)),ISNUMBER(SEARCH('Task Finder'!$C$7,$B66)),ISNUMBER(SEARCH('Task Finder'!$C$7,$C66)),ISNUMBER(SEARCH('Task Finder'!$C$7,$D66)),ISNUMBER(SEARCH('Task Finder'!$C$7,$K66)))))</f>
        <v/>
      </c>
    </row>
    <row r="67">
      <c r="A67" s="19" t="n"/>
      <c r="B67" s="19" t="n"/>
      <c r="C67" s="19" t="n"/>
      <c r="D67" s="19" t="n"/>
      <c r="E67" s="19" t="n"/>
      <c r="F67" s="19" t="n"/>
      <c r="G67" s="19" t="n"/>
      <c r="H67" s="19" t="n"/>
      <c r="I67" s="19" t="n"/>
      <c r="J67" s="19" t="n"/>
      <c r="K67" s="19" t="n"/>
      <c r="L67" s="19" t="n"/>
      <c r="M67" s="130">
        <f>IF($A67="","",AND('Task Finder'!$C$7&lt;&gt;"",OR(ISNUMBER(SEARCH('Task Finder'!$C$7,$A67)),ISNUMBER(SEARCH('Task Finder'!$C$7,$B67)),ISNUMBER(SEARCH('Task Finder'!$C$7,$C67)),ISNUMBER(SEARCH('Task Finder'!$C$7,$D67)),ISNUMBER(SEARCH('Task Finder'!$C$7,$K67)))))</f>
        <v/>
      </c>
    </row>
    <row r="68">
      <c r="A68" s="19" t="n"/>
      <c r="B68" s="19" t="n"/>
      <c r="C68" s="19" t="n"/>
      <c r="D68" s="19" t="n"/>
      <c r="E68" s="19" t="n"/>
      <c r="F68" s="19" t="n"/>
      <c r="G68" s="19" t="n"/>
      <c r="H68" s="19" t="n"/>
      <c r="I68" s="19" t="n"/>
      <c r="J68" s="19" t="n"/>
      <c r="K68" s="19" t="n"/>
      <c r="L68" s="19" t="n"/>
      <c r="M68" s="130">
        <f>IF($A68="","",AND('Task Finder'!$C$7&lt;&gt;"",OR(ISNUMBER(SEARCH('Task Finder'!$C$7,$A68)),ISNUMBER(SEARCH('Task Finder'!$C$7,$B68)),ISNUMBER(SEARCH('Task Finder'!$C$7,$C68)),ISNUMBER(SEARCH('Task Finder'!$C$7,$D68)),ISNUMBER(SEARCH('Task Finder'!$C$7,$K68)))))</f>
        <v/>
      </c>
    </row>
    <row r="69">
      <c r="A69" s="19" t="n"/>
      <c r="B69" s="19" t="n"/>
      <c r="C69" s="19" t="n"/>
      <c r="D69" s="19" t="n"/>
      <c r="E69" s="19" t="n"/>
      <c r="F69" s="19" t="n"/>
      <c r="G69" s="19" t="n"/>
      <c r="H69" s="19" t="n"/>
      <c r="I69" s="19" t="n"/>
      <c r="J69" s="19" t="n"/>
      <c r="K69" s="19" t="n"/>
      <c r="L69" s="19" t="n"/>
      <c r="M69" s="130">
        <f>IF($A69="","",AND('Task Finder'!$C$7&lt;&gt;"",OR(ISNUMBER(SEARCH('Task Finder'!$C$7,$A69)),ISNUMBER(SEARCH('Task Finder'!$C$7,$B69)),ISNUMBER(SEARCH('Task Finder'!$C$7,$C69)),ISNUMBER(SEARCH('Task Finder'!$C$7,$D69)),ISNUMBER(SEARCH('Task Finder'!$C$7,$K69)))))</f>
        <v/>
      </c>
    </row>
    <row r="70">
      <c r="A70" s="19" t="n"/>
      <c r="B70" s="19" t="n"/>
      <c r="C70" s="19" t="n"/>
      <c r="D70" s="19" t="n"/>
      <c r="E70" s="19" t="n"/>
      <c r="F70" s="19" t="n"/>
      <c r="G70" s="19" t="n"/>
      <c r="H70" s="19" t="n"/>
      <c r="I70" s="19" t="n"/>
      <c r="J70" s="19" t="n"/>
      <c r="K70" s="19" t="n"/>
      <c r="L70" s="19" t="n"/>
      <c r="M70" s="130">
        <f>IF($A70="","",AND('Task Finder'!$C$7&lt;&gt;"",OR(ISNUMBER(SEARCH('Task Finder'!$C$7,$A70)),ISNUMBER(SEARCH('Task Finder'!$C$7,$B70)),ISNUMBER(SEARCH('Task Finder'!$C$7,$C70)),ISNUMBER(SEARCH('Task Finder'!$C$7,$D70)),ISNUMBER(SEARCH('Task Finder'!$C$7,$K70)))))</f>
        <v/>
      </c>
    </row>
    <row r="71">
      <c r="A71" s="19" t="n"/>
      <c r="B71" s="19" t="n"/>
      <c r="C71" s="19" t="n"/>
      <c r="D71" s="19" t="n"/>
      <c r="E71" s="19" t="n"/>
      <c r="F71" s="19" t="n"/>
      <c r="G71" s="19" t="n"/>
      <c r="H71" s="19" t="n"/>
      <c r="I71" s="19" t="n"/>
      <c r="J71" s="19" t="n"/>
      <c r="K71" s="19" t="n"/>
      <c r="L71" s="19" t="n"/>
      <c r="M71" s="130">
        <f>IF($A71="","",AND('Task Finder'!$C$7&lt;&gt;"",OR(ISNUMBER(SEARCH('Task Finder'!$C$7,$A71)),ISNUMBER(SEARCH('Task Finder'!$C$7,$B71)),ISNUMBER(SEARCH('Task Finder'!$C$7,$C71)),ISNUMBER(SEARCH('Task Finder'!$C$7,$D71)),ISNUMBER(SEARCH('Task Finder'!$C$7,$K71)))))</f>
        <v/>
      </c>
    </row>
    <row r="72">
      <c r="A72" s="19" t="n"/>
      <c r="B72" s="19" t="n"/>
      <c r="C72" s="19" t="n"/>
      <c r="D72" s="19" t="n"/>
      <c r="E72" s="19" t="n"/>
      <c r="F72" s="19" t="n"/>
      <c r="G72" s="19" t="n"/>
      <c r="H72" s="19" t="n"/>
      <c r="I72" s="19" t="n"/>
      <c r="J72" s="19" t="n"/>
      <c r="K72" s="19" t="n"/>
      <c r="L72" s="19" t="n"/>
      <c r="M72" s="130">
        <f>IF($A72="","",AND('Task Finder'!$C$7&lt;&gt;"",OR(ISNUMBER(SEARCH('Task Finder'!$C$7,$A72)),ISNUMBER(SEARCH('Task Finder'!$C$7,$B72)),ISNUMBER(SEARCH('Task Finder'!$C$7,$C72)),ISNUMBER(SEARCH('Task Finder'!$C$7,$D72)),ISNUMBER(SEARCH('Task Finder'!$C$7,$K72)))))</f>
        <v/>
      </c>
    </row>
    <row r="73">
      <c r="A73" s="19" t="n"/>
      <c r="B73" s="19" t="n"/>
      <c r="C73" s="19" t="n"/>
      <c r="D73" s="19" t="n"/>
      <c r="E73" s="19" t="n"/>
      <c r="F73" s="19" t="n"/>
      <c r="G73" s="19" t="n"/>
      <c r="H73" s="19" t="n"/>
      <c r="I73" s="19" t="n"/>
      <c r="J73" s="19" t="n"/>
      <c r="K73" s="19" t="n"/>
      <c r="L73" s="19" t="n"/>
      <c r="M73" s="130">
        <f>IF($A73="","",AND('Task Finder'!$C$7&lt;&gt;"",OR(ISNUMBER(SEARCH('Task Finder'!$C$7,$A73)),ISNUMBER(SEARCH('Task Finder'!$C$7,$B73)),ISNUMBER(SEARCH('Task Finder'!$C$7,$C73)),ISNUMBER(SEARCH('Task Finder'!$C$7,$D73)),ISNUMBER(SEARCH('Task Finder'!$C$7,$K73)))))</f>
        <v/>
      </c>
    </row>
    <row r="74">
      <c r="A74" s="19" t="n"/>
      <c r="B74" s="19" t="n"/>
      <c r="C74" s="19" t="n"/>
      <c r="D74" s="19" t="n"/>
      <c r="E74" s="19" t="n"/>
      <c r="F74" s="19" t="n"/>
      <c r="G74" s="19" t="n"/>
      <c r="H74" s="19" t="n"/>
      <c r="I74" s="19" t="n"/>
      <c r="J74" s="19" t="n"/>
      <c r="K74" s="19" t="n"/>
      <c r="L74" s="19" t="n"/>
      <c r="M74" s="130">
        <f>IF($A74="","",AND('Task Finder'!$C$7&lt;&gt;"",OR(ISNUMBER(SEARCH('Task Finder'!$C$7,$A74)),ISNUMBER(SEARCH('Task Finder'!$C$7,$B74)),ISNUMBER(SEARCH('Task Finder'!$C$7,$C74)),ISNUMBER(SEARCH('Task Finder'!$C$7,$D74)),ISNUMBER(SEARCH('Task Finder'!$C$7,$K74)))))</f>
        <v/>
      </c>
    </row>
    <row r="75">
      <c r="A75" s="19" t="n"/>
      <c r="B75" s="19" t="n"/>
      <c r="C75" s="19" t="n"/>
      <c r="D75" s="19" t="n"/>
      <c r="E75" s="19" t="n"/>
      <c r="F75" s="19" t="n"/>
      <c r="G75" s="19" t="n"/>
      <c r="H75" s="19" t="n"/>
      <c r="I75" s="19" t="n"/>
      <c r="J75" s="19" t="n"/>
      <c r="K75" s="19" t="n"/>
      <c r="L75" s="19" t="n"/>
      <c r="M75" s="130">
        <f>IF($A75="","",AND('Task Finder'!$C$7&lt;&gt;"",OR(ISNUMBER(SEARCH('Task Finder'!$C$7,$A75)),ISNUMBER(SEARCH('Task Finder'!$C$7,$B75)),ISNUMBER(SEARCH('Task Finder'!$C$7,$C75)),ISNUMBER(SEARCH('Task Finder'!$C$7,$D75)),ISNUMBER(SEARCH('Task Finder'!$C$7,$K75)))))</f>
        <v/>
      </c>
    </row>
    <row r="76">
      <c r="A76" s="19" t="n"/>
      <c r="B76" s="19" t="n"/>
      <c r="C76" s="19" t="n"/>
      <c r="D76" s="19" t="n"/>
      <c r="E76" s="19" t="n"/>
      <c r="F76" s="19" t="n"/>
      <c r="G76" s="19" t="n"/>
      <c r="H76" s="19" t="n"/>
      <c r="I76" s="19" t="n"/>
      <c r="J76" s="19" t="n"/>
      <c r="K76" s="19" t="n"/>
      <c r="L76" s="19" t="n"/>
      <c r="M76" s="130">
        <f>IF($A76="","",AND('Task Finder'!$C$7&lt;&gt;"",OR(ISNUMBER(SEARCH('Task Finder'!$C$7,$A76)),ISNUMBER(SEARCH('Task Finder'!$C$7,$B76)),ISNUMBER(SEARCH('Task Finder'!$C$7,$C76)),ISNUMBER(SEARCH('Task Finder'!$C$7,$D76)),ISNUMBER(SEARCH('Task Finder'!$C$7,$K76)))))</f>
        <v/>
      </c>
    </row>
    <row r="77">
      <c r="A77" s="19" t="n"/>
      <c r="B77" s="19" t="n"/>
      <c r="C77" s="19" t="n"/>
      <c r="D77" s="19" t="n"/>
      <c r="E77" s="19" t="n"/>
      <c r="F77" s="19" t="n"/>
      <c r="G77" s="19" t="n"/>
      <c r="H77" s="19" t="n"/>
      <c r="I77" s="19" t="n"/>
      <c r="J77" s="19" t="n"/>
      <c r="K77" s="19" t="n"/>
      <c r="L77" s="19" t="n"/>
      <c r="M77" s="130">
        <f>IF($A77="","",AND('Task Finder'!$C$7&lt;&gt;"",OR(ISNUMBER(SEARCH('Task Finder'!$C$7,$A77)),ISNUMBER(SEARCH('Task Finder'!$C$7,$B77)),ISNUMBER(SEARCH('Task Finder'!$C$7,$C77)),ISNUMBER(SEARCH('Task Finder'!$C$7,$D77)),ISNUMBER(SEARCH('Task Finder'!$C$7,$K77)))))</f>
        <v/>
      </c>
    </row>
    <row r="78">
      <c r="A78" s="19" t="n"/>
      <c r="B78" s="19" t="n"/>
      <c r="C78" s="19" t="n"/>
      <c r="D78" s="19" t="n"/>
      <c r="E78" s="19" t="n"/>
      <c r="F78" s="19" t="n"/>
      <c r="G78" s="19" t="n"/>
      <c r="H78" s="19" t="n"/>
      <c r="I78" s="19" t="n"/>
      <c r="J78" s="19" t="n"/>
      <c r="K78" s="19" t="n"/>
      <c r="L78" s="19" t="n"/>
      <c r="M78" s="130">
        <f>IF($A78="","",AND('Task Finder'!$C$7&lt;&gt;"",OR(ISNUMBER(SEARCH('Task Finder'!$C$7,$A78)),ISNUMBER(SEARCH('Task Finder'!$C$7,$B78)),ISNUMBER(SEARCH('Task Finder'!$C$7,$C78)),ISNUMBER(SEARCH('Task Finder'!$C$7,$D78)),ISNUMBER(SEARCH('Task Finder'!$C$7,$K78)))))</f>
        <v/>
      </c>
    </row>
    <row r="79">
      <c r="A79" s="19" t="n"/>
      <c r="B79" s="19" t="n"/>
      <c r="C79" s="19" t="n"/>
      <c r="D79" s="19" t="n"/>
      <c r="E79" s="19" t="n"/>
      <c r="F79" s="19" t="n"/>
      <c r="G79" s="19" t="n"/>
      <c r="H79" s="19" t="n"/>
      <c r="I79" s="19" t="n"/>
      <c r="J79" s="19" t="n"/>
      <c r="K79" s="19" t="n"/>
      <c r="L79" s="19" t="n"/>
      <c r="M79" s="130">
        <f>IF($A79="","",AND('Task Finder'!$C$7&lt;&gt;"",OR(ISNUMBER(SEARCH('Task Finder'!$C$7,$A79)),ISNUMBER(SEARCH('Task Finder'!$C$7,$B79)),ISNUMBER(SEARCH('Task Finder'!$C$7,$C79)),ISNUMBER(SEARCH('Task Finder'!$C$7,$D79)),ISNUMBER(SEARCH('Task Finder'!$C$7,$K79)))))</f>
        <v/>
      </c>
    </row>
    <row r="80">
      <c r="A80" s="19" t="n"/>
      <c r="B80" s="19" t="n"/>
      <c r="C80" s="19" t="n"/>
      <c r="D80" s="19" t="n"/>
      <c r="E80" s="19" t="n"/>
      <c r="F80" s="19" t="n"/>
      <c r="G80" s="19" t="n"/>
      <c r="H80" s="19" t="n"/>
      <c r="I80" s="19" t="n"/>
      <c r="J80" s="19" t="n"/>
      <c r="K80" s="19" t="n"/>
      <c r="L80" s="19" t="n"/>
      <c r="M80" s="130">
        <f>IF($A80="","",AND('Task Finder'!$C$7&lt;&gt;"",OR(ISNUMBER(SEARCH('Task Finder'!$C$7,$A80)),ISNUMBER(SEARCH('Task Finder'!$C$7,$B80)),ISNUMBER(SEARCH('Task Finder'!$C$7,$C80)),ISNUMBER(SEARCH('Task Finder'!$C$7,$D80)),ISNUMBER(SEARCH('Task Finder'!$C$7,$K80)))))</f>
        <v/>
      </c>
    </row>
    <row r="81">
      <c r="A81" s="19" t="n"/>
      <c r="B81" s="19" t="n"/>
      <c r="C81" s="19" t="n"/>
      <c r="D81" s="19" t="n"/>
      <c r="E81" s="19" t="n"/>
      <c r="F81" s="19" t="n"/>
      <c r="G81" s="19" t="n"/>
      <c r="H81" s="19" t="n"/>
      <c r="I81" s="19" t="n"/>
      <c r="J81" s="19" t="n"/>
      <c r="K81" s="19" t="n"/>
      <c r="L81" s="19" t="n"/>
      <c r="M81" s="130">
        <f>IF($A81="","",AND('Task Finder'!$C$7&lt;&gt;"",OR(ISNUMBER(SEARCH('Task Finder'!$C$7,$A81)),ISNUMBER(SEARCH('Task Finder'!$C$7,$B81)),ISNUMBER(SEARCH('Task Finder'!$C$7,$C81)),ISNUMBER(SEARCH('Task Finder'!$C$7,$D81)),ISNUMBER(SEARCH('Task Finder'!$C$7,$K81)))))</f>
        <v/>
      </c>
    </row>
    <row r="82">
      <c r="A82" s="19" t="n"/>
      <c r="B82" s="19" t="n"/>
      <c r="C82" s="19" t="n"/>
      <c r="D82" s="19" t="n"/>
      <c r="E82" s="19" t="n"/>
      <c r="F82" s="19" t="n"/>
      <c r="G82" s="19" t="n"/>
      <c r="H82" s="19" t="n"/>
      <c r="I82" s="19" t="n"/>
      <c r="J82" s="19" t="n"/>
      <c r="K82" s="19" t="n"/>
      <c r="L82" s="19" t="n"/>
      <c r="M82" s="130">
        <f>IF($A82="","",AND('Task Finder'!$C$7&lt;&gt;"",OR(ISNUMBER(SEARCH('Task Finder'!$C$7,$A82)),ISNUMBER(SEARCH('Task Finder'!$C$7,$B82)),ISNUMBER(SEARCH('Task Finder'!$C$7,$C82)),ISNUMBER(SEARCH('Task Finder'!$C$7,$D82)),ISNUMBER(SEARCH('Task Finder'!$C$7,$K82)))))</f>
        <v/>
      </c>
    </row>
    <row r="83">
      <c r="A83" s="19" t="n"/>
      <c r="B83" s="19" t="n"/>
      <c r="C83" s="19" t="n"/>
      <c r="D83" s="19" t="n"/>
      <c r="E83" s="19" t="n"/>
      <c r="F83" s="19" t="n"/>
      <c r="G83" s="19" t="n"/>
      <c r="H83" s="19" t="n"/>
      <c r="I83" s="19" t="n"/>
      <c r="J83" s="19" t="n"/>
      <c r="K83" s="19" t="n"/>
      <c r="L83" s="19" t="n"/>
      <c r="M83" s="130">
        <f>IF($A83="","",AND('Task Finder'!$C$7&lt;&gt;"",OR(ISNUMBER(SEARCH('Task Finder'!$C$7,$A83)),ISNUMBER(SEARCH('Task Finder'!$C$7,$B83)),ISNUMBER(SEARCH('Task Finder'!$C$7,$C83)),ISNUMBER(SEARCH('Task Finder'!$C$7,$D83)),ISNUMBER(SEARCH('Task Finder'!$C$7,$K83)))))</f>
        <v/>
      </c>
    </row>
    <row r="84">
      <c r="A84" s="19" t="n"/>
      <c r="B84" s="19" t="n"/>
      <c r="C84" s="19" t="n"/>
      <c r="D84" s="19" t="n"/>
      <c r="E84" s="19" t="n"/>
      <c r="F84" s="19" t="n"/>
      <c r="G84" s="19" t="n"/>
      <c r="H84" s="19" t="n"/>
      <c r="I84" s="19" t="n"/>
      <c r="J84" s="19" t="n"/>
      <c r="K84" s="19" t="n"/>
      <c r="L84" s="19" t="n"/>
      <c r="M84" s="130">
        <f>IF($A84="","",AND('Task Finder'!$C$7&lt;&gt;"",OR(ISNUMBER(SEARCH('Task Finder'!$C$7,$A84)),ISNUMBER(SEARCH('Task Finder'!$C$7,$B84)),ISNUMBER(SEARCH('Task Finder'!$C$7,$C84)),ISNUMBER(SEARCH('Task Finder'!$C$7,$D84)),ISNUMBER(SEARCH('Task Finder'!$C$7,$K84)))))</f>
        <v/>
      </c>
    </row>
    <row r="85">
      <c r="A85" s="19" t="n"/>
      <c r="B85" s="19" t="n"/>
      <c r="C85" s="19" t="n"/>
      <c r="D85" s="19" t="n"/>
      <c r="E85" s="19" t="n"/>
      <c r="F85" s="19" t="n"/>
      <c r="G85" s="19" t="n"/>
      <c r="H85" s="19" t="n"/>
      <c r="I85" s="19" t="n"/>
      <c r="J85" s="19" t="n"/>
      <c r="K85" s="19" t="n"/>
      <c r="L85" s="19" t="n"/>
      <c r="M85" s="130">
        <f>IF($A85="","",AND('Task Finder'!$C$7&lt;&gt;"",OR(ISNUMBER(SEARCH('Task Finder'!$C$7,$A85)),ISNUMBER(SEARCH('Task Finder'!$C$7,$B85)),ISNUMBER(SEARCH('Task Finder'!$C$7,$C85)),ISNUMBER(SEARCH('Task Finder'!$C$7,$D85)),ISNUMBER(SEARCH('Task Finder'!$C$7,$K85)))))</f>
        <v/>
      </c>
    </row>
    <row r="86">
      <c r="A86" s="19" t="n"/>
      <c r="B86" s="19" t="n"/>
      <c r="C86" s="19" t="n"/>
      <c r="D86" s="19" t="n"/>
      <c r="E86" s="19" t="n"/>
      <c r="F86" s="19" t="n"/>
      <c r="G86" s="19" t="n"/>
      <c r="H86" s="19" t="n"/>
      <c r="I86" s="19" t="n"/>
      <c r="J86" s="19" t="n"/>
      <c r="K86" s="19" t="n"/>
      <c r="L86" s="19" t="n"/>
      <c r="M86" s="130">
        <f>IF($A86="","",AND('Task Finder'!$C$7&lt;&gt;"",OR(ISNUMBER(SEARCH('Task Finder'!$C$7,$A86)),ISNUMBER(SEARCH('Task Finder'!$C$7,$B86)),ISNUMBER(SEARCH('Task Finder'!$C$7,$C86)),ISNUMBER(SEARCH('Task Finder'!$C$7,$D86)),ISNUMBER(SEARCH('Task Finder'!$C$7,$K86)))))</f>
        <v/>
      </c>
    </row>
    <row r="87">
      <c r="A87" s="19" t="n"/>
      <c r="B87" s="19" t="n"/>
      <c r="C87" s="19" t="n"/>
      <c r="D87" s="19" t="n"/>
      <c r="E87" s="19" t="n"/>
      <c r="F87" s="19" t="n"/>
      <c r="G87" s="19" t="n"/>
      <c r="H87" s="19" t="n"/>
      <c r="I87" s="19" t="n"/>
      <c r="J87" s="19" t="n"/>
      <c r="K87" s="19" t="n"/>
      <c r="L87" s="19" t="n"/>
      <c r="M87" s="130">
        <f>IF($A87="","",AND('Task Finder'!$C$7&lt;&gt;"",OR(ISNUMBER(SEARCH('Task Finder'!$C$7,$A87)),ISNUMBER(SEARCH('Task Finder'!$C$7,$B87)),ISNUMBER(SEARCH('Task Finder'!$C$7,$C87)),ISNUMBER(SEARCH('Task Finder'!$C$7,$D87)),ISNUMBER(SEARCH('Task Finder'!$C$7,$K87)))))</f>
        <v/>
      </c>
    </row>
    <row r="88">
      <c r="A88" s="19" t="n"/>
      <c r="B88" s="19" t="n"/>
      <c r="C88" s="19" t="n"/>
      <c r="D88" s="19" t="n"/>
      <c r="E88" s="19" t="n"/>
      <c r="F88" s="19" t="n"/>
      <c r="G88" s="19" t="n"/>
      <c r="H88" s="19" t="n"/>
      <c r="I88" s="19" t="n"/>
      <c r="J88" s="19" t="n"/>
      <c r="K88" s="19" t="n"/>
      <c r="L88" s="19" t="n"/>
      <c r="M88" s="130">
        <f>IF($A88="","",AND('Task Finder'!$C$7&lt;&gt;"",OR(ISNUMBER(SEARCH('Task Finder'!$C$7,$A88)),ISNUMBER(SEARCH('Task Finder'!$C$7,$B88)),ISNUMBER(SEARCH('Task Finder'!$C$7,$C88)),ISNUMBER(SEARCH('Task Finder'!$C$7,$D88)),ISNUMBER(SEARCH('Task Finder'!$C$7,$K88)))))</f>
        <v/>
      </c>
    </row>
    <row r="89">
      <c r="A89" s="19" t="n"/>
      <c r="B89" s="19" t="n"/>
      <c r="C89" s="19" t="n"/>
      <c r="D89" s="19" t="n"/>
      <c r="E89" s="19" t="n"/>
      <c r="F89" s="19" t="n"/>
      <c r="G89" s="19" t="n"/>
      <c r="H89" s="19" t="n"/>
      <c r="I89" s="19" t="n"/>
      <c r="J89" s="19" t="n"/>
      <c r="K89" s="19" t="n"/>
      <c r="L89" s="19" t="n"/>
      <c r="M89" s="130">
        <f>IF($A89="","",AND('Task Finder'!$C$7&lt;&gt;"",OR(ISNUMBER(SEARCH('Task Finder'!$C$7,$A89)),ISNUMBER(SEARCH('Task Finder'!$C$7,$B89)),ISNUMBER(SEARCH('Task Finder'!$C$7,$C89)),ISNUMBER(SEARCH('Task Finder'!$C$7,$D89)),ISNUMBER(SEARCH('Task Finder'!$C$7,$K89)))))</f>
        <v/>
      </c>
    </row>
    <row r="90">
      <c r="A90" s="19" t="n"/>
      <c r="B90" s="19" t="n"/>
      <c r="C90" s="19" t="n"/>
      <c r="D90" s="19" t="n"/>
      <c r="E90" s="19" t="n"/>
      <c r="F90" s="19" t="n"/>
      <c r="G90" s="19" t="n"/>
      <c r="H90" s="19" t="n"/>
      <c r="I90" s="19" t="n"/>
      <c r="J90" s="19" t="n"/>
      <c r="K90" s="19" t="n"/>
      <c r="L90" s="19" t="n"/>
      <c r="M90" s="130">
        <f>IF($A90="","",AND('Task Finder'!$C$7&lt;&gt;"",OR(ISNUMBER(SEARCH('Task Finder'!$C$7,$A90)),ISNUMBER(SEARCH('Task Finder'!$C$7,$B90)),ISNUMBER(SEARCH('Task Finder'!$C$7,$C90)),ISNUMBER(SEARCH('Task Finder'!$C$7,$D90)),ISNUMBER(SEARCH('Task Finder'!$C$7,$K90)))))</f>
        <v/>
      </c>
    </row>
    <row r="91">
      <c r="A91" s="19" t="n"/>
      <c r="B91" s="19" t="n"/>
      <c r="C91" s="19" t="n"/>
      <c r="D91" s="19" t="n"/>
      <c r="E91" s="19" t="n"/>
      <c r="F91" s="19" t="n"/>
      <c r="G91" s="19" t="n"/>
      <c r="H91" s="19" t="n"/>
      <c r="I91" s="19" t="n"/>
      <c r="J91" s="19" t="n"/>
      <c r="K91" s="19" t="n"/>
      <c r="L91" s="19" t="n"/>
      <c r="M91" s="130">
        <f>IF($A91="","",AND('Task Finder'!$C$7&lt;&gt;"",OR(ISNUMBER(SEARCH('Task Finder'!$C$7,$A91)),ISNUMBER(SEARCH('Task Finder'!$C$7,$B91)),ISNUMBER(SEARCH('Task Finder'!$C$7,$C91)),ISNUMBER(SEARCH('Task Finder'!$C$7,$D91)),ISNUMBER(SEARCH('Task Finder'!$C$7,$K91)))))</f>
        <v/>
      </c>
    </row>
    <row r="92">
      <c r="A92" s="19" t="n"/>
      <c r="B92" s="19" t="n"/>
      <c r="C92" s="19" t="n"/>
      <c r="D92" s="19" t="n"/>
      <c r="E92" s="19" t="n"/>
      <c r="F92" s="19" t="n"/>
      <c r="G92" s="19" t="n"/>
      <c r="H92" s="19" t="n"/>
      <c r="I92" s="19" t="n"/>
      <c r="J92" s="19" t="n"/>
      <c r="K92" s="19" t="n"/>
      <c r="L92" s="19" t="n"/>
      <c r="M92" s="130">
        <f>IF($A92="","",AND('Task Finder'!$C$7&lt;&gt;"",OR(ISNUMBER(SEARCH('Task Finder'!$C$7,$A92)),ISNUMBER(SEARCH('Task Finder'!$C$7,$B92)),ISNUMBER(SEARCH('Task Finder'!$C$7,$C92)),ISNUMBER(SEARCH('Task Finder'!$C$7,$D92)),ISNUMBER(SEARCH('Task Finder'!$C$7,$K92)))))</f>
        <v/>
      </c>
    </row>
    <row r="93">
      <c r="A93" s="19" t="n"/>
      <c r="B93" s="19" t="n"/>
      <c r="C93" s="19" t="n"/>
      <c r="D93" s="19" t="n"/>
      <c r="E93" s="19" t="n"/>
      <c r="F93" s="19" t="n"/>
      <c r="G93" s="19" t="n"/>
      <c r="H93" s="19" t="n"/>
      <c r="I93" s="19" t="n"/>
      <c r="J93" s="19" t="n"/>
      <c r="K93" s="19" t="n"/>
      <c r="L93" s="19" t="n"/>
      <c r="M93" s="130">
        <f>IF($A93="","",AND('Task Finder'!$C$7&lt;&gt;"",OR(ISNUMBER(SEARCH('Task Finder'!$C$7,$A93)),ISNUMBER(SEARCH('Task Finder'!$C$7,$B93)),ISNUMBER(SEARCH('Task Finder'!$C$7,$C93)),ISNUMBER(SEARCH('Task Finder'!$C$7,$D93)),ISNUMBER(SEARCH('Task Finder'!$C$7,$K93)))))</f>
        <v/>
      </c>
    </row>
    <row r="94">
      <c r="A94" s="19" t="n"/>
      <c r="B94" s="19" t="n"/>
      <c r="C94" s="19" t="n"/>
      <c r="D94" s="19" t="n"/>
      <c r="E94" s="19" t="n"/>
      <c r="F94" s="19" t="n"/>
      <c r="G94" s="19" t="n"/>
      <c r="H94" s="19" t="n"/>
      <c r="I94" s="19" t="n"/>
      <c r="J94" s="19" t="n"/>
      <c r="K94" s="19" t="n"/>
      <c r="L94" s="19" t="n"/>
      <c r="M94" s="130">
        <f>IF($A94="","",AND('Task Finder'!$C$7&lt;&gt;"",OR(ISNUMBER(SEARCH('Task Finder'!$C$7,$A94)),ISNUMBER(SEARCH('Task Finder'!$C$7,$B94)),ISNUMBER(SEARCH('Task Finder'!$C$7,$C94)),ISNUMBER(SEARCH('Task Finder'!$C$7,$D94)),ISNUMBER(SEARCH('Task Finder'!$C$7,$K94)))))</f>
        <v/>
      </c>
    </row>
    <row r="95">
      <c r="A95" s="19" t="n"/>
      <c r="B95" s="19" t="n"/>
      <c r="C95" s="19" t="n"/>
      <c r="D95" s="19" t="n"/>
      <c r="E95" s="19" t="n"/>
      <c r="F95" s="19" t="n"/>
      <c r="G95" s="19" t="n"/>
      <c r="H95" s="19" t="n"/>
      <c r="I95" s="19" t="n"/>
      <c r="J95" s="19" t="n"/>
      <c r="K95" s="19" t="n"/>
      <c r="L95" s="19" t="n"/>
      <c r="M95" s="130">
        <f>IF($A95="","",AND('Task Finder'!$C$7&lt;&gt;"",OR(ISNUMBER(SEARCH('Task Finder'!$C$7,$A95)),ISNUMBER(SEARCH('Task Finder'!$C$7,$B95)),ISNUMBER(SEARCH('Task Finder'!$C$7,$C95)),ISNUMBER(SEARCH('Task Finder'!$C$7,$D95)),ISNUMBER(SEARCH('Task Finder'!$C$7,$K95)))))</f>
        <v/>
      </c>
    </row>
    <row r="96">
      <c r="A96" s="19" t="n"/>
      <c r="B96" s="19" t="n"/>
      <c r="C96" s="19" t="n"/>
      <c r="D96" s="19" t="n"/>
      <c r="E96" s="19" t="n"/>
      <c r="F96" s="19" t="n"/>
      <c r="G96" s="19" t="n"/>
      <c r="H96" s="19" t="n"/>
      <c r="I96" s="19" t="n"/>
      <c r="J96" s="19" t="n"/>
      <c r="K96" s="19" t="n"/>
      <c r="L96" s="19" t="n"/>
      <c r="M96" s="130">
        <f>IF($A96="","",AND('Task Finder'!$C$7&lt;&gt;"",OR(ISNUMBER(SEARCH('Task Finder'!$C$7,$A96)),ISNUMBER(SEARCH('Task Finder'!$C$7,$B96)),ISNUMBER(SEARCH('Task Finder'!$C$7,$C96)),ISNUMBER(SEARCH('Task Finder'!$C$7,$D96)),ISNUMBER(SEARCH('Task Finder'!$C$7,$K96)))))</f>
        <v/>
      </c>
    </row>
    <row r="97">
      <c r="A97" s="19" t="n"/>
      <c r="B97" s="19" t="n"/>
      <c r="C97" s="19" t="n"/>
      <c r="D97" s="19" t="n"/>
      <c r="E97" s="19" t="n"/>
      <c r="F97" s="19" t="n"/>
      <c r="G97" s="19" t="n"/>
      <c r="H97" s="19" t="n"/>
      <c r="I97" s="19" t="n"/>
      <c r="J97" s="19" t="n"/>
      <c r="K97" s="19" t="n"/>
      <c r="L97" s="19" t="n"/>
      <c r="M97" s="130">
        <f>IF($A97="","",AND('Task Finder'!$C$7&lt;&gt;"",OR(ISNUMBER(SEARCH('Task Finder'!$C$7,$A97)),ISNUMBER(SEARCH('Task Finder'!$C$7,$B97)),ISNUMBER(SEARCH('Task Finder'!$C$7,$C97)),ISNUMBER(SEARCH('Task Finder'!$C$7,$D97)),ISNUMBER(SEARCH('Task Finder'!$C$7,$K97)))))</f>
        <v/>
      </c>
    </row>
    <row r="98">
      <c r="A98" s="19" t="n"/>
      <c r="B98" s="19" t="n"/>
      <c r="C98" s="19" t="n"/>
      <c r="D98" s="19" t="n"/>
      <c r="E98" s="19" t="n"/>
      <c r="F98" s="19" t="n"/>
      <c r="G98" s="19" t="n"/>
      <c r="H98" s="19" t="n"/>
      <c r="I98" s="19" t="n"/>
      <c r="J98" s="19" t="n"/>
      <c r="K98" s="19" t="n"/>
      <c r="L98" s="19" t="n"/>
      <c r="M98" s="130">
        <f>IF($A98="","",AND('Task Finder'!$C$7&lt;&gt;"",OR(ISNUMBER(SEARCH('Task Finder'!$C$7,$A98)),ISNUMBER(SEARCH('Task Finder'!$C$7,$B98)),ISNUMBER(SEARCH('Task Finder'!$C$7,$C98)),ISNUMBER(SEARCH('Task Finder'!$C$7,$D98)),ISNUMBER(SEARCH('Task Finder'!$C$7,$K98)))))</f>
        <v/>
      </c>
    </row>
    <row r="99">
      <c r="A99" s="19" t="n"/>
      <c r="B99" s="19" t="n"/>
      <c r="C99" s="19" t="n"/>
      <c r="D99" s="19" t="n"/>
      <c r="E99" s="19" t="n"/>
      <c r="F99" s="19" t="n"/>
      <c r="G99" s="19" t="n"/>
      <c r="H99" s="19" t="n"/>
      <c r="I99" s="19" t="n"/>
      <c r="J99" s="19" t="n"/>
      <c r="K99" s="19" t="n"/>
      <c r="L99" s="19" t="n"/>
      <c r="M99" s="130">
        <f>IF($A99="","",AND('Task Finder'!$C$7&lt;&gt;"",OR(ISNUMBER(SEARCH('Task Finder'!$C$7,$A99)),ISNUMBER(SEARCH('Task Finder'!$C$7,$B99)),ISNUMBER(SEARCH('Task Finder'!$C$7,$C99)),ISNUMBER(SEARCH('Task Finder'!$C$7,$D99)),ISNUMBER(SEARCH('Task Finder'!$C$7,$K99)))))</f>
        <v/>
      </c>
    </row>
    <row r="100">
      <c r="A100" s="19" t="n"/>
      <c r="B100" s="19" t="n"/>
      <c r="C100" s="19" t="n"/>
      <c r="D100" s="19" t="n"/>
      <c r="E100" s="19" t="n"/>
      <c r="F100" s="19" t="n"/>
      <c r="G100" s="19" t="n"/>
      <c r="H100" s="19" t="n"/>
      <c r="I100" s="19" t="n"/>
      <c r="J100" s="19" t="n"/>
      <c r="K100" s="19" t="n"/>
      <c r="L100" s="19" t="n"/>
      <c r="M100" s="130">
        <f>IF($A100="","",AND('Task Finder'!$C$7&lt;&gt;"",OR(ISNUMBER(SEARCH('Task Finder'!$C$7,$A100)),ISNUMBER(SEARCH('Task Finder'!$C$7,$B100)),ISNUMBER(SEARCH('Task Finder'!$C$7,$C100)),ISNUMBER(SEARCH('Task Finder'!$C$7,$D100)),ISNUMBER(SEARCH('Task Finder'!$C$7,$K100)))))</f>
        <v/>
      </c>
    </row>
    <row r="101">
      <c r="A101" s="19" t="n"/>
      <c r="B101" s="19" t="n"/>
      <c r="C101" s="19" t="n"/>
      <c r="D101" s="19" t="n"/>
      <c r="E101" s="19" t="n"/>
      <c r="F101" s="19" t="n"/>
      <c r="G101" s="19" t="n"/>
      <c r="H101" s="19" t="n"/>
      <c r="I101" s="19" t="n"/>
      <c r="J101" s="19" t="n"/>
      <c r="K101" s="19" t="n"/>
      <c r="L101" s="19" t="n"/>
      <c r="M101" s="130">
        <f>IF($A101="","",AND('Task Finder'!$C$7&lt;&gt;"",OR(ISNUMBER(SEARCH('Task Finder'!$C$7,$A101)),ISNUMBER(SEARCH('Task Finder'!$C$7,$B101)),ISNUMBER(SEARCH('Task Finder'!$C$7,$C101)),ISNUMBER(SEARCH('Task Finder'!$C$7,$D101)),ISNUMBER(SEARCH('Task Finder'!$C$7,$K101)))))</f>
        <v/>
      </c>
    </row>
    <row r="102">
      <c r="A102" s="19" t="n"/>
      <c r="B102" s="19" t="n"/>
      <c r="C102" s="19" t="n"/>
      <c r="D102" s="19" t="n"/>
      <c r="E102" s="19" t="n"/>
      <c r="F102" s="19" t="n"/>
      <c r="G102" s="19" t="n"/>
      <c r="H102" s="19" t="n"/>
      <c r="I102" s="19" t="n"/>
      <c r="J102" s="19" t="n"/>
      <c r="K102" s="19" t="n"/>
      <c r="L102" s="19" t="n"/>
      <c r="M102" s="130">
        <f>IF($A102="","",AND('Task Finder'!$C$7&lt;&gt;"",OR(ISNUMBER(SEARCH('Task Finder'!$C$7,$A102)),ISNUMBER(SEARCH('Task Finder'!$C$7,$B102)),ISNUMBER(SEARCH('Task Finder'!$C$7,$C102)),ISNUMBER(SEARCH('Task Finder'!$C$7,$D102)),ISNUMBER(SEARCH('Task Finder'!$C$7,$K102)))))</f>
        <v/>
      </c>
    </row>
    <row r="103">
      <c r="A103" s="19" t="n"/>
      <c r="B103" s="19" t="n"/>
      <c r="C103" s="19" t="n"/>
      <c r="D103" s="19" t="n"/>
      <c r="E103" s="19" t="n"/>
      <c r="F103" s="19" t="n"/>
      <c r="G103" s="19" t="n"/>
      <c r="H103" s="19" t="n"/>
      <c r="I103" s="19" t="n"/>
      <c r="J103" s="19" t="n"/>
      <c r="K103" s="19" t="n"/>
      <c r="L103" s="19" t="n"/>
      <c r="M103" s="130">
        <f>IF($A103="","",AND('Task Finder'!$C$7&lt;&gt;"",OR(ISNUMBER(SEARCH('Task Finder'!$C$7,$A103)),ISNUMBER(SEARCH('Task Finder'!$C$7,$B103)),ISNUMBER(SEARCH('Task Finder'!$C$7,$C103)),ISNUMBER(SEARCH('Task Finder'!$C$7,$D103)),ISNUMBER(SEARCH('Task Finder'!$C$7,$K103)))))</f>
        <v/>
      </c>
    </row>
    <row r="104">
      <c r="A104" s="19" t="n"/>
      <c r="B104" s="19" t="n"/>
      <c r="C104" s="19" t="n"/>
      <c r="D104" s="19" t="n"/>
      <c r="E104" s="19" t="n"/>
      <c r="F104" s="19" t="n"/>
      <c r="G104" s="19" t="n"/>
      <c r="H104" s="19" t="n"/>
      <c r="I104" s="19" t="n"/>
      <c r="J104" s="19" t="n"/>
      <c r="K104" s="19" t="n"/>
      <c r="L104" s="19" t="n"/>
      <c r="M104" s="130">
        <f>IF($A104="","",AND('Task Finder'!$C$7&lt;&gt;"",OR(ISNUMBER(SEARCH('Task Finder'!$C$7,$A104)),ISNUMBER(SEARCH('Task Finder'!$C$7,$B104)),ISNUMBER(SEARCH('Task Finder'!$C$7,$C104)),ISNUMBER(SEARCH('Task Finder'!$C$7,$D104)),ISNUMBER(SEARCH('Task Finder'!$C$7,$K104)))))</f>
        <v/>
      </c>
    </row>
    <row r="105">
      <c r="A105" s="19" t="n"/>
      <c r="B105" s="19" t="n"/>
      <c r="C105" s="19" t="n"/>
      <c r="D105" s="19" t="n"/>
      <c r="E105" s="19" t="n"/>
      <c r="F105" s="19" t="n"/>
      <c r="G105" s="19" t="n"/>
      <c r="H105" s="19" t="n"/>
      <c r="I105" s="19" t="n"/>
      <c r="J105" s="19" t="n"/>
      <c r="K105" s="19" t="n"/>
      <c r="L105" s="19" t="n"/>
      <c r="M105" s="130">
        <f>IF($A105="","",AND('Task Finder'!$C$7&lt;&gt;"",OR(ISNUMBER(SEARCH('Task Finder'!$C$7,$A105)),ISNUMBER(SEARCH('Task Finder'!$C$7,$B105)),ISNUMBER(SEARCH('Task Finder'!$C$7,$C105)),ISNUMBER(SEARCH('Task Finder'!$C$7,$D105)),ISNUMBER(SEARCH('Task Finder'!$C$7,$K105)))))</f>
        <v/>
      </c>
    </row>
    <row r="106">
      <c r="A106" s="19" t="n"/>
      <c r="B106" s="19" t="n"/>
      <c r="C106" s="19" t="n"/>
      <c r="D106" s="19" t="n"/>
      <c r="E106" s="19" t="n"/>
      <c r="F106" s="19" t="n"/>
      <c r="G106" s="19" t="n"/>
      <c r="H106" s="19" t="n"/>
      <c r="I106" s="19" t="n"/>
      <c r="J106" s="19" t="n"/>
      <c r="K106" s="19" t="n"/>
      <c r="L106" s="19" t="n"/>
      <c r="M106" s="130">
        <f>IF($A106="","",AND('Task Finder'!$C$7&lt;&gt;"",OR(ISNUMBER(SEARCH('Task Finder'!$C$7,$A106)),ISNUMBER(SEARCH('Task Finder'!$C$7,$B106)),ISNUMBER(SEARCH('Task Finder'!$C$7,$C106)),ISNUMBER(SEARCH('Task Finder'!$C$7,$D106)),ISNUMBER(SEARCH('Task Finder'!$C$7,$K106)))))</f>
        <v/>
      </c>
    </row>
    <row r="107">
      <c r="A107" s="19" t="n"/>
      <c r="B107" s="19" t="n"/>
      <c r="C107" s="19" t="n"/>
      <c r="D107" s="19" t="n"/>
      <c r="E107" s="19" t="n"/>
      <c r="F107" s="19" t="n"/>
      <c r="G107" s="19" t="n"/>
      <c r="H107" s="19" t="n"/>
      <c r="I107" s="19" t="n"/>
      <c r="J107" s="19" t="n"/>
      <c r="K107" s="19" t="n"/>
      <c r="L107" s="19" t="n"/>
      <c r="M107" s="130">
        <f>IF($A107="","",AND('Task Finder'!$C$7&lt;&gt;"",OR(ISNUMBER(SEARCH('Task Finder'!$C$7,$A107)),ISNUMBER(SEARCH('Task Finder'!$C$7,$B107)),ISNUMBER(SEARCH('Task Finder'!$C$7,$C107)),ISNUMBER(SEARCH('Task Finder'!$C$7,$D107)),ISNUMBER(SEARCH('Task Finder'!$C$7,$K107)))))</f>
        <v/>
      </c>
    </row>
    <row r="108">
      <c r="A108" s="19" t="n"/>
      <c r="B108" s="19" t="n"/>
      <c r="C108" s="19" t="n"/>
      <c r="D108" s="19" t="n"/>
      <c r="E108" s="19" t="n"/>
      <c r="F108" s="19" t="n"/>
      <c r="G108" s="19" t="n"/>
      <c r="H108" s="19" t="n"/>
      <c r="I108" s="19" t="n"/>
      <c r="J108" s="19" t="n"/>
      <c r="K108" s="19" t="n"/>
      <c r="L108" s="19" t="n"/>
      <c r="M108" s="130">
        <f>IF($A108="","",AND('Task Finder'!$C$7&lt;&gt;"",OR(ISNUMBER(SEARCH('Task Finder'!$C$7,$A108)),ISNUMBER(SEARCH('Task Finder'!$C$7,$B108)),ISNUMBER(SEARCH('Task Finder'!$C$7,$C108)),ISNUMBER(SEARCH('Task Finder'!$C$7,$D108)),ISNUMBER(SEARCH('Task Finder'!$C$7,$K108)))))</f>
        <v/>
      </c>
    </row>
    <row r="109">
      <c r="A109" s="19" t="n"/>
      <c r="B109" s="19" t="n"/>
      <c r="C109" s="19" t="n"/>
      <c r="D109" s="19" t="n"/>
      <c r="E109" s="19" t="n"/>
      <c r="F109" s="19" t="n"/>
      <c r="G109" s="19" t="n"/>
      <c r="H109" s="19" t="n"/>
      <c r="I109" s="19" t="n"/>
      <c r="J109" s="19" t="n"/>
      <c r="K109" s="19" t="n"/>
      <c r="L109" s="19" t="n"/>
      <c r="M109" s="130">
        <f>IF($A109="","",AND('Task Finder'!$C$7&lt;&gt;"",OR(ISNUMBER(SEARCH('Task Finder'!$C$7,$A109)),ISNUMBER(SEARCH('Task Finder'!$C$7,$B109)),ISNUMBER(SEARCH('Task Finder'!$C$7,$C109)),ISNUMBER(SEARCH('Task Finder'!$C$7,$D109)),ISNUMBER(SEARCH('Task Finder'!$C$7,$K109)))))</f>
        <v/>
      </c>
    </row>
    <row r="110">
      <c r="A110" s="19" t="n"/>
      <c r="B110" s="19" t="n"/>
      <c r="C110" s="19" t="n"/>
      <c r="D110" s="19" t="n"/>
      <c r="E110" s="19" t="n"/>
      <c r="F110" s="19" t="n"/>
      <c r="G110" s="19" t="n"/>
      <c r="H110" s="19" t="n"/>
      <c r="I110" s="19" t="n"/>
      <c r="J110" s="19" t="n"/>
      <c r="K110" s="19" t="n"/>
      <c r="L110" s="19" t="n"/>
      <c r="M110" s="130">
        <f>IF($A110="","",AND('Task Finder'!$C$7&lt;&gt;"",OR(ISNUMBER(SEARCH('Task Finder'!$C$7,$A110)),ISNUMBER(SEARCH('Task Finder'!$C$7,$B110)),ISNUMBER(SEARCH('Task Finder'!$C$7,$C110)),ISNUMBER(SEARCH('Task Finder'!$C$7,$D110)),ISNUMBER(SEARCH('Task Finder'!$C$7,$K110)))))</f>
        <v/>
      </c>
    </row>
    <row r="111">
      <c r="A111" s="19" t="n"/>
      <c r="B111" s="19" t="n"/>
      <c r="C111" s="19" t="n"/>
      <c r="D111" s="19" t="n"/>
      <c r="E111" s="19" t="n"/>
      <c r="F111" s="19" t="n"/>
      <c r="G111" s="19" t="n"/>
      <c r="H111" s="19" t="n"/>
      <c r="I111" s="19" t="n"/>
      <c r="J111" s="19" t="n"/>
      <c r="K111" s="19" t="n"/>
      <c r="L111" s="19" t="n"/>
      <c r="M111" s="130">
        <f>IF($A111="","",AND('Task Finder'!$C$7&lt;&gt;"",OR(ISNUMBER(SEARCH('Task Finder'!$C$7,$A111)),ISNUMBER(SEARCH('Task Finder'!$C$7,$B111)),ISNUMBER(SEARCH('Task Finder'!$C$7,$C111)),ISNUMBER(SEARCH('Task Finder'!$C$7,$D111)),ISNUMBER(SEARCH('Task Finder'!$C$7,$K111)))))</f>
        <v/>
      </c>
    </row>
    <row r="112">
      <c r="A112" s="19" t="n"/>
      <c r="B112" s="19" t="n"/>
      <c r="C112" s="19" t="n"/>
      <c r="D112" s="19" t="n"/>
      <c r="E112" s="19" t="n"/>
      <c r="F112" s="19" t="n"/>
      <c r="G112" s="19" t="n"/>
      <c r="H112" s="19" t="n"/>
      <c r="I112" s="19" t="n"/>
      <c r="J112" s="19" t="n"/>
      <c r="K112" s="19" t="n"/>
      <c r="L112" s="19" t="n"/>
      <c r="M112" s="130">
        <f>IF($A112="","",AND('Task Finder'!$C$7&lt;&gt;"",OR(ISNUMBER(SEARCH('Task Finder'!$C$7,$A112)),ISNUMBER(SEARCH('Task Finder'!$C$7,$B112)),ISNUMBER(SEARCH('Task Finder'!$C$7,$C112)),ISNUMBER(SEARCH('Task Finder'!$C$7,$D112)),ISNUMBER(SEARCH('Task Finder'!$C$7,$K112)))))</f>
        <v/>
      </c>
    </row>
    <row r="113">
      <c r="A113" s="19" t="n"/>
      <c r="B113" s="19" t="n"/>
      <c r="C113" s="19" t="n"/>
      <c r="D113" s="19" t="n"/>
      <c r="E113" s="19" t="n"/>
      <c r="F113" s="19" t="n"/>
      <c r="G113" s="19" t="n"/>
      <c r="H113" s="19" t="n"/>
      <c r="I113" s="19" t="n"/>
      <c r="J113" s="19" t="n"/>
      <c r="K113" s="19" t="n"/>
      <c r="L113" s="19" t="n"/>
      <c r="M113" s="130">
        <f>IF($A113="","",AND('Task Finder'!$C$7&lt;&gt;"",OR(ISNUMBER(SEARCH('Task Finder'!$C$7,$A113)),ISNUMBER(SEARCH('Task Finder'!$C$7,$B113)),ISNUMBER(SEARCH('Task Finder'!$C$7,$C113)),ISNUMBER(SEARCH('Task Finder'!$C$7,$D113)),ISNUMBER(SEARCH('Task Finder'!$C$7,$K113)))))</f>
        <v/>
      </c>
    </row>
    <row r="114">
      <c r="A114" s="19" t="n"/>
      <c r="B114" s="19" t="n"/>
      <c r="C114" s="19" t="n"/>
      <c r="D114" s="19" t="n"/>
      <c r="E114" s="19" t="n"/>
      <c r="F114" s="19" t="n"/>
      <c r="G114" s="19" t="n"/>
      <c r="H114" s="19" t="n"/>
      <c r="I114" s="19" t="n"/>
      <c r="J114" s="19" t="n"/>
      <c r="K114" s="19" t="n"/>
      <c r="L114" s="19" t="n"/>
      <c r="M114" s="130">
        <f>IF($A114="","",AND('Task Finder'!$C$7&lt;&gt;"",OR(ISNUMBER(SEARCH('Task Finder'!$C$7,$A114)),ISNUMBER(SEARCH('Task Finder'!$C$7,$B114)),ISNUMBER(SEARCH('Task Finder'!$C$7,$C114)),ISNUMBER(SEARCH('Task Finder'!$C$7,$D114)),ISNUMBER(SEARCH('Task Finder'!$C$7,$K114)))))</f>
        <v/>
      </c>
    </row>
    <row r="115">
      <c r="A115" s="19" t="n"/>
      <c r="B115" s="19" t="n"/>
      <c r="C115" s="19" t="n"/>
      <c r="D115" s="19" t="n"/>
      <c r="E115" s="19" t="n"/>
      <c r="F115" s="19" t="n"/>
      <c r="G115" s="19" t="n"/>
      <c r="H115" s="19" t="n"/>
      <c r="I115" s="19" t="n"/>
      <c r="J115" s="19" t="n"/>
      <c r="K115" s="19" t="n"/>
      <c r="L115" s="19" t="n"/>
      <c r="M115" s="130">
        <f>IF($A115="","",AND('Task Finder'!$C$7&lt;&gt;"",OR(ISNUMBER(SEARCH('Task Finder'!$C$7,$A115)),ISNUMBER(SEARCH('Task Finder'!$C$7,$B115)),ISNUMBER(SEARCH('Task Finder'!$C$7,$C115)),ISNUMBER(SEARCH('Task Finder'!$C$7,$D115)),ISNUMBER(SEARCH('Task Finder'!$C$7,$K115)))))</f>
        <v/>
      </c>
    </row>
    <row r="116">
      <c r="A116" s="19" t="n"/>
      <c r="B116" s="19" t="n"/>
      <c r="C116" s="19" t="n"/>
      <c r="D116" s="19" t="n"/>
      <c r="E116" s="19" t="n"/>
      <c r="F116" s="19" t="n"/>
      <c r="G116" s="19" t="n"/>
      <c r="H116" s="19" t="n"/>
      <c r="I116" s="19" t="n"/>
      <c r="J116" s="19" t="n"/>
      <c r="K116" s="19" t="n"/>
      <c r="L116" s="19" t="n"/>
      <c r="M116" s="130">
        <f>IF($A116="","",AND('Task Finder'!$C$7&lt;&gt;"",OR(ISNUMBER(SEARCH('Task Finder'!$C$7,$A116)),ISNUMBER(SEARCH('Task Finder'!$C$7,$B116)),ISNUMBER(SEARCH('Task Finder'!$C$7,$C116)),ISNUMBER(SEARCH('Task Finder'!$C$7,$D116)),ISNUMBER(SEARCH('Task Finder'!$C$7,$K116)))))</f>
        <v/>
      </c>
    </row>
    <row r="117">
      <c r="A117" s="19" t="n"/>
      <c r="B117" s="19" t="n"/>
      <c r="C117" s="19" t="n"/>
      <c r="D117" s="19" t="n"/>
      <c r="E117" s="19" t="n"/>
      <c r="F117" s="19" t="n"/>
      <c r="G117" s="19" t="n"/>
      <c r="H117" s="19" t="n"/>
      <c r="I117" s="19" t="n"/>
      <c r="J117" s="19" t="n"/>
      <c r="K117" s="19" t="n"/>
      <c r="L117" s="19" t="n"/>
      <c r="M117" s="130">
        <f>IF($A117="","",AND('Task Finder'!$C$7&lt;&gt;"",OR(ISNUMBER(SEARCH('Task Finder'!$C$7,$A117)),ISNUMBER(SEARCH('Task Finder'!$C$7,$B117)),ISNUMBER(SEARCH('Task Finder'!$C$7,$C117)),ISNUMBER(SEARCH('Task Finder'!$C$7,$D117)),ISNUMBER(SEARCH('Task Finder'!$C$7,$K117)))))</f>
        <v/>
      </c>
    </row>
    <row r="118">
      <c r="A118" s="19" t="n"/>
      <c r="B118" s="19" t="n"/>
      <c r="C118" s="19" t="n"/>
      <c r="D118" s="19" t="n"/>
      <c r="E118" s="19" t="n"/>
      <c r="F118" s="19" t="n"/>
      <c r="G118" s="19" t="n"/>
      <c r="H118" s="19" t="n"/>
      <c r="I118" s="19" t="n"/>
      <c r="J118" s="19" t="n"/>
      <c r="K118" s="19" t="n"/>
      <c r="L118" s="19" t="n"/>
      <c r="M118" s="130">
        <f>IF($A118="","",AND('Task Finder'!$C$7&lt;&gt;"",OR(ISNUMBER(SEARCH('Task Finder'!$C$7,$A118)),ISNUMBER(SEARCH('Task Finder'!$C$7,$B118)),ISNUMBER(SEARCH('Task Finder'!$C$7,$C118)),ISNUMBER(SEARCH('Task Finder'!$C$7,$D118)),ISNUMBER(SEARCH('Task Finder'!$C$7,$K118)))))</f>
        <v/>
      </c>
    </row>
    <row r="119">
      <c r="A119" s="19" t="n"/>
      <c r="B119" s="19" t="n"/>
      <c r="C119" s="19" t="n"/>
      <c r="D119" s="19" t="n"/>
      <c r="E119" s="19" t="n"/>
      <c r="F119" s="19" t="n"/>
      <c r="G119" s="19" t="n"/>
      <c r="H119" s="19" t="n"/>
      <c r="I119" s="19" t="n"/>
      <c r="J119" s="19" t="n"/>
      <c r="K119" s="19" t="n"/>
      <c r="L119" s="19" t="n"/>
      <c r="M119" s="130">
        <f>IF($A119="","",AND('Task Finder'!$C$7&lt;&gt;"",OR(ISNUMBER(SEARCH('Task Finder'!$C$7,$A119)),ISNUMBER(SEARCH('Task Finder'!$C$7,$B119)),ISNUMBER(SEARCH('Task Finder'!$C$7,$C119)),ISNUMBER(SEARCH('Task Finder'!$C$7,$D119)),ISNUMBER(SEARCH('Task Finder'!$C$7,$K119)))))</f>
        <v/>
      </c>
    </row>
    <row r="120">
      <c r="A120" s="19" t="n"/>
      <c r="B120" s="19" t="n"/>
      <c r="C120" s="19" t="n"/>
      <c r="D120" s="19" t="n"/>
      <c r="E120" s="19" t="n"/>
      <c r="F120" s="19" t="n"/>
      <c r="G120" s="19" t="n"/>
      <c r="H120" s="19" t="n"/>
      <c r="I120" s="19" t="n"/>
      <c r="J120" s="19" t="n"/>
      <c r="K120" s="19" t="n"/>
      <c r="L120" s="19" t="n"/>
      <c r="M120" s="130">
        <f>IF($A120="","",AND('Task Finder'!$C$7&lt;&gt;"",OR(ISNUMBER(SEARCH('Task Finder'!$C$7,$A120)),ISNUMBER(SEARCH('Task Finder'!$C$7,$B120)),ISNUMBER(SEARCH('Task Finder'!$C$7,$C120)),ISNUMBER(SEARCH('Task Finder'!$C$7,$D120)),ISNUMBER(SEARCH('Task Finder'!$C$7,$K120)))))</f>
        <v/>
      </c>
    </row>
    <row r="121">
      <c r="A121" s="19" t="n"/>
      <c r="B121" s="19" t="n"/>
      <c r="C121" s="19" t="n"/>
      <c r="D121" s="19" t="n"/>
      <c r="E121" s="19" t="n"/>
      <c r="F121" s="19" t="n"/>
      <c r="G121" s="19" t="n"/>
      <c r="H121" s="19" t="n"/>
      <c r="I121" s="19" t="n"/>
      <c r="J121" s="19" t="n"/>
      <c r="K121" s="19" t="n"/>
      <c r="L121" s="19" t="n"/>
      <c r="M121" s="130">
        <f>IF($A121="","",AND('Task Finder'!$C$7&lt;&gt;"",OR(ISNUMBER(SEARCH('Task Finder'!$C$7,$A121)),ISNUMBER(SEARCH('Task Finder'!$C$7,$B121)),ISNUMBER(SEARCH('Task Finder'!$C$7,$C121)),ISNUMBER(SEARCH('Task Finder'!$C$7,$D121)),ISNUMBER(SEARCH('Task Finder'!$C$7,$K121)))))</f>
        <v/>
      </c>
    </row>
    <row r="122">
      <c r="A122" s="19" t="n"/>
      <c r="B122" s="19" t="n"/>
      <c r="C122" s="19" t="n"/>
      <c r="D122" s="19" t="n"/>
      <c r="E122" s="19" t="n"/>
      <c r="F122" s="19" t="n"/>
      <c r="G122" s="19" t="n"/>
      <c r="H122" s="19" t="n"/>
      <c r="I122" s="19" t="n"/>
      <c r="J122" s="19" t="n"/>
      <c r="K122" s="19" t="n"/>
      <c r="L122" s="19" t="n"/>
      <c r="M122" s="130">
        <f>IF($A122="","",AND('Task Finder'!$C$7&lt;&gt;"",OR(ISNUMBER(SEARCH('Task Finder'!$C$7,$A122)),ISNUMBER(SEARCH('Task Finder'!$C$7,$B122)),ISNUMBER(SEARCH('Task Finder'!$C$7,$C122)),ISNUMBER(SEARCH('Task Finder'!$C$7,$D122)),ISNUMBER(SEARCH('Task Finder'!$C$7,$K122)))))</f>
        <v/>
      </c>
    </row>
    <row r="123">
      <c r="A123" s="19" t="n"/>
      <c r="B123" s="19" t="n"/>
      <c r="C123" s="19" t="n"/>
      <c r="D123" s="19" t="n"/>
      <c r="E123" s="19" t="n"/>
      <c r="F123" s="19" t="n"/>
      <c r="G123" s="19" t="n"/>
      <c r="H123" s="19" t="n"/>
      <c r="I123" s="19" t="n"/>
      <c r="J123" s="19" t="n"/>
      <c r="K123" s="19" t="n"/>
      <c r="L123" s="19" t="n"/>
      <c r="M123" s="130">
        <f>IF($A123="","",AND('Task Finder'!$C$7&lt;&gt;"",OR(ISNUMBER(SEARCH('Task Finder'!$C$7,$A123)),ISNUMBER(SEARCH('Task Finder'!$C$7,$B123)),ISNUMBER(SEARCH('Task Finder'!$C$7,$C123)),ISNUMBER(SEARCH('Task Finder'!$C$7,$D123)),ISNUMBER(SEARCH('Task Finder'!$C$7,$K123)))))</f>
        <v/>
      </c>
    </row>
    <row r="124">
      <c r="A124" s="19" t="n"/>
      <c r="B124" s="19" t="n"/>
      <c r="C124" s="19" t="n"/>
      <c r="D124" s="19" t="n"/>
      <c r="E124" s="19" t="n"/>
      <c r="F124" s="19" t="n"/>
      <c r="G124" s="19" t="n"/>
      <c r="H124" s="19" t="n"/>
      <c r="I124" s="19" t="n"/>
      <c r="J124" s="19" t="n"/>
      <c r="K124" s="19" t="n"/>
      <c r="L124" s="19" t="n"/>
      <c r="M124" s="130">
        <f>IF($A124="","",AND('Task Finder'!$C$7&lt;&gt;"",OR(ISNUMBER(SEARCH('Task Finder'!$C$7,$A124)),ISNUMBER(SEARCH('Task Finder'!$C$7,$B124)),ISNUMBER(SEARCH('Task Finder'!$C$7,$C124)),ISNUMBER(SEARCH('Task Finder'!$C$7,$D124)),ISNUMBER(SEARCH('Task Finder'!$C$7,$K124)))))</f>
        <v/>
      </c>
    </row>
    <row r="125">
      <c r="A125" s="19" t="n"/>
      <c r="B125" s="19" t="n"/>
      <c r="C125" s="19" t="n"/>
      <c r="D125" s="19" t="n"/>
      <c r="E125" s="19" t="n"/>
      <c r="F125" s="19" t="n"/>
      <c r="G125" s="19" t="n"/>
      <c r="H125" s="19" t="n"/>
      <c r="I125" s="19" t="n"/>
      <c r="J125" s="19" t="n"/>
      <c r="K125" s="19" t="n"/>
      <c r="L125" s="19" t="n"/>
      <c r="M125" s="130">
        <f>IF($A125="","",AND('Task Finder'!$C$7&lt;&gt;"",OR(ISNUMBER(SEARCH('Task Finder'!$C$7,$A125)),ISNUMBER(SEARCH('Task Finder'!$C$7,$B125)),ISNUMBER(SEARCH('Task Finder'!$C$7,$C125)),ISNUMBER(SEARCH('Task Finder'!$C$7,$D125)),ISNUMBER(SEARCH('Task Finder'!$C$7,$K125)))))</f>
        <v/>
      </c>
    </row>
    <row r="126">
      <c r="A126" s="19" t="n"/>
      <c r="B126" s="19" t="n"/>
      <c r="C126" s="19" t="n"/>
      <c r="D126" s="19" t="n"/>
      <c r="E126" s="19" t="n"/>
      <c r="F126" s="19" t="n"/>
      <c r="G126" s="19" t="n"/>
      <c r="H126" s="19" t="n"/>
      <c r="I126" s="19" t="n"/>
      <c r="J126" s="19" t="n"/>
      <c r="K126" s="19" t="n"/>
      <c r="L126" s="19" t="n"/>
      <c r="M126" s="130">
        <f>IF($A126="","",AND('Task Finder'!$C$7&lt;&gt;"",OR(ISNUMBER(SEARCH('Task Finder'!$C$7,$A126)),ISNUMBER(SEARCH('Task Finder'!$C$7,$B126)),ISNUMBER(SEARCH('Task Finder'!$C$7,$C126)),ISNUMBER(SEARCH('Task Finder'!$C$7,$D126)),ISNUMBER(SEARCH('Task Finder'!$C$7,$K126)))))</f>
        <v/>
      </c>
    </row>
    <row r="127">
      <c r="A127" s="19" t="n"/>
      <c r="B127" s="19" t="n"/>
      <c r="C127" s="19" t="n"/>
      <c r="D127" s="19" t="n"/>
      <c r="E127" s="19" t="n"/>
      <c r="F127" s="19" t="n"/>
      <c r="G127" s="19" t="n"/>
      <c r="H127" s="19" t="n"/>
      <c r="I127" s="19" t="n"/>
      <c r="J127" s="19" t="n"/>
      <c r="K127" s="19" t="n"/>
      <c r="L127" s="19" t="n"/>
      <c r="M127" s="130">
        <f>IF($A127="","",AND('Task Finder'!$C$7&lt;&gt;"",OR(ISNUMBER(SEARCH('Task Finder'!$C$7,$A127)),ISNUMBER(SEARCH('Task Finder'!$C$7,$B127)),ISNUMBER(SEARCH('Task Finder'!$C$7,$C127)),ISNUMBER(SEARCH('Task Finder'!$C$7,$D127)),ISNUMBER(SEARCH('Task Finder'!$C$7,$K127)))))</f>
        <v/>
      </c>
    </row>
    <row r="128">
      <c r="A128" s="19" t="n"/>
      <c r="B128" s="19" t="n"/>
      <c r="C128" s="19" t="n"/>
      <c r="D128" s="19" t="n"/>
      <c r="E128" s="19" t="n"/>
      <c r="F128" s="19" t="n"/>
      <c r="G128" s="19" t="n"/>
      <c r="H128" s="19" t="n"/>
      <c r="I128" s="19" t="n"/>
      <c r="J128" s="19" t="n"/>
      <c r="K128" s="19" t="n"/>
      <c r="L128" s="19" t="n"/>
      <c r="M128" s="130">
        <f>IF($A128="","",AND('Task Finder'!$C$7&lt;&gt;"",OR(ISNUMBER(SEARCH('Task Finder'!$C$7,$A128)),ISNUMBER(SEARCH('Task Finder'!$C$7,$B128)),ISNUMBER(SEARCH('Task Finder'!$C$7,$C128)),ISNUMBER(SEARCH('Task Finder'!$C$7,$D128)),ISNUMBER(SEARCH('Task Finder'!$C$7,$K128)))))</f>
        <v/>
      </c>
    </row>
    <row r="129">
      <c r="A129" s="19" t="n"/>
      <c r="B129" s="19" t="n"/>
      <c r="C129" s="19" t="n"/>
      <c r="D129" s="19" t="n"/>
      <c r="E129" s="19" t="n"/>
      <c r="F129" s="19" t="n"/>
      <c r="G129" s="19" t="n"/>
      <c r="H129" s="19" t="n"/>
      <c r="I129" s="19" t="n"/>
      <c r="J129" s="19" t="n"/>
      <c r="K129" s="19" t="n"/>
      <c r="L129" s="19" t="n"/>
      <c r="M129" s="130">
        <f>IF($A129="","",AND('Task Finder'!$C$7&lt;&gt;"",OR(ISNUMBER(SEARCH('Task Finder'!$C$7,$A129)),ISNUMBER(SEARCH('Task Finder'!$C$7,$B129)),ISNUMBER(SEARCH('Task Finder'!$C$7,$C129)),ISNUMBER(SEARCH('Task Finder'!$C$7,$D129)),ISNUMBER(SEARCH('Task Finder'!$C$7,$K129)))))</f>
        <v/>
      </c>
    </row>
    <row r="130">
      <c r="A130" s="19" t="n"/>
      <c r="B130" s="19" t="n"/>
      <c r="C130" s="19" t="n"/>
      <c r="D130" s="19" t="n"/>
      <c r="E130" s="19" t="n"/>
      <c r="F130" s="19" t="n"/>
      <c r="G130" s="19" t="n"/>
      <c r="H130" s="19" t="n"/>
      <c r="I130" s="19" t="n"/>
      <c r="J130" s="19" t="n"/>
      <c r="K130" s="19" t="n"/>
      <c r="L130" s="19" t="n"/>
      <c r="M130" s="130">
        <f>IF($A130="","",AND('Task Finder'!$C$7&lt;&gt;"",OR(ISNUMBER(SEARCH('Task Finder'!$C$7,$A130)),ISNUMBER(SEARCH('Task Finder'!$C$7,$B130)),ISNUMBER(SEARCH('Task Finder'!$C$7,$C130)),ISNUMBER(SEARCH('Task Finder'!$C$7,$D130)),ISNUMBER(SEARCH('Task Finder'!$C$7,$K130)))))</f>
        <v/>
      </c>
    </row>
    <row r="131">
      <c r="A131" s="19" t="n"/>
      <c r="B131" s="19" t="n"/>
      <c r="C131" s="19" t="n"/>
      <c r="D131" s="19" t="n"/>
      <c r="E131" s="19" t="n"/>
      <c r="F131" s="19" t="n"/>
      <c r="G131" s="19" t="n"/>
      <c r="H131" s="19" t="n"/>
      <c r="I131" s="19" t="n"/>
      <c r="J131" s="19" t="n"/>
      <c r="K131" s="19" t="n"/>
      <c r="L131" s="19" t="n"/>
      <c r="M131" s="130">
        <f>IF($A131="","",AND('Task Finder'!$C$7&lt;&gt;"",OR(ISNUMBER(SEARCH('Task Finder'!$C$7,$A131)),ISNUMBER(SEARCH('Task Finder'!$C$7,$B131)),ISNUMBER(SEARCH('Task Finder'!$C$7,$C131)),ISNUMBER(SEARCH('Task Finder'!$C$7,$D131)),ISNUMBER(SEARCH('Task Finder'!$C$7,$K131)))))</f>
        <v/>
      </c>
    </row>
    <row r="132">
      <c r="A132" s="19" t="n"/>
      <c r="B132" s="19" t="n"/>
      <c r="C132" s="19" t="n"/>
      <c r="D132" s="19" t="n"/>
      <c r="E132" s="19" t="n"/>
      <c r="F132" s="19" t="n"/>
      <c r="G132" s="19" t="n"/>
      <c r="H132" s="19" t="n"/>
      <c r="I132" s="19" t="n"/>
      <c r="J132" s="19" t="n"/>
      <c r="K132" s="19" t="n"/>
      <c r="L132" s="19" t="n"/>
      <c r="M132" s="130">
        <f>IF($A132="","",AND('Task Finder'!$C$7&lt;&gt;"",OR(ISNUMBER(SEARCH('Task Finder'!$C$7,$A132)),ISNUMBER(SEARCH('Task Finder'!$C$7,$B132)),ISNUMBER(SEARCH('Task Finder'!$C$7,$C132)),ISNUMBER(SEARCH('Task Finder'!$C$7,$D132)),ISNUMBER(SEARCH('Task Finder'!$C$7,$K132)))))</f>
        <v/>
      </c>
    </row>
    <row r="133">
      <c r="A133" s="19" t="n"/>
      <c r="B133" s="19" t="n"/>
      <c r="C133" s="19" t="n"/>
      <c r="D133" s="19" t="n"/>
      <c r="E133" s="19" t="n"/>
      <c r="F133" s="19" t="n"/>
      <c r="G133" s="19" t="n"/>
      <c r="H133" s="19" t="n"/>
      <c r="I133" s="19" t="n"/>
      <c r="J133" s="19" t="n"/>
      <c r="K133" s="19" t="n"/>
      <c r="L133" s="19" t="n"/>
      <c r="M133" s="130">
        <f>IF($A133="","",AND('Task Finder'!$C$7&lt;&gt;"",OR(ISNUMBER(SEARCH('Task Finder'!$C$7,$A133)),ISNUMBER(SEARCH('Task Finder'!$C$7,$B133)),ISNUMBER(SEARCH('Task Finder'!$C$7,$C133)),ISNUMBER(SEARCH('Task Finder'!$C$7,$D133)),ISNUMBER(SEARCH('Task Finder'!$C$7,$K133)))))</f>
        <v/>
      </c>
    </row>
    <row r="134">
      <c r="A134" s="19" t="n"/>
      <c r="B134" s="19" t="n"/>
      <c r="C134" s="19" t="n"/>
      <c r="D134" s="19" t="n"/>
      <c r="E134" s="19" t="n"/>
      <c r="F134" s="19" t="n"/>
      <c r="G134" s="19" t="n"/>
      <c r="H134" s="19" t="n"/>
      <c r="I134" s="19" t="n"/>
      <c r="J134" s="19" t="n"/>
      <c r="K134" s="19" t="n"/>
      <c r="L134" s="19" t="n"/>
      <c r="M134" s="130">
        <f>IF($A134="","",AND('Task Finder'!$C$7&lt;&gt;"",OR(ISNUMBER(SEARCH('Task Finder'!$C$7,$A134)),ISNUMBER(SEARCH('Task Finder'!$C$7,$B134)),ISNUMBER(SEARCH('Task Finder'!$C$7,$C134)),ISNUMBER(SEARCH('Task Finder'!$C$7,$D134)),ISNUMBER(SEARCH('Task Finder'!$C$7,$K134)))))</f>
        <v/>
      </c>
    </row>
    <row r="135">
      <c r="A135" s="19" t="n"/>
      <c r="B135" s="19" t="n"/>
      <c r="C135" s="19" t="n"/>
      <c r="D135" s="19" t="n"/>
      <c r="E135" s="19" t="n"/>
      <c r="F135" s="19" t="n"/>
      <c r="G135" s="19" t="n"/>
      <c r="H135" s="19" t="n"/>
      <c r="I135" s="19" t="n"/>
      <c r="J135" s="19" t="n"/>
      <c r="K135" s="19" t="n"/>
      <c r="L135" s="19" t="n"/>
      <c r="M135" s="130">
        <f>IF($A135="","",AND('Task Finder'!$C$7&lt;&gt;"",OR(ISNUMBER(SEARCH('Task Finder'!$C$7,$A135)),ISNUMBER(SEARCH('Task Finder'!$C$7,$B135)),ISNUMBER(SEARCH('Task Finder'!$C$7,$C135)),ISNUMBER(SEARCH('Task Finder'!$C$7,$D135)),ISNUMBER(SEARCH('Task Finder'!$C$7,$K135)))))</f>
        <v/>
      </c>
    </row>
    <row r="136">
      <c r="A136" s="19" t="n"/>
      <c r="B136" s="19" t="n"/>
      <c r="C136" s="19" t="n"/>
      <c r="D136" s="19" t="n"/>
      <c r="E136" s="19" t="n"/>
      <c r="F136" s="19" t="n"/>
      <c r="G136" s="19" t="n"/>
      <c r="H136" s="19" t="n"/>
      <c r="I136" s="19" t="n"/>
      <c r="J136" s="19" t="n"/>
      <c r="K136" s="19" t="n"/>
      <c r="L136" s="19" t="n"/>
      <c r="M136" s="130">
        <f>IF($A136="","",AND('Task Finder'!$C$7&lt;&gt;"",OR(ISNUMBER(SEARCH('Task Finder'!$C$7,$A136)),ISNUMBER(SEARCH('Task Finder'!$C$7,$B136)),ISNUMBER(SEARCH('Task Finder'!$C$7,$C136)),ISNUMBER(SEARCH('Task Finder'!$C$7,$D136)),ISNUMBER(SEARCH('Task Finder'!$C$7,$K136)))))</f>
        <v/>
      </c>
    </row>
    <row r="137">
      <c r="A137" s="19" t="n"/>
      <c r="B137" s="19" t="n"/>
      <c r="C137" s="19" t="n"/>
      <c r="D137" s="19" t="n"/>
      <c r="E137" s="19" t="n"/>
      <c r="F137" s="19" t="n"/>
      <c r="G137" s="19" t="n"/>
      <c r="H137" s="19" t="n"/>
      <c r="I137" s="19" t="n"/>
      <c r="J137" s="19" t="n"/>
      <c r="K137" s="19" t="n"/>
      <c r="L137" s="19" t="n"/>
      <c r="M137" s="130">
        <f>IF($A137="","",AND('Task Finder'!$C$7&lt;&gt;"",OR(ISNUMBER(SEARCH('Task Finder'!$C$7,$A137)),ISNUMBER(SEARCH('Task Finder'!$C$7,$B137)),ISNUMBER(SEARCH('Task Finder'!$C$7,$C137)),ISNUMBER(SEARCH('Task Finder'!$C$7,$D137)),ISNUMBER(SEARCH('Task Finder'!$C$7,$K137)))))</f>
        <v/>
      </c>
    </row>
    <row r="138">
      <c r="A138" s="19" t="n"/>
      <c r="B138" s="19" t="n"/>
      <c r="C138" s="19" t="n"/>
      <c r="D138" s="19" t="n"/>
      <c r="E138" s="19" t="n"/>
      <c r="F138" s="19" t="n"/>
      <c r="G138" s="19" t="n"/>
      <c r="H138" s="19" t="n"/>
      <c r="I138" s="19" t="n"/>
      <c r="J138" s="19" t="n"/>
      <c r="K138" s="19" t="n"/>
      <c r="L138" s="19" t="n"/>
      <c r="M138" s="130">
        <f>IF($A138="","",AND('Task Finder'!$C$7&lt;&gt;"",OR(ISNUMBER(SEARCH('Task Finder'!$C$7,$A138)),ISNUMBER(SEARCH('Task Finder'!$C$7,$B138)),ISNUMBER(SEARCH('Task Finder'!$C$7,$C138)),ISNUMBER(SEARCH('Task Finder'!$C$7,$D138)),ISNUMBER(SEARCH('Task Finder'!$C$7,$K138)))))</f>
        <v/>
      </c>
    </row>
    <row r="139">
      <c r="A139" s="19" t="n"/>
      <c r="B139" s="19" t="n"/>
      <c r="C139" s="19" t="n"/>
      <c r="D139" s="19" t="n"/>
      <c r="E139" s="19" t="n"/>
      <c r="F139" s="19" t="n"/>
      <c r="G139" s="19" t="n"/>
      <c r="H139" s="19" t="n"/>
      <c r="I139" s="19" t="n"/>
      <c r="J139" s="19" t="n"/>
      <c r="K139" s="19" t="n"/>
      <c r="L139" s="19" t="n"/>
      <c r="M139" s="130">
        <f>IF($A139="","",AND('Task Finder'!$C$7&lt;&gt;"",OR(ISNUMBER(SEARCH('Task Finder'!$C$7,$A139)),ISNUMBER(SEARCH('Task Finder'!$C$7,$B139)),ISNUMBER(SEARCH('Task Finder'!$C$7,$C139)),ISNUMBER(SEARCH('Task Finder'!$C$7,$D139)),ISNUMBER(SEARCH('Task Finder'!$C$7,$K139)))))</f>
        <v/>
      </c>
    </row>
    <row r="140">
      <c r="A140" s="19" t="n"/>
      <c r="B140" s="19" t="n"/>
      <c r="C140" s="19" t="n"/>
      <c r="D140" s="19" t="n"/>
      <c r="E140" s="19" t="n"/>
      <c r="F140" s="19" t="n"/>
      <c r="G140" s="19" t="n"/>
      <c r="H140" s="19" t="n"/>
      <c r="I140" s="19" t="n"/>
      <c r="J140" s="19" t="n"/>
      <c r="K140" s="19" t="n"/>
      <c r="L140" s="19" t="n"/>
      <c r="M140" s="130">
        <f>IF($A140="","",AND('Task Finder'!$C$7&lt;&gt;"",OR(ISNUMBER(SEARCH('Task Finder'!$C$7,$A140)),ISNUMBER(SEARCH('Task Finder'!$C$7,$B140)),ISNUMBER(SEARCH('Task Finder'!$C$7,$C140)),ISNUMBER(SEARCH('Task Finder'!$C$7,$D140)),ISNUMBER(SEARCH('Task Finder'!$C$7,$K140)))))</f>
        <v/>
      </c>
    </row>
    <row r="141">
      <c r="A141" s="19" t="n"/>
      <c r="B141" s="19" t="n"/>
      <c r="C141" s="19" t="n"/>
      <c r="D141" s="19" t="n"/>
      <c r="E141" s="19" t="n"/>
      <c r="F141" s="19" t="n"/>
      <c r="G141" s="19" t="n"/>
      <c r="H141" s="19" t="n"/>
      <c r="I141" s="19" t="n"/>
      <c r="J141" s="19" t="n"/>
      <c r="K141" s="19" t="n"/>
      <c r="L141" s="19" t="n"/>
      <c r="M141" s="130">
        <f>IF($A141="","",AND('Task Finder'!$C$7&lt;&gt;"",OR(ISNUMBER(SEARCH('Task Finder'!$C$7,$A141)),ISNUMBER(SEARCH('Task Finder'!$C$7,$B141)),ISNUMBER(SEARCH('Task Finder'!$C$7,$C141)),ISNUMBER(SEARCH('Task Finder'!$C$7,$D141)),ISNUMBER(SEARCH('Task Finder'!$C$7,$K141)))))</f>
        <v/>
      </c>
    </row>
    <row r="142">
      <c r="A142" s="19" t="n"/>
      <c r="B142" s="19" t="n"/>
      <c r="C142" s="19" t="n"/>
      <c r="D142" s="19" t="n"/>
      <c r="E142" s="19" t="n"/>
      <c r="F142" s="19" t="n"/>
      <c r="G142" s="19" t="n"/>
      <c r="H142" s="19" t="n"/>
      <c r="I142" s="19" t="n"/>
      <c r="J142" s="19" t="n"/>
      <c r="K142" s="19" t="n"/>
      <c r="L142" s="19" t="n"/>
      <c r="M142" s="130">
        <f>IF($A142="","",AND('Task Finder'!$C$7&lt;&gt;"",OR(ISNUMBER(SEARCH('Task Finder'!$C$7,$A142)),ISNUMBER(SEARCH('Task Finder'!$C$7,$B142)),ISNUMBER(SEARCH('Task Finder'!$C$7,$C142)),ISNUMBER(SEARCH('Task Finder'!$C$7,$D142)),ISNUMBER(SEARCH('Task Finder'!$C$7,$K142)))))</f>
        <v/>
      </c>
    </row>
    <row r="143">
      <c r="A143" s="19" t="n"/>
      <c r="B143" s="19" t="n"/>
      <c r="C143" s="19" t="n"/>
      <c r="D143" s="19" t="n"/>
      <c r="E143" s="19" t="n"/>
      <c r="F143" s="19" t="n"/>
      <c r="G143" s="19" t="n"/>
      <c r="H143" s="19" t="n"/>
      <c r="I143" s="19" t="n"/>
      <c r="J143" s="19" t="n"/>
      <c r="K143" s="19" t="n"/>
      <c r="L143" s="19" t="n"/>
      <c r="M143" s="130">
        <f>IF($A143="","",AND('Task Finder'!$C$7&lt;&gt;"",OR(ISNUMBER(SEARCH('Task Finder'!$C$7,$A143)),ISNUMBER(SEARCH('Task Finder'!$C$7,$B143)),ISNUMBER(SEARCH('Task Finder'!$C$7,$C143)),ISNUMBER(SEARCH('Task Finder'!$C$7,$D143)),ISNUMBER(SEARCH('Task Finder'!$C$7,$K143)))))</f>
        <v/>
      </c>
    </row>
    <row r="144">
      <c r="A144" s="19" t="n"/>
      <c r="B144" s="19" t="n"/>
      <c r="C144" s="19" t="n"/>
      <c r="D144" s="19" t="n"/>
      <c r="E144" s="19" t="n"/>
      <c r="F144" s="19" t="n"/>
      <c r="G144" s="19" t="n"/>
      <c r="H144" s="19" t="n"/>
      <c r="I144" s="19" t="n"/>
      <c r="J144" s="19" t="n"/>
      <c r="K144" s="19" t="n"/>
      <c r="L144" s="19" t="n"/>
      <c r="M144" s="130">
        <f>IF($A144="","",AND('Task Finder'!$C$7&lt;&gt;"",OR(ISNUMBER(SEARCH('Task Finder'!$C$7,$A144)),ISNUMBER(SEARCH('Task Finder'!$C$7,$B144)),ISNUMBER(SEARCH('Task Finder'!$C$7,$C144)),ISNUMBER(SEARCH('Task Finder'!$C$7,$D144)),ISNUMBER(SEARCH('Task Finder'!$C$7,$K144)))))</f>
        <v/>
      </c>
    </row>
    <row r="145">
      <c r="A145" s="19" t="n"/>
      <c r="B145" s="19" t="n"/>
      <c r="C145" s="19" t="n"/>
      <c r="D145" s="19" t="n"/>
      <c r="E145" s="19" t="n"/>
      <c r="F145" s="19" t="n"/>
      <c r="G145" s="19" t="n"/>
      <c r="H145" s="19" t="n"/>
      <c r="I145" s="19" t="n"/>
      <c r="J145" s="19" t="n"/>
      <c r="K145" s="19" t="n"/>
      <c r="L145" s="19" t="n"/>
      <c r="M145" s="130">
        <f>IF($A145="","",AND('Task Finder'!$C$7&lt;&gt;"",OR(ISNUMBER(SEARCH('Task Finder'!$C$7,$A145)),ISNUMBER(SEARCH('Task Finder'!$C$7,$B145)),ISNUMBER(SEARCH('Task Finder'!$C$7,$C145)),ISNUMBER(SEARCH('Task Finder'!$C$7,$D145)),ISNUMBER(SEARCH('Task Finder'!$C$7,$K145)))))</f>
        <v/>
      </c>
    </row>
    <row r="146">
      <c r="A146" s="19" t="n"/>
      <c r="B146" s="19" t="n"/>
      <c r="C146" s="19" t="n"/>
      <c r="D146" s="19" t="n"/>
      <c r="E146" s="19" t="n"/>
      <c r="F146" s="19" t="n"/>
      <c r="G146" s="19" t="n"/>
      <c r="H146" s="19" t="n"/>
      <c r="I146" s="19" t="n"/>
      <c r="J146" s="19" t="n"/>
      <c r="K146" s="19" t="n"/>
      <c r="L146" s="19" t="n"/>
      <c r="M146" s="130">
        <f>IF($A146="","",AND('Task Finder'!$C$7&lt;&gt;"",OR(ISNUMBER(SEARCH('Task Finder'!$C$7,$A146)),ISNUMBER(SEARCH('Task Finder'!$C$7,$B146)),ISNUMBER(SEARCH('Task Finder'!$C$7,$C146)),ISNUMBER(SEARCH('Task Finder'!$C$7,$D146)),ISNUMBER(SEARCH('Task Finder'!$C$7,$K146)))))</f>
        <v/>
      </c>
    </row>
    <row r="147">
      <c r="A147" s="19" t="n"/>
      <c r="B147" s="19" t="n"/>
      <c r="C147" s="19" t="n"/>
      <c r="D147" s="19" t="n"/>
      <c r="E147" s="19" t="n"/>
      <c r="F147" s="19" t="n"/>
      <c r="G147" s="19" t="n"/>
      <c r="H147" s="19" t="n"/>
      <c r="I147" s="19" t="n"/>
      <c r="J147" s="19" t="n"/>
      <c r="K147" s="19" t="n"/>
      <c r="L147" s="19" t="n"/>
      <c r="M147" s="130">
        <f>IF($A147="","",AND('Task Finder'!$C$7&lt;&gt;"",OR(ISNUMBER(SEARCH('Task Finder'!$C$7,$A147)),ISNUMBER(SEARCH('Task Finder'!$C$7,$B147)),ISNUMBER(SEARCH('Task Finder'!$C$7,$C147)),ISNUMBER(SEARCH('Task Finder'!$C$7,$D147)),ISNUMBER(SEARCH('Task Finder'!$C$7,$K147)))))</f>
        <v/>
      </c>
    </row>
    <row r="148">
      <c r="A148" s="19" t="n"/>
      <c r="B148" s="19" t="n"/>
      <c r="C148" s="19" t="n"/>
      <c r="D148" s="19" t="n"/>
      <c r="E148" s="19" t="n"/>
      <c r="F148" s="19" t="n"/>
      <c r="G148" s="19" t="n"/>
      <c r="H148" s="19" t="n"/>
      <c r="I148" s="19" t="n"/>
      <c r="J148" s="19" t="n"/>
      <c r="K148" s="19" t="n"/>
      <c r="L148" s="19" t="n"/>
      <c r="M148" s="130">
        <f>IF($A148="","",AND('Task Finder'!$C$7&lt;&gt;"",OR(ISNUMBER(SEARCH('Task Finder'!$C$7,$A148)),ISNUMBER(SEARCH('Task Finder'!$C$7,$B148)),ISNUMBER(SEARCH('Task Finder'!$C$7,$C148)),ISNUMBER(SEARCH('Task Finder'!$C$7,$D148)),ISNUMBER(SEARCH('Task Finder'!$C$7,$K148)))))</f>
        <v/>
      </c>
    </row>
    <row r="149">
      <c r="A149" s="19" t="n"/>
      <c r="B149" s="19" t="n"/>
      <c r="C149" s="19" t="n"/>
      <c r="D149" s="19" t="n"/>
      <c r="E149" s="19" t="n"/>
      <c r="F149" s="19" t="n"/>
      <c r="G149" s="19" t="n"/>
      <c r="H149" s="19" t="n"/>
      <c r="I149" s="19" t="n"/>
      <c r="J149" s="19" t="n"/>
      <c r="K149" s="19" t="n"/>
      <c r="L149" s="19" t="n"/>
      <c r="M149" s="130">
        <f>IF($A149="","",AND('Task Finder'!$C$7&lt;&gt;"",OR(ISNUMBER(SEARCH('Task Finder'!$C$7,$A149)),ISNUMBER(SEARCH('Task Finder'!$C$7,$B149)),ISNUMBER(SEARCH('Task Finder'!$C$7,$C149)),ISNUMBER(SEARCH('Task Finder'!$C$7,$D149)),ISNUMBER(SEARCH('Task Finder'!$C$7,$K149)))))</f>
        <v/>
      </c>
    </row>
    <row r="150">
      <c r="A150" s="19" t="n"/>
      <c r="B150" s="19" t="n"/>
      <c r="C150" s="19" t="n"/>
      <c r="D150" s="19" t="n"/>
      <c r="E150" s="19" t="n"/>
      <c r="F150" s="19" t="n"/>
      <c r="G150" s="19" t="n"/>
      <c r="H150" s="19" t="n"/>
      <c r="I150" s="19" t="n"/>
      <c r="J150" s="19" t="n"/>
      <c r="K150" s="19" t="n"/>
      <c r="L150" s="19" t="n"/>
      <c r="M150" s="130">
        <f>IF($A150="","",AND('Task Finder'!$C$7&lt;&gt;"",OR(ISNUMBER(SEARCH('Task Finder'!$C$7,$A150)),ISNUMBER(SEARCH('Task Finder'!$C$7,$B150)),ISNUMBER(SEARCH('Task Finder'!$C$7,$C150)),ISNUMBER(SEARCH('Task Finder'!$C$7,$D150)),ISNUMBER(SEARCH('Task Finder'!$C$7,$K150)))))</f>
        <v/>
      </c>
    </row>
    <row r="151">
      <c r="A151" s="19" t="n"/>
      <c r="B151" s="19" t="n"/>
      <c r="C151" s="19" t="n"/>
      <c r="D151" s="19" t="n"/>
      <c r="E151" s="19" t="n"/>
      <c r="F151" s="19" t="n"/>
      <c r="G151" s="19" t="n"/>
      <c r="H151" s="19" t="n"/>
      <c r="I151" s="19" t="n"/>
      <c r="J151" s="19" t="n"/>
      <c r="K151" s="19" t="n"/>
      <c r="L151" s="19" t="n"/>
      <c r="M151" s="130">
        <f>IF($A151="","",AND('Task Finder'!$C$7&lt;&gt;"",OR(ISNUMBER(SEARCH('Task Finder'!$C$7,$A151)),ISNUMBER(SEARCH('Task Finder'!$C$7,$B151)),ISNUMBER(SEARCH('Task Finder'!$C$7,$C151)),ISNUMBER(SEARCH('Task Finder'!$C$7,$D151)),ISNUMBER(SEARCH('Task Finder'!$C$7,$K151)))))</f>
        <v/>
      </c>
    </row>
    <row r="152">
      <c r="A152" s="19" t="n"/>
      <c r="B152" s="19" t="n"/>
      <c r="C152" s="19" t="n"/>
      <c r="D152" s="19" t="n"/>
      <c r="E152" s="19" t="n"/>
      <c r="F152" s="19" t="n"/>
      <c r="G152" s="19" t="n"/>
      <c r="H152" s="19" t="n"/>
      <c r="I152" s="19" t="n"/>
      <c r="J152" s="19" t="n"/>
      <c r="K152" s="19" t="n"/>
      <c r="L152" s="19" t="n"/>
      <c r="M152" s="130">
        <f>IF($A152="","",AND('Task Finder'!$C$7&lt;&gt;"",OR(ISNUMBER(SEARCH('Task Finder'!$C$7,$A152)),ISNUMBER(SEARCH('Task Finder'!$C$7,$B152)),ISNUMBER(SEARCH('Task Finder'!$C$7,$C152)),ISNUMBER(SEARCH('Task Finder'!$C$7,$D152)),ISNUMBER(SEARCH('Task Finder'!$C$7,$K152)))))</f>
        <v/>
      </c>
    </row>
    <row r="153">
      <c r="A153" s="19" t="n"/>
      <c r="B153" s="19" t="n"/>
      <c r="C153" s="19" t="n"/>
      <c r="D153" s="19" t="n"/>
      <c r="E153" s="19" t="n"/>
      <c r="F153" s="19" t="n"/>
      <c r="G153" s="19" t="n"/>
      <c r="H153" s="19" t="n"/>
      <c r="I153" s="19" t="n"/>
      <c r="J153" s="19" t="n"/>
      <c r="K153" s="19" t="n"/>
      <c r="L153" s="19" t="n"/>
      <c r="M153" s="130">
        <f>IF($A153="","",AND('Task Finder'!$C$7&lt;&gt;"",OR(ISNUMBER(SEARCH('Task Finder'!$C$7,$A153)),ISNUMBER(SEARCH('Task Finder'!$C$7,$B153)),ISNUMBER(SEARCH('Task Finder'!$C$7,$C153)),ISNUMBER(SEARCH('Task Finder'!$C$7,$D153)),ISNUMBER(SEARCH('Task Finder'!$C$7,$K153)))))</f>
        <v/>
      </c>
    </row>
    <row r="154">
      <c r="A154" s="19" t="n"/>
      <c r="B154" s="19" t="n"/>
      <c r="C154" s="19" t="n"/>
      <c r="D154" s="19" t="n"/>
      <c r="E154" s="19" t="n"/>
      <c r="F154" s="19" t="n"/>
      <c r="G154" s="19" t="n"/>
      <c r="H154" s="19" t="n"/>
      <c r="I154" s="19" t="n"/>
      <c r="J154" s="19" t="n"/>
      <c r="K154" s="19" t="n"/>
      <c r="L154" s="19" t="n"/>
      <c r="M154" s="130">
        <f>IF($A154="","",AND('Task Finder'!$C$7&lt;&gt;"",OR(ISNUMBER(SEARCH('Task Finder'!$C$7,$A154)),ISNUMBER(SEARCH('Task Finder'!$C$7,$B154)),ISNUMBER(SEARCH('Task Finder'!$C$7,$C154)),ISNUMBER(SEARCH('Task Finder'!$C$7,$D154)),ISNUMBER(SEARCH('Task Finder'!$C$7,$K154)))))</f>
        <v/>
      </c>
    </row>
    <row r="155">
      <c r="A155" s="19" t="n"/>
      <c r="B155" s="19" t="n"/>
      <c r="C155" s="19" t="n"/>
      <c r="D155" s="19" t="n"/>
      <c r="E155" s="19" t="n"/>
      <c r="F155" s="19" t="n"/>
      <c r="G155" s="19" t="n"/>
      <c r="H155" s="19" t="n"/>
      <c r="I155" s="19" t="n"/>
      <c r="J155" s="19" t="n"/>
      <c r="K155" s="19" t="n"/>
      <c r="L155" s="19" t="n"/>
      <c r="M155" s="130">
        <f>IF($A155="","",AND('Task Finder'!$C$7&lt;&gt;"",OR(ISNUMBER(SEARCH('Task Finder'!$C$7,$A155)),ISNUMBER(SEARCH('Task Finder'!$C$7,$B155)),ISNUMBER(SEARCH('Task Finder'!$C$7,$C155)),ISNUMBER(SEARCH('Task Finder'!$C$7,$D155)),ISNUMBER(SEARCH('Task Finder'!$C$7,$K155)))))</f>
        <v/>
      </c>
    </row>
    <row r="156">
      <c r="A156" s="19" t="n"/>
      <c r="B156" s="19" t="n"/>
      <c r="C156" s="19" t="n"/>
      <c r="D156" s="19" t="n"/>
      <c r="E156" s="19" t="n"/>
      <c r="F156" s="19" t="n"/>
      <c r="G156" s="19" t="n"/>
      <c r="H156" s="19" t="n"/>
      <c r="I156" s="19" t="n"/>
      <c r="J156" s="19" t="n"/>
      <c r="K156" s="19" t="n"/>
      <c r="L156" s="19" t="n"/>
      <c r="M156" s="130">
        <f>IF($A156="","",AND('Task Finder'!$C$7&lt;&gt;"",OR(ISNUMBER(SEARCH('Task Finder'!$C$7,$A156)),ISNUMBER(SEARCH('Task Finder'!$C$7,$B156)),ISNUMBER(SEARCH('Task Finder'!$C$7,$C156)),ISNUMBER(SEARCH('Task Finder'!$C$7,$D156)),ISNUMBER(SEARCH('Task Finder'!$C$7,$K156)))))</f>
        <v/>
      </c>
    </row>
    <row r="157">
      <c r="A157" s="19" t="n"/>
      <c r="B157" s="19" t="n"/>
      <c r="C157" s="19" t="n"/>
      <c r="D157" s="19" t="n"/>
      <c r="E157" s="19" t="n"/>
      <c r="F157" s="19" t="n"/>
      <c r="G157" s="19" t="n"/>
      <c r="H157" s="19" t="n"/>
      <c r="I157" s="19" t="n"/>
      <c r="J157" s="19" t="n"/>
      <c r="K157" s="19" t="n"/>
      <c r="L157" s="19" t="n"/>
      <c r="M157" s="130">
        <f>IF($A157="","",AND('Task Finder'!$C$7&lt;&gt;"",OR(ISNUMBER(SEARCH('Task Finder'!$C$7,$A157)),ISNUMBER(SEARCH('Task Finder'!$C$7,$B157)),ISNUMBER(SEARCH('Task Finder'!$C$7,$C157)),ISNUMBER(SEARCH('Task Finder'!$C$7,$D157)),ISNUMBER(SEARCH('Task Finder'!$C$7,$K157)))))</f>
        <v/>
      </c>
    </row>
    <row r="158">
      <c r="A158" s="19" t="n"/>
      <c r="B158" s="19" t="n"/>
      <c r="C158" s="19" t="n"/>
      <c r="D158" s="19" t="n"/>
      <c r="E158" s="19" t="n"/>
      <c r="F158" s="19" t="n"/>
      <c r="G158" s="19" t="n"/>
      <c r="H158" s="19" t="n"/>
      <c r="I158" s="19" t="n"/>
      <c r="J158" s="19" t="n"/>
      <c r="K158" s="19" t="n"/>
      <c r="L158" s="19" t="n"/>
      <c r="M158" s="130">
        <f>IF($A158="","",AND('Task Finder'!$C$7&lt;&gt;"",OR(ISNUMBER(SEARCH('Task Finder'!$C$7,$A158)),ISNUMBER(SEARCH('Task Finder'!$C$7,$B158)),ISNUMBER(SEARCH('Task Finder'!$C$7,$C158)),ISNUMBER(SEARCH('Task Finder'!$C$7,$D158)),ISNUMBER(SEARCH('Task Finder'!$C$7,$K158)))))</f>
        <v/>
      </c>
    </row>
    <row r="159">
      <c r="A159" s="19" t="n"/>
      <c r="B159" s="19" t="n"/>
      <c r="C159" s="19" t="n"/>
      <c r="D159" s="19" t="n"/>
      <c r="E159" s="19" t="n"/>
      <c r="F159" s="19" t="n"/>
      <c r="G159" s="19" t="n"/>
      <c r="H159" s="19" t="n"/>
      <c r="I159" s="19" t="n"/>
      <c r="J159" s="19" t="n"/>
      <c r="K159" s="19" t="n"/>
      <c r="L159" s="19" t="n"/>
      <c r="M159" s="130">
        <f>IF($A159="","",AND('Task Finder'!$C$7&lt;&gt;"",OR(ISNUMBER(SEARCH('Task Finder'!$C$7,$A159)),ISNUMBER(SEARCH('Task Finder'!$C$7,$B159)),ISNUMBER(SEARCH('Task Finder'!$C$7,$C159)),ISNUMBER(SEARCH('Task Finder'!$C$7,$D159)),ISNUMBER(SEARCH('Task Finder'!$C$7,$K159)))))</f>
        <v/>
      </c>
    </row>
    <row r="160">
      <c r="A160" s="19" t="n"/>
      <c r="B160" s="19" t="n"/>
      <c r="C160" s="19" t="n"/>
      <c r="D160" s="19" t="n"/>
      <c r="E160" s="19" t="n"/>
      <c r="F160" s="19" t="n"/>
      <c r="G160" s="19" t="n"/>
      <c r="H160" s="19" t="n"/>
      <c r="I160" s="19" t="n"/>
      <c r="J160" s="19" t="n"/>
      <c r="K160" s="19" t="n"/>
      <c r="L160" s="19" t="n"/>
      <c r="M160" s="130">
        <f>IF($A160="","",AND('Task Finder'!$C$7&lt;&gt;"",OR(ISNUMBER(SEARCH('Task Finder'!$C$7,$A160)),ISNUMBER(SEARCH('Task Finder'!$C$7,$B160)),ISNUMBER(SEARCH('Task Finder'!$C$7,$C160)),ISNUMBER(SEARCH('Task Finder'!$C$7,$D160)),ISNUMBER(SEARCH('Task Finder'!$C$7,$K160)))))</f>
        <v/>
      </c>
    </row>
    <row r="161">
      <c r="A161" s="19" t="n"/>
      <c r="B161" s="19" t="n"/>
      <c r="C161" s="19" t="n"/>
      <c r="D161" s="19" t="n"/>
      <c r="E161" s="19" t="n"/>
      <c r="F161" s="19" t="n"/>
      <c r="G161" s="19" t="n"/>
      <c r="H161" s="19" t="n"/>
      <c r="I161" s="19" t="n"/>
      <c r="J161" s="19" t="n"/>
      <c r="K161" s="19" t="n"/>
      <c r="L161" s="19" t="n"/>
      <c r="M161" s="130">
        <f>IF($A161="","",AND('Task Finder'!$C$7&lt;&gt;"",OR(ISNUMBER(SEARCH('Task Finder'!$C$7,$A161)),ISNUMBER(SEARCH('Task Finder'!$C$7,$B161)),ISNUMBER(SEARCH('Task Finder'!$C$7,$C161)),ISNUMBER(SEARCH('Task Finder'!$C$7,$D161)),ISNUMBER(SEARCH('Task Finder'!$C$7,$K161)))))</f>
        <v/>
      </c>
    </row>
    <row r="162">
      <c r="A162" s="19" t="n"/>
      <c r="B162" s="19" t="n"/>
      <c r="C162" s="19" t="n"/>
      <c r="D162" s="19" t="n"/>
      <c r="E162" s="19" t="n"/>
      <c r="F162" s="19" t="n"/>
      <c r="G162" s="19" t="n"/>
      <c r="H162" s="19" t="n"/>
      <c r="I162" s="19" t="n"/>
      <c r="J162" s="19" t="n"/>
      <c r="K162" s="19" t="n"/>
      <c r="L162" s="19" t="n"/>
      <c r="M162" s="130">
        <f>IF($A162="","",AND('Task Finder'!$C$7&lt;&gt;"",OR(ISNUMBER(SEARCH('Task Finder'!$C$7,$A162)),ISNUMBER(SEARCH('Task Finder'!$C$7,$B162)),ISNUMBER(SEARCH('Task Finder'!$C$7,$C162)),ISNUMBER(SEARCH('Task Finder'!$C$7,$D162)),ISNUMBER(SEARCH('Task Finder'!$C$7,$K162)))))</f>
        <v/>
      </c>
    </row>
    <row r="163">
      <c r="A163" s="19" t="n"/>
      <c r="B163" s="19" t="n"/>
      <c r="C163" s="19" t="n"/>
      <c r="D163" s="19" t="n"/>
      <c r="E163" s="19" t="n"/>
      <c r="F163" s="19" t="n"/>
      <c r="G163" s="19" t="n"/>
      <c r="H163" s="19" t="n"/>
      <c r="I163" s="19" t="n"/>
      <c r="J163" s="19" t="n"/>
      <c r="K163" s="19" t="n"/>
      <c r="L163" s="19" t="n"/>
      <c r="M163" s="130">
        <f>IF($A163="","",AND('Task Finder'!$C$7&lt;&gt;"",OR(ISNUMBER(SEARCH('Task Finder'!$C$7,$A163)),ISNUMBER(SEARCH('Task Finder'!$C$7,$B163)),ISNUMBER(SEARCH('Task Finder'!$C$7,$C163)),ISNUMBER(SEARCH('Task Finder'!$C$7,$D163)),ISNUMBER(SEARCH('Task Finder'!$C$7,$K163)))))</f>
        <v/>
      </c>
    </row>
    <row r="164">
      <c r="A164" s="19" t="n"/>
      <c r="B164" s="19" t="n"/>
      <c r="C164" s="19" t="n"/>
      <c r="D164" s="19" t="n"/>
      <c r="E164" s="19" t="n"/>
      <c r="F164" s="19" t="n"/>
      <c r="G164" s="19" t="n"/>
      <c r="H164" s="19" t="n"/>
      <c r="I164" s="19" t="n"/>
      <c r="J164" s="19" t="n"/>
      <c r="K164" s="19" t="n"/>
      <c r="L164" s="19" t="n"/>
      <c r="M164" s="130">
        <f>IF($A164="","",AND('Task Finder'!$C$7&lt;&gt;"",OR(ISNUMBER(SEARCH('Task Finder'!$C$7,$A164)),ISNUMBER(SEARCH('Task Finder'!$C$7,$B164)),ISNUMBER(SEARCH('Task Finder'!$C$7,$C164)),ISNUMBER(SEARCH('Task Finder'!$C$7,$D164)),ISNUMBER(SEARCH('Task Finder'!$C$7,$K164)))))</f>
        <v/>
      </c>
    </row>
    <row r="165">
      <c r="A165" s="19" t="n"/>
      <c r="B165" s="19" t="n"/>
      <c r="C165" s="19" t="n"/>
      <c r="D165" s="19" t="n"/>
      <c r="E165" s="19" t="n"/>
      <c r="F165" s="19" t="n"/>
      <c r="G165" s="19" t="n"/>
      <c r="H165" s="19" t="n"/>
      <c r="I165" s="19" t="n"/>
      <c r="J165" s="19" t="n"/>
      <c r="K165" s="19" t="n"/>
      <c r="L165" s="19" t="n"/>
      <c r="M165" s="130">
        <f>IF($A165="","",AND('Task Finder'!$C$7&lt;&gt;"",OR(ISNUMBER(SEARCH('Task Finder'!$C$7,$A165)),ISNUMBER(SEARCH('Task Finder'!$C$7,$B165)),ISNUMBER(SEARCH('Task Finder'!$C$7,$C165)),ISNUMBER(SEARCH('Task Finder'!$C$7,$D165)),ISNUMBER(SEARCH('Task Finder'!$C$7,$K165)))))</f>
        <v/>
      </c>
    </row>
    <row r="166">
      <c r="A166" s="19" t="n"/>
      <c r="B166" s="19" t="n"/>
      <c r="C166" s="19" t="n"/>
      <c r="D166" s="19" t="n"/>
      <c r="E166" s="19" t="n"/>
      <c r="F166" s="19" t="n"/>
      <c r="G166" s="19" t="n"/>
      <c r="H166" s="19" t="n"/>
      <c r="I166" s="19" t="n"/>
      <c r="J166" s="19" t="n"/>
      <c r="K166" s="19" t="n"/>
      <c r="L166" s="19" t="n"/>
      <c r="M166" s="130">
        <f>IF($A166="","",AND('Task Finder'!$C$7&lt;&gt;"",OR(ISNUMBER(SEARCH('Task Finder'!$C$7,$A166)),ISNUMBER(SEARCH('Task Finder'!$C$7,$B166)),ISNUMBER(SEARCH('Task Finder'!$C$7,$C166)),ISNUMBER(SEARCH('Task Finder'!$C$7,$D166)),ISNUMBER(SEARCH('Task Finder'!$C$7,$K166)))))</f>
        <v/>
      </c>
    </row>
    <row r="167">
      <c r="A167" s="19" t="n"/>
      <c r="B167" s="19" t="n"/>
      <c r="C167" s="19" t="n"/>
      <c r="D167" s="19" t="n"/>
      <c r="E167" s="19" t="n"/>
      <c r="F167" s="19" t="n"/>
      <c r="G167" s="19" t="n"/>
      <c r="H167" s="19" t="n"/>
      <c r="I167" s="19" t="n"/>
      <c r="J167" s="19" t="n"/>
      <c r="K167" s="19" t="n"/>
      <c r="L167" s="19" t="n"/>
      <c r="M167" s="130">
        <f>IF($A167="","",AND('Task Finder'!$C$7&lt;&gt;"",OR(ISNUMBER(SEARCH('Task Finder'!$C$7,$A167)),ISNUMBER(SEARCH('Task Finder'!$C$7,$B167)),ISNUMBER(SEARCH('Task Finder'!$C$7,$C167)),ISNUMBER(SEARCH('Task Finder'!$C$7,$D167)),ISNUMBER(SEARCH('Task Finder'!$C$7,$K167)))))</f>
        <v/>
      </c>
    </row>
    <row r="168">
      <c r="A168" s="19" t="n"/>
      <c r="B168" s="19" t="n"/>
      <c r="C168" s="19" t="n"/>
      <c r="D168" s="19" t="n"/>
      <c r="E168" s="19" t="n"/>
      <c r="F168" s="19" t="n"/>
      <c r="G168" s="19" t="n"/>
      <c r="H168" s="19" t="n"/>
      <c r="I168" s="19" t="n"/>
      <c r="J168" s="19" t="n"/>
      <c r="K168" s="19" t="n"/>
      <c r="L168" s="19" t="n"/>
      <c r="M168" s="130">
        <f>IF($A168="","",AND('Task Finder'!$C$7&lt;&gt;"",OR(ISNUMBER(SEARCH('Task Finder'!$C$7,$A168)),ISNUMBER(SEARCH('Task Finder'!$C$7,$B168)),ISNUMBER(SEARCH('Task Finder'!$C$7,$C168)),ISNUMBER(SEARCH('Task Finder'!$C$7,$D168)),ISNUMBER(SEARCH('Task Finder'!$C$7,$K168)))))</f>
        <v/>
      </c>
    </row>
    <row r="169">
      <c r="A169" s="19" t="n"/>
      <c r="B169" s="19" t="n"/>
      <c r="C169" s="19" t="n"/>
      <c r="D169" s="19" t="n"/>
      <c r="E169" s="19" t="n"/>
      <c r="F169" s="19" t="n"/>
      <c r="G169" s="19" t="n"/>
      <c r="H169" s="19" t="n"/>
      <c r="I169" s="19" t="n"/>
      <c r="J169" s="19" t="n"/>
      <c r="K169" s="19" t="n"/>
      <c r="L169" s="19" t="n"/>
      <c r="M169" s="130">
        <f>IF($A169="","",AND('Task Finder'!$C$7&lt;&gt;"",OR(ISNUMBER(SEARCH('Task Finder'!$C$7,$A169)),ISNUMBER(SEARCH('Task Finder'!$C$7,$B169)),ISNUMBER(SEARCH('Task Finder'!$C$7,$C169)),ISNUMBER(SEARCH('Task Finder'!$C$7,$D169)),ISNUMBER(SEARCH('Task Finder'!$C$7,$K169)))))</f>
        <v/>
      </c>
    </row>
    <row r="170">
      <c r="A170" s="19" t="n"/>
      <c r="B170" s="19" t="n"/>
      <c r="C170" s="19" t="n"/>
      <c r="D170" s="19" t="n"/>
      <c r="E170" s="19" t="n"/>
      <c r="F170" s="19" t="n"/>
      <c r="G170" s="19" t="n"/>
      <c r="H170" s="19" t="n"/>
      <c r="I170" s="19" t="n"/>
      <c r="J170" s="19" t="n"/>
      <c r="K170" s="19" t="n"/>
      <c r="L170" s="19" t="n"/>
      <c r="M170" s="130">
        <f>IF($A170="","",AND('Task Finder'!$C$7&lt;&gt;"",OR(ISNUMBER(SEARCH('Task Finder'!$C$7,$A170)),ISNUMBER(SEARCH('Task Finder'!$C$7,$B170)),ISNUMBER(SEARCH('Task Finder'!$C$7,$C170)),ISNUMBER(SEARCH('Task Finder'!$C$7,$D170)),ISNUMBER(SEARCH('Task Finder'!$C$7,$K170)))))</f>
        <v/>
      </c>
    </row>
    <row r="171">
      <c r="A171" s="19" t="n"/>
      <c r="B171" s="19" t="n"/>
      <c r="C171" s="19" t="n"/>
      <c r="D171" s="19" t="n"/>
      <c r="E171" s="19" t="n"/>
      <c r="F171" s="19" t="n"/>
      <c r="G171" s="19" t="n"/>
      <c r="H171" s="19" t="n"/>
      <c r="I171" s="19" t="n"/>
      <c r="J171" s="19" t="n"/>
      <c r="K171" s="19" t="n"/>
      <c r="L171" s="19" t="n"/>
      <c r="M171" s="130">
        <f>IF($A171="","",AND('Task Finder'!$C$7&lt;&gt;"",OR(ISNUMBER(SEARCH('Task Finder'!$C$7,$A171)),ISNUMBER(SEARCH('Task Finder'!$C$7,$B171)),ISNUMBER(SEARCH('Task Finder'!$C$7,$C171)),ISNUMBER(SEARCH('Task Finder'!$C$7,$D171)),ISNUMBER(SEARCH('Task Finder'!$C$7,$K171)))))</f>
        <v/>
      </c>
    </row>
    <row r="172">
      <c r="A172" s="19" t="n"/>
      <c r="B172" s="19" t="n"/>
      <c r="C172" s="19" t="n"/>
      <c r="D172" s="19" t="n"/>
      <c r="E172" s="19" t="n"/>
      <c r="F172" s="19" t="n"/>
      <c r="G172" s="19" t="n"/>
      <c r="H172" s="19" t="n"/>
      <c r="I172" s="19" t="n"/>
      <c r="J172" s="19" t="n"/>
      <c r="K172" s="19" t="n"/>
      <c r="L172" s="19" t="n"/>
      <c r="M172" s="130">
        <f>IF($A172="","",AND('Task Finder'!$C$7&lt;&gt;"",OR(ISNUMBER(SEARCH('Task Finder'!$C$7,$A172)),ISNUMBER(SEARCH('Task Finder'!$C$7,$B172)),ISNUMBER(SEARCH('Task Finder'!$C$7,$C172)),ISNUMBER(SEARCH('Task Finder'!$C$7,$D172)),ISNUMBER(SEARCH('Task Finder'!$C$7,$K172)))))</f>
        <v/>
      </c>
    </row>
    <row r="173">
      <c r="A173" s="19" t="n"/>
      <c r="B173" s="19" t="n"/>
      <c r="C173" s="19" t="n"/>
      <c r="D173" s="19" t="n"/>
      <c r="E173" s="19" t="n"/>
      <c r="F173" s="19" t="n"/>
      <c r="G173" s="19" t="n"/>
      <c r="H173" s="19" t="n"/>
      <c r="I173" s="19" t="n"/>
      <c r="J173" s="19" t="n"/>
      <c r="K173" s="19" t="n"/>
      <c r="L173" s="19" t="n"/>
      <c r="M173" s="130">
        <f>IF($A173="","",AND('Task Finder'!$C$7&lt;&gt;"",OR(ISNUMBER(SEARCH('Task Finder'!$C$7,$A173)),ISNUMBER(SEARCH('Task Finder'!$C$7,$B173)),ISNUMBER(SEARCH('Task Finder'!$C$7,$C173)),ISNUMBER(SEARCH('Task Finder'!$C$7,$D173)),ISNUMBER(SEARCH('Task Finder'!$C$7,$K173)))))</f>
        <v/>
      </c>
    </row>
    <row r="174">
      <c r="A174" s="19" t="n"/>
      <c r="B174" s="19" t="n"/>
      <c r="C174" s="19" t="n"/>
      <c r="D174" s="19" t="n"/>
      <c r="E174" s="19" t="n"/>
      <c r="F174" s="19" t="n"/>
      <c r="G174" s="19" t="n"/>
      <c r="H174" s="19" t="n"/>
      <c r="I174" s="19" t="n"/>
      <c r="J174" s="19" t="n"/>
      <c r="K174" s="19" t="n"/>
      <c r="L174" s="19" t="n"/>
      <c r="M174" s="130">
        <f>IF($A174="","",AND('Task Finder'!$C$7&lt;&gt;"",OR(ISNUMBER(SEARCH('Task Finder'!$C$7,$A174)),ISNUMBER(SEARCH('Task Finder'!$C$7,$B174)),ISNUMBER(SEARCH('Task Finder'!$C$7,$C174)),ISNUMBER(SEARCH('Task Finder'!$C$7,$D174)),ISNUMBER(SEARCH('Task Finder'!$C$7,$K174)))))</f>
        <v/>
      </c>
    </row>
    <row r="175">
      <c r="A175" s="19" t="n"/>
      <c r="B175" s="19" t="n"/>
      <c r="C175" s="19" t="n"/>
      <c r="D175" s="19" t="n"/>
      <c r="E175" s="19" t="n"/>
      <c r="F175" s="19" t="n"/>
      <c r="G175" s="19" t="n"/>
      <c r="H175" s="19" t="n"/>
      <c r="I175" s="19" t="n"/>
      <c r="J175" s="19" t="n"/>
      <c r="K175" s="19" t="n"/>
      <c r="L175" s="19" t="n"/>
      <c r="M175" s="130">
        <f>IF($A175="","",AND('Task Finder'!$C$7&lt;&gt;"",OR(ISNUMBER(SEARCH('Task Finder'!$C$7,$A175)),ISNUMBER(SEARCH('Task Finder'!$C$7,$B175)),ISNUMBER(SEARCH('Task Finder'!$C$7,$C175)),ISNUMBER(SEARCH('Task Finder'!$C$7,$D175)),ISNUMBER(SEARCH('Task Finder'!$C$7,$K175)))))</f>
        <v/>
      </c>
    </row>
    <row r="176">
      <c r="A176" s="19" t="n"/>
      <c r="B176" s="19" t="n"/>
      <c r="C176" s="19" t="n"/>
      <c r="D176" s="19" t="n"/>
      <c r="E176" s="19" t="n"/>
      <c r="F176" s="19" t="n"/>
      <c r="G176" s="19" t="n"/>
      <c r="H176" s="19" t="n"/>
      <c r="I176" s="19" t="n"/>
      <c r="J176" s="19" t="n"/>
      <c r="K176" s="19" t="n"/>
      <c r="L176" s="19" t="n"/>
      <c r="M176" s="130">
        <f>IF($A176="","",AND('Task Finder'!$C$7&lt;&gt;"",OR(ISNUMBER(SEARCH('Task Finder'!$C$7,$A176)),ISNUMBER(SEARCH('Task Finder'!$C$7,$B176)),ISNUMBER(SEARCH('Task Finder'!$C$7,$C176)),ISNUMBER(SEARCH('Task Finder'!$C$7,$D176)),ISNUMBER(SEARCH('Task Finder'!$C$7,$K176)))))</f>
        <v/>
      </c>
    </row>
    <row r="177">
      <c r="A177" s="19" t="n"/>
      <c r="B177" s="19" t="n"/>
      <c r="C177" s="19" t="n"/>
      <c r="D177" s="19" t="n"/>
      <c r="E177" s="19" t="n"/>
      <c r="F177" s="19" t="n"/>
      <c r="G177" s="19" t="n"/>
      <c r="H177" s="19" t="n"/>
      <c r="I177" s="19" t="n"/>
      <c r="J177" s="19" t="n"/>
      <c r="K177" s="19" t="n"/>
      <c r="L177" s="19" t="n"/>
      <c r="M177" s="130">
        <f>IF($A177="","",AND('Task Finder'!$C$7&lt;&gt;"",OR(ISNUMBER(SEARCH('Task Finder'!$C$7,$A177)),ISNUMBER(SEARCH('Task Finder'!$C$7,$B177)),ISNUMBER(SEARCH('Task Finder'!$C$7,$C177)),ISNUMBER(SEARCH('Task Finder'!$C$7,$D177)),ISNUMBER(SEARCH('Task Finder'!$C$7,$K177)))))</f>
        <v/>
      </c>
    </row>
    <row r="178">
      <c r="A178" s="19" t="n"/>
      <c r="B178" s="19" t="n"/>
      <c r="C178" s="19" t="n"/>
      <c r="D178" s="19" t="n"/>
      <c r="E178" s="19" t="n"/>
      <c r="F178" s="19" t="n"/>
      <c r="G178" s="19" t="n"/>
      <c r="H178" s="19" t="n"/>
      <c r="I178" s="19" t="n"/>
      <c r="J178" s="19" t="n"/>
      <c r="K178" s="19" t="n"/>
      <c r="L178" s="19" t="n"/>
      <c r="M178" s="130">
        <f>IF($A178="","",AND('Task Finder'!$C$7&lt;&gt;"",OR(ISNUMBER(SEARCH('Task Finder'!$C$7,$A178)),ISNUMBER(SEARCH('Task Finder'!$C$7,$B178)),ISNUMBER(SEARCH('Task Finder'!$C$7,$C178)),ISNUMBER(SEARCH('Task Finder'!$C$7,$D178)),ISNUMBER(SEARCH('Task Finder'!$C$7,$K178)))))</f>
        <v/>
      </c>
    </row>
    <row r="179">
      <c r="A179" s="19" t="n"/>
      <c r="B179" s="19" t="n"/>
      <c r="C179" s="19" t="n"/>
      <c r="D179" s="19" t="n"/>
      <c r="E179" s="19" t="n"/>
      <c r="F179" s="19" t="n"/>
      <c r="G179" s="19" t="n"/>
      <c r="H179" s="19" t="n"/>
      <c r="I179" s="19" t="n"/>
      <c r="J179" s="19" t="n"/>
      <c r="K179" s="19" t="n"/>
      <c r="L179" s="19" t="n"/>
      <c r="M179" s="130">
        <f>IF($A179="","",AND('Task Finder'!$C$7&lt;&gt;"",OR(ISNUMBER(SEARCH('Task Finder'!$C$7,$A179)),ISNUMBER(SEARCH('Task Finder'!$C$7,$B179)),ISNUMBER(SEARCH('Task Finder'!$C$7,$C179)),ISNUMBER(SEARCH('Task Finder'!$C$7,$D179)),ISNUMBER(SEARCH('Task Finder'!$C$7,$K179)))))</f>
        <v/>
      </c>
    </row>
    <row r="180">
      <c r="A180" s="19" t="n"/>
      <c r="B180" s="19" t="n"/>
      <c r="C180" s="19" t="n"/>
      <c r="D180" s="19" t="n"/>
      <c r="E180" s="19" t="n"/>
      <c r="F180" s="19" t="n"/>
      <c r="G180" s="19" t="n"/>
      <c r="H180" s="19" t="n"/>
      <c r="I180" s="19" t="n"/>
      <c r="J180" s="19" t="n"/>
      <c r="K180" s="19" t="n"/>
      <c r="L180" s="19" t="n"/>
      <c r="M180" s="130">
        <f>IF($A180="","",AND('Task Finder'!$C$7&lt;&gt;"",OR(ISNUMBER(SEARCH('Task Finder'!$C$7,$A180)),ISNUMBER(SEARCH('Task Finder'!$C$7,$B180)),ISNUMBER(SEARCH('Task Finder'!$C$7,$C180)),ISNUMBER(SEARCH('Task Finder'!$C$7,$D180)),ISNUMBER(SEARCH('Task Finder'!$C$7,$K180)))))</f>
        <v/>
      </c>
    </row>
    <row r="181">
      <c r="A181" s="19" t="n"/>
      <c r="B181" s="19" t="n"/>
      <c r="C181" s="19" t="n"/>
      <c r="D181" s="19" t="n"/>
      <c r="E181" s="19" t="n"/>
      <c r="F181" s="19" t="n"/>
      <c r="G181" s="19" t="n"/>
      <c r="H181" s="19" t="n"/>
      <c r="I181" s="19" t="n"/>
      <c r="J181" s="19" t="n"/>
      <c r="K181" s="19" t="n"/>
      <c r="L181" s="19" t="n"/>
      <c r="M181" s="130">
        <f>IF($A181="","",AND('Task Finder'!$C$7&lt;&gt;"",OR(ISNUMBER(SEARCH('Task Finder'!$C$7,$A181)),ISNUMBER(SEARCH('Task Finder'!$C$7,$B181)),ISNUMBER(SEARCH('Task Finder'!$C$7,$C181)),ISNUMBER(SEARCH('Task Finder'!$C$7,$D181)),ISNUMBER(SEARCH('Task Finder'!$C$7,$K181)))))</f>
        <v/>
      </c>
    </row>
    <row r="182">
      <c r="A182" s="19" t="n"/>
      <c r="B182" s="19" t="n"/>
      <c r="C182" s="19" t="n"/>
      <c r="D182" s="19" t="n"/>
      <c r="E182" s="19" t="n"/>
      <c r="F182" s="19" t="n"/>
      <c r="G182" s="19" t="n"/>
      <c r="H182" s="19" t="n"/>
      <c r="I182" s="19" t="n"/>
      <c r="J182" s="19" t="n"/>
      <c r="K182" s="19" t="n"/>
      <c r="L182" s="19" t="n"/>
      <c r="M182" s="130">
        <f>IF($A182="","",AND('Task Finder'!$C$7&lt;&gt;"",OR(ISNUMBER(SEARCH('Task Finder'!$C$7,$A182)),ISNUMBER(SEARCH('Task Finder'!$C$7,$B182)),ISNUMBER(SEARCH('Task Finder'!$C$7,$C182)),ISNUMBER(SEARCH('Task Finder'!$C$7,$D182)),ISNUMBER(SEARCH('Task Finder'!$C$7,$K182)))))</f>
        <v/>
      </c>
    </row>
    <row r="183">
      <c r="A183" s="19" t="n"/>
      <c r="B183" s="19" t="n"/>
      <c r="C183" s="19" t="n"/>
      <c r="D183" s="19" t="n"/>
      <c r="E183" s="19" t="n"/>
      <c r="F183" s="19" t="n"/>
      <c r="G183" s="19" t="n"/>
      <c r="H183" s="19" t="n"/>
      <c r="I183" s="19" t="n"/>
      <c r="J183" s="19" t="n"/>
      <c r="K183" s="19" t="n"/>
      <c r="L183" s="19" t="n"/>
      <c r="M183" s="130">
        <f>IF($A183="","",AND('Task Finder'!$C$7&lt;&gt;"",OR(ISNUMBER(SEARCH('Task Finder'!$C$7,$A183)),ISNUMBER(SEARCH('Task Finder'!$C$7,$B183)),ISNUMBER(SEARCH('Task Finder'!$C$7,$C183)),ISNUMBER(SEARCH('Task Finder'!$C$7,$D183)),ISNUMBER(SEARCH('Task Finder'!$C$7,$K183)))))</f>
        <v/>
      </c>
    </row>
    <row r="184">
      <c r="A184" s="19" t="n"/>
      <c r="B184" s="19" t="n"/>
      <c r="C184" s="19" t="n"/>
      <c r="D184" s="19" t="n"/>
      <c r="E184" s="19" t="n"/>
      <c r="F184" s="19" t="n"/>
      <c r="G184" s="19" t="n"/>
      <c r="H184" s="19" t="n"/>
      <c r="I184" s="19" t="n"/>
      <c r="J184" s="19" t="n"/>
      <c r="K184" s="19" t="n"/>
      <c r="L184" s="19" t="n"/>
      <c r="M184" s="130">
        <f>IF($A184="","",AND('Task Finder'!$C$7&lt;&gt;"",OR(ISNUMBER(SEARCH('Task Finder'!$C$7,$A184)),ISNUMBER(SEARCH('Task Finder'!$C$7,$B184)),ISNUMBER(SEARCH('Task Finder'!$C$7,$C184)),ISNUMBER(SEARCH('Task Finder'!$C$7,$D184)),ISNUMBER(SEARCH('Task Finder'!$C$7,$K184)))))</f>
        <v/>
      </c>
    </row>
    <row r="185">
      <c r="A185" s="19" t="n"/>
      <c r="B185" s="19" t="n"/>
      <c r="C185" s="19" t="n"/>
      <c r="D185" s="19" t="n"/>
      <c r="E185" s="19" t="n"/>
      <c r="F185" s="19" t="n"/>
      <c r="G185" s="19" t="n"/>
      <c r="H185" s="19" t="n"/>
      <c r="I185" s="19" t="n"/>
      <c r="J185" s="19" t="n"/>
      <c r="K185" s="19" t="n"/>
      <c r="L185" s="19" t="n"/>
      <c r="M185" s="130">
        <f>IF($A185="","",AND('Task Finder'!$C$7&lt;&gt;"",OR(ISNUMBER(SEARCH('Task Finder'!$C$7,$A185)),ISNUMBER(SEARCH('Task Finder'!$C$7,$B185)),ISNUMBER(SEARCH('Task Finder'!$C$7,$C185)),ISNUMBER(SEARCH('Task Finder'!$C$7,$D185)),ISNUMBER(SEARCH('Task Finder'!$C$7,$K185)))))</f>
        <v/>
      </c>
    </row>
    <row r="186">
      <c r="A186" s="19" t="n"/>
      <c r="B186" s="19" t="n"/>
      <c r="C186" s="19" t="n"/>
      <c r="D186" s="19" t="n"/>
      <c r="E186" s="19" t="n"/>
      <c r="F186" s="19" t="n"/>
      <c r="G186" s="19" t="n"/>
      <c r="H186" s="19" t="n"/>
      <c r="I186" s="19" t="n"/>
      <c r="J186" s="19" t="n"/>
      <c r="K186" s="19" t="n"/>
      <c r="L186" s="19" t="n"/>
      <c r="M186" s="130">
        <f>IF($A186="","",AND('Task Finder'!$C$7&lt;&gt;"",OR(ISNUMBER(SEARCH('Task Finder'!$C$7,$A186)),ISNUMBER(SEARCH('Task Finder'!$C$7,$B186)),ISNUMBER(SEARCH('Task Finder'!$C$7,$C186)),ISNUMBER(SEARCH('Task Finder'!$C$7,$D186)),ISNUMBER(SEARCH('Task Finder'!$C$7,$K186)))))</f>
        <v/>
      </c>
    </row>
    <row r="187">
      <c r="A187" s="19" t="n"/>
      <c r="B187" s="19" t="n"/>
      <c r="C187" s="19" t="n"/>
      <c r="D187" s="19" t="n"/>
      <c r="E187" s="19" t="n"/>
      <c r="F187" s="19" t="n"/>
      <c r="G187" s="19" t="n"/>
      <c r="H187" s="19" t="n"/>
      <c r="I187" s="19" t="n"/>
      <c r="J187" s="19" t="n"/>
      <c r="K187" s="19" t="n"/>
      <c r="L187" s="19" t="n"/>
      <c r="M187" s="130">
        <f>IF($A187="","",AND('Task Finder'!$C$7&lt;&gt;"",OR(ISNUMBER(SEARCH('Task Finder'!$C$7,$A187)),ISNUMBER(SEARCH('Task Finder'!$C$7,$B187)),ISNUMBER(SEARCH('Task Finder'!$C$7,$C187)),ISNUMBER(SEARCH('Task Finder'!$C$7,$D187)),ISNUMBER(SEARCH('Task Finder'!$C$7,$K187)))))</f>
        <v/>
      </c>
    </row>
    <row r="188">
      <c r="A188" s="19" t="n"/>
      <c r="B188" s="19" t="n"/>
      <c r="C188" s="19" t="n"/>
      <c r="D188" s="19" t="n"/>
      <c r="E188" s="19" t="n"/>
      <c r="F188" s="19" t="n"/>
      <c r="G188" s="19" t="n"/>
      <c r="H188" s="19" t="n"/>
      <c r="I188" s="19" t="n"/>
      <c r="J188" s="19" t="n"/>
      <c r="K188" s="19" t="n"/>
      <c r="L188" s="19" t="n"/>
      <c r="M188" s="130">
        <f>IF($A188="","",AND('Task Finder'!$C$7&lt;&gt;"",OR(ISNUMBER(SEARCH('Task Finder'!$C$7,$A188)),ISNUMBER(SEARCH('Task Finder'!$C$7,$B188)),ISNUMBER(SEARCH('Task Finder'!$C$7,$C188)),ISNUMBER(SEARCH('Task Finder'!$C$7,$D188)),ISNUMBER(SEARCH('Task Finder'!$C$7,$K188)))))</f>
        <v/>
      </c>
    </row>
    <row r="189">
      <c r="A189" s="19" t="n"/>
      <c r="B189" s="19" t="n"/>
      <c r="C189" s="19" t="n"/>
      <c r="D189" s="19" t="n"/>
      <c r="E189" s="19" t="n"/>
      <c r="F189" s="19" t="n"/>
      <c r="G189" s="19" t="n"/>
      <c r="H189" s="19" t="n"/>
      <c r="I189" s="19" t="n"/>
      <c r="J189" s="19" t="n"/>
      <c r="K189" s="19" t="n"/>
      <c r="L189" s="19" t="n"/>
      <c r="M189" s="130">
        <f>IF($A189="","",AND('Task Finder'!$C$7&lt;&gt;"",OR(ISNUMBER(SEARCH('Task Finder'!$C$7,$A189)),ISNUMBER(SEARCH('Task Finder'!$C$7,$B189)),ISNUMBER(SEARCH('Task Finder'!$C$7,$C189)),ISNUMBER(SEARCH('Task Finder'!$C$7,$D189)),ISNUMBER(SEARCH('Task Finder'!$C$7,$K189)))))</f>
        <v/>
      </c>
    </row>
    <row r="190">
      <c r="A190" s="19" t="n"/>
      <c r="B190" s="19" t="n"/>
      <c r="C190" s="19" t="n"/>
      <c r="D190" s="19" t="n"/>
      <c r="E190" s="19" t="n"/>
      <c r="F190" s="19" t="n"/>
      <c r="G190" s="19" t="n"/>
      <c r="H190" s="19" t="n"/>
      <c r="I190" s="19" t="n"/>
      <c r="J190" s="19" t="n"/>
      <c r="K190" s="19" t="n"/>
      <c r="L190" s="19" t="n"/>
      <c r="M190" s="130">
        <f>IF($A190="","",AND('Task Finder'!$C$7&lt;&gt;"",OR(ISNUMBER(SEARCH('Task Finder'!$C$7,$A190)),ISNUMBER(SEARCH('Task Finder'!$C$7,$B190)),ISNUMBER(SEARCH('Task Finder'!$C$7,$C190)),ISNUMBER(SEARCH('Task Finder'!$C$7,$D190)),ISNUMBER(SEARCH('Task Finder'!$C$7,$K190)))))</f>
        <v/>
      </c>
    </row>
    <row r="191">
      <c r="A191" s="19" t="n"/>
      <c r="B191" s="19" t="n"/>
      <c r="C191" s="19" t="n"/>
      <c r="D191" s="19" t="n"/>
      <c r="E191" s="19" t="n"/>
      <c r="F191" s="19" t="n"/>
      <c r="G191" s="19" t="n"/>
      <c r="H191" s="19" t="n"/>
      <c r="I191" s="19" t="n"/>
      <c r="J191" s="19" t="n"/>
      <c r="K191" s="19" t="n"/>
      <c r="L191" s="19" t="n"/>
      <c r="M191" s="130">
        <f>IF($A191="","",AND('Task Finder'!$C$7&lt;&gt;"",OR(ISNUMBER(SEARCH('Task Finder'!$C$7,$A191)),ISNUMBER(SEARCH('Task Finder'!$C$7,$B191)),ISNUMBER(SEARCH('Task Finder'!$C$7,$C191)),ISNUMBER(SEARCH('Task Finder'!$C$7,$D191)),ISNUMBER(SEARCH('Task Finder'!$C$7,$K191)))))</f>
        <v/>
      </c>
    </row>
    <row r="192">
      <c r="A192" s="19" t="n"/>
      <c r="B192" s="19" t="n"/>
      <c r="C192" s="19" t="n"/>
      <c r="D192" s="19" t="n"/>
      <c r="E192" s="19" t="n"/>
      <c r="F192" s="19" t="n"/>
      <c r="G192" s="19" t="n"/>
      <c r="H192" s="19" t="n"/>
      <c r="I192" s="19" t="n"/>
      <c r="J192" s="19" t="n"/>
      <c r="K192" s="19" t="n"/>
      <c r="L192" s="19" t="n"/>
      <c r="M192" s="130">
        <f>IF($A192="","",AND('Task Finder'!$C$7&lt;&gt;"",OR(ISNUMBER(SEARCH('Task Finder'!$C$7,$A192)),ISNUMBER(SEARCH('Task Finder'!$C$7,$B192)),ISNUMBER(SEARCH('Task Finder'!$C$7,$C192)),ISNUMBER(SEARCH('Task Finder'!$C$7,$D192)),ISNUMBER(SEARCH('Task Finder'!$C$7,$K192)))))</f>
        <v/>
      </c>
    </row>
    <row r="193">
      <c r="A193" s="19" t="n"/>
      <c r="B193" s="19" t="n"/>
      <c r="C193" s="19" t="n"/>
      <c r="D193" s="19" t="n"/>
      <c r="E193" s="19" t="n"/>
      <c r="F193" s="19" t="n"/>
      <c r="G193" s="19" t="n"/>
      <c r="H193" s="19" t="n"/>
      <c r="I193" s="19" t="n"/>
      <c r="J193" s="19" t="n"/>
      <c r="K193" s="19" t="n"/>
      <c r="L193" s="19" t="n"/>
      <c r="M193" s="130">
        <f>IF($A193="","",AND('Task Finder'!$C$7&lt;&gt;"",OR(ISNUMBER(SEARCH('Task Finder'!$C$7,$A193)),ISNUMBER(SEARCH('Task Finder'!$C$7,$B193)),ISNUMBER(SEARCH('Task Finder'!$C$7,$C193)),ISNUMBER(SEARCH('Task Finder'!$C$7,$D193)),ISNUMBER(SEARCH('Task Finder'!$C$7,$K193)))))</f>
        <v/>
      </c>
    </row>
    <row r="194">
      <c r="A194" s="19" t="n"/>
      <c r="B194" s="19" t="n"/>
      <c r="C194" s="19" t="n"/>
      <c r="D194" s="19" t="n"/>
      <c r="E194" s="19" t="n"/>
      <c r="F194" s="19" t="n"/>
      <c r="G194" s="19" t="n"/>
      <c r="H194" s="19" t="n"/>
      <c r="I194" s="19" t="n"/>
      <c r="J194" s="19" t="n"/>
      <c r="K194" s="19" t="n"/>
      <c r="L194" s="19" t="n"/>
      <c r="M194" s="130">
        <f>IF($A194="","",AND('Task Finder'!$C$7&lt;&gt;"",OR(ISNUMBER(SEARCH('Task Finder'!$C$7,$A194)),ISNUMBER(SEARCH('Task Finder'!$C$7,$B194)),ISNUMBER(SEARCH('Task Finder'!$C$7,$C194)),ISNUMBER(SEARCH('Task Finder'!$C$7,$D194)),ISNUMBER(SEARCH('Task Finder'!$C$7,$K194)))))</f>
        <v/>
      </c>
    </row>
    <row r="195">
      <c r="A195" s="19" t="n"/>
      <c r="B195" s="19" t="n"/>
      <c r="C195" s="19" t="n"/>
      <c r="D195" s="19" t="n"/>
      <c r="E195" s="19" t="n"/>
      <c r="F195" s="19" t="n"/>
      <c r="G195" s="19" t="n"/>
      <c r="H195" s="19" t="n"/>
      <c r="I195" s="19" t="n"/>
      <c r="J195" s="19" t="n"/>
      <c r="K195" s="19" t="n"/>
      <c r="L195" s="19" t="n"/>
      <c r="M195" s="130">
        <f>IF($A195="","",AND('Task Finder'!$C$7&lt;&gt;"",OR(ISNUMBER(SEARCH('Task Finder'!$C$7,$A195)),ISNUMBER(SEARCH('Task Finder'!$C$7,$B195)),ISNUMBER(SEARCH('Task Finder'!$C$7,$C195)),ISNUMBER(SEARCH('Task Finder'!$C$7,$D195)),ISNUMBER(SEARCH('Task Finder'!$C$7,$K195)))))</f>
        <v/>
      </c>
    </row>
    <row r="196">
      <c r="A196" s="19" t="n"/>
      <c r="B196" s="19" t="n"/>
      <c r="C196" s="19" t="n"/>
      <c r="D196" s="19" t="n"/>
      <c r="E196" s="19" t="n"/>
      <c r="F196" s="19" t="n"/>
      <c r="G196" s="19" t="n"/>
      <c r="H196" s="19" t="n"/>
      <c r="I196" s="19" t="n"/>
      <c r="J196" s="19" t="n"/>
      <c r="K196" s="19" t="n"/>
      <c r="L196" s="19" t="n"/>
      <c r="M196" s="130">
        <f>IF($A196="","",AND('Task Finder'!$C$7&lt;&gt;"",OR(ISNUMBER(SEARCH('Task Finder'!$C$7,$A196)),ISNUMBER(SEARCH('Task Finder'!$C$7,$B196)),ISNUMBER(SEARCH('Task Finder'!$C$7,$C196)),ISNUMBER(SEARCH('Task Finder'!$C$7,$D196)),ISNUMBER(SEARCH('Task Finder'!$C$7,$K196)))))</f>
        <v/>
      </c>
    </row>
    <row r="197">
      <c r="A197" s="19" t="n"/>
      <c r="B197" s="19" t="n"/>
      <c r="C197" s="19" t="n"/>
      <c r="D197" s="19" t="n"/>
      <c r="E197" s="19" t="n"/>
      <c r="F197" s="19" t="n"/>
      <c r="G197" s="19" t="n"/>
      <c r="H197" s="19" t="n"/>
      <c r="I197" s="19" t="n"/>
      <c r="J197" s="19" t="n"/>
      <c r="K197" s="19" t="n"/>
      <c r="L197" s="19" t="n"/>
      <c r="M197" s="130">
        <f>IF($A197="","",AND('Task Finder'!$C$7&lt;&gt;"",OR(ISNUMBER(SEARCH('Task Finder'!$C$7,$A197)),ISNUMBER(SEARCH('Task Finder'!$C$7,$B197)),ISNUMBER(SEARCH('Task Finder'!$C$7,$C197)),ISNUMBER(SEARCH('Task Finder'!$C$7,$D197)),ISNUMBER(SEARCH('Task Finder'!$C$7,$K197)))))</f>
        <v/>
      </c>
    </row>
    <row r="198">
      <c r="A198" s="19" t="n"/>
      <c r="B198" s="19" t="n"/>
      <c r="C198" s="19" t="n"/>
      <c r="D198" s="19" t="n"/>
      <c r="E198" s="19" t="n"/>
      <c r="F198" s="19" t="n"/>
      <c r="G198" s="19" t="n"/>
      <c r="H198" s="19" t="n"/>
      <c r="I198" s="19" t="n"/>
      <c r="J198" s="19" t="n"/>
      <c r="K198" s="19" t="n"/>
      <c r="L198" s="19" t="n"/>
      <c r="M198" s="130">
        <f>IF($A198="","",AND('Task Finder'!$C$7&lt;&gt;"",OR(ISNUMBER(SEARCH('Task Finder'!$C$7,$A198)),ISNUMBER(SEARCH('Task Finder'!$C$7,$B198)),ISNUMBER(SEARCH('Task Finder'!$C$7,$C198)),ISNUMBER(SEARCH('Task Finder'!$C$7,$D198)),ISNUMBER(SEARCH('Task Finder'!$C$7,$K198)))))</f>
        <v/>
      </c>
    </row>
    <row r="199">
      <c r="A199" s="19" t="n"/>
      <c r="B199" s="19" t="n"/>
      <c r="C199" s="19" t="n"/>
      <c r="D199" s="19" t="n"/>
      <c r="E199" s="19" t="n"/>
      <c r="F199" s="19" t="n"/>
      <c r="G199" s="19" t="n"/>
      <c r="H199" s="19" t="n"/>
      <c r="I199" s="19" t="n"/>
      <c r="J199" s="19" t="n"/>
      <c r="K199" s="19" t="n"/>
      <c r="L199" s="19" t="n"/>
      <c r="M199" s="130">
        <f>IF($A199="","",AND('Task Finder'!$C$7&lt;&gt;"",OR(ISNUMBER(SEARCH('Task Finder'!$C$7,$A199)),ISNUMBER(SEARCH('Task Finder'!$C$7,$B199)),ISNUMBER(SEARCH('Task Finder'!$C$7,$C199)),ISNUMBER(SEARCH('Task Finder'!$C$7,$D199)),ISNUMBER(SEARCH('Task Finder'!$C$7,$K199)))))</f>
        <v/>
      </c>
    </row>
    <row r="200">
      <c r="A200" s="19" t="n"/>
      <c r="B200" s="19" t="n"/>
      <c r="C200" s="19" t="n"/>
      <c r="D200" s="19" t="n"/>
      <c r="E200" s="19" t="n"/>
      <c r="F200" s="19" t="n"/>
      <c r="G200" s="19" t="n"/>
      <c r="H200" s="19" t="n"/>
      <c r="I200" s="19" t="n"/>
      <c r="J200" s="19" t="n"/>
      <c r="K200" s="19" t="n"/>
      <c r="L200" s="19" t="n"/>
      <c r="M200" s="130">
        <f>IF($A200="","",AND('Task Finder'!$C$7&lt;&gt;"",OR(ISNUMBER(SEARCH('Task Finder'!$C$7,$A200)),ISNUMBER(SEARCH('Task Finder'!$C$7,$B200)),ISNUMBER(SEARCH('Task Finder'!$C$7,$C200)),ISNUMBER(SEARCH('Task Finder'!$C$7,$D200)),ISNUMBER(SEARCH('Task Finder'!$C$7,$K200)))))</f>
        <v/>
      </c>
    </row>
    <row r="201">
      <c r="A201" s="19" t="n"/>
      <c r="B201" s="19" t="n"/>
      <c r="C201" s="19" t="n"/>
      <c r="D201" s="19" t="n"/>
      <c r="E201" s="19" t="n"/>
      <c r="F201" s="19" t="n"/>
      <c r="G201" s="19" t="n"/>
      <c r="H201" s="19" t="n"/>
      <c r="I201" s="19" t="n"/>
      <c r="J201" s="19" t="n"/>
      <c r="K201" s="19" t="n"/>
      <c r="L201" s="19" t="n"/>
      <c r="M201" s="130">
        <f>IF($A201="","",AND('Task Finder'!$C$7&lt;&gt;"",OR(ISNUMBER(SEARCH('Task Finder'!$C$7,$A201)),ISNUMBER(SEARCH('Task Finder'!$C$7,$B201)),ISNUMBER(SEARCH('Task Finder'!$C$7,$C201)),ISNUMBER(SEARCH('Task Finder'!$C$7,$D201)),ISNUMBER(SEARCH('Task Finder'!$C$7,$K201)))))</f>
        <v/>
      </c>
    </row>
    <row r="202">
      <c r="A202" s="19" t="n"/>
      <c r="B202" s="19" t="n"/>
      <c r="C202" s="19" t="n"/>
      <c r="D202" s="19" t="n"/>
      <c r="E202" s="19" t="n"/>
      <c r="F202" s="19" t="n"/>
      <c r="G202" s="19" t="n"/>
      <c r="H202" s="19" t="n"/>
      <c r="I202" s="19" t="n"/>
      <c r="J202" s="19" t="n"/>
      <c r="K202" s="19" t="n"/>
      <c r="L202" s="19" t="n"/>
      <c r="M202" s="130">
        <f>IF($A202="","",AND('Task Finder'!$C$7&lt;&gt;"",OR(ISNUMBER(SEARCH('Task Finder'!$C$7,$A202)),ISNUMBER(SEARCH('Task Finder'!$C$7,$B202)),ISNUMBER(SEARCH('Task Finder'!$C$7,$C202)),ISNUMBER(SEARCH('Task Finder'!$C$7,$D202)),ISNUMBER(SEARCH('Task Finder'!$C$7,$K202)))))</f>
        <v/>
      </c>
    </row>
    <row r="203">
      <c r="A203" s="19" t="n"/>
      <c r="B203" s="19" t="n"/>
      <c r="C203" s="19" t="n"/>
      <c r="D203" s="19" t="n"/>
      <c r="E203" s="19" t="n"/>
      <c r="F203" s="19" t="n"/>
      <c r="G203" s="19" t="n"/>
      <c r="H203" s="19" t="n"/>
      <c r="I203" s="19" t="n"/>
      <c r="J203" s="19" t="n"/>
      <c r="K203" s="19" t="n"/>
      <c r="L203" s="19" t="n"/>
      <c r="M203" s="130">
        <f>IF($A203="","",AND('Task Finder'!$C$7&lt;&gt;"",OR(ISNUMBER(SEARCH('Task Finder'!$C$7,$A203)),ISNUMBER(SEARCH('Task Finder'!$C$7,$B203)),ISNUMBER(SEARCH('Task Finder'!$C$7,$C203)),ISNUMBER(SEARCH('Task Finder'!$C$7,$D203)),ISNUMBER(SEARCH('Task Finder'!$C$7,$K203)))))</f>
        <v/>
      </c>
    </row>
    <row r="204">
      <c r="A204" s="19" t="n"/>
      <c r="B204" s="19" t="n"/>
      <c r="C204" s="19" t="n"/>
      <c r="D204" s="19" t="n"/>
      <c r="E204" s="19" t="n"/>
      <c r="F204" s="19" t="n"/>
      <c r="G204" s="19" t="n"/>
      <c r="H204" s="19" t="n"/>
      <c r="I204" s="19" t="n"/>
      <c r="J204" s="19" t="n"/>
      <c r="K204" s="19" t="n"/>
      <c r="L204" s="19" t="n"/>
      <c r="M204" s="130">
        <f>IF($A204="","",AND('Task Finder'!$C$7&lt;&gt;"",OR(ISNUMBER(SEARCH('Task Finder'!$C$7,$A204)),ISNUMBER(SEARCH('Task Finder'!$C$7,$B204)),ISNUMBER(SEARCH('Task Finder'!$C$7,$C204)),ISNUMBER(SEARCH('Task Finder'!$C$7,$D204)),ISNUMBER(SEARCH('Task Finder'!$C$7,$K204)))))</f>
        <v/>
      </c>
    </row>
    <row r="205">
      <c r="A205" s="19" t="n"/>
      <c r="B205" s="19" t="n"/>
      <c r="C205" s="19" t="n"/>
      <c r="D205" s="19" t="n"/>
      <c r="E205" s="19" t="n"/>
      <c r="F205" s="19" t="n"/>
      <c r="G205" s="19" t="n"/>
      <c r="H205" s="19" t="n"/>
      <c r="I205" s="19" t="n"/>
      <c r="J205" s="19" t="n"/>
      <c r="K205" s="19" t="n"/>
      <c r="L205" s="19" t="n"/>
      <c r="M205" s="130">
        <f>IF($A205="","",AND('Task Finder'!$C$7&lt;&gt;"",OR(ISNUMBER(SEARCH('Task Finder'!$C$7,$A205)),ISNUMBER(SEARCH('Task Finder'!$C$7,$B205)),ISNUMBER(SEARCH('Task Finder'!$C$7,$C205)),ISNUMBER(SEARCH('Task Finder'!$C$7,$D205)),ISNUMBER(SEARCH('Task Finder'!$C$7,$K205)))))</f>
        <v/>
      </c>
    </row>
    <row r="206">
      <c r="A206" s="19" t="n"/>
      <c r="B206" s="19" t="n"/>
      <c r="C206" s="19" t="n"/>
      <c r="D206" s="19" t="n"/>
      <c r="E206" s="19" t="n"/>
      <c r="F206" s="19" t="n"/>
      <c r="G206" s="19" t="n"/>
      <c r="H206" s="19" t="n"/>
      <c r="I206" s="19" t="n"/>
      <c r="J206" s="19" t="n"/>
      <c r="K206" s="19" t="n"/>
      <c r="L206" s="19" t="n"/>
      <c r="M206" s="130">
        <f>IF($A206="","",AND('Task Finder'!$C$7&lt;&gt;"",OR(ISNUMBER(SEARCH('Task Finder'!$C$7,$A206)),ISNUMBER(SEARCH('Task Finder'!$C$7,$B206)),ISNUMBER(SEARCH('Task Finder'!$C$7,$C206)),ISNUMBER(SEARCH('Task Finder'!$C$7,$D206)),ISNUMBER(SEARCH('Task Finder'!$C$7,$K206)))))</f>
        <v/>
      </c>
    </row>
    <row r="207">
      <c r="A207" s="19" t="n"/>
      <c r="B207" s="19" t="n"/>
      <c r="C207" s="19" t="n"/>
      <c r="D207" s="19" t="n"/>
      <c r="E207" s="19" t="n"/>
      <c r="F207" s="19" t="n"/>
      <c r="G207" s="19" t="n"/>
      <c r="H207" s="19" t="n"/>
      <c r="I207" s="19" t="n"/>
      <c r="J207" s="19" t="n"/>
      <c r="K207" s="19" t="n"/>
      <c r="L207" s="19" t="n"/>
      <c r="M207" s="130">
        <f>IF($A207="","",AND('Task Finder'!$C$7&lt;&gt;"",OR(ISNUMBER(SEARCH('Task Finder'!$C$7,$A207)),ISNUMBER(SEARCH('Task Finder'!$C$7,$B207)),ISNUMBER(SEARCH('Task Finder'!$C$7,$C207)),ISNUMBER(SEARCH('Task Finder'!$C$7,$D207)),ISNUMBER(SEARCH('Task Finder'!$C$7,$K207)))))</f>
        <v/>
      </c>
    </row>
    <row r="208">
      <c r="A208" s="19" t="n"/>
      <c r="B208" s="19" t="n"/>
      <c r="C208" s="19" t="n"/>
      <c r="D208" s="19" t="n"/>
      <c r="E208" s="19" t="n"/>
      <c r="F208" s="19" t="n"/>
      <c r="G208" s="19" t="n"/>
      <c r="H208" s="19" t="n"/>
      <c r="I208" s="19" t="n"/>
      <c r="J208" s="19" t="n"/>
      <c r="K208" s="19" t="n"/>
      <c r="L208" s="19" t="n"/>
      <c r="M208" s="130">
        <f>IF($A208="","",AND('Task Finder'!$C$7&lt;&gt;"",OR(ISNUMBER(SEARCH('Task Finder'!$C$7,$A208)),ISNUMBER(SEARCH('Task Finder'!$C$7,$B208)),ISNUMBER(SEARCH('Task Finder'!$C$7,$C208)),ISNUMBER(SEARCH('Task Finder'!$C$7,$D208)),ISNUMBER(SEARCH('Task Finder'!$C$7,$K208)))))</f>
        <v/>
      </c>
    </row>
    <row r="209">
      <c r="A209" s="19" t="n"/>
      <c r="B209" s="19" t="n"/>
      <c r="C209" s="19" t="n"/>
      <c r="D209" s="19" t="n"/>
      <c r="E209" s="19" t="n"/>
      <c r="F209" s="19" t="n"/>
      <c r="G209" s="19" t="n"/>
      <c r="H209" s="19" t="n"/>
      <c r="I209" s="19" t="n"/>
      <c r="J209" s="19" t="n"/>
      <c r="K209" s="19" t="n"/>
      <c r="L209" s="19" t="n"/>
      <c r="M209" s="130">
        <f>IF($A209="","",AND('Task Finder'!$C$7&lt;&gt;"",OR(ISNUMBER(SEARCH('Task Finder'!$C$7,$A209)),ISNUMBER(SEARCH('Task Finder'!$C$7,$B209)),ISNUMBER(SEARCH('Task Finder'!$C$7,$C209)),ISNUMBER(SEARCH('Task Finder'!$C$7,$D209)),ISNUMBER(SEARCH('Task Finder'!$C$7,$K209)))))</f>
        <v/>
      </c>
    </row>
    <row r="210">
      <c r="A210" s="19" t="n"/>
      <c r="B210" s="19" t="n"/>
      <c r="C210" s="19" t="n"/>
      <c r="D210" s="19" t="n"/>
      <c r="E210" s="19" t="n"/>
      <c r="F210" s="19" t="n"/>
      <c r="G210" s="19" t="n"/>
      <c r="H210" s="19" t="n"/>
      <c r="I210" s="19" t="n"/>
      <c r="J210" s="19" t="n"/>
      <c r="K210" s="19" t="n"/>
      <c r="L210" s="19" t="n"/>
      <c r="M210" s="130">
        <f>IF($A210="","",AND('Task Finder'!$C$7&lt;&gt;"",OR(ISNUMBER(SEARCH('Task Finder'!$C$7,$A210)),ISNUMBER(SEARCH('Task Finder'!$C$7,$B210)),ISNUMBER(SEARCH('Task Finder'!$C$7,$C210)),ISNUMBER(SEARCH('Task Finder'!$C$7,$D210)),ISNUMBER(SEARCH('Task Finder'!$C$7,$K210)))))</f>
        <v/>
      </c>
    </row>
    <row r="211">
      <c r="A211" s="19" t="n"/>
      <c r="B211" s="19" t="n"/>
      <c r="C211" s="19" t="n"/>
      <c r="D211" s="19" t="n"/>
      <c r="E211" s="19" t="n"/>
      <c r="F211" s="19" t="n"/>
      <c r="G211" s="19" t="n"/>
      <c r="H211" s="19" t="n"/>
      <c r="I211" s="19" t="n"/>
      <c r="J211" s="19" t="n"/>
      <c r="K211" s="19" t="n"/>
      <c r="L211" s="19" t="n"/>
      <c r="M211" s="130">
        <f>IF($A211="","",AND('Task Finder'!$C$7&lt;&gt;"",OR(ISNUMBER(SEARCH('Task Finder'!$C$7,$A211)),ISNUMBER(SEARCH('Task Finder'!$C$7,$B211)),ISNUMBER(SEARCH('Task Finder'!$C$7,$C211)),ISNUMBER(SEARCH('Task Finder'!$C$7,$D211)),ISNUMBER(SEARCH('Task Finder'!$C$7,$K211)))))</f>
        <v/>
      </c>
    </row>
    <row r="212">
      <c r="A212" s="19" t="n"/>
      <c r="B212" s="19" t="n"/>
      <c r="C212" s="19" t="n"/>
      <c r="D212" s="19" t="n"/>
      <c r="E212" s="19" t="n"/>
      <c r="F212" s="19" t="n"/>
      <c r="G212" s="19" t="n"/>
      <c r="H212" s="19" t="n"/>
      <c r="I212" s="19" t="n"/>
      <c r="J212" s="19" t="n"/>
      <c r="K212" s="19" t="n"/>
      <c r="L212" s="19" t="n"/>
      <c r="M212" s="130">
        <f>IF($A212="","",AND('Task Finder'!$C$7&lt;&gt;"",OR(ISNUMBER(SEARCH('Task Finder'!$C$7,$A212)),ISNUMBER(SEARCH('Task Finder'!$C$7,$B212)),ISNUMBER(SEARCH('Task Finder'!$C$7,$C212)),ISNUMBER(SEARCH('Task Finder'!$C$7,$D212)),ISNUMBER(SEARCH('Task Finder'!$C$7,$K212)))))</f>
        <v/>
      </c>
    </row>
    <row r="213">
      <c r="A213" s="19" t="n"/>
      <c r="B213" s="19" t="n"/>
      <c r="C213" s="19" t="n"/>
      <c r="D213" s="19" t="n"/>
      <c r="E213" s="19" t="n"/>
      <c r="F213" s="19" t="n"/>
      <c r="G213" s="19" t="n"/>
      <c r="H213" s="19" t="n"/>
      <c r="I213" s="19" t="n"/>
      <c r="J213" s="19" t="n"/>
      <c r="K213" s="19" t="n"/>
      <c r="L213" s="19" t="n"/>
      <c r="M213" s="130">
        <f>IF($A213="","",AND('Task Finder'!$C$7&lt;&gt;"",OR(ISNUMBER(SEARCH('Task Finder'!$C$7,$A213)),ISNUMBER(SEARCH('Task Finder'!$C$7,$B213)),ISNUMBER(SEARCH('Task Finder'!$C$7,$C213)),ISNUMBER(SEARCH('Task Finder'!$C$7,$D213)),ISNUMBER(SEARCH('Task Finder'!$C$7,$K213)))))</f>
        <v/>
      </c>
    </row>
    <row r="214">
      <c r="A214" s="19" t="n"/>
      <c r="B214" s="19" t="n"/>
      <c r="C214" s="19" t="n"/>
      <c r="D214" s="19" t="n"/>
      <c r="E214" s="19" t="n"/>
      <c r="F214" s="19" t="n"/>
      <c r="G214" s="19" t="n"/>
      <c r="H214" s="19" t="n"/>
      <c r="I214" s="19" t="n"/>
      <c r="J214" s="19" t="n"/>
      <c r="K214" s="19" t="n"/>
      <c r="L214" s="19" t="n"/>
      <c r="M214" s="130">
        <f>IF($A214="","",AND('Task Finder'!$C$7&lt;&gt;"",OR(ISNUMBER(SEARCH('Task Finder'!$C$7,$A214)),ISNUMBER(SEARCH('Task Finder'!$C$7,$B214)),ISNUMBER(SEARCH('Task Finder'!$C$7,$C214)),ISNUMBER(SEARCH('Task Finder'!$C$7,$D214)),ISNUMBER(SEARCH('Task Finder'!$C$7,$K214)))))</f>
        <v/>
      </c>
    </row>
    <row r="215">
      <c r="A215" s="19" t="n"/>
      <c r="B215" s="19" t="n"/>
      <c r="C215" s="19" t="n"/>
      <c r="D215" s="19" t="n"/>
      <c r="E215" s="19" t="n"/>
      <c r="F215" s="19" t="n"/>
      <c r="G215" s="19" t="n"/>
      <c r="H215" s="19" t="n"/>
      <c r="I215" s="19" t="n"/>
      <c r="J215" s="19" t="n"/>
      <c r="K215" s="19" t="n"/>
      <c r="L215" s="19" t="n"/>
      <c r="M215" s="130">
        <f>IF($A215="","",AND('Task Finder'!$C$7&lt;&gt;"",OR(ISNUMBER(SEARCH('Task Finder'!$C$7,$A215)),ISNUMBER(SEARCH('Task Finder'!$C$7,$B215)),ISNUMBER(SEARCH('Task Finder'!$C$7,$C215)),ISNUMBER(SEARCH('Task Finder'!$C$7,$D215)),ISNUMBER(SEARCH('Task Finder'!$C$7,$K215)))))</f>
        <v/>
      </c>
    </row>
    <row r="216">
      <c r="A216" s="19" t="n"/>
      <c r="B216" s="19" t="n"/>
      <c r="C216" s="19" t="n"/>
      <c r="D216" s="19" t="n"/>
      <c r="E216" s="19" t="n"/>
      <c r="F216" s="19" t="n"/>
      <c r="G216" s="19" t="n"/>
      <c r="H216" s="19" t="n"/>
      <c r="I216" s="19" t="n"/>
      <c r="J216" s="19" t="n"/>
      <c r="K216" s="19" t="n"/>
      <c r="L216" s="19" t="n"/>
      <c r="M216" s="130">
        <f>IF($A216="","",AND('Task Finder'!$C$7&lt;&gt;"",OR(ISNUMBER(SEARCH('Task Finder'!$C$7,$A216)),ISNUMBER(SEARCH('Task Finder'!$C$7,$B216)),ISNUMBER(SEARCH('Task Finder'!$C$7,$C216)),ISNUMBER(SEARCH('Task Finder'!$C$7,$D216)),ISNUMBER(SEARCH('Task Finder'!$C$7,$K216)))))</f>
        <v/>
      </c>
    </row>
    <row r="217">
      <c r="A217" s="19" t="n"/>
      <c r="B217" s="19" t="n"/>
      <c r="C217" s="19" t="n"/>
      <c r="D217" s="19" t="n"/>
      <c r="E217" s="19" t="n"/>
      <c r="F217" s="19" t="n"/>
      <c r="G217" s="19" t="n"/>
      <c r="H217" s="19" t="n"/>
      <c r="I217" s="19" t="n"/>
      <c r="J217" s="19" t="n"/>
      <c r="K217" s="19" t="n"/>
      <c r="L217" s="19" t="n"/>
      <c r="M217" s="130">
        <f>IF($A217="","",AND('Task Finder'!$C$7&lt;&gt;"",OR(ISNUMBER(SEARCH('Task Finder'!$C$7,$A217)),ISNUMBER(SEARCH('Task Finder'!$C$7,$B217)),ISNUMBER(SEARCH('Task Finder'!$C$7,$C217)),ISNUMBER(SEARCH('Task Finder'!$C$7,$D217)),ISNUMBER(SEARCH('Task Finder'!$C$7,$K217)))))</f>
        <v/>
      </c>
    </row>
    <row r="218">
      <c r="A218" s="19" t="n"/>
      <c r="B218" s="19" t="n"/>
      <c r="C218" s="19" t="n"/>
      <c r="D218" s="19" t="n"/>
      <c r="E218" s="19" t="n"/>
      <c r="F218" s="19" t="n"/>
      <c r="G218" s="19" t="n"/>
      <c r="H218" s="19" t="n"/>
      <c r="I218" s="19" t="n"/>
      <c r="J218" s="19" t="n"/>
      <c r="K218" s="19" t="n"/>
      <c r="L218" s="19" t="n"/>
      <c r="M218" s="130">
        <f>IF($A218="","",AND('Task Finder'!$C$7&lt;&gt;"",OR(ISNUMBER(SEARCH('Task Finder'!$C$7,$A218)),ISNUMBER(SEARCH('Task Finder'!$C$7,$B218)),ISNUMBER(SEARCH('Task Finder'!$C$7,$C218)),ISNUMBER(SEARCH('Task Finder'!$C$7,$D218)),ISNUMBER(SEARCH('Task Finder'!$C$7,$K218)))))</f>
        <v/>
      </c>
    </row>
    <row r="219">
      <c r="A219" s="19" t="n"/>
      <c r="B219" s="19" t="n"/>
      <c r="C219" s="19" t="n"/>
      <c r="D219" s="19" t="n"/>
      <c r="E219" s="19" t="n"/>
      <c r="F219" s="19" t="n"/>
      <c r="G219" s="19" t="n"/>
      <c r="H219" s="19" t="n"/>
      <c r="I219" s="19" t="n"/>
      <c r="J219" s="19" t="n"/>
      <c r="K219" s="19" t="n"/>
      <c r="L219" s="19" t="n"/>
      <c r="M219" s="130">
        <f>IF($A219="","",AND('Task Finder'!$C$7&lt;&gt;"",OR(ISNUMBER(SEARCH('Task Finder'!$C$7,$A219)),ISNUMBER(SEARCH('Task Finder'!$C$7,$B219)),ISNUMBER(SEARCH('Task Finder'!$C$7,$C219)),ISNUMBER(SEARCH('Task Finder'!$C$7,$D219)),ISNUMBER(SEARCH('Task Finder'!$C$7,$K219)))))</f>
        <v/>
      </c>
    </row>
    <row r="220">
      <c r="A220" s="19" t="n"/>
      <c r="B220" s="19" t="n"/>
      <c r="C220" s="19" t="n"/>
      <c r="D220" s="19" t="n"/>
      <c r="E220" s="19" t="n"/>
      <c r="F220" s="19" t="n"/>
      <c r="G220" s="19" t="n"/>
      <c r="H220" s="19" t="n"/>
      <c r="I220" s="19" t="n"/>
      <c r="J220" s="19" t="n"/>
      <c r="K220" s="19" t="n"/>
      <c r="L220" s="19" t="n"/>
      <c r="M220" s="130">
        <f>IF($A220="","",AND('Task Finder'!$C$7&lt;&gt;"",OR(ISNUMBER(SEARCH('Task Finder'!$C$7,$A220)),ISNUMBER(SEARCH('Task Finder'!$C$7,$B220)),ISNUMBER(SEARCH('Task Finder'!$C$7,$C220)),ISNUMBER(SEARCH('Task Finder'!$C$7,$D220)),ISNUMBER(SEARCH('Task Finder'!$C$7,$K220)))))</f>
        <v/>
      </c>
    </row>
    <row r="221">
      <c r="A221" s="19" t="n"/>
      <c r="B221" s="19" t="n"/>
      <c r="C221" s="19" t="n"/>
      <c r="D221" s="19" t="n"/>
      <c r="E221" s="19" t="n"/>
      <c r="F221" s="19" t="n"/>
      <c r="G221" s="19" t="n"/>
      <c r="H221" s="19" t="n"/>
      <c r="I221" s="19" t="n"/>
      <c r="J221" s="19" t="n"/>
      <c r="K221" s="19" t="n"/>
      <c r="L221" s="19" t="n"/>
      <c r="M221" s="130">
        <f>IF($A221="","",AND('Task Finder'!$C$7&lt;&gt;"",OR(ISNUMBER(SEARCH('Task Finder'!$C$7,$A221)),ISNUMBER(SEARCH('Task Finder'!$C$7,$B221)),ISNUMBER(SEARCH('Task Finder'!$C$7,$C221)),ISNUMBER(SEARCH('Task Finder'!$C$7,$D221)),ISNUMBER(SEARCH('Task Finder'!$C$7,$K221)))))</f>
        <v/>
      </c>
    </row>
    <row r="222">
      <c r="A222" s="19" t="n"/>
      <c r="B222" s="19" t="n"/>
      <c r="C222" s="19" t="n"/>
      <c r="D222" s="19" t="n"/>
      <c r="E222" s="19" t="n"/>
      <c r="F222" s="19" t="n"/>
      <c r="G222" s="19" t="n"/>
      <c r="H222" s="19" t="n"/>
      <c r="I222" s="19" t="n"/>
      <c r="J222" s="19" t="n"/>
      <c r="K222" s="19" t="n"/>
      <c r="L222" s="19" t="n"/>
      <c r="M222" s="130">
        <f>IF($A222="","",AND('Task Finder'!$C$7&lt;&gt;"",OR(ISNUMBER(SEARCH('Task Finder'!$C$7,$A222)),ISNUMBER(SEARCH('Task Finder'!$C$7,$B222)),ISNUMBER(SEARCH('Task Finder'!$C$7,$C222)),ISNUMBER(SEARCH('Task Finder'!$C$7,$D222)),ISNUMBER(SEARCH('Task Finder'!$C$7,$K222)))))</f>
        <v/>
      </c>
    </row>
    <row r="223">
      <c r="A223" s="19" t="n"/>
      <c r="B223" s="19" t="n"/>
      <c r="C223" s="19" t="n"/>
      <c r="D223" s="19" t="n"/>
      <c r="E223" s="19" t="n"/>
      <c r="F223" s="19" t="n"/>
      <c r="G223" s="19" t="n"/>
      <c r="H223" s="19" t="n"/>
      <c r="I223" s="19" t="n"/>
      <c r="J223" s="19" t="n"/>
      <c r="K223" s="19" t="n"/>
      <c r="L223" s="19" t="n"/>
      <c r="M223" s="130">
        <f>IF($A223="","",AND('Task Finder'!$C$7&lt;&gt;"",OR(ISNUMBER(SEARCH('Task Finder'!$C$7,$A223)),ISNUMBER(SEARCH('Task Finder'!$C$7,$B223)),ISNUMBER(SEARCH('Task Finder'!$C$7,$C223)),ISNUMBER(SEARCH('Task Finder'!$C$7,$D223)),ISNUMBER(SEARCH('Task Finder'!$C$7,$K223)))))</f>
        <v/>
      </c>
    </row>
    <row r="224">
      <c r="A224" s="19" t="n"/>
      <c r="B224" s="19" t="n"/>
      <c r="C224" s="19" t="n"/>
      <c r="D224" s="19" t="n"/>
      <c r="E224" s="19" t="n"/>
      <c r="F224" s="19" t="n"/>
      <c r="G224" s="19" t="n"/>
      <c r="H224" s="19" t="n"/>
      <c r="I224" s="19" t="n"/>
      <c r="J224" s="19" t="n"/>
      <c r="K224" s="19" t="n"/>
      <c r="L224" s="19" t="n"/>
      <c r="M224" s="130">
        <f>IF($A224="","",AND('Task Finder'!$C$7&lt;&gt;"",OR(ISNUMBER(SEARCH('Task Finder'!$C$7,$A224)),ISNUMBER(SEARCH('Task Finder'!$C$7,$B224)),ISNUMBER(SEARCH('Task Finder'!$C$7,$C224)),ISNUMBER(SEARCH('Task Finder'!$C$7,$D224)),ISNUMBER(SEARCH('Task Finder'!$C$7,$K224)))))</f>
        <v/>
      </c>
    </row>
    <row r="225">
      <c r="A225" s="19" t="n"/>
      <c r="B225" s="19" t="n"/>
      <c r="C225" s="19" t="n"/>
      <c r="D225" s="19" t="n"/>
      <c r="E225" s="19" t="n"/>
      <c r="F225" s="19" t="n"/>
      <c r="G225" s="19" t="n"/>
      <c r="H225" s="19" t="n"/>
      <c r="I225" s="19" t="n"/>
      <c r="J225" s="19" t="n"/>
      <c r="K225" s="19" t="n"/>
      <c r="L225" s="19" t="n"/>
      <c r="M225" s="130">
        <f>IF($A225="","",AND('Task Finder'!$C$7&lt;&gt;"",OR(ISNUMBER(SEARCH('Task Finder'!$C$7,$A225)),ISNUMBER(SEARCH('Task Finder'!$C$7,$B225)),ISNUMBER(SEARCH('Task Finder'!$C$7,$C225)),ISNUMBER(SEARCH('Task Finder'!$C$7,$D225)),ISNUMBER(SEARCH('Task Finder'!$C$7,$K225)))))</f>
        <v/>
      </c>
    </row>
    <row r="226">
      <c r="A226" s="19" t="n"/>
      <c r="B226" s="19" t="n"/>
      <c r="C226" s="19" t="n"/>
      <c r="D226" s="19" t="n"/>
      <c r="E226" s="19" t="n"/>
      <c r="F226" s="19" t="n"/>
      <c r="G226" s="19" t="n"/>
      <c r="H226" s="19" t="n"/>
      <c r="I226" s="19" t="n"/>
      <c r="J226" s="19" t="n"/>
      <c r="K226" s="19" t="n"/>
      <c r="L226" s="19" t="n"/>
      <c r="M226" s="130">
        <f>IF($A226="","",AND('Task Finder'!$C$7&lt;&gt;"",OR(ISNUMBER(SEARCH('Task Finder'!$C$7,$A226)),ISNUMBER(SEARCH('Task Finder'!$C$7,$B226)),ISNUMBER(SEARCH('Task Finder'!$C$7,$C226)),ISNUMBER(SEARCH('Task Finder'!$C$7,$D226)),ISNUMBER(SEARCH('Task Finder'!$C$7,$K226)))))</f>
        <v/>
      </c>
    </row>
    <row r="227">
      <c r="A227" s="19" t="n"/>
      <c r="B227" s="19" t="n"/>
      <c r="C227" s="19" t="n"/>
      <c r="D227" s="19" t="n"/>
      <c r="E227" s="19" t="n"/>
      <c r="F227" s="19" t="n"/>
      <c r="G227" s="19" t="n"/>
      <c r="H227" s="19" t="n"/>
      <c r="I227" s="19" t="n"/>
      <c r="J227" s="19" t="n"/>
      <c r="K227" s="19" t="n"/>
      <c r="L227" s="19" t="n"/>
      <c r="M227" s="130">
        <f>IF($A227="","",AND('Task Finder'!$C$7&lt;&gt;"",OR(ISNUMBER(SEARCH('Task Finder'!$C$7,$A227)),ISNUMBER(SEARCH('Task Finder'!$C$7,$B227)),ISNUMBER(SEARCH('Task Finder'!$C$7,$C227)),ISNUMBER(SEARCH('Task Finder'!$C$7,$D227)),ISNUMBER(SEARCH('Task Finder'!$C$7,$K227)))))</f>
        <v/>
      </c>
    </row>
    <row r="228">
      <c r="A228" s="19" t="n"/>
      <c r="B228" s="19" t="n"/>
      <c r="C228" s="19" t="n"/>
      <c r="D228" s="19" t="n"/>
      <c r="E228" s="19" t="n"/>
      <c r="F228" s="19" t="n"/>
      <c r="G228" s="19" t="n"/>
      <c r="H228" s="19" t="n"/>
      <c r="I228" s="19" t="n"/>
      <c r="J228" s="19" t="n"/>
      <c r="K228" s="19" t="n"/>
      <c r="L228" s="19" t="n"/>
      <c r="M228" s="130">
        <f>IF($A228="","",AND('Task Finder'!$C$7&lt;&gt;"",OR(ISNUMBER(SEARCH('Task Finder'!$C$7,$A228)),ISNUMBER(SEARCH('Task Finder'!$C$7,$B228)),ISNUMBER(SEARCH('Task Finder'!$C$7,$C228)),ISNUMBER(SEARCH('Task Finder'!$C$7,$D228)),ISNUMBER(SEARCH('Task Finder'!$C$7,$K228)))))</f>
        <v/>
      </c>
    </row>
    <row r="229">
      <c r="A229" s="19" t="n"/>
      <c r="B229" s="19" t="n"/>
      <c r="C229" s="19" t="n"/>
      <c r="D229" s="19" t="n"/>
      <c r="E229" s="19" t="n"/>
      <c r="F229" s="19" t="n"/>
      <c r="G229" s="19" t="n"/>
      <c r="H229" s="19" t="n"/>
      <c r="I229" s="19" t="n"/>
      <c r="J229" s="19" t="n"/>
      <c r="K229" s="19" t="n"/>
      <c r="L229" s="19" t="n"/>
      <c r="M229" s="130">
        <f>IF($A229="","",AND('Task Finder'!$C$7&lt;&gt;"",OR(ISNUMBER(SEARCH('Task Finder'!$C$7,$A229)),ISNUMBER(SEARCH('Task Finder'!$C$7,$B229)),ISNUMBER(SEARCH('Task Finder'!$C$7,$C229)),ISNUMBER(SEARCH('Task Finder'!$C$7,$D229)),ISNUMBER(SEARCH('Task Finder'!$C$7,$K229)))))</f>
        <v/>
      </c>
    </row>
    <row r="230">
      <c r="A230" s="19" t="n"/>
      <c r="B230" s="19" t="n"/>
      <c r="C230" s="19" t="n"/>
      <c r="D230" s="19" t="n"/>
      <c r="E230" s="19" t="n"/>
      <c r="F230" s="19" t="n"/>
      <c r="G230" s="19" t="n"/>
      <c r="H230" s="19" t="n"/>
      <c r="I230" s="19" t="n"/>
      <c r="J230" s="19" t="n"/>
      <c r="K230" s="19" t="n"/>
      <c r="L230" s="19" t="n"/>
      <c r="M230" s="130">
        <f>IF($A230="","",AND('Task Finder'!$C$7&lt;&gt;"",OR(ISNUMBER(SEARCH('Task Finder'!$C$7,$A230)),ISNUMBER(SEARCH('Task Finder'!$C$7,$B230)),ISNUMBER(SEARCH('Task Finder'!$C$7,$C230)),ISNUMBER(SEARCH('Task Finder'!$C$7,$D230)),ISNUMBER(SEARCH('Task Finder'!$C$7,$K230)))))</f>
        <v/>
      </c>
    </row>
    <row r="231">
      <c r="A231" s="19" t="n"/>
      <c r="B231" s="19" t="n"/>
      <c r="C231" s="19" t="n"/>
      <c r="D231" s="19" t="n"/>
      <c r="E231" s="19" t="n"/>
      <c r="F231" s="19" t="n"/>
      <c r="G231" s="19" t="n"/>
      <c r="H231" s="19" t="n"/>
      <c r="I231" s="19" t="n"/>
      <c r="J231" s="19" t="n"/>
      <c r="K231" s="19" t="n"/>
      <c r="L231" s="19" t="n"/>
      <c r="M231" s="130">
        <f>IF($A231="","",AND('Task Finder'!$C$7&lt;&gt;"",OR(ISNUMBER(SEARCH('Task Finder'!$C$7,$A231)),ISNUMBER(SEARCH('Task Finder'!$C$7,$B231)),ISNUMBER(SEARCH('Task Finder'!$C$7,$C231)),ISNUMBER(SEARCH('Task Finder'!$C$7,$D231)),ISNUMBER(SEARCH('Task Finder'!$C$7,$K231)))))</f>
        <v/>
      </c>
    </row>
    <row r="232">
      <c r="A232" s="19" t="n"/>
      <c r="B232" s="19" t="n"/>
      <c r="C232" s="19" t="n"/>
      <c r="D232" s="19" t="n"/>
      <c r="E232" s="19" t="n"/>
      <c r="F232" s="19" t="n"/>
      <c r="G232" s="19" t="n"/>
      <c r="H232" s="19" t="n"/>
      <c r="I232" s="19" t="n"/>
      <c r="J232" s="19" t="n"/>
      <c r="K232" s="19" t="n"/>
      <c r="L232" s="19" t="n"/>
      <c r="M232" s="130">
        <f>IF($A232="","",AND('Task Finder'!$C$7&lt;&gt;"",OR(ISNUMBER(SEARCH('Task Finder'!$C$7,$A232)),ISNUMBER(SEARCH('Task Finder'!$C$7,$B232)),ISNUMBER(SEARCH('Task Finder'!$C$7,$C232)),ISNUMBER(SEARCH('Task Finder'!$C$7,$D232)),ISNUMBER(SEARCH('Task Finder'!$C$7,$K232)))))</f>
        <v/>
      </c>
    </row>
    <row r="233">
      <c r="A233" s="19" t="n"/>
      <c r="B233" s="19" t="n"/>
      <c r="C233" s="19" t="n"/>
      <c r="D233" s="19" t="n"/>
      <c r="E233" s="19" t="n"/>
      <c r="F233" s="19" t="n"/>
      <c r="G233" s="19" t="n"/>
      <c r="H233" s="19" t="n"/>
      <c r="I233" s="19" t="n"/>
      <c r="J233" s="19" t="n"/>
      <c r="K233" s="19" t="n"/>
      <c r="L233" s="19" t="n"/>
      <c r="M233" s="130">
        <f>IF($A233="","",AND('Task Finder'!$C$7&lt;&gt;"",OR(ISNUMBER(SEARCH('Task Finder'!$C$7,$A233)),ISNUMBER(SEARCH('Task Finder'!$C$7,$B233)),ISNUMBER(SEARCH('Task Finder'!$C$7,$C233)),ISNUMBER(SEARCH('Task Finder'!$C$7,$D233)),ISNUMBER(SEARCH('Task Finder'!$C$7,$K233)))))</f>
        <v/>
      </c>
    </row>
    <row r="234">
      <c r="A234" s="19" t="n"/>
      <c r="B234" s="19" t="n"/>
      <c r="C234" s="19" t="n"/>
      <c r="D234" s="19" t="n"/>
      <c r="E234" s="19" t="n"/>
      <c r="F234" s="19" t="n"/>
      <c r="G234" s="19" t="n"/>
      <c r="H234" s="19" t="n"/>
      <c r="I234" s="19" t="n"/>
      <c r="J234" s="19" t="n"/>
      <c r="K234" s="19" t="n"/>
      <c r="L234" s="19" t="n"/>
      <c r="M234" s="130">
        <f>IF($A234="","",AND('Task Finder'!$C$7&lt;&gt;"",OR(ISNUMBER(SEARCH('Task Finder'!$C$7,$A234)),ISNUMBER(SEARCH('Task Finder'!$C$7,$B234)),ISNUMBER(SEARCH('Task Finder'!$C$7,$C234)),ISNUMBER(SEARCH('Task Finder'!$C$7,$D234)),ISNUMBER(SEARCH('Task Finder'!$C$7,$K234)))))</f>
        <v/>
      </c>
    </row>
    <row r="235">
      <c r="A235" s="19" t="n"/>
      <c r="B235" s="19" t="n"/>
      <c r="C235" s="19" t="n"/>
      <c r="D235" s="19" t="n"/>
      <c r="E235" s="19" t="n"/>
      <c r="F235" s="19" t="n"/>
      <c r="G235" s="19" t="n"/>
      <c r="H235" s="19" t="n"/>
      <c r="I235" s="19" t="n"/>
      <c r="J235" s="19" t="n"/>
      <c r="K235" s="19" t="n"/>
      <c r="L235" s="19" t="n"/>
      <c r="M235" s="130">
        <f>IF($A235="","",AND('Task Finder'!$C$7&lt;&gt;"",OR(ISNUMBER(SEARCH('Task Finder'!$C$7,$A235)),ISNUMBER(SEARCH('Task Finder'!$C$7,$B235)),ISNUMBER(SEARCH('Task Finder'!$C$7,$C235)),ISNUMBER(SEARCH('Task Finder'!$C$7,$D235)),ISNUMBER(SEARCH('Task Finder'!$C$7,$K235)))))</f>
        <v/>
      </c>
    </row>
    <row r="236">
      <c r="A236" s="19" t="n"/>
      <c r="B236" s="19" t="n"/>
      <c r="C236" s="19" t="n"/>
      <c r="D236" s="19" t="n"/>
      <c r="E236" s="19" t="n"/>
      <c r="F236" s="19" t="n"/>
      <c r="G236" s="19" t="n"/>
      <c r="H236" s="19" t="n"/>
      <c r="I236" s="19" t="n"/>
      <c r="J236" s="19" t="n"/>
      <c r="K236" s="19" t="n"/>
      <c r="L236" s="19" t="n"/>
      <c r="M236" s="130">
        <f>IF($A236="","",AND('Task Finder'!$C$7&lt;&gt;"",OR(ISNUMBER(SEARCH('Task Finder'!$C$7,$A236)),ISNUMBER(SEARCH('Task Finder'!$C$7,$B236)),ISNUMBER(SEARCH('Task Finder'!$C$7,$C236)),ISNUMBER(SEARCH('Task Finder'!$C$7,$D236)),ISNUMBER(SEARCH('Task Finder'!$C$7,$K236)))))</f>
        <v/>
      </c>
    </row>
    <row r="237">
      <c r="A237" s="19" t="n"/>
      <c r="B237" s="19" t="n"/>
      <c r="C237" s="19" t="n"/>
      <c r="D237" s="19" t="n"/>
      <c r="E237" s="19" t="n"/>
      <c r="F237" s="19" t="n"/>
      <c r="G237" s="19" t="n"/>
      <c r="H237" s="19" t="n"/>
      <c r="I237" s="19" t="n"/>
      <c r="J237" s="19" t="n"/>
      <c r="K237" s="19" t="n"/>
      <c r="L237" s="19" t="n"/>
      <c r="M237" s="130">
        <f>IF($A237="","",AND('Task Finder'!$C$7&lt;&gt;"",OR(ISNUMBER(SEARCH('Task Finder'!$C$7,$A237)),ISNUMBER(SEARCH('Task Finder'!$C$7,$B237)),ISNUMBER(SEARCH('Task Finder'!$C$7,$C237)),ISNUMBER(SEARCH('Task Finder'!$C$7,$D237)),ISNUMBER(SEARCH('Task Finder'!$C$7,$K237)))))</f>
        <v/>
      </c>
    </row>
    <row r="238">
      <c r="A238" s="19" t="n"/>
      <c r="B238" s="19" t="n"/>
      <c r="C238" s="19" t="n"/>
      <c r="D238" s="19" t="n"/>
      <c r="E238" s="19" t="n"/>
      <c r="F238" s="19" t="n"/>
      <c r="G238" s="19" t="n"/>
      <c r="H238" s="19" t="n"/>
      <c r="I238" s="19" t="n"/>
      <c r="J238" s="19" t="n"/>
      <c r="K238" s="19" t="n"/>
      <c r="L238" s="19" t="n"/>
      <c r="M238" s="130">
        <f>IF($A238="","",AND('Task Finder'!$C$7&lt;&gt;"",OR(ISNUMBER(SEARCH('Task Finder'!$C$7,$A238)),ISNUMBER(SEARCH('Task Finder'!$C$7,$B238)),ISNUMBER(SEARCH('Task Finder'!$C$7,$C238)),ISNUMBER(SEARCH('Task Finder'!$C$7,$D238)),ISNUMBER(SEARCH('Task Finder'!$C$7,$K238)))))</f>
        <v/>
      </c>
    </row>
    <row r="239">
      <c r="A239" s="19" t="n"/>
      <c r="B239" s="19" t="n"/>
      <c r="C239" s="19" t="n"/>
      <c r="D239" s="19" t="n"/>
      <c r="E239" s="19" t="n"/>
      <c r="F239" s="19" t="n"/>
      <c r="G239" s="19" t="n"/>
      <c r="H239" s="19" t="n"/>
      <c r="I239" s="19" t="n"/>
      <c r="J239" s="19" t="n"/>
      <c r="K239" s="19" t="n"/>
      <c r="L239" s="19" t="n"/>
      <c r="M239" s="130">
        <f>IF($A239="","",AND('Task Finder'!$C$7&lt;&gt;"",OR(ISNUMBER(SEARCH('Task Finder'!$C$7,$A239)),ISNUMBER(SEARCH('Task Finder'!$C$7,$B239)),ISNUMBER(SEARCH('Task Finder'!$C$7,$C239)),ISNUMBER(SEARCH('Task Finder'!$C$7,$D239)),ISNUMBER(SEARCH('Task Finder'!$C$7,$K239)))))</f>
        <v/>
      </c>
    </row>
    <row r="240">
      <c r="A240" s="19" t="n"/>
      <c r="B240" s="19" t="n"/>
      <c r="C240" s="19" t="n"/>
      <c r="D240" s="19" t="n"/>
      <c r="E240" s="19" t="n"/>
      <c r="F240" s="19" t="n"/>
      <c r="G240" s="19" t="n"/>
      <c r="H240" s="19" t="n"/>
      <c r="I240" s="19" t="n"/>
      <c r="J240" s="19" t="n"/>
      <c r="K240" s="19" t="n"/>
      <c r="L240" s="19" t="n"/>
      <c r="M240" s="130">
        <f>IF($A240="","",AND('Task Finder'!$C$7&lt;&gt;"",OR(ISNUMBER(SEARCH('Task Finder'!$C$7,$A240)),ISNUMBER(SEARCH('Task Finder'!$C$7,$B240)),ISNUMBER(SEARCH('Task Finder'!$C$7,$C240)),ISNUMBER(SEARCH('Task Finder'!$C$7,$D240)),ISNUMBER(SEARCH('Task Finder'!$C$7,$K240)))))</f>
        <v/>
      </c>
    </row>
    <row r="241">
      <c r="A241" s="19" t="n"/>
      <c r="B241" s="19" t="n"/>
      <c r="C241" s="19" t="n"/>
      <c r="D241" s="19" t="n"/>
      <c r="E241" s="19" t="n"/>
      <c r="F241" s="19" t="n"/>
      <c r="G241" s="19" t="n"/>
      <c r="H241" s="19" t="n"/>
      <c r="I241" s="19" t="n"/>
      <c r="J241" s="19" t="n"/>
      <c r="K241" s="19" t="n"/>
      <c r="L241" s="19" t="n"/>
      <c r="M241" s="130">
        <f>IF($A241="","",AND('Task Finder'!$C$7&lt;&gt;"",OR(ISNUMBER(SEARCH('Task Finder'!$C$7,$A241)),ISNUMBER(SEARCH('Task Finder'!$C$7,$B241)),ISNUMBER(SEARCH('Task Finder'!$C$7,$C241)),ISNUMBER(SEARCH('Task Finder'!$C$7,$D241)),ISNUMBER(SEARCH('Task Finder'!$C$7,$K241)))))</f>
        <v/>
      </c>
    </row>
    <row r="242">
      <c r="A242" s="19" t="n"/>
      <c r="B242" s="19" t="n"/>
      <c r="C242" s="19" t="n"/>
      <c r="D242" s="19" t="n"/>
      <c r="E242" s="19" t="n"/>
      <c r="F242" s="19" t="n"/>
      <c r="G242" s="19" t="n"/>
      <c r="H242" s="19" t="n"/>
      <c r="I242" s="19" t="n"/>
      <c r="J242" s="19" t="n"/>
      <c r="K242" s="19" t="n"/>
      <c r="L242" s="19" t="n"/>
      <c r="M242" s="130">
        <f>IF($A242="","",AND('Task Finder'!$C$7&lt;&gt;"",OR(ISNUMBER(SEARCH('Task Finder'!$C$7,$A242)),ISNUMBER(SEARCH('Task Finder'!$C$7,$B242)),ISNUMBER(SEARCH('Task Finder'!$C$7,$C242)),ISNUMBER(SEARCH('Task Finder'!$C$7,$D242)),ISNUMBER(SEARCH('Task Finder'!$C$7,$K242)))))</f>
        <v/>
      </c>
    </row>
    <row r="243">
      <c r="A243" s="19" t="n"/>
      <c r="B243" s="19" t="n"/>
      <c r="C243" s="19" t="n"/>
      <c r="D243" s="19" t="n"/>
      <c r="E243" s="19" t="n"/>
      <c r="F243" s="19" t="n"/>
      <c r="G243" s="19" t="n"/>
      <c r="H243" s="19" t="n"/>
      <c r="I243" s="19" t="n"/>
      <c r="J243" s="19" t="n"/>
      <c r="K243" s="19" t="n"/>
      <c r="L243" s="19" t="n"/>
      <c r="M243" s="130">
        <f>IF($A243="","",AND('Task Finder'!$C$7&lt;&gt;"",OR(ISNUMBER(SEARCH('Task Finder'!$C$7,$A243)),ISNUMBER(SEARCH('Task Finder'!$C$7,$B243)),ISNUMBER(SEARCH('Task Finder'!$C$7,$C243)),ISNUMBER(SEARCH('Task Finder'!$C$7,$D243)),ISNUMBER(SEARCH('Task Finder'!$C$7,$K243)))))</f>
        <v/>
      </c>
    </row>
    <row r="244">
      <c r="A244" s="19" t="n"/>
      <c r="B244" s="19" t="n"/>
      <c r="C244" s="19" t="n"/>
      <c r="D244" s="19" t="n"/>
      <c r="E244" s="19" t="n"/>
      <c r="F244" s="19" t="n"/>
      <c r="G244" s="19" t="n"/>
      <c r="H244" s="19" t="n"/>
      <c r="I244" s="19" t="n"/>
      <c r="J244" s="19" t="n"/>
      <c r="K244" s="19" t="n"/>
      <c r="L244" s="19" t="n"/>
      <c r="M244" s="130">
        <f>IF($A244="","",AND('Task Finder'!$C$7&lt;&gt;"",OR(ISNUMBER(SEARCH('Task Finder'!$C$7,$A244)),ISNUMBER(SEARCH('Task Finder'!$C$7,$B244)),ISNUMBER(SEARCH('Task Finder'!$C$7,$C244)),ISNUMBER(SEARCH('Task Finder'!$C$7,$D244)),ISNUMBER(SEARCH('Task Finder'!$C$7,$K244)))))</f>
        <v/>
      </c>
    </row>
    <row r="245">
      <c r="A245" s="19" t="n"/>
      <c r="B245" s="19" t="n"/>
      <c r="C245" s="19" t="n"/>
      <c r="D245" s="19" t="n"/>
      <c r="E245" s="19" t="n"/>
      <c r="F245" s="19" t="n"/>
      <c r="G245" s="19" t="n"/>
      <c r="H245" s="19" t="n"/>
      <c r="I245" s="19" t="n"/>
      <c r="J245" s="19" t="n"/>
      <c r="K245" s="19" t="n"/>
      <c r="L245" s="19" t="n"/>
      <c r="M245" s="130">
        <f>IF($A245="","",AND('Task Finder'!$C$7&lt;&gt;"",OR(ISNUMBER(SEARCH('Task Finder'!$C$7,$A245)),ISNUMBER(SEARCH('Task Finder'!$C$7,$B245)),ISNUMBER(SEARCH('Task Finder'!$C$7,$C245)),ISNUMBER(SEARCH('Task Finder'!$C$7,$D245)),ISNUMBER(SEARCH('Task Finder'!$C$7,$K245)))))</f>
        <v/>
      </c>
    </row>
    <row r="246">
      <c r="A246" s="19" t="n"/>
      <c r="B246" s="19" t="n"/>
      <c r="C246" s="19" t="n"/>
      <c r="D246" s="19" t="n"/>
      <c r="E246" s="19" t="n"/>
      <c r="F246" s="19" t="n"/>
      <c r="G246" s="19" t="n"/>
      <c r="H246" s="19" t="n"/>
      <c r="I246" s="19" t="n"/>
      <c r="J246" s="19" t="n"/>
      <c r="K246" s="19" t="n"/>
      <c r="L246" s="19" t="n"/>
      <c r="M246" s="130">
        <f>IF($A246="","",AND('Task Finder'!$C$7&lt;&gt;"",OR(ISNUMBER(SEARCH('Task Finder'!$C$7,$A246)),ISNUMBER(SEARCH('Task Finder'!$C$7,$B246)),ISNUMBER(SEARCH('Task Finder'!$C$7,$C246)),ISNUMBER(SEARCH('Task Finder'!$C$7,$D246)),ISNUMBER(SEARCH('Task Finder'!$C$7,$K246)))))</f>
        <v/>
      </c>
    </row>
    <row r="247">
      <c r="A247" s="19" t="n"/>
      <c r="B247" s="19" t="n"/>
      <c r="C247" s="19" t="n"/>
      <c r="D247" s="19" t="n"/>
      <c r="E247" s="19" t="n"/>
      <c r="F247" s="19" t="n"/>
      <c r="G247" s="19" t="n"/>
      <c r="H247" s="19" t="n"/>
      <c r="I247" s="19" t="n"/>
      <c r="J247" s="19" t="n"/>
      <c r="K247" s="19" t="n"/>
      <c r="L247" s="19" t="n"/>
      <c r="M247" s="130">
        <f>IF($A247="","",AND('Task Finder'!$C$7&lt;&gt;"",OR(ISNUMBER(SEARCH('Task Finder'!$C$7,$A247)),ISNUMBER(SEARCH('Task Finder'!$C$7,$B247)),ISNUMBER(SEARCH('Task Finder'!$C$7,$C247)),ISNUMBER(SEARCH('Task Finder'!$C$7,$D247)),ISNUMBER(SEARCH('Task Finder'!$C$7,$K247)))))</f>
        <v/>
      </c>
    </row>
    <row r="248">
      <c r="A248" s="19" t="n"/>
      <c r="B248" s="19" t="n"/>
      <c r="C248" s="19" t="n"/>
      <c r="D248" s="19" t="n"/>
      <c r="E248" s="19" t="n"/>
      <c r="F248" s="19" t="n"/>
      <c r="G248" s="19" t="n"/>
      <c r="H248" s="19" t="n"/>
      <c r="I248" s="19" t="n"/>
      <c r="J248" s="19" t="n"/>
      <c r="K248" s="19" t="n"/>
      <c r="L248" s="19" t="n"/>
      <c r="M248" s="130">
        <f>IF($A248="","",AND('Task Finder'!$C$7&lt;&gt;"",OR(ISNUMBER(SEARCH('Task Finder'!$C$7,$A248)),ISNUMBER(SEARCH('Task Finder'!$C$7,$B248)),ISNUMBER(SEARCH('Task Finder'!$C$7,$C248)),ISNUMBER(SEARCH('Task Finder'!$C$7,$D248)),ISNUMBER(SEARCH('Task Finder'!$C$7,$K248)))))</f>
        <v/>
      </c>
    </row>
    <row r="249">
      <c r="A249" s="19" t="n"/>
      <c r="B249" s="19" t="n"/>
      <c r="C249" s="19" t="n"/>
      <c r="D249" s="19" t="n"/>
      <c r="E249" s="19" t="n"/>
      <c r="F249" s="19" t="n"/>
      <c r="G249" s="19" t="n"/>
      <c r="H249" s="19" t="n"/>
      <c r="I249" s="19" t="n"/>
      <c r="J249" s="19" t="n"/>
      <c r="K249" s="19" t="n"/>
      <c r="L249" s="19" t="n"/>
      <c r="M249" s="130">
        <f>IF($A249="","",AND('Task Finder'!$C$7&lt;&gt;"",OR(ISNUMBER(SEARCH('Task Finder'!$C$7,$A249)),ISNUMBER(SEARCH('Task Finder'!$C$7,$B249)),ISNUMBER(SEARCH('Task Finder'!$C$7,$C249)),ISNUMBER(SEARCH('Task Finder'!$C$7,$D249)),ISNUMBER(SEARCH('Task Finder'!$C$7,$K249)))))</f>
        <v/>
      </c>
    </row>
    <row r="250">
      <c r="A250" s="19" t="n"/>
      <c r="B250" s="19" t="n"/>
      <c r="C250" s="19" t="n"/>
      <c r="D250" s="19" t="n"/>
      <c r="E250" s="19" t="n"/>
      <c r="F250" s="19" t="n"/>
      <c r="G250" s="19" t="n"/>
      <c r="H250" s="19" t="n"/>
      <c r="I250" s="19" t="n"/>
      <c r="J250" s="19" t="n"/>
      <c r="K250" s="19" t="n"/>
      <c r="L250" s="19" t="n"/>
      <c r="M250" s="130">
        <f>IF($A250="","",AND('Task Finder'!$C$7&lt;&gt;"",OR(ISNUMBER(SEARCH('Task Finder'!$C$7,$A250)),ISNUMBER(SEARCH('Task Finder'!$C$7,$B250)),ISNUMBER(SEARCH('Task Finder'!$C$7,$C250)),ISNUMBER(SEARCH('Task Finder'!$C$7,$D250)),ISNUMBER(SEARCH('Task Finder'!$C$7,$K250)))))</f>
        <v/>
      </c>
    </row>
    <row r="251">
      <c r="A251" s="19" t="n"/>
      <c r="B251" s="19" t="n"/>
      <c r="C251" s="19" t="n"/>
      <c r="D251" s="19" t="n"/>
      <c r="E251" s="19" t="n"/>
      <c r="F251" s="19" t="n"/>
      <c r="G251" s="19" t="n"/>
      <c r="H251" s="19" t="n"/>
      <c r="I251" s="19" t="n"/>
      <c r="J251" s="19" t="n"/>
      <c r="K251" s="19" t="n"/>
      <c r="L251" s="19" t="n"/>
      <c r="M251" s="130">
        <f>IF($A251="","",AND('Task Finder'!$C$7&lt;&gt;"",OR(ISNUMBER(SEARCH('Task Finder'!$C$7,$A251)),ISNUMBER(SEARCH('Task Finder'!$C$7,$B251)),ISNUMBER(SEARCH('Task Finder'!$C$7,$C251)),ISNUMBER(SEARCH('Task Finder'!$C$7,$D251)),ISNUMBER(SEARCH('Task Finder'!$C$7,$K251)))))</f>
        <v/>
      </c>
    </row>
    <row r="252">
      <c r="A252" s="19" t="n"/>
      <c r="B252" s="19" t="n"/>
      <c r="C252" s="19" t="n"/>
      <c r="D252" s="19" t="n"/>
      <c r="E252" s="19" t="n"/>
      <c r="F252" s="19" t="n"/>
      <c r="G252" s="19" t="n"/>
      <c r="H252" s="19" t="n"/>
      <c r="I252" s="19" t="n"/>
      <c r="J252" s="19" t="n"/>
      <c r="K252" s="19" t="n"/>
      <c r="L252" s="19" t="n"/>
      <c r="M252" s="130">
        <f>IF($A252="","",AND('Task Finder'!$C$7&lt;&gt;"",OR(ISNUMBER(SEARCH('Task Finder'!$C$7,$A252)),ISNUMBER(SEARCH('Task Finder'!$C$7,$B252)),ISNUMBER(SEARCH('Task Finder'!$C$7,$C252)),ISNUMBER(SEARCH('Task Finder'!$C$7,$D252)),ISNUMBER(SEARCH('Task Finder'!$C$7,$K252)))))</f>
        <v/>
      </c>
    </row>
    <row r="253">
      <c r="A253" s="19" t="n"/>
      <c r="B253" s="19" t="n"/>
      <c r="C253" s="19" t="n"/>
      <c r="D253" s="19" t="n"/>
      <c r="E253" s="19" t="n"/>
      <c r="F253" s="19" t="n"/>
      <c r="G253" s="19" t="n"/>
      <c r="H253" s="19" t="n"/>
      <c r="I253" s="19" t="n"/>
      <c r="J253" s="19" t="n"/>
      <c r="K253" s="19" t="n"/>
      <c r="L253" s="19" t="n"/>
      <c r="M253" s="130">
        <f>IF($A253="","",AND('Task Finder'!$C$7&lt;&gt;"",OR(ISNUMBER(SEARCH('Task Finder'!$C$7,$A253)),ISNUMBER(SEARCH('Task Finder'!$C$7,$B253)),ISNUMBER(SEARCH('Task Finder'!$C$7,$C253)),ISNUMBER(SEARCH('Task Finder'!$C$7,$D253)),ISNUMBER(SEARCH('Task Finder'!$C$7,$K253)))))</f>
        <v/>
      </c>
    </row>
    <row r="254">
      <c r="A254" s="19" t="n"/>
      <c r="B254" s="19" t="n"/>
      <c r="C254" s="19" t="n"/>
      <c r="D254" s="19" t="n"/>
      <c r="E254" s="19" t="n"/>
      <c r="F254" s="19" t="n"/>
      <c r="G254" s="19" t="n"/>
      <c r="H254" s="19" t="n"/>
      <c r="I254" s="19" t="n"/>
      <c r="J254" s="19" t="n"/>
      <c r="K254" s="19" t="n"/>
      <c r="L254" s="19" t="n"/>
      <c r="M254" s="130">
        <f>IF($A254="","",AND('Task Finder'!$C$7&lt;&gt;"",OR(ISNUMBER(SEARCH('Task Finder'!$C$7,$A254)),ISNUMBER(SEARCH('Task Finder'!$C$7,$B254)),ISNUMBER(SEARCH('Task Finder'!$C$7,$C254)),ISNUMBER(SEARCH('Task Finder'!$C$7,$D254)),ISNUMBER(SEARCH('Task Finder'!$C$7,$K254)))))</f>
        <v/>
      </c>
    </row>
    <row r="255">
      <c r="A255" s="19" t="n"/>
      <c r="B255" s="19" t="n"/>
      <c r="C255" s="19" t="n"/>
      <c r="D255" s="19" t="n"/>
      <c r="E255" s="19" t="n"/>
      <c r="F255" s="19" t="n"/>
      <c r="G255" s="19" t="n"/>
      <c r="H255" s="19" t="n"/>
      <c r="I255" s="19" t="n"/>
      <c r="J255" s="19" t="n"/>
      <c r="K255" s="19" t="n"/>
      <c r="L255" s="19" t="n"/>
      <c r="M255" s="130">
        <f>IF($A255="","",AND('Task Finder'!$C$7&lt;&gt;"",OR(ISNUMBER(SEARCH('Task Finder'!$C$7,$A255)),ISNUMBER(SEARCH('Task Finder'!$C$7,$B255)),ISNUMBER(SEARCH('Task Finder'!$C$7,$C255)),ISNUMBER(SEARCH('Task Finder'!$C$7,$D255)),ISNUMBER(SEARCH('Task Finder'!$C$7,$K255)))))</f>
        <v/>
      </c>
    </row>
    <row r="256">
      <c r="A256" s="19" t="n"/>
      <c r="B256" s="19" t="n"/>
      <c r="C256" s="19" t="n"/>
      <c r="D256" s="19" t="n"/>
      <c r="E256" s="19" t="n"/>
      <c r="F256" s="19" t="n"/>
      <c r="G256" s="19" t="n"/>
      <c r="H256" s="19" t="n"/>
      <c r="I256" s="19" t="n"/>
      <c r="J256" s="19" t="n"/>
      <c r="K256" s="19" t="n"/>
      <c r="L256" s="19" t="n"/>
      <c r="M256" s="130">
        <f>IF($A256="","",AND('Task Finder'!$C$7&lt;&gt;"",OR(ISNUMBER(SEARCH('Task Finder'!$C$7,$A256)),ISNUMBER(SEARCH('Task Finder'!$C$7,$B256)),ISNUMBER(SEARCH('Task Finder'!$C$7,$C256)),ISNUMBER(SEARCH('Task Finder'!$C$7,$D256)),ISNUMBER(SEARCH('Task Finder'!$C$7,$K256)))))</f>
        <v/>
      </c>
    </row>
    <row r="257">
      <c r="A257" s="19" t="n"/>
      <c r="B257" s="19" t="n"/>
      <c r="C257" s="19" t="n"/>
      <c r="D257" s="19" t="n"/>
      <c r="E257" s="19" t="n"/>
      <c r="F257" s="19" t="n"/>
      <c r="G257" s="19" t="n"/>
      <c r="H257" s="19" t="n"/>
      <c r="I257" s="19" t="n"/>
      <c r="J257" s="19" t="n"/>
      <c r="K257" s="19" t="n"/>
      <c r="L257" s="19" t="n"/>
      <c r="M257" s="130">
        <f>IF($A257="","",AND('Task Finder'!$C$7&lt;&gt;"",OR(ISNUMBER(SEARCH('Task Finder'!$C$7,$A257)),ISNUMBER(SEARCH('Task Finder'!$C$7,$B257)),ISNUMBER(SEARCH('Task Finder'!$C$7,$C257)),ISNUMBER(SEARCH('Task Finder'!$C$7,$D257)),ISNUMBER(SEARCH('Task Finder'!$C$7,$K257)))))</f>
        <v/>
      </c>
    </row>
    <row r="258">
      <c r="A258" s="19" t="n"/>
      <c r="B258" s="19" t="n"/>
      <c r="C258" s="19" t="n"/>
      <c r="D258" s="19" t="n"/>
      <c r="E258" s="19" t="n"/>
      <c r="F258" s="19" t="n"/>
      <c r="G258" s="19" t="n"/>
      <c r="H258" s="19" t="n"/>
      <c r="I258" s="19" t="n"/>
      <c r="J258" s="19" t="n"/>
      <c r="K258" s="19" t="n"/>
      <c r="L258" s="19" t="n"/>
      <c r="M258" s="130">
        <f>IF($A258="","",AND('Task Finder'!$C$7&lt;&gt;"",OR(ISNUMBER(SEARCH('Task Finder'!$C$7,$A258)),ISNUMBER(SEARCH('Task Finder'!$C$7,$B258)),ISNUMBER(SEARCH('Task Finder'!$C$7,$C258)),ISNUMBER(SEARCH('Task Finder'!$C$7,$D258)),ISNUMBER(SEARCH('Task Finder'!$C$7,$K258)))))</f>
        <v/>
      </c>
    </row>
    <row r="259">
      <c r="A259" s="19" t="n"/>
      <c r="B259" s="19" t="n"/>
      <c r="C259" s="19" t="n"/>
      <c r="D259" s="19" t="n"/>
      <c r="E259" s="19" t="n"/>
      <c r="F259" s="19" t="n"/>
      <c r="G259" s="19" t="n"/>
      <c r="H259" s="19" t="n"/>
      <c r="I259" s="19" t="n"/>
      <c r="J259" s="19" t="n"/>
      <c r="K259" s="19" t="n"/>
      <c r="L259" s="19" t="n"/>
      <c r="M259" s="130">
        <f>IF($A259="","",AND('Task Finder'!$C$7&lt;&gt;"",OR(ISNUMBER(SEARCH('Task Finder'!$C$7,$A259)),ISNUMBER(SEARCH('Task Finder'!$C$7,$B259)),ISNUMBER(SEARCH('Task Finder'!$C$7,$C259)),ISNUMBER(SEARCH('Task Finder'!$C$7,$D259)),ISNUMBER(SEARCH('Task Finder'!$C$7,$K259)))))</f>
        <v/>
      </c>
    </row>
    <row r="260">
      <c r="A260" s="19" t="n"/>
      <c r="B260" s="19" t="n"/>
      <c r="C260" s="19" t="n"/>
      <c r="D260" s="19" t="n"/>
      <c r="E260" s="19" t="n"/>
      <c r="F260" s="19" t="n"/>
      <c r="G260" s="19" t="n"/>
      <c r="H260" s="19" t="n"/>
      <c r="I260" s="19" t="n"/>
      <c r="J260" s="19" t="n"/>
      <c r="K260" s="19" t="n"/>
      <c r="L260" s="19" t="n"/>
      <c r="M260" s="130">
        <f>IF($A260="","",AND('Task Finder'!$C$7&lt;&gt;"",OR(ISNUMBER(SEARCH('Task Finder'!$C$7,$A260)),ISNUMBER(SEARCH('Task Finder'!$C$7,$B260)),ISNUMBER(SEARCH('Task Finder'!$C$7,$C260)),ISNUMBER(SEARCH('Task Finder'!$C$7,$D260)),ISNUMBER(SEARCH('Task Finder'!$C$7,$K260)))))</f>
        <v/>
      </c>
    </row>
    <row r="261">
      <c r="A261" s="19" t="n"/>
      <c r="B261" s="19" t="n"/>
      <c r="C261" s="19" t="n"/>
      <c r="D261" s="19" t="n"/>
      <c r="E261" s="19" t="n"/>
      <c r="F261" s="19" t="n"/>
      <c r="G261" s="19" t="n"/>
      <c r="H261" s="19" t="n"/>
      <c r="I261" s="19" t="n"/>
      <c r="J261" s="19" t="n"/>
      <c r="K261" s="19" t="n"/>
      <c r="L261" s="19" t="n"/>
      <c r="M261" s="130">
        <f>IF($A261="","",AND('Task Finder'!$C$7&lt;&gt;"",OR(ISNUMBER(SEARCH('Task Finder'!$C$7,$A261)),ISNUMBER(SEARCH('Task Finder'!$C$7,$B261)),ISNUMBER(SEARCH('Task Finder'!$C$7,$C261)),ISNUMBER(SEARCH('Task Finder'!$C$7,$D261)),ISNUMBER(SEARCH('Task Finder'!$C$7,$K261)))))</f>
        <v/>
      </c>
    </row>
    <row r="262">
      <c r="A262" s="19" t="n"/>
      <c r="B262" s="19" t="n"/>
      <c r="C262" s="19" t="n"/>
      <c r="D262" s="19" t="n"/>
      <c r="E262" s="19" t="n"/>
      <c r="F262" s="19" t="n"/>
      <c r="G262" s="19" t="n"/>
      <c r="H262" s="19" t="n"/>
      <c r="I262" s="19" t="n"/>
      <c r="J262" s="19" t="n"/>
      <c r="K262" s="19" t="n"/>
      <c r="L262" s="19" t="n"/>
      <c r="M262" s="130">
        <f>IF($A262="","",AND('Task Finder'!$C$7&lt;&gt;"",OR(ISNUMBER(SEARCH('Task Finder'!$C$7,$A262)),ISNUMBER(SEARCH('Task Finder'!$C$7,$B262)),ISNUMBER(SEARCH('Task Finder'!$C$7,$C262)),ISNUMBER(SEARCH('Task Finder'!$C$7,$D262)),ISNUMBER(SEARCH('Task Finder'!$C$7,$K262)))))</f>
        <v/>
      </c>
    </row>
    <row r="263">
      <c r="A263" s="19" t="n"/>
      <c r="B263" s="19" t="n"/>
      <c r="C263" s="19" t="n"/>
      <c r="D263" s="19" t="n"/>
      <c r="E263" s="19" t="n"/>
      <c r="F263" s="19" t="n"/>
      <c r="G263" s="19" t="n"/>
      <c r="H263" s="19" t="n"/>
      <c r="I263" s="19" t="n"/>
      <c r="J263" s="19" t="n"/>
      <c r="K263" s="19" t="n"/>
      <c r="L263" s="19" t="n"/>
      <c r="M263" s="130">
        <f>IF($A263="","",AND('Task Finder'!$C$7&lt;&gt;"",OR(ISNUMBER(SEARCH('Task Finder'!$C$7,$A263)),ISNUMBER(SEARCH('Task Finder'!$C$7,$B263)),ISNUMBER(SEARCH('Task Finder'!$C$7,$C263)),ISNUMBER(SEARCH('Task Finder'!$C$7,$D263)),ISNUMBER(SEARCH('Task Finder'!$C$7,$K263)))))</f>
        <v/>
      </c>
    </row>
    <row r="264">
      <c r="A264" s="19" t="n"/>
      <c r="B264" s="19" t="n"/>
      <c r="C264" s="19" t="n"/>
      <c r="D264" s="19" t="n"/>
      <c r="E264" s="19" t="n"/>
      <c r="F264" s="19" t="n"/>
      <c r="G264" s="19" t="n"/>
      <c r="H264" s="19" t="n"/>
      <c r="I264" s="19" t="n"/>
      <c r="J264" s="19" t="n"/>
      <c r="K264" s="19" t="n"/>
      <c r="L264" s="19" t="n"/>
      <c r="M264" s="130">
        <f>IF($A264="","",AND('Task Finder'!$C$7&lt;&gt;"",OR(ISNUMBER(SEARCH('Task Finder'!$C$7,$A264)),ISNUMBER(SEARCH('Task Finder'!$C$7,$B264)),ISNUMBER(SEARCH('Task Finder'!$C$7,$C264)),ISNUMBER(SEARCH('Task Finder'!$C$7,$D264)),ISNUMBER(SEARCH('Task Finder'!$C$7,$K264)))))</f>
        <v/>
      </c>
    </row>
    <row r="265">
      <c r="A265" s="19" t="n"/>
      <c r="B265" s="19" t="n"/>
      <c r="C265" s="19" t="n"/>
      <c r="D265" s="19" t="n"/>
      <c r="E265" s="19" t="n"/>
      <c r="F265" s="19" t="n"/>
      <c r="G265" s="19" t="n"/>
      <c r="H265" s="19" t="n"/>
      <c r="I265" s="19" t="n"/>
      <c r="J265" s="19" t="n"/>
      <c r="K265" s="19" t="n"/>
      <c r="L265" s="19" t="n"/>
      <c r="M265" s="130">
        <f>IF($A265="","",AND('Task Finder'!$C$7&lt;&gt;"",OR(ISNUMBER(SEARCH('Task Finder'!$C$7,$A265)),ISNUMBER(SEARCH('Task Finder'!$C$7,$B265)),ISNUMBER(SEARCH('Task Finder'!$C$7,$C265)),ISNUMBER(SEARCH('Task Finder'!$C$7,$D265)),ISNUMBER(SEARCH('Task Finder'!$C$7,$K265)))))</f>
        <v/>
      </c>
    </row>
    <row r="266">
      <c r="A266" s="19" t="n"/>
      <c r="B266" s="19" t="n"/>
      <c r="C266" s="19" t="n"/>
      <c r="D266" s="19" t="n"/>
      <c r="E266" s="19" t="n"/>
      <c r="F266" s="19" t="n"/>
      <c r="G266" s="19" t="n"/>
      <c r="H266" s="19" t="n"/>
      <c r="I266" s="19" t="n"/>
      <c r="J266" s="19" t="n"/>
      <c r="K266" s="19" t="n"/>
      <c r="L266" s="19" t="n"/>
      <c r="M266" s="130">
        <f>IF($A266="","",AND('Task Finder'!$C$7&lt;&gt;"",OR(ISNUMBER(SEARCH('Task Finder'!$C$7,$A266)),ISNUMBER(SEARCH('Task Finder'!$C$7,$B266)),ISNUMBER(SEARCH('Task Finder'!$C$7,$C266)),ISNUMBER(SEARCH('Task Finder'!$C$7,$D266)),ISNUMBER(SEARCH('Task Finder'!$C$7,$K266)))))</f>
        <v/>
      </c>
    </row>
    <row r="267">
      <c r="A267" s="19" t="n"/>
      <c r="B267" s="19" t="n"/>
      <c r="C267" s="19" t="n"/>
      <c r="D267" s="19" t="n"/>
      <c r="E267" s="19" t="n"/>
      <c r="F267" s="19" t="n"/>
      <c r="G267" s="19" t="n"/>
      <c r="H267" s="19" t="n"/>
      <c r="I267" s="19" t="n"/>
      <c r="J267" s="19" t="n"/>
      <c r="K267" s="19" t="n"/>
      <c r="L267" s="19" t="n"/>
      <c r="M267" s="130">
        <f>IF($A267="","",AND('Task Finder'!$C$7&lt;&gt;"",OR(ISNUMBER(SEARCH('Task Finder'!$C$7,$A267)),ISNUMBER(SEARCH('Task Finder'!$C$7,$B267)),ISNUMBER(SEARCH('Task Finder'!$C$7,$C267)),ISNUMBER(SEARCH('Task Finder'!$C$7,$D267)),ISNUMBER(SEARCH('Task Finder'!$C$7,$K267)))))</f>
        <v/>
      </c>
    </row>
    <row r="268">
      <c r="A268" s="19" t="n"/>
      <c r="B268" s="19" t="n"/>
      <c r="C268" s="19" t="n"/>
      <c r="D268" s="19" t="n"/>
      <c r="E268" s="19" t="n"/>
      <c r="F268" s="19" t="n"/>
      <c r="G268" s="19" t="n"/>
      <c r="H268" s="19" t="n"/>
      <c r="I268" s="19" t="n"/>
      <c r="J268" s="19" t="n"/>
      <c r="K268" s="19" t="n"/>
      <c r="L268" s="19" t="n"/>
      <c r="M268" s="130">
        <f>IF($A268="","",AND('Task Finder'!$C$7&lt;&gt;"",OR(ISNUMBER(SEARCH('Task Finder'!$C$7,$A268)),ISNUMBER(SEARCH('Task Finder'!$C$7,$B268)),ISNUMBER(SEARCH('Task Finder'!$C$7,$C268)),ISNUMBER(SEARCH('Task Finder'!$C$7,$D268)),ISNUMBER(SEARCH('Task Finder'!$C$7,$K268)))))</f>
        <v/>
      </c>
    </row>
    <row r="269">
      <c r="A269" s="19" t="n"/>
      <c r="B269" s="19" t="n"/>
      <c r="C269" s="19" t="n"/>
      <c r="D269" s="19" t="n"/>
      <c r="E269" s="19" t="n"/>
      <c r="F269" s="19" t="n"/>
      <c r="G269" s="19" t="n"/>
      <c r="H269" s="19" t="n"/>
      <c r="I269" s="19" t="n"/>
      <c r="J269" s="19" t="n"/>
      <c r="K269" s="19" t="n"/>
      <c r="L269" s="19" t="n"/>
      <c r="M269" s="130">
        <f>IF($A269="","",AND('Task Finder'!$C$7&lt;&gt;"",OR(ISNUMBER(SEARCH('Task Finder'!$C$7,$A269)),ISNUMBER(SEARCH('Task Finder'!$C$7,$B269)),ISNUMBER(SEARCH('Task Finder'!$C$7,$C269)),ISNUMBER(SEARCH('Task Finder'!$C$7,$D269)),ISNUMBER(SEARCH('Task Finder'!$C$7,$K269)))))</f>
        <v/>
      </c>
    </row>
    <row r="270">
      <c r="A270" s="19" t="n"/>
      <c r="B270" s="19" t="n"/>
      <c r="C270" s="19" t="n"/>
      <c r="D270" s="19" t="n"/>
      <c r="E270" s="19" t="n"/>
      <c r="F270" s="19" t="n"/>
      <c r="G270" s="19" t="n"/>
      <c r="H270" s="19" t="n"/>
      <c r="I270" s="19" t="n"/>
      <c r="J270" s="19" t="n"/>
      <c r="K270" s="19" t="n"/>
      <c r="L270" s="19" t="n"/>
      <c r="M270" s="130">
        <f>IF($A270="","",AND('Task Finder'!$C$7&lt;&gt;"",OR(ISNUMBER(SEARCH('Task Finder'!$C$7,$A270)),ISNUMBER(SEARCH('Task Finder'!$C$7,$B270)),ISNUMBER(SEARCH('Task Finder'!$C$7,$C270)),ISNUMBER(SEARCH('Task Finder'!$C$7,$D270)),ISNUMBER(SEARCH('Task Finder'!$C$7,$K270)))))</f>
        <v/>
      </c>
    </row>
    <row r="271">
      <c r="A271" s="19" t="n"/>
      <c r="B271" s="19" t="n"/>
      <c r="C271" s="19" t="n"/>
      <c r="D271" s="19" t="n"/>
      <c r="E271" s="19" t="n"/>
      <c r="F271" s="19" t="n"/>
      <c r="G271" s="19" t="n"/>
      <c r="H271" s="19" t="n"/>
      <c r="I271" s="19" t="n"/>
      <c r="J271" s="19" t="n"/>
      <c r="K271" s="19" t="n"/>
      <c r="L271" s="19" t="n"/>
      <c r="M271" s="130">
        <f>IF($A271="","",AND('Task Finder'!$C$7&lt;&gt;"",OR(ISNUMBER(SEARCH('Task Finder'!$C$7,$A271)),ISNUMBER(SEARCH('Task Finder'!$C$7,$B271)),ISNUMBER(SEARCH('Task Finder'!$C$7,$C271)),ISNUMBER(SEARCH('Task Finder'!$C$7,$D271)),ISNUMBER(SEARCH('Task Finder'!$C$7,$K271)))))</f>
        <v/>
      </c>
    </row>
    <row r="272">
      <c r="A272" s="19" t="n"/>
      <c r="B272" s="19" t="n"/>
      <c r="C272" s="19" t="n"/>
      <c r="D272" s="19" t="n"/>
      <c r="E272" s="19" t="n"/>
      <c r="F272" s="19" t="n"/>
      <c r="G272" s="19" t="n"/>
      <c r="H272" s="19" t="n"/>
      <c r="I272" s="19" t="n"/>
      <c r="J272" s="19" t="n"/>
      <c r="K272" s="19" t="n"/>
      <c r="L272" s="19" t="n"/>
      <c r="M272" s="130">
        <f>IF($A272="","",AND('Task Finder'!$C$7&lt;&gt;"",OR(ISNUMBER(SEARCH('Task Finder'!$C$7,$A272)),ISNUMBER(SEARCH('Task Finder'!$C$7,$B272)),ISNUMBER(SEARCH('Task Finder'!$C$7,$C272)),ISNUMBER(SEARCH('Task Finder'!$C$7,$D272)),ISNUMBER(SEARCH('Task Finder'!$C$7,$K272)))))</f>
        <v/>
      </c>
    </row>
    <row r="273">
      <c r="A273" s="19" t="n"/>
      <c r="B273" s="19" t="n"/>
      <c r="C273" s="19" t="n"/>
      <c r="D273" s="19" t="n"/>
      <c r="E273" s="19" t="n"/>
      <c r="F273" s="19" t="n"/>
      <c r="G273" s="19" t="n"/>
      <c r="H273" s="19" t="n"/>
      <c r="I273" s="19" t="n"/>
      <c r="J273" s="19" t="n"/>
      <c r="K273" s="19" t="n"/>
      <c r="L273" s="19" t="n"/>
      <c r="M273" s="130">
        <f>IF($A273="","",AND('Task Finder'!$C$7&lt;&gt;"",OR(ISNUMBER(SEARCH('Task Finder'!$C$7,$A273)),ISNUMBER(SEARCH('Task Finder'!$C$7,$B273)),ISNUMBER(SEARCH('Task Finder'!$C$7,$C273)),ISNUMBER(SEARCH('Task Finder'!$C$7,$D273)),ISNUMBER(SEARCH('Task Finder'!$C$7,$K273)))))</f>
        <v/>
      </c>
    </row>
    <row r="274">
      <c r="A274" s="19" t="n"/>
      <c r="B274" s="19" t="n"/>
      <c r="C274" s="19" t="n"/>
      <c r="D274" s="19" t="n"/>
      <c r="E274" s="19" t="n"/>
      <c r="F274" s="19" t="n"/>
      <c r="G274" s="19" t="n"/>
      <c r="H274" s="19" t="n"/>
      <c r="I274" s="19" t="n"/>
      <c r="J274" s="19" t="n"/>
      <c r="K274" s="19" t="n"/>
      <c r="L274" s="19" t="n"/>
      <c r="M274" s="130">
        <f>IF($A274="","",AND('Task Finder'!$C$7&lt;&gt;"",OR(ISNUMBER(SEARCH('Task Finder'!$C$7,$A274)),ISNUMBER(SEARCH('Task Finder'!$C$7,$B274)),ISNUMBER(SEARCH('Task Finder'!$C$7,$C274)),ISNUMBER(SEARCH('Task Finder'!$C$7,$D274)),ISNUMBER(SEARCH('Task Finder'!$C$7,$K274)))))</f>
        <v/>
      </c>
    </row>
    <row r="275">
      <c r="A275" s="19" t="n"/>
      <c r="B275" s="19" t="n"/>
      <c r="C275" s="19" t="n"/>
      <c r="D275" s="19" t="n"/>
      <c r="E275" s="19" t="n"/>
      <c r="F275" s="19" t="n"/>
      <c r="G275" s="19" t="n"/>
      <c r="H275" s="19" t="n"/>
      <c r="I275" s="19" t="n"/>
      <c r="J275" s="19" t="n"/>
      <c r="K275" s="19" t="n"/>
      <c r="L275" s="19" t="n"/>
      <c r="M275" s="130">
        <f>IF($A275="","",AND('Task Finder'!$C$7&lt;&gt;"",OR(ISNUMBER(SEARCH('Task Finder'!$C$7,$A275)),ISNUMBER(SEARCH('Task Finder'!$C$7,$B275)),ISNUMBER(SEARCH('Task Finder'!$C$7,$C275)),ISNUMBER(SEARCH('Task Finder'!$C$7,$D275)),ISNUMBER(SEARCH('Task Finder'!$C$7,$K275)))))</f>
        <v/>
      </c>
    </row>
    <row r="276">
      <c r="A276" s="19" t="n"/>
      <c r="B276" s="19" t="n"/>
      <c r="C276" s="19" t="n"/>
      <c r="D276" s="19" t="n"/>
      <c r="E276" s="19" t="n"/>
      <c r="F276" s="19" t="n"/>
      <c r="G276" s="19" t="n"/>
      <c r="H276" s="19" t="n"/>
      <c r="I276" s="19" t="n"/>
      <c r="J276" s="19" t="n"/>
      <c r="K276" s="19" t="n"/>
      <c r="L276" s="19" t="n"/>
      <c r="M276" s="130">
        <f>IF($A276="","",AND('Task Finder'!$C$7&lt;&gt;"",OR(ISNUMBER(SEARCH('Task Finder'!$C$7,$A276)),ISNUMBER(SEARCH('Task Finder'!$C$7,$B276)),ISNUMBER(SEARCH('Task Finder'!$C$7,$C276)),ISNUMBER(SEARCH('Task Finder'!$C$7,$D276)),ISNUMBER(SEARCH('Task Finder'!$C$7,$K276)))))</f>
        <v/>
      </c>
    </row>
    <row r="277">
      <c r="A277" s="19" t="n"/>
      <c r="B277" s="19" t="n"/>
      <c r="C277" s="19" t="n"/>
      <c r="D277" s="19" t="n"/>
      <c r="E277" s="19" t="n"/>
      <c r="F277" s="19" t="n"/>
      <c r="G277" s="19" t="n"/>
      <c r="H277" s="19" t="n"/>
      <c r="I277" s="19" t="n"/>
      <c r="J277" s="19" t="n"/>
      <c r="K277" s="19" t="n"/>
      <c r="L277" s="19" t="n"/>
      <c r="M277" s="130">
        <f>IF($A277="","",AND('Task Finder'!$C$7&lt;&gt;"",OR(ISNUMBER(SEARCH('Task Finder'!$C$7,$A277)),ISNUMBER(SEARCH('Task Finder'!$C$7,$B277)),ISNUMBER(SEARCH('Task Finder'!$C$7,$C277)),ISNUMBER(SEARCH('Task Finder'!$C$7,$D277)),ISNUMBER(SEARCH('Task Finder'!$C$7,$K277)))))</f>
        <v/>
      </c>
    </row>
    <row r="278">
      <c r="A278" s="19" t="n"/>
      <c r="B278" s="19" t="n"/>
      <c r="C278" s="19" t="n"/>
      <c r="D278" s="19" t="n"/>
      <c r="E278" s="19" t="n"/>
      <c r="F278" s="19" t="n"/>
      <c r="G278" s="19" t="n"/>
      <c r="H278" s="19" t="n"/>
      <c r="I278" s="19" t="n"/>
      <c r="J278" s="19" t="n"/>
      <c r="K278" s="19" t="n"/>
      <c r="L278" s="19" t="n"/>
      <c r="M278" s="130">
        <f>IF($A278="","",AND('Task Finder'!$C$7&lt;&gt;"",OR(ISNUMBER(SEARCH('Task Finder'!$C$7,$A278)),ISNUMBER(SEARCH('Task Finder'!$C$7,$B278)),ISNUMBER(SEARCH('Task Finder'!$C$7,$C278)),ISNUMBER(SEARCH('Task Finder'!$C$7,$D278)),ISNUMBER(SEARCH('Task Finder'!$C$7,$K278)))))</f>
        <v/>
      </c>
    </row>
    <row r="279">
      <c r="A279" s="19" t="n"/>
      <c r="B279" s="19" t="n"/>
      <c r="C279" s="19" t="n"/>
      <c r="D279" s="19" t="n"/>
      <c r="E279" s="19" t="n"/>
      <c r="F279" s="19" t="n"/>
      <c r="G279" s="19" t="n"/>
      <c r="H279" s="19" t="n"/>
      <c r="I279" s="19" t="n"/>
      <c r="J279" s="19" t="n"/>
      <c r="K279" s="19" t="n"/>
      <c r="L279" s="19" t="n"/>
      <c r="M279" s="130">
        <f>IF($A279="","",AND('Task Finder'!$C$7&lt;&gt;"",OR(ISNUMBER(SEARCH('Task Finder'!$C$7,$A279)),ISNUMBER(SEARCH('Task Finder'!$C$7,$B279)),ISNUMBER(SEARCH('Task Finder'!$C$7,$C279)),ISNUMBER(SEARCH('Task Finder'!$C$7,$D279)),ISNUMBER(SEARCH('Task Finder'!$C$7,$K279)))))</f>
        <v/>
      </c>
    </row>
    <row r="280">
      <c r="A280" s="19" t="n"/>
      <c r="B280" s="19" t="n"/>
      <c r="C280" s="19" t="n"/>
      <c r="D280" s="19" t="n"/>
      <c r="E280" s="19" t="n"/>
      <c r="F280" s="19" t="n"/>
      <c r="G280" s="19" t="n"/>
      <c r="H280" s="19" t="n"/>
      <c r="I280" s="19" t="n"/>
      <c r="J280" s="19" t="n"/>
      <c r="K280" s="19" t="n"/>
      <c r="L280" s="19" t="n"/>
      <c r="M280" s="130">
        <f>IF($A280="","",AND('Task Finder'!$C$7&lt;&gt;"",OR(ISNUMBER(SEARCH('Task Finder'!$C$7,$A280)),ISNUMBER(SEARCH('Task Finder'!$C$7,$B280)),ISNUMBER(SEARCH('Task Finder'!$C$7,$C280)),ISNUMBER(SEARCH('Task Finder'!$C$7,$D280)),ISNUMBER(SEARCH('Task Finder'!$C$7,$K280)))))</f>
        <v/>
      </c>
    </row>
    <row r="281">
      <c r="A281" s="19" t="n"/>
      <c r="B281" s="19" t="n"/>
      <c r="C281" s="19" t="n"/>
      <c r="D281" s="19" t="n"/>
      <c r="E281" s="19" t="n"/>
      <c r="F281" s="19" t="n"/>
      <c r="G281" s="19" t="n"/>
      <c r="H281" s="19" t="n"/>
      <c r="I281" s="19" t="n"/>
      <c r="J281" s="19" t="n"/>
      <c r="K281" s="19" t="n"/>
      <c r="L281" s="19" t="n"/>
      <c r="M281" s="130">
        <f>IF($A281="","",AND('Task Finder'!$C$7&lt;&gt;"",OR(ISNUMBER(SEARCH('Task Finder'!$C$7,$A281)),ISNUMBER(SEARCH('Task Finder'!$C$7,$B281)),ISNUMBER(SEARCH('Task Finder'!$C$7,$C281)),ISNUMBER(SEARCH('Task Finder'!$C$7,$D281)),ISNUMBER(SEARCH('Task Finder'!$C$7,$K281)))))</f>
        <v/>
      </c>
    </row>
    <row r="282">
      <c r="A282" s="19" t="n"/>
      <c r="B282" s="19" t="n"/>
      <c r="C282" s="19" t="n"/>
      <c r="D282" s="19" t="n"/>
      <c r="E282" s="19" t="n"/>
      <c r="F282" s="19" t="n"/>
      <c r="G282" s="19" t="n"/>
      <c r="H282" s="19" t="n"/>
      <c r="I282" s="19" t="n"/>
      <c r="J282" s="19" t="n"/>
      <c r="K282" s="19" t="n"/>
      <c r="L282" s="19" t="n"/>
      <c r="M282" s="130">
        <f>IF($A282="","",AND('Task Finder'!$C$7&lt;&gt;"",OR(ISNUMBER(SEARCH('Task Finder'!$C$7,$A282)),ISNUMBER(SEARCH('Task Finder'!$C$7,$B282)),ISNUMBER(SEARCH('Task Finder'!$C$7,$C282)),ISNUMBER(SEARCH('Task Finder'!$C$7,$D282)),ISNUMBER(SEARCH('Task Finder'!$C$7,$K282)))))</f>
        <v/>
      </c>
    </row>
    <row r="283">
      <c r="A283" s="19" t="n"/>
      <c r="B283" s="19" t="n"/>
      <c r="C283" s="19" t="n"/>
      <c r="D283" s="19" t="n"/>
      <c r="E283" s="19" t="n"/>
      <c r="F283" s="19" t="n"/>
      <c r="G283" s="19" t="n"/>
      <c r="H283" s="19" t="n"/>
      <c r="I283" s="19" t="n"/>
      <c r="J283" s="19" t="n"/>
      <c r="K283" s="19" t="n"/>
      <c r="L283" s="19" t="n"/>
      <c r="M283" s="130">
        <f>IF($A283="","",AND('Task Finder'!$C$7&lt;&gt;"",OR(ISNUMBER(SEARCH('Task Finder'!$C$7,$A283)),ISNUMBER(SEARCH('Task Finder'!$C$7,$B283)),ISNUMBER(SEARCH('Task Finder'!$C$7,$C283)),ISNUMBER(SEARCH('Task Finder'!$C$7,$D283)),ISNUMBER(SEARCH('Task Finder'!$C$7,$K283)))))</f>
        <v/>
      </c>
    </row>
    <row r="284">
      <c r="A284" s="19" t="n"/>
      <c r="B284" s="19" t="n"/>
      <c r="C284" s="19" t="n"/>
      <c r="D284" s="19" t="n"/>
      <c r="E284" s="19" t="n"/>
      <c r="F284" s="19" t="n"/>
      <c r="G284" s="19" t="n"/>
      <c r="H284" s="19" t="n"/>
      <c r="I284" s="19" t="n"/>
      <c r="J284" s="19" t="n"/>
      <c r="K284" s="19" t="n"/>
      <c r="L284" s="19" t="n"/>
      <c r="M284" s="130">
        <f>IF($A284="","",AND('Task Finder'!$C$7&lt;&gt;"",OR(ISNUMBER(SEARCH('Task Finder'!$C$7,$A284)),ISNUMBER(SEARCH('Task Finder'!$C$7,$B284)),ISNUMBER(SEARCH('Task Finder'!$C$7,$C284)),ISNUMBER(SEARCH('Task Finder'!$C$7,$D284)),ISNUMBER(SEARCH('Task Finder'!$C$7,$K284)))))</f>
        <v/>
      </c>
    </row>
    <row r="285">
      <c r="A285" s="19" t="n"/>
      <c r="B285" s="19" t="n"/>
      <c r="C285" s="19" t="n"/>
      <c r="D285" s="19" t="n"/>
      <c r="E285" s="19" t="n"/>
      <c r="F285" s="19" t="n"/>
      <c r="G285" s="19" t="n"/>
      <c r="H285" s="19" t="n"/>
      <c r="I285" s="19" t="n"/>
      <c r="J285" s="19" t="n"/>
      <c r="K285" s="19" t="n"/>
      <c r="L285" s="19" t="n"/>
      <c r="M285" s="130">
        <f>IF($A285="","",AND('Task Finder'!$C$7&lt;&gt;"",OR(ISNUMBER(SEARCH('Task Finder'!$C$7,$A285)),ISNUMBER(SEARCH('Task Finder'!$C$7,$B285)),ISNUMBER(SEARCH('Task Finder'!$C$7,$C285)),ISNUMBER(SEARCH('Task Finder'!$C$7,$D285)),ISNUMBER(SEARCH('Task Finder'!$C$7,$K285)))))</f>
        <v/>
      </c>
    </row>
    <row r="286">
      <c r="A286" s="19" t="n"/>
      <c r="B286" s="19" t="n"/>
      <c r="C286" s="19" t="n"/>
      <c r="D286" s="19" t="n"/>
      <c r="E286" s="19" t="n"/>
      <c r="F286" s="19" t="n"/>
      <c r="G286" s="19" t="n"/>
      <c r="H286" s="19" t="n"/>
      <c r="I286" s="19" t="n"/>
      <c r="J286" s="19" t="n"/>
      <c r="K286" s="19" t="n"/>
      <c r="L286" s="19" t="n"/>
      <c r="M286" s="130">
        <f>IF($A286="","",AND('Task Finder'!$C$7&lt;&gt;"",OR(ISNUMBER(SEARCH('Task Finder'!$C$7,$A286)),ISNUMBER(SEARCH('Task Finder'!$C$7,$B286)),ISNUMBER(SEARCH('Task Finder'!$C$7,$C286)),ISNUMBER(SEARCH('Task Finder'!$C$7,$D286)),ISNUMBER(SEARCH('Task Finder'!$C$7,$K286)))))</f>
        <v/>
      </c>
    </row>
    <row r="287">
      <c r="A287" s="19" t="n"/>
      <c r="B287" s="19" t="n"/>
      <c r="C287" s="19" t="n"/>
      <c r="D287" s="19" t="n"/>
      <c r="E287" s="19" t="n"/>
      <c r="F287" s="19" t="n"/>
      <c r="G287" s="19" t="n"/>
      <c r="H287" s="19" t="n"/>
      <c r="I287" s="19" t="n"/>
      <c r="J287" s="19" t="n"/>
      <c r="K287" s="19" t="n"/>
      <c r="L287" s="19" t="n"/>
      <c r="M287" s="130">
        <f>IF($A287="","",AND('Task Finder'!$C$7&lt;&gt;"",OR(ISNUMBER(SEARCH('Task Finder'!$C$7,$A287)),ISNUMBER(SEARCH('Task Finder'!$C$7,$B287)),ISNUMBER(SEARCH('Task Finder'!$C$7,$C287)),ISNUMBER(SEARCH('Task Finder'!$C$7,$D287)),ISNUMBER(SEARCH('Task Finder'!$C$7,$K287)))))</f>
        <v/>
      </c>
    </row>
    <row r="288">
      <c r="A288" s="19" t="n"/>
      <c r="B288" s="19" t="n"/>
      <c r="C288" s="19" t="n"/>
      <c r="D288" s="19" t="n"/>
      <c r="E288" s="19" t="n"/>
      <c r="F288" s="19" t="n"/>
      <c r="G288" s="19" t="n"/>
      <c r="H288" s="19" t="n"/>
      <c r="I288" s="19" t="n"/>
      <c r="J288" s="19" t="n"/>
      <c r="K288" s="19" t="n"/>
      <c r="L288" s="19" t="n"/>
      <c r="M288" s="130">
        <f>IF($A288="","",AND('Task Finder'!$C$7&lt;&gt;"",OR(ISNUMBER(SEARCH('Task Finder'!$C$7,$A288)),ISNUMBER(SEARCH('Task Finder'!$C$7,$B288)),ISNUMBER(SEARCH('Task Finder'!$C$7,$C288)),ISNUMBER(SEARCH('Task Finder'!$C$7,$D288)),ISNUMBER(SEARCH('Task Finder'!$C$7,$K288)))))</f>
        <v/>
      </c>
    </row>
    <row r="289">
      <c r="A289" s="19" t="n"/>
      <c r="B289" s="19" t="n"/>
      <c r="C289" s="19" t="n"/>
      <c r="D289" s="19" t="n"/>
      <c r="E289" s="19" t="n"/>
      <c r="F289" s="19" t="n"/>
      <c r="G289" s="19" t="n"/>
      <c r="H289" s="19" t="n"/>
      <c r="I289" s="19" t="n"/>
      <c r="J289" s="19" t="n"/>
      <c r="K289" s="19" t="n"/>
      <c r="L289" s="19" t="n"/>
      <c r="M289" s="130">
        <f>IF($A289="","",AND('Task Finder'!$C$7&lt;&gt;"",OR(ISNUMBER(SEARCH('Task Finder'!$C$7,$A289)),ISNUMBER(SEARCH('Task Finder'!$C$7,$B289)),ISNUMBER(SEARCH('Task Finder'!$C$7,$C289)),ISNUMBER(SEARCH('Task Finder'!$C$7,$D289)),ISNUMBER(SEARCH('Task Finder'!$C$7,$K289)))))</f>
        <v/>
      </c>
    </row>
    <row r="290">
      <c r="A290" s="19" t="n"/>
      <c r="B290" s="19" t="n"/>
      <c r="C290" s="19" t="n"/>
      <c r="D290" s="19" t="n"/>
      <c r="E290" s="19" t="n"/>
      <c r="F290" s="19" t="n"/>
      <c r="G290" s="19" t="n"/>
      <c r="H290" s="19" t="n"/>
      <c r="I290" s="19" t="n"/>
      <c r="J290" s="19" t="n"/>
      <c r="K290" s="19" t="n"/>
      <c r="L290" s="19" t="n"/>
      <c r="M290" s="130">
        <f>IF($A290="","",AND('Task Finder'!$C$7&lt;&gt;"",OR(ISNUMBER(SEARCH('Task Finder'!$C$7,$A290)),ISNUMBER(SEARCH('Task Finder'!$C$7,$B290)),ISNUMBER(SEARCH('Task Finder'!$C$7,$C290)),ISNUMBER(SEARCH('Task Finder'!$C$7,$D290)),ISNUMBER(SEARCH('Task Finder'!$C$7,$K290)))))</f>
        <v/>
      </c>
    </row>
    <row r="291">
      <c r="A291" s="19" t="n"/>
      <c r="B291" s="19" t="n"/>
      <c r="C291" s="19" t="n"/>
      <c r="D291" s="19" t="n"/>
      <c r="E291" s="19" t="n"/>
      <c r="F291" s="19" t="n"/>
      <c r="G291" s="19" t="n"/>
      <c r="H291" s="19" t="n"/>
      <c r="I291" s="19" t="n"/>
      <c r="J291" s="19" t="n"/>
      <c r="K291" s="19" t="n"/>
      <c r="L291" s="19" t="n"/>
      <c r="M291" s="130">
        <f>IF($A291="","",AND('Task Finder'!$C$7&lt;&gt;"",OR(ISNUMBER(SEARCH('Task Finder'!$C$7,$A291)),ISNUMBER(SEARCH('Task Finder'!$C$7,$B291)),ISNUMBER(SEARCH('Task Finder'!$C$7,$C291)),ISNUMBER(SEARCH('Task Finder'!$C$7,$D291)),ISNUMBER(SEARCH('Task Finder'!$C$7,$K291)))))</f>
        <v/>
      </c>
    </row>
    <row r="292">
      <c r="A292" s="19" t="n"/>
      <c r="B292" s="19" t="n"/>
      <c r="C292" s="19" t="n"/>
      <c r="D292" s="19" t="n"/>
      <c r="E292" s="19" t="n"/>
      <c r="F292" s="19" t="n"/>
      <c r="G292" s="19" t="n"/>
      <c r="H292" s="19" t="n"/>
      <c r="I292" s="19" t="n"/>
      <c r="J292" s="19" t="n"/>
      <c r="K292" s="19" t="n"/>
      <c r="L292" s="19" t="n"/>
      <c r="M292" s="130">
        <f>IF($A292="","",AND('Task Finder'!$C$7&lt;&gt;"",OR(ISNUMBER(SEARCH('Task Finder'!$C$7,$A292)),ISNUMBER(SEARCH('Task Finder'!$C$7,$B292)),ISNUMBER(SEARCH('Task Finder'!$C$7,$C292)),ISNUMBER(SEARCH('Task Finder'!$C$7,$D292)),ISNUMBER(SEARCH('Task Finder'!$C$7,$K292)))))</f>
        <v/>
      </c>
    </row>
    <row r="293">
      <c r="A293" s="19" t="n"/>
      <c r="B293" s="19" t="n"/>
      <c r="C293" s="19" t="n"/>
      <c r="D293" s="19" t="n"/>
      <c r="E293" s="19" t="n"/>
      <c r="F293" s="19" t="n"/>
      <c r="G293" s="19" t="n"/>
      <c r="H293" s="19" t="n"/>
      <c r="I293" s="19" t="n"/>
      <c r="J293" s="19" t="n"/>
      <c r="K293" s="19" t="n"/>
      <c r="L293" s="19" t="n"/>
      <c r="M293" s="130">
        <f>IF($A293="","",AND('Task Finder'!$C$7&lt;&gt;"",OR(ISNUMBER(SEARCH('Task Finder'!$C$7,$A293)),ISNUMBER(SEARCH('Task Finder'!$C$7,$B293)),ISNUMBER(SEARCH('Task Finder'!$C$7,$C293)),ISNUMBER(SEARCH('Task Finder'!$C$7,$D293)),ISNUMBER(SEARCH('Task Finder'!$C$7,$K293)))))</f>
        <v/>
      </c>
    </row>
    <row r="294">
      <c r="A294" s="19" t="n"/>
      <c r="B294" s="19" t="n"/>
      <c r="C294" s="19" t="n"/>
      <c r="D294" s="19" t="n"/>
      <c r="E294" s="19" t="n"/>
      <c r="F294" s="19" t="n"/>
      <c r="G294" s="19" t="n"/>
      <c r="H294" s="19" t="n"/>
      <c r="I294" s="19" t="n"/>
      <c r="J294" s="19" t="n"/>
      <c r="K294" s="19" t="n"/>
      <c r="L294" s="19" t="n"/>
      <c r="M294" s="130">
        <f>IF($A294="","",AND('Task Finder'!$C$7&lt;&gt;"",OR(ISNUMBER(SEARCH('Task Finder'!$C$7,$A294)),ISNUMBER(SEARCH('Task Finder'!$C$7,$B294)),ISNUMBER(SEARCH('Task Finder'!$C$7,$C294)),ISNUMBER(SEARCH('Task Finder'!$C$7,$D294)),ISNUMBER(SEARCH('Task Finder'!$C$7,$K294)))))</f>
        <v/>
      </c>
    </row>
    <row r="295">
      <c r="A295" s="19" t="n"/>
      <c r="B295" s="19" t="n"/>
      <c r="C295" s="19" t="n"/>
      <c r="D295" s="19" t="n"/>
      <c r="E295" s="19" t="n"/>
      <c r="F295" s="19" t="n"/>
      <c r="G295" s="19" t="n"/>
      <c r="H295" s="19" t="n"/>
      <c r="I295" s="19" t="n"/>
      <c r="J295" s="19" t="n"/>
      <c r="K295" s="19" t="n"/>
      <c r="L295" s="19" t="n"/>
      <c r="M295" s="130">
        <f>IF($A295="","",AND('Task Finder'!$C$7&lt;&gt;"",OR(ISNUMBER(SEARCH('Task Finder'!$C$7,$A295)),ISNUMBER(SEARCH('Task Finder'!$C$7,$B295)),ISNUMBER(SEARCH('Task Finder'!$C$7,$C295)),ISNUMBER(SEARCH('Task Finder'!$C$7,$D295)),ISNUMBER(SEARCH('Task Finder'!$C$7,$K295)))))</f>
        <v/>
      </c>
    </row>
    <row r="296">
      <c r="A296" s="19" t="n"/>
      <c r="B296" s="19" t="n"/>
      <c r="C296" s="19" t="n"/>
      <c r="D296" s="19" t="n"/>
      <c r="E296" s="19" t="n"/>
      <c r="F296" s="19" t="n"/>
      <c r="G296" s="19" t="n"/>
      <c r="H296" s="19" t="n"/>
      <c r="I296" s="19" t="n"/>
      <c r="J296" s="19" t="n"/>
      <c r="K296" s="19" t="n"/>
      <c r="L296" s="19" t="n"/>
      <c r="M296" s="130">
        <f>IF($A296="","",AND('Task Finder'!$C$7&lt;&gt;"",OR(ISNUMBER(SEARCH('Task Finder'!$C$7,$A296)),ISNUMBER(SEARCH('Task Finder'!$C$7,$B296)),ISNUMBER(SEARCH('Task Finder'!$C$7,$C296)),ISNUMBER(SEARCH('Task Finder'!$C$7,$D296)),ISNUMBER(SEARCH('Task Finder'!$C$7,$K296)))))</f>
        <v/>
      </c>
    </row>
    <row r="297">
      <c r="A297" s="19" t="n"/>
      <c r="B297" s="19" t="n"/>
      <c r="C297" s="19" t="n"/>
      <c r="D297" s="19" t="n"/>
      <c r="E297" s="19" t="n"/>
      <c r="F297" s="19" t="n"/>
      <c r="G297" s="19" t="n"/>
      <c r="H297" s="19" t="n"/>
      <c r="I297" s="19" t="n"/>
      <c r="J297" s="19" t="n"/>
      <c r="K297" s="19" t="n"/>
      <c r="L297" s="19" t="n"/>
      <c r="M297" s="130">
        <f>IF($A297="","",AND('Task Finder'!$C$7&lt;&gt;"",OR(ISNUMBER(SEARCH('Task Finder'!$C$7,$A297)),ISNUMBER(SEARCH('Task Finder'!$C$7,$B297)),ISNUMBER(SEARCH('Task Finder'!$C$7,$C297)),ISNUMBER(SEARCH('Task Finder'!$C$7,$D297)),ISNUMBER(SEARCH('Task Finder'!$C$7,$K297)))))</f>
        <v/>
      </c>
    </row>
    <row r="298">
      <c r="A298" s="19" t="n"/>
      <c r="B298" s="19" t="n"/>
      <c r="C298" s="19" t="n"/>
      <c r="D298" s="19" t="n"/>
      <c r="E298" s="19" t="n"/>
      <c r="F298" s="19" t="n"/>
      <c r="G298" s="19" t="n"/>
      <c r="H298" s="19" t="n"/>
      <c r="I298" s="19" t="n"/>
      <c r="J298" s="19" t="n"/>
      <c r="K298" s="19" t="n"/>
      <c r="L298" s="19" t="n"/>
      <c r="M298" s="130">
        <f>IF($A298="","",AND('Task Finder'!$C$7&lt;&gt;"",OR(ISNUMBER(SEARCH('Task Finder'!$C$7,$A298)),ISNUMBER(SEARCH('Task Finder'!$C$7,$B298)),ISNUMBER(SEARCH('Task Finder'!$C$7,$C298)),ISNUMBER(SEARCH('Task Finder'!$C$7,$D298)),ISNUMBER(SEARCH('Task Finder'!$C$7,$K298)))))</f>
        <v/>
      </c>
    </row>
    <row r="299">
      <c r="A299" s="19" t="n"/>
      <c r="B299" s="19" t="n"/>
      <c r="C299" s="19" t="n"/>
      <c r="D299" s="19" t="n"/>
      <c r="E299" s="19" t="n"/>
      <c r="F299" s="19" t="n"/>
      <c r="G299" s="19" t="n"/>
      <c r="H299" s="19" t="n"/>
      <c r="I299" s="19" t="n"/>
      <c r="J299" s="19" t="n"/>
      <c r="K299" s="19" t="n"/>
      <c r="L299" s="19" t="n"/>
      <c r="M299" s="130">
        <f>IF($A299="","",AND('Task Finder'!$C$7&lt;&gt;"",OR(ISNUMBER(SEARCH('Task Finder'!$C$7,$A299)),ISNUMBER(SEARCH('Task Finder'!$C$7,$B299)),ISNUMBER(SEARCH('Task Finder'!$C$7,$C299)),ISNUMBER(SEARCH('Task Finder'!$C$7,$D299)),ISNUMBER(SEARCH('Task Finder'!$C$7,$K299)))))</f>
        <v/>
      </c>
    </row>
    <row r="300">
      <c r="A300" s="19" t="n"/>
      <c r="B300" s="19" t="n"/>
      <c r="C300" s="19" t="n"/>
      <c r="D300" s="19" t="n"/>
      <c r="E300" s="19" t="n"/>
      <c r="F300" s="19" t="n"/>
      <c r="G300" s="19" t="n"/>
      <c r="H300" s="19" t="n"/>
      <c r="I300" s="19" t="n"/>
      <c r="J300" s="19" t="n"/>
      <c r="K300" s="19" t="n"/>
      <c r="L300" s="19" t="n"/>
      <c r="M300" s="130">
        <f>IF($A300="","",AND('Task Finder'!$C$7&lt;&gt;"",OR(ISNUMBER(SEARCH('Task Finder'!$C$7,$A300)),ISNUMBER(SEARCH('Task Finder'!$C$7,$B300)),ISNUMBER(SEARCH('Task Finder'!$C$7,$C300)),ISNUMBER(SEARCH('Task Finder'!$C$7,$D300)),ISNUMBER(SEARCH('Task Finder'!$C$7,$K300)))))</f>
        <v/>
      </c>
    </row>
    <row r="301">
      <c r="A301" s="19" t="n"/>
      <c r="B301" s="19" t="n"/>
      <c r="C301" s="19" t="n"/>
      <c r="D301" s="19" t="n"/>
      <c r="E301" s="19" t="n"/>
      <c r="F301" s="19" t="n"/>
      <c r="G301" s="19" t="n"/>
      <c r="H301" s="19" t="n"/>
      <c r="I301" s="19" t="n"/>
      <c r="J301" s="19" t="n"/>
      <c r="K301" s="19" t="n"/>
      <c r="L301" s="19" t="n"/>
      <c r="M301" s="130">
        <f>IF($A301="","",AND('Task Finder'!$C$7&lt;&gt;"",OR(ISNUMBER(SEARCH('Task Finder'!$C$7,$A301)),ISNUMBER(SEARCH('Task Finder'!$C$7,$B301)),ISNUMBER(SEARCH('Task Finder'!$C$7,$C301)),ISNUMBER(SEARCH('Task Finder'!$C$7,$D301)),ISNUMBER(SEARCH('Task Finder'!$C$7,$K301)))))</f>
        <v/>
      </c>
    </row>
    <row r="302">
      <c r="A302" s="19" t="n"/>
      <c r="B302" s="19" t="n"/>
      <c r="C302" s="19" t="n"/>
      <c r="D302" s="19" t="n"/>
      <c r="E302" s="19" t="n"/>
      <c r="F302" s="19" t="n"/>
      <c r="G302" s="19" t="n"/>
      <c r="H302" s="19" t="n"/>
      <c r="I302" s="19" t="n"/>
      <c r="J302" s="19" t="n"/>
      <c r="K302" s="19" t="n"/>
      <c r="L302" s="19" t="n"/>
      <c r="M302" s="130">
        <f>IF($A302="","",AND('Task Finder'!$C$7&lt;&gt;"",OR(ISNUMBER(SEARCH('Task Finder'!$C$7,$A302)),ISNUMBER(SEARCH('Task Finder'!$C$7,$B302)),ISNUMBER(SEARCH('Task Finder'!$C$7,$C302)),ISNUMBER(SEARCH('Task Finder'!$C$7,$D302)),ISNUMBER(SEARCH('Task Finder'!$C$7,$K302)))))</f>
        <v/>
      </c>
    </row>
    <row r="303">
      <c r="A303" s="19" t="n"/>
      <c r="B303" s="19" t="n"/>
      <c r="C303" s="19" t="n"/>
      <c r="D303" s="19" t="n"/>
      <c r="E303" s="19" t="n"/>
      <c r="F303" s="19" t="n"/>
      <c r="G303" s="19" t="n"/>
      <c r="H303" s="19" t="n"/>
      <c r="I303" s="19" t="n"/>
      <c r="J303" s="19" t="n"/>
      <c r="K303" s="19" t="n"/>
      <c r="L303" s="19" t="n"/>
      <c r="M303" s="130">
        <f>IF($A303="","",AND('Task Finder'!$C$7&lt;&gt;"",OR(ISNUMBER(SEARCH('Task Finder'!$C$7,$A303)),ISNUMBER(SEARCH('Task Finder'!$C$7,$B303)),ISNUMBER(SEARCH('Task Finder'!$C$7,$C303)),ISNUMBER(SEARCH('Task Finder'!$C$7,$D303)),ISNUMBER(SEARCH('Task Finder'!$C$7,$K303)))))</f>
        <v/>
      </c>
    </row>
    <row r="304">
      <c r="A304" s="19" t="n"/>
      <c r="B304" s="19" t="n"/>
      <c r="C304" s="19" t="n"/>
      <c r="D304" s="19" t="n"/>
      <c r="E304" s="19" t="n"/>
      <c r="F304" s="19" t="n"/>
      <c r="G304" s="19" t="n"/>
      <c r="H304" s="19" t="n"/>
      <c r="I304" s="19" t="n"/>
      <c r="J304" s="19" t="n"/>
      <c r="K304" s="19" t="n"/>
      <c r="L304" s="19" t="n"/>
      <c r="M304" s="130">
        <f>IF($A304="","",AND('Task Finder'!$C$7&lt;&gt;"",OR(ISNUMBER(SEARCH('Task Finder'!$C$7,$A304)),ISNUMBER(SEARCH('Task Finder'!$C$7,$B304)),ISNUMBER(SEARCH('Task Finder'!$C$7,$C304)),ISNUMBER(SEARCH('Task Finder'!$C$7,$D304)),ISNUMBER(SEARCH('Task Finder'!$C$7,$K304)))))</f>
        <v/>
      </c>
    </row>
    <row r="305">
      <c r="A305" s="19" t="n"/>
      <c r="B305" s="19" t="n"/>
      <c r="C305" s="19" t="n"/>
      <c r="D305" s="19" t="n"/>
      <c r="E305" s="19" t="n"/>
      <c r="F305" s="19" t="n"/>
      <c r="G305" s="19" t="n"/>
      <c r="H305" s="19" t="n"/>
      <c r="I305" s="19" t="n"/>
      <c r="J305" s="19" t="n"/>
      <c r="K305" s="19" t="n"/>
      <c r="L305" s="19" t="n"/>
      <c r="M305" s="130">
        <f>IF($A305="","",AND('Task Finder'!$C$7&lt;&gt;"",OR(ISNUMBER(SEARCH('Task Finder'!$C$7,$A305)),ISNUMBER(SEARCH('Task Finder'!$C$7,$B305)),ISNUMBER(SEARCH('Task Finder'!$C$7,$C305)),ISNUMBER(SEARCH('Task Finder'!$C$7,$D305)),ISNUMBER(SEARCH('Task Finder'!$C$7,$K305)))))</f>
        <v/>
      </c>
    </row>
    <row r="306">
      <c r="A306" s="19" t="n"/>
      <c r="B306" s="19" t="n"/>
      <c r="C306" s="19" t="n"/>
      <c r="D306" s="19" t="n"/>
      <c r="E306" s="19" t="n"/>
      <c r="F306" s="19" t="n"/>
      <c r="G306" s="19" t="n"/>
      <c r="H306" s="19" t="n"/>
      <c r="I306" s="19" t="n"/>
      <c r="J306" s="19" t="n"/>
      <c r="K306" s="19" t="n"/>
      <c r="L306" s="19" t="n"/>
      <c r="M306" s="130">
        <f>IF($A306="","",AND('Task Finder'!$C$7&lt;&gt;"",OR(ISNUMBER(SEARCH('Task Finder'!$C$7,$A306)),ISNUMBER(SEARCH('Task Finder'!$C$7,$B306)),ISNUMBER(SEARCH('Task Finder'!$C$7,$C306)),ISNUMBER(SEARCH('Task Finder'!$C$7,$D306)),ISNUMBER(SEARCH('Task Finder'!$C$7,$K306)))))</f>
        <v/>
      </c>
    </row>
    <row r="307">
      <c r="A307" s="19" t="n"/>
      <c r="B307" s="19" t="n"/>
      <c r="C307" s="19" t="n"/>
      <c r="D307" s="19" t="n"/>
      <c r="E307" s="19" t="n"/>
      <c r="F307" s="19" t="n"/>
      <c r="G307" s="19" t="n"/>
      <c r="H307" s="19" t="n"/>
      <c r="I307" s="19" t="n"/>
      <c r="J307" s="19" t="n"/>
      <c r="K307" s="19" t="n"/>
      <c r="L307" s="19" t="n"/>
      <c r="M307" s="130">
        <f>IF($A307="","",AND('Task Finder'!$C$7&lt;&gt;"",OR(ISNUMBER(SEARCH('Task Finder'!$C$7,$A307)),ISNUMBER(SEARCH('Task Finder'!$C$7,$B307)),ISNUMBER(SEARCH('Task Finder'!$C$7,$C307)),ISNUMBER(SEARCH('Task Finder'!$C$7,$D307)),ISNUMBER(SEARCH('Task Finder'!$C$7,$K307)))))</f>
        <v/>
      </c>
    </row>
    <row r="308">
      <c r="A308" s="19" t="n"/>
      <c r="B308" s="19" t="n"/>
      <c r="C308" s="19" t="n"/>
      <c r="D308" s="19" t="n"/>
      <c r="E308" s="19" t="n"/>
      <c r="F308" s="19" t="n"/>
      <c r="G308" s="19" t="n"/>
      <c r="H308" s="19" t="n"/>
      <c r="I308" s="19" t="n"/>
      <c r="J308" s="19" t="n"/>
      <c r="K308" s="19" t="n"/>
      <c r="L308" s="19" t="n"/>
      <c r="M308" s="130">
        <f>IF($A308="","",AND('Task Finder'!$C$7&lt;&gt;"",OR(ISNUMBER(SEARCH('Task Finder'!$C$7,$A308)),ISNUMBER(SEARCH('Task Finder'!$C$7,$B308)),ISNUMBER(SEARCH('Task Finder'!$C$7,$C308)),ISNUMBER(SEARCH('Task Finder'!$C$7,$D308)),ISNUMBER(SEARCH('Task Finder'!$C$7,$K308)))))</f>
        <v/>
      </c>
    </row>
    <row r="309">
      <c r="A309" s="19" t="n"/>
      <c r="B309" s="19" t="n"/>
      <c r="C309" s="19" t="n"/>
      <c r="D309" s="19" t="n"/>
      <c r="E309" s="19" t="n"/>
      <c r="F309" s="19" t="n"/>
      <c r="G309" s="19" t="n"/>
      <c r="H309" s="19" t="n"/>
      <c r="I309" s="19" t="n"/>
      <c r="J309" s="19" t="n"/>
      <c r="K309" s="19" t="n"/>
      <c r="L309" s="19" t="n"/>
      <c r="M309" s="130">
        <f>IF($A309="","",AND('Task Finder'!$C$7&lt;&gt;"",OR(ISNUMBER(SEARCH('Task Finder'!$C$7,$A309)),ISNUMBER(SEARCH('Task Finder'!$C$7,$B309)),ISNUMBER(SEARCH('Task Finder'!$C$7,$C309)),ISNUMBER(SEARCH('Task Finder'!$C$7,$D309)),ISNUMBER(SEARCH('Task Finder'!$C$7,$K309)))))</f>
        <v/>
      </c>
    </row>
    <row r="310">
      <c r="A310" s="19" t="n"/>
      <c r="B310" s="19" t="n"/>
      <c r="C310" s="19" t="n"/>
      <c r="D310" s="19" t="n"/>
      <c r="E310" s="19" t="n"/>
      <c r="F310" s="19" t="n"/>
      <c r="G310" s="19" t="n"/>
      <c r="H310" s="19" t="n"/>
      <c r="I310" s="19" t="n"/>
      <c r="J310" s="19" t="n"/>
      <c r="K310" s="19" t="n"/>
      <c r="L310" s="19" t="n"/>
      <c r="M310" s="130">
        <f>IF($A310="","",AND('Task Finder'!$C$7&lt;&gt;"",OR(ISNUMBER(SEARCH('Task Finder'!$C$7,$A310)),ISNUMBER(SEARCH('Task Finder'!$C$7,$B310)),ISNUMBER(SEARCH('Task Finder'!$C$7,$C310)),ISNUMBER(SEARCH('Task Finder'!$C$7,$D310)),ISNUMBER(SEARCH('Task Finder'!$C$7,$K310)))))</f>
        <v/>
      </c>
    </row>
    <row r="311">
      <c r="A311" s="19" t="n"/>
      <c r="B311" s="19" t="n"/>
      <c r="C311" s="19" t="n"/>
      <c r="D311" s="19" t="n"/>
      <c r="E311" s="19" t="n"/>
      <c r="F311" s="19" t="n"/>
      <c r="G311" s="19" t="n"/>
      <c r="H311" s="19" t="n"/>
      <c r="I311" s="19" t="n"/>
      <c r="J311" s="19" t="n"/>
      <c r="K311" s="19" t="n"/>
      <c r="L311" s="19" t="n"/>
      <c r="M311" s="130">
        <f>IF($A311="","",AND('Task Finder'!$C$7&lt;&gt;"",OR(ISNUMBER(SEARCH('Task Finder'!$C$7,$A311)),ISNUMBER(SEARCH('Task Finder'!$C$7,$B311)),ISNUMBER(SEARCH('Task Finder'!$C$7,$C311)),ISNUMBER(SEARCH('Task Finder'!$C$7,$D311)),ISNUMBER(SEARCH('Task Finder'!$C$7,$K311)))))</f>
        <v/>
      </c>
    </row>
    <row r="312">
      <c r="A312" s="19" t="n"/>
      <c r="B312" s="19" t="n"/>
      <c r="C312" s="19" t="n"/>
      <c r="D312" s="19" t="n"/>
      <c r="E312" s="19" t="n"/>
      <c r="F312" s="19" t="n"/>
      <c r="G312" s="19" t="n"/>
      <c r="H312" s="19" t="n"/>
      <c r="I312" s="19" t="n"/>
      <c r="J312" s="19" t="n"/>
      <c r="K312" s="19" t="n"/>
      <c r="L312" s="19" t="n"/>
      <c r="M312" s="130">
        <f>IF($A312="","",AND('Task Finder'!$C$7&lt;&gt;"",OR(ISNUMBER(SEARCH('Task Finder'!$C$7,$A312)),ISNUMBER(SEARCH('Task Finder'!$C$7,$B312)),ISNUMBER(SEARCH('Task Finder'!$C$7,$C312)),ISNUMBER(SEARCH('Task Finder'!$C$7,$D312)),ISNUMBER(SEARCH('Task Finder'!$C$7,$K312)))))</f>
        <v/>
      </c>
    </row>
    <row r="313">
      <c r="A313" s="19" t="n"/>
      <c r="B313" s="19" t="n"/>
      <c r="C313" s="19" t="n"/>
      <c r="D313" s="19" t="n"/>
      <c r="E313" s="19" t="n"/>
      <c r="F313" s="19" t="n"/>
      <c r="G313" s="19" t="n"/>
      <c r="H313" s="19" t="n"/>
      <c r="I313" s="19" t="n"/>
      <c r="J313" s="19" t="n"/>
      <c r="K313" s="19" t="n"/>
      <c r="L313" s="19" t="n"/>
      <c r="M313" s="130">
        <f>IF($A313="","",AND('Task Finder'!$C$7&lt;&gt;"",OR(ISNUMBER(SEARCH('Task Finder'!$C$7,$A313)),ISNUMBER(SEARCH('Task Finder'!$C$7,$B313)),ISNUMBER(SEARCH('Task Finder'!$C$7,$C313)),ISNUMBER(SEARCH('Task Finder'!$C$7,$D313)),ISNUMBER(SEARCH('Task Finder'!$C$7,$K313)))))</f>
        <v/>
      </c>
    </row>
    <row r="314">
      <c r="A314" s="19" t="n"/>
      <c r="B314" s="19" t="n"/>
      <c r="C314" s="19" t="n"/>
      <c r="D314" s="19" t="n"/>
      <c r="E314" s="19" t="n"/>
      <c r="F314" s="19" t="n"/>
      <c r="G314" s="19" t="n"/>
      <c r="H314" s="19" t="n"/>
      <c r="I314" s="19" t="n"/>
      <c r="J314" s="19" t="n"/>
      <c r="K314" s="19" t="n"/>
      <c r="L314" s="19" t="n"/>
      <c r="M314" s="130">
        <f>IF($A314="","",AND('Task Finder'!$C$7&lt;&gt;"",OR(ISNUMBER(SEARCH('Task Finder'!$C$7,$A314)),ISNUMBER(SEARCH('Task Finder'!$C$7,$B314)),ISNUMBER(SEARCH('Task Finder'!$C$7,$C314)),ISNUMBER(SEARCH('Task Finder'!$C$7,$D314)),ISNUMBER(SEARCH('Task Finder'!$C$7,$K314)))))</f>
        <v/>
      </c>
    </row>
    <row r="315">
      <c r="A315" s="19" t="n"/>
      <c r="B315" s="19" t="n"/>
      <c r="C315" s="19" t="n"/>
      <c r="D315" s="19" t="n"/>
      <c r="E315" s="19" t="n"/>
      <c r="F315" s="19" t="n"/>
      <c r="G315" s="19" t="n"/>
      <c r="H315" s="19" t="n"/>
      <c r="I315" s="19" t="n"/>
      <c r="J315" s="19" t="n"/>
      <c r="K315" s="19" t="n"/>
      <c r="L315" s="19" t="n"/>
      <c r="M315" s="130">
        <f>IF($A315="","",AND('Task Finder'!$C$7&lt;&gt;"",OR(ISNUMBER(SEARCH('Task Finder'!$C$7,$A315)),ISNUMBER(SEARCH('Task Finder'!$C$7,$B315)),ISNUMBER(SEARCH('Task Finder'!$C$7,$C315)),ISNUMBER(SEARCH('Task Finder'!$C$7,$D315)),ISNUMBER(SEARCH('Task Finder'!$C$7,$K315)))))</f>
        <v/>
      </c>
    </row>
    <row r="316">
      <c r="A316" s="19" t="n"/>
      <c r="B316" s="19" t="n"/>
      <c r="C316" s="19" t="n"/>
      <c r="D316" s="19" t="n"/>
      <c r="E316" s="19" t="n"/>
      <c r="F316" s="19" t="n"/>
      <c r="G316" s="19" t="n"/>
      <c r="H316" s="19" t="n"/>
      <c r="I316" s="19" t="n"/>
      <c r="J316" s="19" t="n"/>
      <c r="K316" s="19" t="n"/>
      <c r="L316" s="19" t="n"/>
      <c r="M316" s="130">
        <f>IF($A316="","",AND('Task Finder'!$C$7&lt;&gt;"",OR(ISNUMBER(SEARCH('Task Finder'!$C$7,$A316)),ISNUMBER(SEARCH('Task Finder'!$C$7,$B316)),ISNUMBER(SEARCH('Task Finder'!$C$7,$C316)),ISNUMBER(SEARCH('Task Finder'!$C$7,$D316)),ISNUMBER(SEARCH('Task Finder'!$C$7,$K316)))))</f>
        <v/>
      </c>
    </row>
    <row r="317">
      <c r="A317" s="19" t="n"/>
      <c r="B317" s="19" t="n"/>
      <c r="C317" s="19" t="n"/>
      <c r="D317" s="19" t="n"/>
      <c r="E317" s="19" t="n"/>
      <c r="F317" s="19" t="n"/>
      <c r="G317" s="19" t="n"/>
      <c r="H317" s="19" t="n"/>
      <c r="I317" s="19" t="n"/>
      <c r="J317" s="19" t="n"/>
      <c r="K317" s="19" t="n"/>
      <c r="L317" s="19" t="n"/>
      <c r="M317" s="130">
        <f>IF($A317="","",AND('Task Finder'!$C$7&lt;&gt;"",OR(ISNUMBER(SEARCH('Task Finder'!$C$7,$A317)),ISNUMBER(SEARCH('Task Finder'!$C$7,$B317)),ISNUMBER(SEARCH('Task Finder'!$C$7,$C317)),ISNUMBER(SEARCH('Task Finder'!$C$7,$D317)),ISNUMBER(SEARCH('Task Finder'!$C$7,$K317)))))</f>
        <v/>
      </c>
    </row>
    <row r="318">
      <c r="A318" s="19" t="n"/>
      <c r="B318" s="19" t="n"/>
      <c r="C318" s="19" t="n"/>
      <c r="D318" s="19" t="n"/>
      <c r="E318" s="19" t="n"/>
      <c r="F318" s="19" t="n"/>
      <c r="G318" s="19" t="n"/>
      <c r="H318" s="19" t="n"/>
      <c r="I318" s="19" t="n"/>
      <c r="J318" s="19" t="n"/>
      <c r="K318" s="19" t="n"/>
      <c r="L318" s="19" t="n"/>
      <c r="M318" s="130">
        <f>IF($A318="","",AND('Task Finder'!$C$7&lt;&gt;"",OR(ISNUMBER(SEARCH('Task Finder'!$C$7,$A318)),ISNUMBER(SEARCH('Task Finder'!$C$7,$B318)),ISNUMBER(SEARCH('Task Finder'!$C$7,$C318)),ISNUMBER(SEARCH('Task Finder'!$C$7,$D318)),ISNUMBER(SEARCH('Task Finder'!$C$7,$K318)))))</f>
        <v/>
      </c>
    </row>
    <row r="319">
      <c r="A319" s="19" t="n"/>
      <c r="B319" s="19" t="n"/>
      <c r="C319" s="19" t="n"/>
      <c r="D319" s="19" t="n"/>
      <c r="E319" s="19" t="n"/>
      <c r="F319" s="19" t="n"/>
      <c r="G319" s="19" t="n"/>
      <c r="H319" s="19" t="n"/>
      <c r="I319" s="19" t="n"/>
      <c r="J319" s="19" t="n"/>
      <c r="K319" s="19" t="n"/>
      <c r="L319" s="19" t="n"/>
      <c r="M319" s="130">
        <f>IF($A319="","",AND('Task Finder'!$C$7&lt;&gt;"",OR(ISNUMBER(SEARCH('Task Finder'!$C$7,$A319)),ISNUMBER(SEARCH('Task Finder'!$C$7,$B319)),ISNUMBER(SEARCH('Task Finder'!$C$7,$C319)),ISNUMBER(SEARCH('Task Finder'!$C$7,$D319)),ISNUMBER(SEARCH('Task Finder'!$C$7,$K319)))))</f>
        <v/>
      </c>
    </row>
    <row r="320">
      <c r="A320" s="19" t="n"/>
      <c r="B320" s="19" t="n"/>
      <c r="C320" s="19" t="n"/>
      <c r="D320" s="19" t="n"/>
      <c r="E320" s="19" t="n"/>
      <c r="F320" s="19" t="n"/>
      <c r="G320" s="19" t="n"/>
      <c r="H320" s="19" t="n"/>
      <c r="I320" s="19" t="n"/>
      <c r="J320" s="19" t="n"/>
      <c r="K320" s="19" t="n"/>
      <c r="L320" s="19" t="n"/>
      <c r="M320" s="130">
        <f>IF($A320="","",AND('Task Finder'!$C$7&lt;&gt;"",OR(ISNUMBER(SEARCH('Task Finder'!$C$7,$A320)),ISNUMBER(SEARCH('Task Finder'!$C$7,$B320)),ISNUMBER(SEARCH('Task Finder'!$C$7,$C320)),ISNUMBER(SEARCH('Task Finder'!$C$7,$D320)),ISNUMBER(SEARCH('Task Finder'!$C$7,$K320)))))</f>
        <v/>
      </c>
    </row>
    <row r="321">
      <c r="A321" s="19" t="n"/>
      <c r="B321" s="19" t="n"/>
      <c r="C321" s="19" t="n"/>
      <c r="D321" s="19" t="n"/>
      <c r="E321" s="19" t="n"/>
      <c r="F321" s="19" t="n"/>
      <c r="G321" s="19" t="n"/>
      <c r="H321" s="19" t="n"/>
      <c r="I321" s="19" t="n"/>
      <c r="J321" s="19" t="n"/>
      <c r="K321" s="19" t="n"/>
      <c r="L321" s="19" t="n"/>
      <c r="M321" s="130">
        <f>IF($A321="","",AND('Task Finder'!$C$7&lt;&gt;"",OR(ISNUMBER(SEARCH('Task Finder'!$C$7,$A321)),ISNUMBER(SEARCH('Task Finder'!$C$7,$B321)),ISNUMBER(SEARCH('Task Finder'!$C$7,$C321)),ISNUMBER(SEARCH('Task Finder'!$C$7,$D321)),ISNUMBER(SEARCH('Task Finder'!$C$7,$K321)))))</f>
        <v/>
      </c>
    </row>
    <row r="322">
      <c r="A322" s="19" t="n"/>
      <c r="B322" s="19" t="n"/>
      <c r="C322" s="19" t="n"/>
      <c r="D322" s="19" t="n"/>
      <c r="E322" s="19" t="n"/>
      <c r="F322" s="19" t="n"/>
      <c r="G322" s="19" t="n"/>
      <c r="H322" s="19" t="n"/>
      <c r="I322" s="19" t="n"/>
      <c r="J322" s="19" t="n"/>
      <c r="K322" s="19" t="n"/>
      <c r="L322" s="19" t="n"/>
      <c r="M322" s="130">
        <f>IF($A322="","",AND('Task Finder'!$C$7&lt;&gt;"",OR(ISNUMBER(SEARCH('Task Finder'!$C$7,$A322)),ISNUMBER(SEARCH('Task Finder'!$C$7,$B322)),ISNUMBER(SEARCH('Task Finder'!$C$7,$C322)),ISNUMBER(SEARCH('Task Finder'!$C$7,$D322)),ISNUMBER(SEARCH('Task Finder'!$C$7,$K322)))))</f>
        <v/>
      </c>
    </row>
    <row r="323">
      <c r="A323" s="19" t="n"/>
      <c r="B323" s="19" t="n"/>
      <c r="C323" s="19" t="n"/>
      <c r="D323" s="19" t="n"/>
      <c r="E323" s="19" t="n"/>
      <c r="F323" s="19" t="n"/>
      <c r="G323" s="19" t="n"/>
      <c r="H323" s="19" t="n"/>
      <c r="I323" s="19" t="n"/>
      <c r="J323" s="19" t="n"/>
      <c r="K323" s="19" t="n"/>
      <c r="L323" s="19" t="n"/>
      <c r="M323" s="130">
        <f>IF($A323="","",AND('Task Finder'!$C$7&lt;&gt;"",OR(ISNUMBER(SEARCH('Task Finder'!$C$7,$A323)),ISNUMBER(SEARCH('Task Finder'!$C$7,$B323)),ISNUMBER(SEARCH('Task Finder'!$C$7,$C323)),ISNUMBER(SEARCH('Task Finder'!$C$7,$D323)),ISNUMBER(SEARCH('Task Finder'!$C$7,$K323)))))</f>
        <v/>
      </c>
    </row>
    <row r="324">
      <c r="A324" s="19" t="n"/>
      <c r="B324" s="19" t="n"/>
      <c r="C324" s="19" t="n"/>
      <c r="D324" s="19" t="n"/>
      <c r="E324" s="19" t="n"/>
      <c r="F324" s="19" t="n"/>
      <c r="G324" s="19" t="n"/>
      <c r="H324" s="19" t="n"/>
      <c r="I324" s="19" t="n"/>
      <c r="J324" s="19" t="n"/>
      <c r="K324" s="19" t="n"/>
      <c r="L324" s="19" t="n"/>
      <c r="M324" s="130">
        <f>IF($A324="","",AND('Task Finder'!$C$7&lt;&gt;"",OR(ISNUMBER(SEARCH('Task Finder'!$C$7,$A324)),ISNUMBER(SEARCH('Task Finder'!$C$7,$B324)),ISNUMBER(SEARCH('Task Finder'!$C$7,$C324)),ISNUMBER(SEARCH('Task Finder'!$C$7,$D324)),ISNUMBER(SEARCH('Task Finder'!$C$7,$K324)))))</f>
        <v/>
      </c>
    </row>
    <row r="325">
      <c r="A325" s="19" t="n"/>
      <c r="B325" s="19" t="n"/>
      <c r="C325" s="19" t="n"/>
      <c r="D325" s="19" t="n"/>
      <c r="E325" s="19" t="n"/>
      <c r="F325" s="19" t="n"/>
      <c r="G325" s="19" t="n"/>
      <c r="H325" s="19" t="n"/>
      <c r="I325" s="19" t="n"/>
      <c r="J325" s="19" t="n"/>
      <c r="K325" s="19" t="n"/>
      <c r="L325" s="19" t="n"/>
      <c r="M325" s="130">
        <f>IF($A325="","",AND('Task Finder'!$C$7&lt;&gt;"",OR(ISNUMBER(SEARCH('Task Finder'!$C$7,$A325)),ISNUMBER(SEARCH('Task Finder'!$C$7,$B325)),ISNUMBER(SEARCH('Task Finder'!$C$7,$C325)),ISNUMBER(SEARCH('Task Finder'!$C$7,$D325)),ISNUMBER(SEARCH('Task Finder'!$C$7,$K325)))))</f>
        <v/>
      </c>
    </row>
    <row r="326">
      <c r="A326" s="19" t="n"/>
      <c r="B326" s="19" t="n"/>
      <c r="C326" s="19" t="n"/>
      <c r="D326" s="19" t="n"/>
      <c r="E326" s="19" t="n"/>
      <c r="F326" s="19" t="n"/>
      <c r="G326" s="19" t="n"/>
      <c r="H326" s="19" t="n"/>
      <c r="I326" s="19" t="n"/>
      <c r="J326" s="19" t="n"/>
      <c r="K326" s="19" t="n"/>
      <c r="L326" s="19" t="n"/>
      <c r="M326" s="130">
        <f>IF($A326="","",AND('Task Finder'!$C$7&lt;&gt;"",OR(ISNUMBER(SEARCH('Task Finder'!$C$7,$A326)),ISNUMBER(SEARCH('Task Finder'!$C$7,$B326)),ISNUMBER(SEARCH('Task Finder'!$C$7,$C326)),ISNUMBER(SEARCH('Task Finder'!$C$7,$D326)),ISNUMBER(SEARCH('Task Finder'!$C$7,$K326)))))</f>
        <v/>
      </c>
    </row>
    <row r="327">
      <c r="A327" s="19" t="n"/>
      <c r="B327" s="19" t="n"/>
      <c r="C327" s="19" t="n"/>
      <c r="D327" s="19" t="n"/>
      <c r="E327" s="19" t="n"/>
      <c r="F327" s="19" t="n"/>
      <c r="G327" s="19" t="n"/>
      <c r="H327" s="19" t="n"/>
      <c r="I327" s="19" t="n"/>
      <c r="J327" s="19" t="n"/>
      <c r="K327" s="19" t="n"/>
      <c r="L327" s="19" t="n"/>
      <c r="M327" s="130">
        <f>IF($A327="","",AND('Task Finder'!$C$7&lt;&gt;"",OR(ISNUMBER(SEARCH('Task Finder'!$C$7,$A327)),ISNUMBER(SEARCH('Task Finder'!$C$7,$B327)),ISNUMBER(SEARCH('Task Finder'!$C$7,$C327)),ISNUMBER(SEARCH('Task Finder'!$C$7,$D327)),ISNUMBER(SEARCH('Task Finder'!$C$7,$K327)))))</f>
        <v/>
      </c>
    </row>
    <row r="328">
      <c r="A328" s="19" t="n"/>
      <c r="B328" s="19" t="n"/>
      <c r="C328" s="19" t="n"/>
      <c r="D328" s="19" t="n"/>
      <c r="E328" s="19" t="n"/>
      <c r="F328" s="19" t="n"/>
      <c r="G328" s="19" t="n"/>
      <c r="H328" s="19" t="n"/>
      <c r="I328" s="19" t="n"/>
      <c r="J328" s="19" t="n"/>
      <c r="K328" s="19" t="n"/>
      <c r="L328" s="19" t="n"/>
      <c r="M328" s="130">
        <f>IF($A328="","",AND('Task Finder'!$C$7&lt;&gt;"",OR(ISNUMBER(SEARCH('Task Finder'!$C$7,$A328)),ISNUMBER(SEARCH('Task Finder'!$C$7,$B328)),ISNUMBER(SEARCH('Task Finder'!$C$7,$C328)),ISNUMBER(SEARCH('Task Finder'!$C$7,$D328)),ISNUMBER(SEARCH('Task Finder'!$C$7,$K328)))))</f>
        <v/>
      </c>
    </row>
    <row r="329">
      <c r="A329" s="19" t="n"/>
      <c r="B329" s="19" t="n"/>
      <c r="C329" s="19" t="n"/>
      <c r="D329" s="19" t="n"/>
      <c r="E329" s="19" t="n"/>
      <c r="F329" s="19" t="n"/>
      <c r="G329" s="19" t="n"/>
      <c r="H329" s="19" t="n"/>
      <c r="I329" s="19" t="n"/>
      <c r="J329" s="19" t="n"/>
      <c r="K329" s="19" t="n"/>
      <c r="L329" s="19" t="n"/>
      <c r="M329" s="130">
        <f>IF($A329="","",AND('Task Finder'!$C$7&lt;&gt;"",OR(ISNUMBER(SEARCH('Task Finder'!$C$7,$A329)),ISNUMBER(SEARCH('Task Finder'!$C$7,$B329)),ISNUMBER(SEARCH('Task Finder'!$C$7,$C329)),ISNUMBER(SEARCH('Task Finder'!$C$7,$D329)),ISNUMBER(SEARCH('Task Finder'!$C$7,$K329)))))</f>
        <v/>
      </c>
    </row>
    <row r="330">
      <c r="A330" s="19" t="n"/>
      <c r="B330" s="19" t="n"/>
      <c r="C330" s="19" t="n"/>
      <c r="D330" s="19" t="n"/>
      <c r="E330" s="19" t="n"/>
      <c r="F330" s="19" t="n"/>
      <c r="G330" s="19" t="n"/>
      <c r="H330" s="19" t="n"/>
      <c r="I330" s="19" t="n"/>
      <c r="J330" s="19" t="n"/>
      <c r="K330" s="19" t="n"/>
      <c r="L330" s="19" t="n"/>
      <c r="M330" s="130">
        <f>IF($A330="","",AND('Task Finder'!$C$7&lt;&gt;"",OR(ISNUMBER(SEARCH('Task Finder'!$C$7,$A330)),ISNUMBER(SEARCH('Task Finder'!$C$7,$B330)),ISNUMBER(SEARCH('Task Finder'!$C$7,$C330)),ISNUMBER(SEARCH('Task Finder'!$C$7,$D330)),ISNUMBER(SEARCH('Task Finder'!$C$7,$K330)))))</f>
        <v/>
      </c>
    </row>
    <row r="331">
      <c r="A331" s="19" t="n"/>
      <c r="B331" s="19" t="n"/>
      <c r="C331" s="19" t="n"/>
      <c r="D331" s="19" t="n"/>
      <c r="E331" s="19" t="n"/>
      <c r="F331" s="19" t="n"/>
      <c r="G331" s="19" t="n"/>
      <c r="H331" s="19" t="n"/>
      <c r="I331" s="19" t="n"/>
      <c r="J331" s="19" t="n"/>
      <c r="K331" s="19" t="n"/>
      <c r="L331" s="19" t="n"/>
      <c r="M331" s="130">
        <f>IF($A331="","",AND('Task Finder'!$C$7&lt;&gt;"",OR(ISNUMBER(SEARCH('Task Finder'!$C$7,$A331)),ISNUMBER(SEARCH('Task Finder'!$C$7,$B331)),ISNUMBER(SEARCH('Task Finder'!$C$7,$C331)),ISNUMBER(SEARCH('Task Finder'!$C$7,$D331)),ISNUMBER(SEARCH('Task Finder'!$C$7,$K331)))))</f>
        <v/>
      </c>
    </row>
    <row r="332">
      <c r="A332" s="19" t="n"/>
      <c r="B332" s="19" t="n"/>
      <c r="C332" s="19" t="n"/>
      <c r="D332" s="19" t="n"/>
      <c r="E332" s="19" t="n"/>
      <c r="F332" s="19" t="n"/>
      <c r="G332" s="19" t="n"/>
      <c r="H332" s="19" t="n"/>
      <c r="I332" s="19" t="n"/>
      <c r="J332" s="19" t="n"/>
      <c r="K332" s="19" t="n"/>
      <c r="L332" s="19" t="n"/>
      <c r="M332" s="130">
        <f>IF($A332="","",AND('Task Finder'!$C$7&lt;&gt;"",OR(ISNUMBER(SEARCH('Task Finder'!$C$7,$A332)),ISNUMBER(SEARCH('Task Finder'!$C$7,$B332)),ISNUMBER(SEARCH('Task Finder'!$C$7,$C332)),ISNUMBER(SEARCH('Task Finder'!$C$7,$D332)),ISNUMBER(SEARCH('Task Finder'!$C$7,$K332)))))</f>
        <v/>
      </c>
    </row>
    <row r="333">
      <c r="A333" s="19" t="n"/>
      <c r="B333" s="19" t="n"/>
      <c r="C333" s="19" t="n"/>
      <c r="D333" s="19" t="n"/>
      <c r="E333" s="19" t="n"/>
      <c r="F333" s="19" t="n"/>
      <c r="G333" s="19" t="n"/>
      <c r="H333" s="19" t="n"/>
      <c r="I333" s="19" t="n"/>
      <c r="J333" s="19" t="n"/>
      <c r="K333" s="19" t="n"/>
      <c r="L333" s="19" t="n"/>
      <c r="M333" s="130">
        <f>IF($A333="","",AND('Task Finder'!$C$7&lt;&gt;"",OR(ISNUMBER(SEARCH('Task Finder'!$C$7,$A333)),ISNUMBER(SEARCH('Task Finder'!$C$7,$B333)),ISNUMBER(SEARCH('Task Finder'!$C$7,$C333)),ISNUMBER(SEARCH('Task Finder'!$C$7,$D333)),ISNUMBER(SEARCH('Task Finder'!$C$7,$K333)))))</f>
        <v/>
      </c>
    </row>
    <row r="334">
      <c r="A334" s="19" t="n"/>
      <c r="B334" s="19" t="n"/>
      <c r="C334" s="19" t="n"/>
      <c r="D334" s="19" t="n"/>
      <c r="E334" s="19" t="n"/>
      <c r="F334" s="19" t="n"/>
      <c r="G334" s="19" t="n"/>
      <c r="H334" s="19" t="n"/>
      <c r="I334" s="19" t="n"/>
      <c r="J334" s="19" t="n"/>
      <c r="K334" s="19" t="n"/>
      <c r="L334" s="19" t="n"/>
      <c r="M334" s="130">
        <f>IF($A334="","",AND('Task Finder'!$C$7&lt;&gt;"",OR(ISNUMBER(SEARCH('Task Finder'!$C$7,$A334)),ISNUMBER(SEARCH('Task Finder'!$C$7,$B334)),ISNUMBER(SEARCH('Task Finder'!$C$7,$C334)),ISNUMBER(SEARCH('Task Finder'!$C$7,$D334)),ISNUMBER(SEARCH('Task Finder'!$C$7,$K334)))))</f>
        <v/>
      </c>
    </row>
    <row r="335">
      <c r="A335" s="19" t="n"/>
      <c r="B335" s="19" t="n"/>
      <c r="C335" s="19" t="n"/>
      <c r="D335" s="19" t="n"/>
      <c r="E335" s="19" t="n"/>
      <c r="F335" s="19" t="n"/>
      <c r="G335" s="19" t="n"/>
      <c r="H335" s="19" t="n"/>
      <c r="I335" s="19" t="n"/>
      <c r="J335" s="19" t="n"/>
      <c r="K335" s="19" t="n"/>
      <c r="L335" s="19" t="n"/>
      <c r="M335" s="130">
        <f>IF($A335="","",AND('Task Finder'!$C$7&lt;&gt;"",OR(ISNUMBER(SEARCH('Task Finder'!$C$7,$A335)),ISNUMBER(SEARCH('Task Finder'!$C$7,$B335)),ISNUMBER(SEARCH('Task Finder'!$C$7,$C335)),ISNUMBER(SEARCH('Task Finder'!$C$7,$D335)),ISNUMBER(SEARCH('Task Finder'!$C$7,$K335)))))</f>
        <v/>
      </c>
    </row>
    <row r="336">
      <c r="A336" s="19" t="n"/>
      <c r="B336" s="19" t="n"/>
      <c r="C336" s="19" t="n"/>
      <c r="D336" s="19" t="n"/>
      <c r="E336" s="19" t="n"/>
      <c r="F336" s="19" t="n"/>
      <c r="G336" s="19" t="n"/>
      <c r="H336" s="19" t="n"/>
      <c r="I336" s="19" t="n"/>
      <c r="J336" s="19" t="n"/>
      <c r="K336" s="19" t="n"/>
      <c r="L336" s="19" t="n"/>
      <c r="M336" s="130">
        <f>IF($A336="","",AND('Task Finder'!$C$7&lt;&gt;"",OR(ISNUMBER(SEARCH('Task Finder'!$C$7,$A336)),ISNUMBER(SEARCH('Task Finder'!$C$7,$B336)),ISNUMBER(SEARCH('Task Finder'!$C$7,$C336)),ISNUMBER(SEARCH('Task Finder'!$C$7,$D336)),ISNUMBER(SEARCH('Task Finder'!$C$7,$K336)))))</f>
        <v/>
      </c>
    </row>
    <row r="337">
      <c r="A337" s="19" t="n"/>
      <c r="B337" s="19" t="n"/>
      <c r="C337" s="19" t="n"/>
      <c r="D337" s="19" t="n"/>
      <c r="E337" s="19" t="n"/>
      <c r="F337" s="19" t="n"/>
      <c r="G337" s="19" t="n"/>
      <c r="H337" s="19" t="n"/>
      <c r="I337" s="19" t="n"/>
      <c r="J337" s="19" t="n"/>
      <c r="K337" s="19" t="n"/>
      <c r="L337" s="19" t="n"/>
      <c r="M337" s="130">
        <f>IF($A337="","",AND('Task Finder'!$C$7&lt;&gt;"",OR(ISNUMBER(SEARCH('Task Finder'!$C$7,$A337)),ISNUMBER(SEARCH('Task Finder'!$C$7,$B337)),ISNUMBER(SEARCH('Task Finder'!$C$7,$C337)),ISNUMBER(SEARCH('Task Finder'!$C$7,$D337)),ISNUMBER(SEARCH('Task Finder'!$C$7,$K337)))))</f>
        <v/>
      </c>
    </row>
    <row r="338">
      <c r="A338" s="19" t="n"/>
      <c r="B338" s="19" t="n"/>
      <c r="C338" s="19" t="n"/>
      <c r="D338" s="19" t="n"/>
      <c r="E338" s="19" t="n"/>
      <c r="F338" s="19" t="n"/>
      <c r="G338" s="19" t="n"/>
      <c r="H338" s="19" t="n"/>
      <c r="I338" s="19" t="n"/>
      <c r="J338" s="19" t="n"/>
      <c r="K338" s="19" t="n"/>
      <c r="L338" s="19" t="n"/>
      <c r="M338" s="130">
        <f>IF($A338="","",AND('Task Finder'!$C$7&lt;&gt;"",OR(ISNUMBER(SEARCH('Task Finder'!$C$7,$A338)),ISNUMBER(SEARCH('Task Finder'!$C$7,$B338)),ISNUMBER(SEARCH('Task Finder'!$C$7,$C338)),ISNUMBER(SEARCH('Task Finder'!$C$7,$D338)),ISNUMBER(SEARCH('Task Finder'!$C$7,$K338)))))</f>
        <v/>
      </c>
    </row>
    <row r="339">
      <c r="A339" s="19" t="n"/>
      <c r="B339" s="19" t="n"/>
      <c r="C339" s="19" t="n"/>
      <c r="D339" s="19" t="n"/>
      <c r="E339" s="19" t="n"/>
      <c r="F339" s="19" t="n"/>
      <c r="G339" s="19" t="n"/>
      <c r="H339" s="19" t="n"/>
      <c r="I339" s="19" t="n"/>
      <c r="J339" s="19" t="n"/>
      <c r="K339" s="19" t="n"/>
      <c r="L339" s="19" t="n"/>
      <c r="M339" s="130">
        <f>IF($A339="","",AND('Task Finder'!$C$7&lt;&gt;"",OR(ISNUMBER(SEARCH('Task Finder'!$C$7,$A339)),ISNUMBER(SEARCH('Task Finder'!$C$7,$B339)),ISNUMBER(SEARCH('Task Finder'!$C$7,$C339)),ISNUMBER(SEARCH('Task Finder'!$C$7,$D339)),ISNUMBER(SEARCH('Task Finder'!$C$7,$K339)))))</f>
        <v/>
      </c>
    </row>
    <row r="340">
      <c r="A340" s="19" t="n"/>
      <c r="B340" s="19" t="n"/>
      <c r="C340" s="19" t="n"/>
      <c r="D340" s="19" t="n"/>
      <c r="E340" s="19" t="n"/>
      <c r="F340" s="19" t="n"/>
      <c r="G340" s="19" t="n"/>
      <c r="H340" s="19" t="n"/>
      <c r="I340" s="19" t="n"/>
      <c r="J340" s="19" t="n"/>
      <c r="K340" s="19" t="n"/>
      <c r="L340" s="19" t="n"/>
      <c r="M340" s="130">
        <f>IF($A340="","",AND('Task Finder'!$C$7&lt;&gt;"",OR(ISNUMBER(SEARCH('Task Finder'!$C$7,$A340)),ISNUMBER(SEARCH('Task Finder'!$C$7,$B340)),ISNUMBER(SEARCH('Task Finder'!$C$7,$C340)),ISNUMBER(SEARCH('Task Finder'!$C$7,$D340)),ISNUMBER(SEARCH('Task Finder'!$C$7,$K340)))))</f>
        <v/>
      </c>
    </row>
    <row r="341">
      <c r="A341" s="19" t="n"/>
      <c r="B341" s="19" t="n"/>
      <c r="C341" s="19" t="n"/>
      <c r="D341" s="19" t="n"/>
      <c r="E341" s="19" t="n"/>
      <c r="F341" s="19" t="n"/>
      <c r="G341" s="19" t="n"/>
      <c r="H341" s="19" t="n"/>
      <c r="I341" s="19" t="n"/>
      <c r="J341" s="19" t="n"/>
      <c r="K341" s="19" t="n"/>
      <c r="L341" s="19" t="n"/>
      <c r="M341" s="130">
        <f>IF($A341="","",AND('Task Finder'!$C$7&lt;&gt;"",OR(ISNUMBER(SEARCH('Task Finder'!$C$7,$A341)),ISNUMBER(SEARCH('Task Finder'!$C$7,$B341)),ISNUMBER(SEARCH('Task Finder'!$C$7,$C341)),ISNUMBER(SEARCH('Task Finder'!$C$7,$D341)),ISNUMBER(SEARCH('Task Finder'!$C$7,$K341)))))</f>
        <v/>
      </c>
    </row>
    <row r="342">
      <c r="A342" s="19" t="n"/>
      <c r="B342" s="19" t="n"/>
      <c r="C342" s="19" t="n"/>
      <c r="D342" s="19" t="n"/>
      <c r="E342" s="19" t="n"/>
      <c r="F342" s="19" t="n"/>
      <c r="G342" s="19" t="n"/>
      <c r="H342" s="19" t="n"/>
      <c r="I342" s="19" t="n"/>
      <c r="J342" s="19" t="n"/>
      <c r="K342" s="19" t="n"/>
      <c r="L342" s="19" t="n"/>
      <c r="M342" s="130">
        <f>IF($A342="","",AND('Task Finder'!$C$7&lt;&gt;"",OR(ISNUMBER(SEARCH('Task Finder'!$C$7,$A342)),ISNUMBER(SEARCH('Task Finder'!$C$7,$B342)),ISNUMBER(SEARCH('Task Finder'!$C$7,$C342)),ISNUMBER(SEARCH('Task Finder'!$C$7,$D342)),ISNUMBER(SEARCH('Task Finder'!$C$7,$K342)))))</f>
        <v/>
      </c>
    </row>
    <row r="343">
      <c r="A343" s="19" t="n"/>
      <c r="B343" s="19" t="n"/>
      <c r="C343" s="19" t="n"/>
      <c r="D343" s="19" t="n"/>
      <c r="E343" s="19" t="n"/>
      <c r="F343" s="19" t="n"/>
      <c r="G343" s="19" t="n"/>
      <c r="H343" s="19" t="n"/>
      <c r="I343" s="19" t="n"/>
      <c r="J343" s="19" t="n"/>
      <c r="K343" s="19" t="n"/>
      <c r="L343" s="19" t="n"/>
      <c r="M343" s="130">
        <f>IF($A343="","",AND('Task Finder'!$C$7&lt;&gt;"",OR(ISNUMBER(SEARCH('Task Finder'!$C$7,$A343)),ISNUMBER(SEARCH('Task Finder'!$C$7,$B343)),ISNUMBER(SEARCH('Task Finder'!$C$7,$C343)),ISNUMBER(SEARCH('Task Finder'!$C$7,$D343)),ISNUMBER(SEARCH('Task Finder'!$C$7,$K343)))))</f>
        <v/>
      </c>
    </row>
    <row r="344">
      <c r="A344" s="19" t="n"/>
      <c r="B344" s="19" t="n"/>
      <c r="C344" s="19" t="n"/>
      <c r="D344" s="19" t="n"/>
      <c r="E344" s="19" t="n"/>
      <c r="F344" s="19" t="n"/>
      <c r="G344" s="19" t="n"/>
      <c r="H344" s="19" t="n"/>
      <c r="I344" s="19" t="n"/>
      <c r="J344" s="19" t="n"/>
      <c r="K344" s="19" t="n"/>
      <c r="L344" s="19" t="n"/>
      <c r="M344" s="130">
        <f>IF($A344="","",AND('Task Finder'!$C$7&lt;&gt;"",OR(ISNUMBER(SEARCH('Task Finder'!$C$7,$A344)),ISNUMBER(SEARCH('Task Finder'!$C$7,$B344)),ISNUMBER(SEARCH('Task Finder'!$C$7,$C344)),ISNUMBER(SEARCH('Task Finder'!$C$7,$D344)),ISNUMBER(SEARCH('Task Finder'!$C$7,$K344)))))</f>
        <v/>
      </c>
    </row>
    <row r="345">
      <c r="A345" s="19" t="n"/>
      <c r="B345" s="19" t="n"/>
      <c r="C345" s="19" t="n"/>
      <c r="D345" s="19" t="n"/>
      <c r="E345" s="19" t="n"/>
      <c r="F345" s="19" t="n"/>
      <c r="G345" s="19" t="n"/>
      <c r="H345" s="19" t="n"/>
      <c r="I345" s="19" t="n"/>
      <c r="J345" s="19" t="n"/>
      <c r="K345" s="19" t="n"/>
      <c r="L345" s="19" t="n"/>
      <c r="M345" s="130">
        <f>IF($A345="","",AND('Task Finder'!$C$7&lt;&gt;"",OR(ISNUMBER(SEARCH('Task Finder'!$C$7,$A345)),ISNUMBER(SEARCH('Task Finder'!$C$7,$B345)),ISNUMBER(SEARCH('Task Finder'!$C$7,$C345)),ISNUMBER(SEARCH('Task Finder'!$C$7,$D345)),ISNUMBER(SEARCH('Task Finder'!$C$7,$K345)))))</f>
        <v/>
      </c>
    </row>
    <row r="346">
      <c r="A346" s="19" t="n"/>
      <c r="B346" s="19" t="n"/>
      <c r="C346" s="19" t="n"/>
      <c r="D346" s="19" t="n"/>
      <c r="E346" s="19" t="n"/>
      <c r="F346" s="19" t="n"/>
      <c r="G346" s="19" t="n"/>
      <c r="H346" s="19" t="n"/>
      <c r="I346" s="19" t="n"/>
      <c r="J346" s="19" t="n"/>
      <c r="K346" s="19" t="n"/>
      <c r="L346" s="19" t="n"/>
      <c r="M346" s="130">
        <f>IF($A346="","",AND('Task Finder'!$C$7&lt;&gt;"",OR(ISNUMBER(SEARCH('Task Finder'!$C$7,$A346)),ISNUMBER(SEARCH('Task Finder'!$C$7,$B346)),ISNUMBER(SEARCH('Task Finder'!$C$7,$C346)),ISNUMBER(SEARCH('Task Finder'!$C$7,$D346)),ISNUMBER(SEARCH('Task Finder'!$C$7,$K346)))))</f>
        <v/>
      </c>
    </row>
    <row r="347">
      <c r="A347" s="19" t="n"/>
      <c r="B347" s="19" t="n"/>
      <c r="C347" s="19" t="n"/>
      <c r="D347" s="19" t="n"/>
      <c r="E347" s="19" t="n"/>
      <c r="F347" s="19" t="n"/>
      <c r="G347" s="19" t="n"/>
      <c r="H347" s="19" t="n"/>
      <c r="I347" s="19" t="n"/>
      <c r="J347" s="19" t="n"/>
      <c r="K347" s="19" t="n"/>
      <c r="L347" s="19" t="n"/>
      <c r="M347" s="130">
        <f>IF($A347="","",AND('Task Finder'!$C$7&lt;&gt;"",OR(ISNUMBER(SEARCH('Task Finder'!$C$7,$A347)),ISNUMBER(SEARCH('Task Finder'!$C$7,$B347)),ISNUMBER(SEARCH('Task Finder'!$C$7,$C347)),ISNUMBER(SEARCH('Task Finder'!$C$7,$D347)),ISNUMBER(SEARCH('Task Finder'!$C$7,$K347)))))</f>
        <v/>
      </c>
    </row>
    <row r="348">
      <c r="A348" s="19" t="n"/>
      <c r="B348" s="19" t="n"/>
      <c r="C348" s="19" t="n"/>
      <c r="D348" s="19" t="n"/>
      <c r="E348" s="19" t="n"/>
      <c r="F348" s="19" t="n"/>
      <c r="G348" s="19" t="n"/>
      <c r="H348" s="19" t="n"/>
      <c r="I348" s="19" t="n"/>
      <c r="J348" s="19" t="n"/>
      <c r="K348" s="19" t="n"/>
      <c r="L348" s="19" t="n"/>
      <c r="M348" s="130">
        <f>IF($A348="","",AND('Task Finder'!$C$7&lt;&gt;"",OR(ISNUMBER(SEARCH('Task Finder'!$C$7,$A348)),ISNUMBER(SEARCH('Task Finder'!$C$7,$B348)),ISNUMBER(SEARCH('Task Finder'!$C$7,$C348)),ISNUMBER(SEARCH('Task Finder'!$C$7,$D348)),ISNUMBER(SEARCH('Task Finder'!$C$7,$K348)))))</f>
        <v/>
      </c>
    </row>
    <row r="349">
      <c r="A349" s="19" t="n"/>
      <c r="B349" s="19" t="n"/>
      <c r="C349" s="19" t="n"/>
      <c r="D349" s="19" t="n"/>
      <c r="E349" s="19" t="n"/>
      <c r="F349" s="19" t="n"/>
      <c r="G349" s="19" t="n"/>
      <c r="H349" s="19" t="n"/>
      <c r="I349" s="19" t="n"/>
      <c r="J349" s="19" t="n"/>
      <c r="K349" s="19" t="n"/>
      <c r="L349" s="19" t="n"/>
      <c r="M349" s="130">
        <f>IF($A349="","",AND('Task Finder'!$C$7&lt;&gt;"",OR(ISNUMBER(SEARCH('Task Finder'!$C$7,$A349)),ISNUMBER(SEARCH('Task Finder'!$C$7,$B349)),ISNUMBER(SEARCH('Task Finder'!$C$7,$C349)),ISNUMBER(SEARCH('Task Finder'!$C$7,$D349)),ISNUMBER(SEARCH('Task Finder'!$C$7,$K349)))))</f>
        <v/>
      </c>
    </row>
    <row r="350">
      <c r="A350" s="19" t="n"/>
      <c r="B350" s="19" t="n"/>
      <c r="C350" s="19" t="n"/>
      <c r="D350" s="19" t="n"/>
      <c r="E350" s="19" t="n"/>
      <c r="F350" s="19" t="n"/>
      <c r="G350" s="19" t="n"/>
      <c r="H350" s="19" t="n"/>
      <c r="I350" s="19" t="n"/>
      <c r="J350" s="19" t="n"/>
      <c r="K350" s="19" t="n"/>
      <c r="L350" s="19" t="n"/>
      <c r="M350" s="130">
        <f>IF($A350="","",AND('Task Finder'!$C$7&lt;&gt;"",OR(ISNUMBER(SEARCH('Task Finder'!$C$7,$A350)),ISNUMBER(SEARCH('Task Finder'!$C$7,$B350)),ISNUMBER(SEARCH('Task Finder'!$C$7,$C350)),ISNUMBER(SEARCH('Task Finder'!$C$7,$D350)),ISNUMBER(SEARCH('Task Finder'!$C$7,$K350)))))</f>
        <v/>
      </c>
    </row>
    <row r="351">
      <c r="A351" s="19" t="n"/>
      <c r="B351" s="19" t="n"/>
      <c r="C351" s="19" t="n"/>
      <c r="D351" s="19" t="n"/>
      <c r="E351" s="19" t="n"/>
      <c r="F351" s="19" t="n"/>
      <c r="G351" s="19" t="n"/>
      <c r="H351" s="19" t="n"/>
      <c r="I351" s="19" t="n"/>
      <c r="J351" s="19" t="n"/>
      <c r="K351" s="19" t="n"/>
      <c r="L351" s="19" t="n"/>
      <c r="M351" s="130">
        <f>IF($A351="","",AND('Task Finder'!$C$7&lt;&gt;"",OR(ISNUMBER(SEARCH('Task Finder'!$C$7,$A351)),ISNUMBER(SEARCH('Task Finder'!$C$7,$B351)),ISNUMBER(SEARCH('Task Finder'!$C$7,$C351)),ISNUMBER(SEARCH('Task Finder'!$C$7,$D351)),ISNUMBER(SEARCH('Task Finder'!$C$7,$K351)))))</f>
        <v/>
      </c>
    </row>
    <row r="352">
      <c r="A352" s="19" t="n"/>
      <c r="B352" s="19" t="n"/>
      <c r="C352" s="19" t="n"/>
      <c r="D352" s="19" t="n"/>
      <c r="E352" s="19" t="n"/>
      <c r="F352" s="19" t="n"/>
      <c r="G352" s="19" t="n"/>
      <c r="H352" s="19" t="n"/>
      <c r="I352" s="19" t="n"/>
      <c r="J352" s="19" t="n"/>
      <c r="K352" s="19" t="n"/>
      <c r="L352" s="19" t="n"/>
      <c r="M352" s="130">
        <f>IF($A352="","",AND('Task Finder'!$C$7&lt;&gt;"",OR(ISNUMBER(SEARCH('Task Finder'!$C$7,$A352)),ISNUMBER(SEARCH('Task Finder'!$C$7,$B352)),ISNUMBER(SEARCH('Task Finder'!$C$7,$C352)),ISNUMBER(SEARCH('Task Finder'!$C$7,$D352)),ISNUMBER(SEARCH('Task Finder'!$C$7,$K352)))))</f>
        <v/>
      </c>
    </row>
    <row r="353">
      <c r="A353" s="19" t="n"/>
      <c r="B353" s="19" t="n"/>
      <c r="C353" s="19" t="n"/>
      <c r="D353" s="19" t="n"/>
      <c r="E353" s="19" t="n"/>
      <c r="F353" s="19" t="n"/>
      <c r="G353" s="19" t="n"/>
      <c r="H353" s="19" t="n"/>
      <c r="I353" s="19" t="n"/>
      <c r="J353" s="19" t="n"/>
      <c r="K353" s="19" t="n"/>
      <c r="L353" s="19" t="n"/>
      <c r="M353" s="130">
        <f>IF($A353="","",AND('Task Finder'!$C$7&lt;&gt;"",OR(ISNUMBER(SEARCH('Task Finder'!$C$7,$A353)),ISNUMBER(SEARCH('Task Finder'!$C$7,$B353)),ISNUMBER(SEARCH('Task Finder'!$C$7,$C353)),ISNUMBER(SEARCH('Task Finder'!$C$7,$D353)),ISNUMBER(SEARCH('Task Finder'!$C$7,$K353)))))</f>
        <v/>
      </c>
    </row>
    <row r="354">
      <c r="A354" s="19" t="n"/>
      <c r="B354" s="19" t="n"/>
      <c r="C354" s="19" t="n"/>
      <c r="D354" s="19" t="n"/>
      <c r="E354" s="19" t="n"/>
      <c r="F354" s="19" t="n"/>
      <c r="G354" s="19" t="n"/>
      <c r="H354" s="19" t="n"/>
      <c r="I354" s="19" t="n"/>
      <c r="J354" s="19" t="n"/>
      <c r="K354" s="19" t="n"/>
      <c r="L354" s="19" t="n"/>
      <c r="M354" s="130">
        <f>IF($A354="","",AND('Task Finder'!$C$7&lt;&gt;"",OR(ISNUMBER(SEARCH('Task Finder'!$C$7,$A354)),ISNUMBER(SEARCH('Task Finder'!$C$7,$B354)),ISNUMBER(SEARCH('Task Finder'!$C$7,$C354)),ISNUMBER(SEARCH('Task Finder'!$C$7,$D354)),ISNUMBER(SEARCH('Task Finder'!$C$7,$K354)))))</f>
        <v/>
      </c>
    </row>
    <row r="355">
      <c r="A355" s="19" t="n"/>
      <c r="B355" s="19" t="n"/>
      <c r="C355" s="19" t="n"/>
      <c r="D355" s="19" t="n"/>
      <c r="E355" s="19" t="n"/>
      <c r="F355" s="19" t="n"/>
      <c r="G355" s="19" t="n"/>
      <c r="H355" s="19" t="n"/>
      <c r="I355" s="19" t="n"/>
      <c r="J355" s="19" t="n"/>
      <c r="K355" s="19" t="n"/>
      <c r="L355" s="19" t="n"/>
      <c r="M355" s="130">
        <f>IF($A355="","",AND('Task Finder'!$C$7&lt;&gt;"",OR(ISNUMBER(SEARCH('Task Finder'!$C$7,$A355)),ISNUMBER(SEARCH('Task Finder'!$C$7,$B355)),ISNUMBER(SEARCH('Task Finder'!$C$7,$C355)),ISNUMBER(SEARCH('Task Finder'!$C$7,$D355)),ISNUMBER(SEARCH('Task Finder'!$C$7,$K355)))))</f>
        <v/>
      </c>
    </row>
    <row r="356">
      <c r="A356" s="19" t="n"/>
      <c r="B356" s="19" t="n"/>
      <c r="C356" s="19" t="n"/>
      <c r="D356" s="19" t="n"/>
      <c r="E356" s="19" t="n"/>
      <c r="F356" s="19" t="n"/>
      <c r="G356" s="19" t="n"/>
      <c r="H356" s="19" t="n"/>
      <c r="I356" s="19" t="n"/>
      <c r="J356" s="19" t="n"/>
      <c r="K356" s="19" t="n"/>
      <c r="L356" s="19" t="n"/>
      <c r="M356" s="130">
        <f>IF($A356="","",AND('Task Finder'!$C$7&lt;&gt;"",OR(ISNUMBER(SEARCH('Task Finder'!$C$7,$A356)),ISNUMBER(SEARCH('Task Finder'!$C$7,$B356)),ISNUMBER(SEARCH('Task Finder'!$C$7,$C356)),ISNUMBER(SEARCH('Task Finder'!$C$7,$D356)),ISNUMBER(SEARCH('Task Finder'!$C$7,$K356)))))</f>
        <v/>
      </c>
    </row>
    <row r="357">
      <c r="A357" s="19" t="n"/>
      <c r="B357" s="19" t="n"/>
      <c r="C357" s="19" t="n"/>
      <c r="D357" s="19" t="n"/>
      <c r="E357" s="19" t="n"/>
      <c r="F357" s="19" t="n"/>
      <c r="G357" s="19" t="n"/>
      <c r="H357" s="19" t="n"/>
      <c r="I357" s="19" t="n"/>
      <c r="J357" s="19" t="n"/>
      <c r="K357" s="19" t="n"/>
      <c r="L357" s="19" t="n"/>
      <c r="M357" s="130">
        <f>IF($A357="","",AND('Task Finder'!$C$7&lt;&gt;"",OR(ISNUMBER(SEARCH('Task Finder'!$C$7,$A357)),ISNUMBER(SEARCH('Task Finder'!$C$7,$B357)),ISNUMBER(SEARCH('Task Finder'!$C$7,$C357)),ISNUMBER(SEARCH('Task Finder'!$C$7,$D357)),ISNUMBER(SEARCH('Task Finder'!$C$7,$K357)))))</f>
        <v/>
      </c>
    </row>
    <row r="358">
      <c r="A358" s="19" t="n"/>
      <c r="B358" s="19" t="n"/>
      <c r="C358" s="19" t="n"/>
      <c r="D358" s="19" t="n"/>
      <c r="E358" s="19" t="n"/>
      <c r="F358" s="19" t="n"/>
      <c r="G358" s="19" t="n"/>
      <c r="H358" s="19" t="n"/>
      <c r="I358" s="19" t="n"/>
      <c r="J358" s="19" t="n"/>
      <c r="K358" s="19" t="n"/>
      <c r="L358" s="19" t="n"/>
      <c r="M358" s="130">
        <f>IF($A358="","",AND('Task Finder'!$C$7&lt;&gt;"",OR(ISNUMBER(SEARCH('Task Finder'!$C$7,$A358)),ISNUMBER(SEARCH('Task Finder'!$C$7,$B358)),ISNUMBER(SEARCH('Task Finder'!$C$7,$C358)),ISNUMBER(SEARCH('Task Finder'!$C$7,$D358)),ISNUMBER(SEARCH('Task Finder'!$C$7,$K358)))))</f>
        <v/>
      </c>
    </row>
    <row r="359">
      <c r="A359" s="19" t="n"/>
      <c r="B359" s="19" t="n"/>
      <c r="C359" s="19" t="n"/>
      <c r="D359" s="19" t="n"/>
      <c r="E359" s="19" t="n"/>
      <c r="F359" s="19" t="n"/>
      <c r="G359" s="19" t="n"/>
      <c r="H359" s="19" t="n"/>
      <c r="I359" s="19" t="n"/>
      <c r="J359" s="19" t="n"/>
      <c r="K359" s="19" t="n"/>
      <c r="L359" s="19" t="n"/>
      <c r="M359" s="130">
        <f>IF($A359="","",AND('Task Finder'!$C$7&lt;&gt;"",OR(ISNUMBER(SEARCH('Task Finder'!$C$7,$A359)),ISNUMBER(SEARCH('Task Finder'!$C$7,$B359)),ISNUMBER(SEARCH('Task Finder'!$C$7,$C359)),ISNUMBER(SEARCH('Task Finder'!$C$7,$D359)),ISNUMBER(SEARCH('Task Finder'!$C$7,$K359)))))</f>
        <v/>
      </c>
    </row>
    <row r="360">
      <c r="A360" s="19" t="n"/>
      <c r="B360" s="19" t="n"/>
      <c r="C360" s="19" t="n"/>
      <c r="D360" s="19" t="n"/>
      <c r="E360" s="19" t="n"/>
      <c r="F360" s="19" t="n"/>
      <c r="G360" s="19" t="n"/>
      <c r="H360" s="19" t="n"/>
      <c r="I360" s="19" t="n"/>
      <c r="J360" s="19" t="n"/>
      <c r="K360" s="19" t="n"/>
      <c r="L360" s="19" t="n"/>
      <c r="M360" s="130">
        <f>IF($A360="","",AND('Task Finder'!$C$7&lt;&gt;"",OR(ISNUMBER(SEARCH('Task Finder'!$C$7,$A360)),ISNUMBER(SEARCH('Task Finder'!$C$7,$B360)),ISNUMBER(SEARCH('Task Finder'!$C$7,$C360)),ISNUMBER(SEARCH('Task Finder'!$C$7,$D360)),ISNUMBER(SEARCH('Task Finder'!$C$7,$K360)))))</f>
        <v/>
      </c>
    </row>
    <row r="361">
      <c r="A361" s="19" t="n"/>
      <c r="B361" s="19" t="n"/>
      <c r="C361" s="19" t="n"/>
      <c r="D361" s="19" t="n"/>
      <c r="E361" s="19" t="n"/>
      <c r="F361" s="19" t="n"/>
      <c r="G361" s="19" t="n"/>
      <c r="H361" s="19" t="n"/>
      <c r="I361" s="19" t="n"/>
      <c r="J361" s="19" t="n"/>
      <c r="K361" s="19" t="n"/>
      <c r="L361" s="19" t="n"/>
      <c r="M361" s="130">
        <f>IF($A361="","",AND('Task Finder'!$C$7&lt;&gt;"",OR(ISNUMBER(SEARCH('Task Finder'!$C$7,$A361)),ISNUMBER(SEARCH('Task Finder'!$C$7,$B361)),ISNUMBER(SEARCH('Task Finder'!$C$7,$C361)),ISNUMBER(SEARCH('Task Finder'!$C$7,$D361)),ISNUMBER(SEARCH('Task Finder'!$C$7,$K361)))))</f>
        <v/>
      </c>
    </row>
    <row r="362">
      <c r="A362" s="19" t="n"/>
      <c r="B362" s="19" t="n"/>
      <c r="C362" s="19" t="n"/>
      <c r="D362" s="19" t="n"/>
      <c r="E362" s="19" t="n"/>
      <c r="F362" s="19" t="n"/>
      <c r="G362" s="19" t="n"/>
      <c r="H362" s="19" t="n"/>
      <c r="I362" s="19" t="n"/>
      <c r="J362" s="19" t="n"/>
      <c r="K362" s="19" t="n"/>
      <c r="L362" s="19" t="n"/>
      <c r="M362" s="130">
        <f>IF($A362="","",AND('Task Finder'!$C$7&lt;&gt;"",OR(ISNUMBER(SEARCH('Task Finder'!$C$7,$A362)),ISNUMBER(SEARCH('Task Finder'!$C$7,$B362)),ISNUMBER(SEARCH('Task Finder'!$C$7,$C362)),ISNUMBER(SEARCH('Task Finder'!$C$7,$D362)),ISNUMBER(SEARCH('Task Finder'!$C$7,$K362)))))</f>
        <v/>
      </c>
    </row>
    <row r="363">
      <c r="A363" s="19" t="n"/>
      <c r="B363" s="19" t="n"/>
      <c r="C363" s="19" t="n"/>
      <c r="D363" s="19" t="n"/>
      <c r="E363" s="19" t="n"/>
      <c r="F363" s="19" t="n"/>
      <c r="G363" s="19" t="n"/>
      <c r="H363" s="19" t="n"/>
      <c r="I363" s="19" t="n"/>
      <c r="J363" s="19" t="n"/>
      <c r="K363" s="19" t="n"/>
      <c r="L363" s="19" t="n"/>
      <c r="M363" s="130">
        <f>IF($A363="","",AND('Task Finder'!$C$7&lt;&gt;"",OR(ISNUMBER(SEARCH('Task Finder'!$C$7,$A363)),ISNUMBER(SEARCH('Task Finder'!$C$7,$B363)),ISNUMBER(SEARCH('Task Finder'!$C$7,$C363)),ISNUMBER(SEARCH('Task Finder'!$C$7,$D363)),ISNUMBER(SEARCH('Task Finder'!$C$7,$K363)))))</f>
        <v/>
      </c>
    </row>
    <row r="364">
      <c r="A364" s="19" t="n"/>
      <c r="B364" s="19" t="n"/>
      <c r="C364" s="19" t="n"/>
      <c r="D364" s="19" t="n"/>
      <c r="E364" s="19" t="n"/>
      <c r="F364" s="19" t="n"/>
      <c r="G364" s="19" t="n"/>
      <c r="H364" s="19" t="n"/>
      <c r="I364" s="19" t="n"/>
      <c r="J364" s="19" t="n"/>
      <c r="K364" s="19" t="n"/>
      <c r="L364" s="19" t="n"/>
      <c r="M364" s="130">
        <f>IF($A364="","",AND('Task Finder'!$C$7&lt;&gt;"",OR(ISNUMBER(SEARCH('Task Finder'!$C$7,$A364)),ISNUMBER(SEARCH('Task Finder'!$C$7,$B364)),ISNUMBER(SEARCH('Task Finder'!$C$7,$C364)),ISNUMBER(SEARCH('Task Finder'!$C$7,$D364)),ISNUMBER(SEARCH('Task Finder'!$C$7,$K364)))))</f>
        <v/>
      </c>
    </row>
    <row r="365">
      <c r="A365" s="19" t="n"/>
      <c r="B365" s="19" t="n"/>
      <c r="C365" s="19" t="n"/>
      <c r="D365" s="19" t="n"/>
      <c r="E365" s="19" t="n"/>
      <c r="F365" s="19" t="n"/>
      <c r="G365" s="19" t="n"/>
      <c r="H365" s="19" t="n"/>
      <c r="I365" s="19" t="n"/>
      <c r="J365" s="19" t="n"/>
      <c r="K365" s="19" t="n"/>
      <c r="L365" s="19" t="n"/>
      <c r="M365" s="130">
        <f>IF($A365="","",AND('Task Finder'!$C$7&lt;&gt;"",OR(ISNUMBER(SEARCH('Task Finder'!$C$7,$A365)),ISNUMBER(SEARCH('Task Finder'!$C$7,$B365)),ISNUMBER(SEARCH('Task Finder'!$C$7,$C365)),ISNUMBER(SEARCH('Task Finder'!$C$7,$D365)),ISNUMBER(SEARCH('Task Finder'!$C$7,$K365)))))</f>
        <v/>
      </c>
    </row>
    <row r="366">
      <c r="A366" s="19" t="n"/>
      <c r="B366" s="19" t="n"/>
      <c r="C366" s="19" t="n"/>
      <c r="D366" s="19" t="n"/>
      <c r="E366" s="19" t="n"/>
      <c r="F366" s="19" t="n"/>
      <c r="G366" s="19" t="n"/>
      <c r="H366" s="19" t="n"/>
      <c r="I366" s="19" t="n"/>
      <c r="J366" s="19" t="n"/>
      <c r="K366" s="19" t="n"/>
      <c r="L366" s="19" t="n"/>
      <c r="M366" s="130">
        <f>IF($A366="","",AND('Task Finder'!$C$7&lt;&gt;"",OR(ISNUMBER(SEARCH('Task Finder'!$C$7,$A366)),ISNUMBER(SEARCH('Task Finder'!$C$7,$B366)),ISNUMBER(SEARCH('Task Finder'!$C$7,$C366)),ISNUMBER(SEARCH('Task Finder'!$C$7,$D366)),ISNUMBER(SEARCH('Task Finder'!$C$7,$K366)))))</f>
        <v/>
      </c>
    </row>
    <row r="367">
      <c r="A367" s="19" t="n"/>
      <c r="B367" s="19" t="n"/>
      <c r="C367" s="19" t="n"/>
      <c r="D367" s="19" t="n"/>
      <c r="E367" s="19" t="n"/>
      <c r="F367" s="19" t="n"/>
      <c r="G367" s="19" t="n"/>
      <c r="H367" s="19" t="n"/>
      <c r="I367" s="19" t="n"/>
      <c r="J367" s="19" t="n"/>
      <c r="K367" s="19" t="n"/>
      <c r="L367" s="19" t="n"/>
      <c r="M367" s="130">
        <f>IF($A367="","",AND('Task Finder'!$C$7&lt;&gt;"",OR(ISNUMBER(SEARCH('Task Finder'!$C$7,$A367)),ISNUMBER(SEARCH('Task Finder'!$C$7,$B367)),ISNUMBER(SEARCH('Task Finder'!$C$7,$C367)),ISNUMBER(SEARCH('Task Finder'!$C$7,$D367)),ISNUMBER(SEARCH('Task Finder'!$C$7,$K367)))))</f>
        <v/>
      </c>
    </row>
    <row r="368">
      <c r="A368" s="19" t="n"/>
      <c r="B368" s="19" t="n"/>
      <c r="C368" s="19" t="n"/>
      <c r="D368" s="19" t="n"/>
      <c r="E368" s="19" t="n"/>
      <c r="F368" s="19" t="n"/>
      <c r="G368" s="19" t="n"/>
      <c r="H368" s="19" t="n"/>
      <c r="I368" s="19" t="n"/>
      <c r="J368" s="19" t="n"/>
      <c r="K368" s="19" t="n"/>
      <c r="L368" s="19" t="n"/>
      <c r="M368" s="130">
        <f>IF($A368="","",AND('Task Finder'!$C$7&lt;&gt;"",OR(ISNUMBER(SEARCH('Task Finder'!$C$7,$A368)),ISNUMBER(SEARCH('Task Finder'!$C$7,$B368)),ISNUMBER(SEARCH('Task Finder'!$C$7,$C368)),ISNUMBER(SEARCH('Task Finder'!$C$7,$D368)),ISNUMBER(SEARCH('Task Finder'!$C$7,$K368)))))</f>
        <v/>
      </c>
    </row>
    <row r="369">
      <c r="A369" s="19" t="n"/>
      <c r="B369" s="19" t="n"/>
      <c r="C369" s="19" t="n"/>
      <c r="D369" s="19" t="n"/>
      <c r="E369" s="19" t="n"/>
      <c r="F369" s="19" t="n"/>
      <c r="G369" s="19" t="n"/>
      <c r="H369" s="19" t="n"/>
      <c r="I369" s="19" t="n"/>
      <c r="J369" s="19" t="n"/>
      <c r="K369" s="19" t="n"/>
      <c r="L369" s="19" t="n"/>
      <c r="M369" s="130">
        <f>IF($A369="","",AND('Task Finder'!$C$7&lt;&gt;"",OR(ISNUMBER(SEARCH('Task Finder'!$C$7,$A369)),ISNUMBER(SEARCH('Task Finder'!$C$7,$B369)),ISNUMBER(SEARCH('Task Finder'!$C$7,$C369)),ISNUMBER(SEARCH('Task Finder'!$C$7,$D369)),ISNUMBER(SEARCH('Task Finder'!$C$7,$K369)))))</f>
        <v/>
      </c>
    </row>
    <row r="370">
      <c r="A370" s="19" t="n"/>
      <c r="B370" s="19" t="n"/>
      <c r="C370" s="19" t="n"/>
      <c r="D370" s="19" t="n"/>
      <c r="E370" s="19" t="n"/>
      <c r="F370" s="19" t="n"/>
      <c r="G370" s="19" t="n"/>
      <c r="H370" s="19" t="n"/>
      <c r="I370" s="19" t="n"/>
      <c r="J370" s="19" t="n"/>
      <c r="K370" s="19" t="n"/>
      <c r="L370" s="19" t="n"/>
      <c r="M370" s="130">
        <f>IF($A370="","",AND('Task Finder'!$C$7&lt;&gt;"",OR(ISNUMBER(SEARCH('Task Finder'!$C$7,$A370)),ISNUMBER(SEARCH('Task Finder'!$C$7,$B370)),ISNUMBER(SEARCH('Task Finder'!$C$7,$C370)),ISNUMBER(SEARCH('Task Finder'!$C$7,$D370)),ISNUMBER(SEARCH('Task Finder'!$C$7,$K370)))))</f>
        <v/>
      </c>
    </row>
    <row r="371">
      <c r="A371" s="19" t="n"/>
      <c r="B371" s="19" t="n"/>
      <c r="C371" s="19" t="n"/>
      <c r="D371" s="19" t="n"/>
      <c r="E371" s="19" t="n"/>
      <c r="F371" s="19" t="n"/>
      <c r="G371" s="19" t="n"/>
      <c r="H371" s="19" t="n"/>
      <c r="I371" s="19" t="n"/>
      <c r="J371" s="19" t="n"/>
      <c r="K371" s="19" t="n"/>
      <c r="L371" s="19" t="n"/>
      <c r="M371" s="130">
        <f>IF($A371="","",AND('Task Finder'!$C$7&lt;&gt;"",OR(ISNUMBER(SEARCH('Task Finder'!$C$7,$A371)),ISNUMBER(SEARCH('Task Finder'!$C$7,$B371)),ISNUMBER(SEARCH('Task Finder'!$C$7,$C371)),ISNUMBER(SEARCH('Task Finder'!$C$7,$D371)),ISNUMBER(SEARCH('Task Finder'!$C$7,$K371)))))</f>
        <v/>
      </c>
    </row>
    <row r="372">
      <c r="A372" s="19" t="n"/>
      <c r="B372" s="19" t="n"/>
      <c r="C372" s="19" t="n"/>
      <c r="D372" s="19" t="n"/>
      <c r="E372" s="19" t="n"/>
      <c r="F372" s="19" t="n"/>
      <c r="G372" s="19" t="n"/>
      <c r="H372" s="19" t="n"/>
      <c r="I372" s="19" t="n"/>
      <c r="J372" s="19" t="n"/>
      <c r="K372" s="19" t="n"/>
      <c r="L372" s="19" t="n"/>
      <c r="M372" s="130">
        <f>IF($A372="","",AND('Task Finder'!$C$7&lt;&gt;"",OR(ISNUMBER(SEARCH('Task Finder'!$C$7,$A372)),ISNUMBER(SEARCH('Task Finder'!$C$7,$B372)),ISNUMBER(SEARCH('Task Finder'!$C$7,$C372)),ISNUMBER(SEARCH('Task Finder'!$C$7,$D372)),ISNUMBER(SEARCH('Task Finder'!$C$7,$K372)))))</f>
        <v/>
      </c>
    </row>
    <row r="373">
      <c r="A373" s="19" t="n"/>
      <c r="B373" s="19" t="n"/>
      <c r="C373" s="19" t="n"/>
      <c r="D373" s="19" t="n"/>
      <c r="E373" s="19" t="n"/>
      <c r="F373" s="19" t="n"/>
      <c r="G373" s="19" t="n"/>
      <c r="H373" s="19" t="n"/>
      <c r="I373" s="19" t="n"/>
      <c r="J373" s="19" t="n"/>
      <c r="K373" s="19" t="n"/>
      <c r="L373" s="19" t="n"/>
      <c r="M373" s="130">
        <f>IF($A373="","",AND('Task Finder'!$C$7&lt;&gt;"",OR(ISNUMBER(SEARCH('Task Finder'!$C$7,$A373)),ISNUMBER(SEARCH('Task Finder'!$C$7,$B373)),ISNUMBER(SEARCH('Task Finder'!$C$7,$C373)),ISNUMBER(SEARCH('Task Finder'!$C$7,$D373)),ISNUMBER(SEARCH('Task Finder'!$C$7,$K373)))))</f>
        <v/>
      </c>
    </row>
    <row r="374">
      <c r="A374" s="19" t="n"/>
      <c r="B374" s="19" t="n"/>
      <c r="C374" s="19" t="n"/>
      <c r="D374" s="19" t="n"/>
      <c r="E374" s="19" t="n"/>
      <c r="F374" s="19" t="n"/>
      <c r="G374" s="19" t="n"/>
      <c r="H374" s="19" t="n"/>
      <c r="I374" s="19" t="n"/>
      <c r="J374" s="19" t="n"/>
      <c r="K374" s="19" t="n"/>
      <c r="L374" s="19" t="n"/>
      <c r="M374" s="130">
        <f>IF($A374="","",AND('Task Finder'!$C$7&lt;&gt;"",OR(ISNUMBER(SEARCH('Task Finder'!$C$7,$A374)),ISNUMBER(SEARCH('Task Finder'!$C$7,$B374)),ISNUMBER(SEARCH('Task Finder'!$C$7,$C374)),ISNUMBER(SEARCH('Task Finder'!$C$7,$D374)),ISNUMBER(SEARCH('Task Finder'!$C$7,$K374)))))</f>
        <v/>
      </c>
    </row>
    <row r="375">
      <c r="A375" s="19" t="n"/>
      <c r="B375" s="19" t="n"/>
      <c r="C375" s="19" t="n"/>
      <c r="D375" s="19" t="n"/>
      <c r="E375" s="19" t="n"/>
      <c r="F375" s="19" t="n"/>
      <c r="G375" s="19" t="n"/>
      <c r="H375" s="19" t="n"/>
      <c r="I375" s="19" t="n"/>
      <c r="J375" s="19" t="n"/>
      <c r="K375" s="19" t="n"/>
      <c r="L375" s="19" t="n"/>
      <c r="M375" s="130">
        <f>IF($A375="","",AND('Task Finder'!$C$7&lt;&gt;"",OR(ISNUMBER(SEARCH('Task Finder'!$C$7,$A375)),ISNUMBER(SEARCH('Task Finder'!$C$7,$B375)),ISNUMBER(SEARCH('Task Finder'!$C$7,$C375)),ISNUMBER(SEARCH('Task Finder'!$C$7,$D375)),ISNUMBER(SEARCH('Task Finder'!$C$7,$K375)))))</f>
        <v/>
      </c>
    </row>
    <row r="376">
      <c r="A376" s="19" t="n"/>
      <c r="B376" s="19" t="n"/>
      <c r="C376" s="19" t="n"/>
      <c r="D376" s="19" t="n"/>
      <c r="E376" s="19" t="n"/>
      <c r="F376" s="19" t="n"/>
      <c r="G376" s="19" t="n"/>
      <c r="H376" s="19" t="n"/>
      <c r="I376" s="19" t="n"/>
      <c r="J376" s="19" t="n"/>
      <c r="K376" s="19" t="n"/>
      <c r="L376" s="19" t="n"/>
      <c r="M376" s="130">
        <f>IF($A376="","",AND('Task Finder'!$C$7&lt;&gt;"",OR(ISNUMBER(SEARCH('Task Finder'!$C$7,$A376)),ISNUMBER(SEARCH('Task Finder'!$C$7,$B376)),ISNUMBER(SEARCH('Task Finder'!$C$7,$C376)),ISNUMBER(SEARCH('Task Finder'!$C$7,$D376)),ISNUMBER(SEARCH('Task Finder'!$C$7,$K376)))))</f>
        <v/>
      </c>
    </row>
    <row r="377">
      <c r="A377" s="19" t="n"/>
      <c r="B377" s="19" t="n"/>
      <c r="C377" s="19" t="n"/>
      <c r="D377" s="19" t="n"/>
      <c r="E377" s="19" t="n"/>
      <c r="F377" s="19" t="n"/>
      <c r="G377" s="19" t="n"/>
      <c r="H377" s="19" t="n"/>
      <c r="I377" s="19" t="n"/>
      <c r="J377" s="19" t="n"/>
      <c r="K377" s="19" t="n"/>
      <c r="L377" s="19" t="n"/>
      <c r="M377" s="130">
        <f>IF($A377="","",AND('Task Finder'!$C$7&lt;&gt;"",OR(ISNUMBER(SEARCH('Task Finder'!$C$7,$A377)),ISNUMBER(SEARCH('Task Finder'!$C$7,$B377)),ISNUMBER(SEARCH('Task Finder'!$C$7,$C377)),ISNUMBER(SEARCH('Task Finder'!$C$7,$D377)),ISNUMBER(SEARCH('Task Finder'!$C$7,$K377)))))</f>
        <v/>
      </c>
    </row>
    <row r="378">
      <c r="A378" s="19" t="n"/>
      <c r="B378" s="19" t="n"/>
      <c r="C378" s="19" t="n"/>
      <c r="D378" s="19" t="n"/>
      <c r="E378" s="19" t="n"/>
      <c r="F378" s="19" t="n"/>
      <c r="G378" s="19" t="n"/>
      <c r="H378" s="19" t="n"/>
      <c r="I378" s="19" t="n"/>
      <c r="J378" s="19" t="n"/>
      <c r="K378" s="19" t="n"/>
      <c r="L378" s="19" t="n"/>
      <c r="M378" s="130">
        <f>IF($A378="","",AND('Task Finder'!$C$7&lt;&gt;"",OR(ISNUMBER(SEARCH('Task Finder'!$C$7,$A378)),ISNUMBER(SEARCH('Task Finder'!$C$7,$B378)),ISNUMBER(SEARCH('Task Finder'!$C$7,$C378)),ISNUMBER(SEARCH('Task Finder'!$C$7,$D378)),ISNUMBER(SEARCH('Task Finder'!$C$7,$K378)))))</f>
        <v/>
      </c>
    </row>
    <row r="379">
      <c r="A379" s="19" t="n"/>
      <c r="B379" s="19" t="n"/>
      <c r="C379" s="19" t="n"/>
      <c r="D379" s="19" t="n"/>
      <c r="E379" s="19" t="n"/>
      <c r="F379" s="19" t="n"/>
      <c r="G379" s="19" t="n"/>
      <c r="H379" s="19" t="n"/>
      <c r="I379" s="19" t="n"/>
      <c r="J379" s="19" t="n"/>
      <c r="K379" s="19" t="n"/>
      <c r="L379" s="19" t="n"/>
      <c r="M379" s="130">
        <f>IF($A379="","",AND('Task Finder'!$C$7&lt;&gt;"",OR(ISNUMBER(SEARCH('Task Finder'!$C$7,$A379)),ISNUMBER(SEARCH('Task Finder'!$C$7,$B379)),ISNUMBER(SEARCH('Task Finder'!$C$7,$C379)),ISNUMBER(SEARCH('Task Finder'!$C$7,$D379)),ISNUMBER(SEARCH('Task Finder'!$C$7,$K379)))))</f>
        <v/>
      </c>
    </row>
    <row r="380">
      <c r="A380" s="19" t="n"/>
      <c r="B380" s="19" t="n"/>
      <c r="C380" s="19" t="n"/>
      <c r="D380" s="19" t="n"/>
      <c r="E380" s="19" t="n"/>
      <c r="F380" s="19" t="n"/>
      <c r="G380" s="19" t="n"/>
      <c r="H380" s="19" t="n"/>
      <c r="I380" s="19" t="n"/>
      <c r="J380" s="19" t="n"/>
      <c r="K380" s="19" t="n"/>
      <c r="L380" s="19" t="n"/>
      <c r="M380" s="130">
        <f>IF($A380="","",AND('Task Finder'!$C$7&lt;&gt;"",OR(ISNUMBER(SEARCH('Task Finder'!$C$7,$A380)),ISNUMBER(SEARCH('Task Finder'!$C$7,$B380)),ISNUMBER(SEARCH('Task Finder'!$C$7,$C380)),ISNUMBER(SEARCH('Task Finder'!$C$7,$D380)),ISNUMBER(SEARCH('Task Finder'!$C$7,$K380)))))</f>
        <v/>
      </c>
    </row>
    <row r="381">
      <c r="A381" s="19" t="n"/>
      <c r="B381" s="19" t="n"/>
      <c r="C381" s="19" t="n"/>
      <c r="D381" s="19" t="n"/>
      <c r="E381" s="19" t="n"/>
      <c r="F381" s="19" t="n"/>
      <c r="G381" s="19" t="n"/>
      <c r="H381" s="19" t="n"/>
      <c r="I381" s="19" t="n"/>
      <c r="J381" s="19" t="n"/>
      <c r="K381" s="19" t="n"/>
      <c r="L381" s="19" t="n"/>
      <c r="M381" s="130">
        <f>IF($A381="","",AND('Task Finder'!$C$7&lt;&gt;"",OR(ISNUMBER(SEARCH('Task Finder'!$C$7,$A381)),ISNUMBER(SEARCH('Task Finder'!$C$7,$B381)),ISNUMBER(SEARCH('Task Finder'!$C$7,$C381)),ISNUMBER(SEARCH('Task Finder'!$C$7,$D381)),ISNUMBER(SEARCH('Task Finder'!$C$7,$K381)))))</f>
        <v/>
      </c>
    </row>
    <row r="382">
      <c r="A382" s="19" t="n"/>
      <c r="B382" s="19" t="n"/>
      <c r="C382" s="19" t="n"/>
      <c r="D382" s="19" t="n"/>
      <c r="E382" s="19" t="n"/>
      <c r="F382" s="19" t="n"/>
      <c r="G382" s="19" t="n"/>
      <c r="H382" s="19" t="n"/>
      <c r="I382" s="19" t="n"/>
      <c r="J382" s="19" t="n"/>
      <c r="K382" s="19" t="n"/>
      <c r="L382" s="19" t="n"/>
      <c r="M382" s="130">
        <f>IF($A382="","",AND('Task Finder'!$C$7&lt;&gt;"",OR(ISNUMBER(SEARCH('Task Finder'!$C$7,$A382)),ISNUMBER(SEARCH('Task Finder'!$C$7,$B382)),ISNUMBER(SEARCH('Task Finder'!$C$7,$C382)),ISNUMBER(SEARCH('Task Finder'!$C$7,$D382)),ISNUMBER(SEARCH('Task Finder'!$C$7,$K382)))))</f>
        <v/>
      </c>
    </row>
    <row r="383">
      <c r="A383" s="19" t="n"/>
      <c r="B383" s="19" t="n"/>
      <c r="C383" s="19" t="n"/>
      <c r="D383" s="19" t="n"/>
      <c r="E383" s="19" t="n"/>
      <c r="F383" s="19" t="n"/>
      <c r="G383" s="19" t="n"/>
      <c r="H383" s="19" t="n"/>
      <c r="I383" s="19" t="n"/>
      <c r="J383" s="19" t="n"/>
      <c r="K383" s="19" t="n"/>
      <c r="L383" s="19" t="n"/>
      <c r="M383" s="130">
        <f>IF($A383="","",AND('Task Finder'!$C$7&lt;&gt;"",OR(ISNUMBER(SEARCH('Task Finder'!$C$7,$A383)),ISNUMBER(SEARCH('Task Finder'!$C$7,$B383)),ISNUMBER(SEARCH('Task Finder'!$C$7,$C383)),ISNUMBER(SEARCH('Task Finder'!$C$7,$D383)),ISNUMBER(SEARCH('Task Finder'!$C$7,$K383)))))</f>
        <v/>
      </c>
    </row>
    <row r="384">
      <c r="A384" s="19" t="n"/>
      <c r="B384" s="19" t="n"/>
      <c r="C384" s="19" t="n"/>
      <c r="D384" s="19" t="n"/>
      <c r="E384" s="19" t="n"/>
      <c r="F384" s="19" t="n"/>
      <c r="G384" s="19" t="n"/>
      <c r="H384" s="19" t="n"/>
      <c r="I384" s="19" t="n"/>
      <c r="J384" s="19" t="n"/>
      <c r="K384" s="19" t="n"/>
      <c r="L384" s="19" t="n"/>
      <c r="M384" s="130">
        <f>IF($A384="","",AND('Task Finder'!$C$7&lt;&gt;"",OR(ISNUMBER(SEARCH('Task Finder'!$C$7,$A384)),ISNUMBER(SEARCH('Task Finder'!$C$7,$B384)),ISNUMBER(SEARCH('Task Finder'!$C$7,$C384)),ISNUMBER(SEARCH('Task Finder'!$C$7,$D384)),ISNUMBER(SEARCH('Task Finder'!$C$7,$K384)))))</f>
        <v/>
      </c>
    </row>
    <row r="385">
      <c r="A385" s="19" t="n"/>
      <c r="B385" s="19" t="n"/>
      <c r="C385" s="19" t="n"/>
      <c r="D385" s="19" t="n"/>
      <c r="E385" s="19" t="n"/>
      <c r="F385" s="19" t="n"/>
      <c r="G385" s="19" t="n"/>
      <c r="H385" s="19" t="n"/>
      <c r="I385" s="19" t="n"/>
      <c r="J385" s="19" t="n"/>
      <c r="K385" s="19" t="n"/>
      <c r="L385" s="19" t="n"/>
      <c r="M385" s="130">
        <f>IF($A385="","",AND('Task Finder'!$C$7&lt;&gt;"",OR(ISNUMBER(SEARCH('Task Finder'!$C$7,$A385)),ISNUMBER(SEARCH('Task Finder'!$C$7,$B385)),ISNUMBER(SEARCH('Task Finder'!$C$7,$C385)),ISNUMBER(SEARCH('Task Finder'!$C$7,$D385)),ISNUMBER(SEARCH('Task Finder'!$C$7,$K385)))))</f>
        <v/>
      </c>
    </row>
    <row r="386">
      <c r="A386" s="19" t="n"/>
      <c r="B386" s="19" t="n"/>
      <c r="C386" s="19" t="n"/>
      <c r="D386" s="19" t="n"/>
      <c r="E386" s="19" t="n"/>
      <c r="F386" s="19" t="n"/>
      <c r="G386" s="19" t="n"/>
      <c r="H386" s="19" t="n"/>
      <c r="I386" s="19" t="n"/>
      <c r="J386" s="19" t="n"/>
      <c r="K386" s="19" t="n"/>
      <c r="L386" s="19" t="n"/>
      <c r="M386" s="130">
        <f>IF($A386="","",AND('Task Finder'!$C$7&lt;&gt;"",OR(ISNUMBER(SEARCH('Task Finder'!$C$7,$A386)),ISNUMBER(SEARCH('Task Finder'!$C$7,$B386)),ISNUMBER(SEARCH('Task Finder'!$C$7,$C386)),ISNUMBER(SEARCH('Task Finder'!$C$7,$D386)),ISNUMBER(SEARCH('Task Finder'!$C$7,$K386)))))</f>
        <v/>
      </c>
    </row>
    <row r="387">
      <c r="A387" s="19" t="n"/>
      <c r="B387" s="19" t="n"/>
      <c r="C387" s="19" t="n"/>
      <c r="D387" s="19" t="n"/>
      <c r="E387" s="19" t="n"/>
      <c r="F387" s="19" t="n"/>
      <c r="G387" s="19" t="n"/>
      <c r="H387" s="19" t="n"/>
      <c r="I387" s="19" t="n"/>
      <c r="J387" s="19" t="n"/>
      <c r="K387" s="19" t="n"/>
      <c r="L387" s="19" t="n"/>
      <c r="M387" s="130">
        <f>IF($A387="","",AND('Task Finder'!$C$7&lt;&gt;"",OR(ISNUMBER(SEARCH('Task Finder'!$C$7,$A387)),ISNUMBER(SEARCH('Task Finder'!$C$7,$B387)),ISNUMBER(SEARCH('Task Finder'!$C$7,$C387)),ISNUMBER(SEARCH('Task Finder'!$C$7,$D387)),ISNUMBER(SEARCH('Task Finder'!$C$7,$K387)))))</f>
        <v/>
      </c>
    </row>
    <row r="388">
      <c r="A388" s="19" t="n"/>
      <c r="B388" s="19" t="n"/>
      <c r="C388" s="19" t="n"/>
      <c r="D388" s="19" t="n"/>
      <c r="E388" s="19" t="n"/>
      <c r="F388" s="19" t="n"/>
      <c r="G388" s="19" t="n"/>
      <c r="H388" s="19" t="n"/>
      <c r="I388" s="19" t="n"/>
      <c r="J388" s="19" t="n"/>
      <c r="K388" s="19" t="n"/>
      <c r="L388" s="19" t="n"/>
      <c r="M388" s="130">
        <f>IF($A388="","",AND('Task Finder'!$C$7&lt;&gt;"",OR(ISNUMBER(SEARCH('Task Finder'!$C$7,$A388)),ISNUMBER(SEARCH('Task Finder'!$C$7,$B388)),ISNUMBER(SEARCH('Task Finder'!$C$7,$C388)),ISNUMBER(SEARCH('Task Finder'!$C$7,$D388)),ISNUMBER(SEARCH('Task Finder'!$C$7,$K388)))))</f>
        <v/>
      </c>
    </row>
    <row r="389">
      <c r="A389" s="19" t="n"/>
      <c r="B389" s="19" t="n"/>
      <c r="C389" s="19" t="n"/>
      <c r="D389" s="19" t="n"/>
      <c r="E389" s="19" t="n"/>
      <c r="F389" s="19" t="n"/>
      <c r="G389" s="19" t="n"/>
      <c r="H389" s="19" t="n"/>
      <c r="I389" s="19" t="n"/>
      <c r="J389" s="19" t="n"/>
      <c r="K389" s="19" t="n"/>
      <c r="L389" s="19" t="n"/>
      <c r="M389" s="130">
        <f>IF($A389="","",AND('Task Finder'!$C$7&lt;&gt;"",OR(ISNUMBER(SEARCH('Task Finder'!$C$7,$A389)),ISNUMBER(SEARCH('Task Finder'!$C$7,$B389)),ISNUMBER(SEARCH('Task Finder'!$C$7,$C389)),ISNUMBER(SEARCH('Task Finder'!$C$7,$D389)),ISNUMBER(SEARCH('Task Finder'!$C$7,$K389)))))</f>
        <v/>
      </c>
    </row>
    <row r="390">
      <c r="A390" s="19" t="n"/>
      <c r="B390" s="19" t="n"/>
      <c r="C390" s="19" t="n"/>
      <c r="D390" s="19" t="n"/>
      <c r="E390" s="19" t="n"/>
      <c r="F390" s="19" t="n"/>
      <c r="G390" s="19" t="n"/>
      <c r="H390" s="19" t="n"/>
      <c r="I390" s="19" t="n"/>
      <c r="J390" s="19" t="n"/>
      <c r="K390" s="19" t="n"/>
      <c r="L390" s="19" t="n"/>
      <c r="M390" s="130">
        <f>IF($A390="","",AND('Task Finder'!$C$7&lt;&gt;"",OR(ISNUMBER(SEARCH('Task Finder'!$C$7,$A390)),ISNUMBER(SEARCH('Task Finder'!$C$7,$B390)),ISNUMBER(SEARCH('Task Finder'!$C$7,$C390)),ISNUMBER(SEARCH('Task Finder'!$C$7,$D390)),ISNUMBER(SEARCH('Task Finder'!$C$7,$K390)))))</f>
        <v/>
      </c>
    </row>
    <row r="391">
      <c r="A391" s="19" t="n"/>
      <c r="B391" s="19" t="n"/>
      <c r="C391" s="19" t="n"/>
      <c r="D391" s="19" t="n"/>
      <c r="E391" s="19" t="n"/>
      <c r="F391" s="19" t="n"/>
      <c r="G391" s="19" t="n"/>
      <c r="H391" s="19" t="n"/>
      <c r="I391" s="19" t="n"/>
      <c r="J391" s="19" t="n"/>
      <c r="K391" s="19" t="n"/>
      <c r="L391" s="19" t="n"/>
      <c r="M391" s="130">
        <f>IF($A391="","",AND('Task Finder'!$C$7&lt;&gt;"",OR(ISNUMBER(SEARCH('Task Finder'!$C$7,$A391)),ISNUMBER(SEARCH('Task Finder'!$C$7,$B391)),ISNUMBER(SEARCH('Task Finder'!$C$7,$C391)),ISNUMBER(SEARCH('Task Finder'!$C$7,$D391)),ISNUMBER(SEARCH('Task Finder'!$C$7,$K391)))))</f>
        <v/>
      </c>
    </row>
    <row r="392">
      <c r="A392" s="19" t="n"/>
      <c r="B392" s="19" t="n"/>
      <c r="C392" s="19" t="n"/>
      <c r="D392" s="19" t="n"/>
      <c r="E392" s="19" t="n"/>
      <c r="F392" s="19" t="n"/>
      <c r="G392" s="19" t="n"/>
      <c r="H392" s="19" t="n"/>
      <c r="I392" s="19" t="n"/>
      <c r="J392" s="19" t="n"/>
      <c r="K392" s="19" t="n"/>
      <c r="L392" s="19" t="n"/>
      <c r="M392" s="130">
        <f>IF($A392="","",AND('Task Finder'!$C$7&lt;&gt;"",OR(ISNUMBER(SEARCH('Task Finder'!$C$7,$A392)),ISNUMBER(SEARCH('Task Finder'!$C$7,$B392)),ISNUMBER(SEARCH('Task Finder'!$C$7,$C392)),ISNUMBER(SEARCH('Task Finder'!$C$7,$D392)),ISNUMBER(SEARCH('Task Finder'!$C$7,$K392)))))</f>
        <v/>
      </c>
    </row>
    <row r="393">
      <c r="A393" s="19" t="n"/>
      <c r="B393" s="19" t="n"/>
      <c r="C393" s="19" t="n"/>
      <c r="D393" s="19" t="n"/>
      <c r="E393" s="19" t="n"/>
      <c r="F393" s="19" t="n"/>
      <c r="G393" s="19" t="n"/>
      <c r="H393" s="19" t="n"/>
      <c r="I393" s="19" t="n"/>
      <c r="J393" s="19" t="n"/>
      <c r="K393" s="19" t="n"/>
      <c r="L393" s="19" t="n"/>
      <c r="M393" s="130">
        <f>IF($A393="","",AND('Task Finder'!$C$7&lt;&gt;"",OR(ISNUMBER(SEARCH('Task Finder'!$C$7,$A393)),ISNUMBER(SEARCH('Task Finder'!$C$7,$B393)),ISNUMBER(SEARCH('Task Finder'!$C$7,$C393)),ISNUMBER(SEARCH('Task Finder'!$C$7,$D393)),ISNUMBER(SEARCH('Task Finder'!$C$7,$K393)))))</f>
        <v/>
      </c>
    </row>
    <row r="394">
      <c r="A394" s="19" t="n"/>
      <c r="B394" s="19" t="n"/>
      <c r="C394" s="19" t="n"/>
      <c r="D394" s="19" t="n"/>
      <c r="E394" s="19" t="n"/>
      <c r="F394" s="19" t="n"/>
      <c r="G394" s="19" t="n"/>
      <c r="H394" s="19" t="n"/>
      <c r="I394" s="19" t="n"/>
      <c r="J394" s="19" t="n"/>
      <c r="K394" s="19" t="n"/>
      <c r="L394" s="19" t="n"/>
      <c r="M394" s="130">
        <f>IF($A394="","",AND('Task Finder'!$C$7&lt;&gt;"",OR(ISNUMBER(SEARCH('Task Finder'!$C$7,$A394)),ISNUMBER(SEARCH('Task Finder'!$C$7,$B394)),ISNUMBER(SEARCH('Task Finder'!$C$7,$C394)),ISNUMBER(SEARCH('Task Finder'!$C$7,$D394)),ISNUMBER(SEARCH('Task Finder'!$C$7,$K394)))))</f>
        <v/>
      </c>
    </row>
    <row r="395">
      <c r="A395" s="19" t="n"/>
      <c r="B395" s="19" t="n"/>
      <c r="C395" s="19" t="n"/>
      <c r="D395" s="19" t="n"/>
      <c r="E395" s="19" t="n"/>
      <c r="F395" s="19" t="n"/>
      <c r="G395" s="19" t="n"/>
      <c r="H395" s="19" t="n"/>
      <c r="I395" s="19" t="n"/>
      <c r="J395" s="19" t="n"/>
      <c r="K395" s="19" t="n"/>
      <c r="L395" s="19" t="n"/>
      <c r="M395" s="130">
        <f>IF($A395="","",AND('Task Finder'!$C$7&lt;&gt;"",OR(ISNUMBER(SEARCH('Task Finder'!$C$7,$A395)),ISNUMBER(SEARCH('Task Finder'!$C$7,$B395)),ISNUMBER(SEARCH('Task Finder'!$C$7,$C395)),ISNUMBER(SEARCH('Task Finder'!$C$7,$D395)),ISNUMBER(SEARCH('Task Finder'!$C$7,$K395)))))</f>
        <v/>
      </c>
    </row>
    <row r="396">
      <c r="A396" s="19" t="n"/>
      <c r="B396" s="19" t="n"/>
      <c r="C396" s="19" t="n"/>
      <c r="D396" s="19" t="n"/>
      <c r="E396" s="19" t="n"/>
      <c r="F396" s="19" t="n"/>
      <c r="G396" s="19" t="n"/>
      <c r="H396" s="19" t="n"/>
      <c r="I396" s="19" t="n"/>
      <c r="J396" s="19" t="n"/>
      <c r="K396" s="19" t="n"/>
      <c r="L396" s="19" t="n"/>
      <c r="M396" s="130">
        <f>IF($A396="","",AND('Task Finder'!$C$7&lt;&gt;"",OR(ISNUMBER(SEARCH('Task Finder'!$C$7,$A396)),ISNUMBER(SEARCH('Task Finder'!$C$7,$B396)),ISNUMBER(SEARCH('Task Finder'!$C$7,$C396)),ISNUMBER(SEARCH('Task Finder'!$C$7,$D396)),ISNUMBER(SEARCH('Task Finder'!$C$7,$K396)))))</f>
        <v/>
      </c>
    </row>
    <row r="397">
      <c r="A397" s="19" t="n"/>
      <c r="B397" s="19" t="n"/>
      <c r="C397" s="19" t="n"/>
      <c r="D397" s="19" t="n"/>
      <c r="E397" s="19" t="n"/>
      <c r="F397" s="19" t="n"/>
      <c r="G397" s="19" t="n"/>
      <c r="H397" s="19" t="n"/>
      <c r="I397" s="19" t="n"/>
      <c r="J397" s="19" t="n"/>
      <c r="K397" s="19" t="n"/>
      <c r="L397" s="19" t="n"/>
      <c r="M397" s="130">
        <f>IF($A397="","",AND('Task Finder'!$C$7&lt;&gt;"",OR(ISNUMBER(SEARCH('Task Finder'!$C$7,$A397)),ISNUMBER(SEARCH('Task Finder'!$C$7,$B397)),ISNUMBER(SEARCH('Task Finder'!$C$7,$C397)),ISNUMBER(SEARCH('Task Finder'!$C$7,$D397)),ISNUMBER(SEARCH('Task Finder'!$C$7,$K397)))))</f>
        <v/>
      </c>
    </row>
    <row r="398">
      <c r="A398" s="19" t="n"/>
      <c r="B398" s="19" t="n"/>
      <c r="C398" s="19" t="n"/>
      <c r="D398" s="19" t="n"/>
      <c r="E398" s="19" t="n"/>
      <c r="F398" s="19" t="n"/>
      <c r="G398" s="19" t="n"/>
      <c r="H398" s="19" t="n"/>
      <c r="I398" s="19" t="n"/>
      <c r="J398" s="19" t="n"/>
      <c r="K398" s="19" t="n"/>
      <c r="L398" s="19" t="n"/>
      <c r="M398" s="130">
        <f>IF($A398="","",AND('Task Finder'!$C$7&lt;&gt;"",OR(ISNUMBER(SEARCH('Task Finder'!$C$7,$A398)),ISNUMBER(SEARCH('Task Finder'!$C$7,$B398)),ISNUMBER(SEARCH('Task Finder'!$C$7,$C398)),ISNUMBER(SEARCH('Task Finder'!$C$7,$D398)),ISNUMBER(SEARCH('Task Finder'!$C$7,$K398)))))</f>
        <v/>
      </c>
    </row>
    <row r="399">
      <c r="A399" s="19" t="n"/>
      <c r="B399" s="19" t="n"/>
      <c r="C399" s="19" t="n"/>
      <c r="D399" s="19" t="n"/>
      <c r="E399" s="19" t="n"/>
      <c r="F399" s="19" t="n"/>
      <c r="G399" s="19" t="n"/>
      <c r="H399" s="19" t="n"/>
      <c r="I399" s="19" t="n"/>
      <c r="J399" s="19" t="n"/>
      <c r="K399" s="19" t="n"/>
      <c r="L399" s="19" t="n"/>
      <c r="M399" s="130">
        <f>IF($A399="","",AND('Task Finder'!$C$7&lt;&gt;"",OR(ISNUMBER(SEARCH('Task Finder'!$C$7,$A399)),ISNUMBER(SEARCH('Task Finder'!$C$7,$B399)),ISNUMBER(SEARCH('Task Finder'!$C$7,$C399)),ISNUMBER(SEARCH('Task Finder'!$C$7,$D399)),ISNUMBER(SEARCH('Task Finder'!$C$7,$K399)))))</f>
        <v/>
      </c>
    </row>
    <row r="400">
      <c r="A400" s="19" t="n"/>
      <c r="B400" s="19" t="n"/>
      <c r="C400" s="19" t="n"/>
      <c r="D400" s="19" t="n"/>
      <c r="E400" s="19" t="n"/>
      <c r="F400" s="19" t="n"/>
      <c r="G400" s="19" t="n"/>
      <c r="H400" s="19" t="n"/>
      <c r="I400" s="19" t="n"/>
      <c r="J400" s="19" t="n"/>
      <c r="K400" s="19" t="n"/>
      <c r="L400" s="19" t="n"/>
      <c r="M400" s="130">
        <f>IF($A400="","",AND('Task Finder'!$C$7&lt;&gt;"",OR(ISNUMBER(SEARCH('Task Finder'!$C$7,$A400)),ISNUMBER(SEARCH('Task Finder'!$C$7,$B400)),ISNUMBER(SEARCH('Task Finder'!$C$7,$C400)),ISNUMBER(SEARCH('Task Finder'!$C$7,$D400)),ISNUMBER(SEARCH('Task Finder'!$C$7,$K400)))))</f>
        <v/>
      </c>
    </row>
    <row r="401">
      <c r="A401" s="19" t="n"/>
      <c r="B401" s="19" t="n"/>
      <c r="C401" s="19" t="n"/>
      <c r="D401" s="19" t="n"/>
      <c r="E401" s="19" t="n"/>
      <c r="F401" s="19" t="n"/>
      <c r="G401" s="19" t="n"/>
      <c r="H401" s="19" t="n"/>
      <c r="I401" s="19" t="n"/>
      <c r="J401" s="19" t="n"/>
      <c r="K401" s="19" t="n"/>
      <c r="L401" s="19" t="n"/>
      <c r="M401" s="130">
        <f>IF($A401="","",AND('Task Finder'!$C$7&lt;&gt;"",OR(ISNUMBER(SEARCH('Task Finder'!$C$7,$A401)),ISNUMBER(SEARCH('Task Finder'!$C$7,$B401)),ISNUMBER(SEARCH('Task Finder'!$C$7,$C401)),ISNUMBER(SEARCH('Task Finder'!$C$7,$D401)),ISNUMBER(SEARCH('Task Finder'!$C$7,$K401)))))</f>
        <v/>
      </c>
    </row>
    <row r="402">
      <c r="A402" s="19" t="n"/>
      <c r="B402" s="19" t="n"/>
      <c r="C402" s="19" t="n"/>
      <c r="D402" s="19" t="n"/>
      <c r="E402" s="19" t="n"/>
      <c r="F402" s="19" t="n"/>
      <c r="G402" s="19" t="n"/>
      <c r="H402" s="19" t="n"/>
      <c r="I402" s="19" t="n"/>
      <c r="J402" s="19" t="n"/>
      <c r="K402" s="19" t="n"/>
      <c r="L402" s="19" t="n"/>
      <c r="M402" s="130">
        <f>IF($A402="","",AND('Task Finder'!$C$7&lt;&gt;"",OR(ISNUMBER(SEARCH('Task Finder'!$C$7,$A402)),ISNUMBER(SEARCH('Task Finder'!$C$7,$B402)),ISNUMBER(SEARCH('Task Finder'!$C$7,$C402)),ISNUMBER(SEARCH('Task Finder'!$C$7,$D402)),ISNUMBER(SEARCH('Task Finder'!$C$7,$K402)))))</f>
        <v/>
      </c>
    </row>
    <row r="403">
      <c r="A403" s="19" t="n"/>
      <c r="B403" s="19" t="n"/>
      <c r="C403" s="19" t="n"/>
      <c r="D403" s="19" t="n"/>
      <c r="E403" s="19" t="n"/>
      <c r="F403" s="19" t="n"/>
      <c r="G403" s="19" t="n"/>
      <c r="H403" s="19" t="n"/>
      <c r="I403" s="19" t="n"/>
      <c r="J403" s="19" t="n"/>
      <c r="K403" s="19" t="n"/>
      <c r="L403" s="19" t="n"/>
      <c r="M403" s="130">
        <f>IF($A403="","",AND('Task Finder'!$C$7&lt;&gt;"",OR(ISNUMBER(SEARCH('Task Finder'!$C$7,$A403)),ISNUMBER(SEARCH('Task Finder'!$C$7,$B403)),ISNUMBER(SEARCH('Task Finder'!$C$7,$C403)),ISNUMBER(SEARCH('Task Finder'!$C$7,$D403)),ISNUMBER(SEARCH('Task Finder'!$C$7,$K403)))))</f>
        <v/>
      </c>
    </row>
    <row r="404">
      <c r="A404" s="19" t="n"/>
      <c r="B404" s="19" t="n"/>
      <c r="C404" s="19" t="n"/>
      <c r="D404" s="19" t="n"/>
      <c r="E404" s="19" t="n"/>
      <c r="F404" s="19" t="n"/>
      <c r="G404" s="19" t="n"/>
      <c r="H404" s="19" t="n"/>
      <c r="I404" s="19" t="n"/>
      <c r="J404" s="19" t="n"/>
      <c r="K404" s="19" t="n"/>
      <c r="L404" s="19" t="n"/>
      <c r="M404" s="130">
        <f>IF($A404="","",AND('Task Finder'!$C$7&lt;&gt;"",OR(ISNUMBER(SEARCH('Task Finder'!$C$7,$A404)),ISNUMBER(SEARCH('Task Finder'!$C$7,$B404)),ISNUMBER(SEARCH('Task Finder'!$C$7,$C404)),ISNUMBER(SEARCH('Task Finder'!$C$7,$D404)),ISNUMBER(SEARCH('Task Finder'!$C$7,$K404)))))</f>
        <v/>
      </c>
    </row>
    <row r="405">
      <c r="A405" s="19" t="n"/>
      <c r="B405" s="19" t="n"/>
      <c r="C405" s="19" t="n"/>
      <c r="D405" s="19" t="n"/>
      <c r="E405" s="19" t="n"/>
      <c r="F405" s="19" t="n"/>
      <c r="G405" s="19" t="n"/>
      <c r="H405" s="19" t="n"/>
      <c r="I405" s="19" t="n"/>
      <c r="J405" s="19" t="n"/>
      <c r="K405" s="19" t="n"/>
      <c r="L405" s="19" t="n"/>
      <c r="M405" s="130">
        <f>IF($A405="","",AND('Task Finder'!$C$7&lt;&gt;"",OR(ISNUMBER(SEARCH('Task Finder'!$C$7,$A405)),ISNUMBER(SEARCH('Task Finder'!$C$7,$B405)),ISNUMBER(SEARCH('Task Finder'!$C$7,$C405)),ISNUMBER(SEARCH('Task Finder'!$C$7,$D405)),ISNUMBER(SEARCH('Task Finder'!$C$7,$K405)))))</f>
        <v/>
      </c>
    </row>
    <row r="406">
      <c r="A406" s="19" t="n"/>
      <c r="B406" s="19" t="n"/>
      <c r="C406" s="19" t="n"/>
      <c r="D406" s="19" t="n"/>
      <c r="E406" s="19" t="n"/>
      <c r="F406" s="19" t="n"/>
      <c r="G406" s="19" t="n"/>
      <c r="H406" s="19" t="n"/>
      <c r="I406" s="19" t="n"/>
      <c r="J406" s="19" t="n"/>
      <c r="K406" s="19" t="n"/>
      <c r="L406" s="19" t="n"/>
      <c r="M406" s="130">
        <f>IF($A406="","",AND('Task Finder'!$C$7&lt;&gt;"",OR(ISNUMBER(SEARCH('Task Finder'!$C$7,$A406)),ISNUMBER(SEARCH('Task Finder'!$C$7,$B406)),ISNUMBER(SEARCH('Task Finder'!$C$7,$C406)),ISNUMBER(SEARCH('Task Finder'!$C$7,$D406)),ISNUMBER(SEARCH('Task Finder'!$C$7,$K406)))))</f>
        <v/>
      </c>
    </row>
    <row r="407">
      <c r="A407" s="19" t="n"/>
      <c r="B407" s="19" t="n"/>
      <c r="C407" s="19" t="n"/>
      <c r="D407" s="19" t="n"/>
      <c r="E407" s="19" t="n"/>
      <c r="F407" s="19" t="n"/>
      <c r="G407" s="19" t="n"/>
      <c r="H407" s="19" t="n"/>
      <c r="I407" s="19" t="n"/>
      <c r="J407" s="19" t="n"/>
      <c r="K407" s="19" t="n"/>
      <c r="L407" s="19" t="n"/>
      <c r="M407" s="130">
        <f>IF($A407="","",AND('Task Finder'!$C$7&lt;&gt;"",OR(ISNUMBER(SEARCH('Task Finder'!$C$7,$A407)),ISNUMBER(SEARCH('Task Finder'!$C$7,$B407)),ISNUMBER(SEARCH('Task Finder'!$C$7,$C407)),ISNUMBER(SEARCH('Task Finder'!$C$7,$D407)),ISNUMBER(SEARCH('Task Finder'!$C$7,$K407)))))</f>
        <v/>
      </c>
    </row>
    <row r="408">
      <c r="A408" s="19" t="n"/>
      <c r="B408" s="19" t="n"/>
      <c r="C408" s="19" t="n"/>
      <c r="D408" s="19" t="n"/>
      <c r="E408" s="19" t="n"/>
      <c r="F408" s="19" t="n"/>
      <c r="G408" s="19" t="n"/>
      <c r="H408" s="19" t="n"/>
      <c r="I408" s="19" t="n"/>
      <c r="J408" s="19" t="n"/>
      <c r="K408" s="19" t="n"/>
      <c r="L408" s="19" t="n"/>
      <c r="M408" s="130">
        <f>IF($A408="","",AND('Task Finder'!$C$7&lt;&gt;"",OR(ISNUMBER(SEARCH('Task Finder'!$C$7,$A408)),ISNUMBER(SEARCH('Task Finder'!$C$7,$B408)),ISNUMBER(SEARCH('Task Finder'!$C$7,$C408)),ISNUMBER(SEARCH('Task Finder'!$C$7,$D408)),ISNUMBER(SEARCH('Task Finder'!$C$7,$K408)))))</f>
        <v/>
      </c>
    </row>
    <row r="409">
      <c r="A409" s="19" t="n"/>
      <c r="B409" s="19" t="n"/>
      <c r="C409" s="19" t="n"/>
      <c r="D409" s="19" t="n"/>
      <c r="E409" s="19" t="n"/>
      <c r="F409" s="19" t="n"/>
      <c r="G409" s="19" t="n"/>
      <c r="H409" s="19" t="n"/>
      <c r="I409" s="19" t="n"/>
      <c r="J409" s="19" t="n"/>
      <c r="K409" s="19" t="n"/>
      <c r="L409" s="19" t="n"/>
      <c r="M409" s="130">
        <f>IF($A409="","",AND('Task Finder'!$C$7&lt;&gt;"",OR(ISNUMBER(SEARCH('Task Finder'!$C$7,$A409)),ISNUMBER(SEARCH('Task Finder'!$C$7,$B409)),ISNUMBER(SEARCH('Task Finder'!$C$7,$C409)),ISNUMBER(SEARCH('Task Finder'!$C$7,$D409)),ISNUMBER(SEARCH('Task Finder'!$C$7,$K409)))))</f>
        <v/>
      </c>
    </row>
    <row r="410">
      <c r="A410" s="19" t="n"/>
      <c r="B410" s="19" t="n"/>
      <c r="C410" s="19" t="n"/>
      <c r="D410" s="19" t="n"/>
      <c r="E410" s="19" t="n"/>
      <c r="F410" s="19" t="n"/>
      <c r="G410" s="19" t="n"/>
      <c r="H410" s="19" t="n"/>
      <c r="I410" s="19" t="n"/>
      <c r="J410" s="19" t="n"/>
      <c r="K410" s="19" t="n"/>
      <c r="L410" s="19" t="n"/>
      <c r="M410" s="130">
        <f>IF($A410="","",AND('Task Finder'!$C$7&lt;&gt;"",OR(ISNUMBER(SEARCH('Task Finder'!$C$7,$A410)),ISNUMBER(SEARCH('Task Finder'!$C$7,$B410)),ISNUMBER(SEARCH('Task Finder'!$C$7,$C410)),ISNUMBER(SEARCH('Task Finder'!$C$7,$D410)),ISNUMBER(SEARCH('Task Finder'!$C$7,$K410)))))</f>
        <v/>
      </c>
    </row>
    <row r="411">
      <c r="A411" s="19" t="n"/>
      <c r="B411" s="19" t="n"/>
      <c r="C411" s="19" t="n"/>
      <c r="D411" s="19" t="n"/>
      <c r="E411" s="19" t="n"/>
      <c r="F411" s="19" t="n"/>
      <c r="G411" s="19" t="n"/>
      <c r="H411" s="19" t="n"/>
      <c r="I411" s="19" t="n"/>
      <c r="J411" s="19" t="n"/>
      <c r="K411" s="19" t="n"/>
      <c r="L411" s="19" t="n"/>
      <c r="M411" s="130">
        <f>IF($A411="","",AND('Task Finder'!$C$7&lt;&gt;"",OR(ISNUMBER(SEARCH('Task Finder'!$C$7,$A411)),ISNUMBER(SEARCH('Task Finder'!$C$7,$B411)),ISNUMBER(SEARCH('Task Finder'!$C$7,$C411)),ISNUMBER(SEARCH('Task Finder'!$C$7,$D411)),ISNUMBER(SEARCH('Task Finder'!$C$7,$K411)))))</f>
        <v/>
      </c>
    </row>
    <row r="412">
      <c r="A412" s="19" t="n"/>
      <c r="B412" s="19" t="n"/>
      <c r="C412" s="19" t="n"/>
      <c r="D412" s="19" t="n"/>
      <c r="E412" s="19" t="n"/>
      <c r="F412" s="19" t="n"/>
      <c r="G412" s="19" t="n"/>
      <c r="H412" s="19" t="n"/>
      <c r="I412" s="19" t="n"/>
      <c r="J412" s="19" t="n"/>
      <c r="K412" s="19" t="n"/>
      <c r="L412" s="19" t="n"/>
      <c r="M412" s="130">
        <f>IF($A412="","",AND('Task Finder'!$C$7&lt;&gt;"",OR(ISNUMBER(SEARCH('Task Finder'!$C$7,$A412)),ISNUMBER(SEARCH('Task Finder'!$C$7,$B412)),ISNUMBER(SEARCH('Task Finder'!$C$7,$C412)),ISNUMBER(SEARCH('Task Finder'!$C$7,$D412)),ISNUMBER(SEARCH('Task Finder'!$C$7,$K412)))))</f>
        <v/>
      </c>
    </row>
    <row r="413">
      <c r="A413" s="19" t="n"/>
      <c r="B413" s="19" t="n"/>
      <c r="C413" s="19" t="n"/>
      <c r="D413" s="19" t="n"/>
      <c r="E413" s="19" t="n"/>
      <c r="F413" s="19" t="n"/>
      <c r="G413" s="19" t="n"/>
      <c r="H413" s="19" t="n"/>
      <c r="I413" s="19" t="n"/>
      <c r="J413" s="19" t="n"/>
      <c r="K413" s="19" t="n"/>
      <c r="L413" s="19" t="n"/>
      <c r="M413" s="130">
        <f>IF($A413="","",AND('Task Finder'!$C$7&lt;&gt;"",OR(ISNUMBER(SEARCH('Task Finder'!$C$7,$A413)),ISNUMBER(SEARCH('Task Finder'!$C$7,$B413)),ISNUMBER(SEARCH('Task Finder'!$C$7,$C413)),ISNUMBER(SEARCH('Task Finder'!$C$7,$D413)),ISNUMBER(SEARCH('Task Finder'!$C$7,$K413)))))</f>
        <v/>
      </c>
    </row>
    <row r="414">
      <c r="A414" s="19" t="n"/>
      <c r="B414" s="19" t="n"/>
      <c r="C414" s="19" t="n"/>
      <c r="D414" s="19" t="n"/>
      <c r="E414" s="19" t="n"/>
      <c r="F414" s="19" t="n"/>
      <c r="G414" s="19" t="n"/>
      <c r="H414" s="19" t="n"/>
      <c r="I414" s="19" t="n"/>
      <c r="J414" s="19" t="n"/>
      <c r="K414" s="19" t="n"/>
      <c r="L414" s="19" t="n"/>
      <c r="M414" s="130">
        <f>IF($A414="","",AND('Task Finder'!$C$7&lt;&gt;"",OR(ISNUMBER(SEARCH('Task Finder'!$C$7,$A414)),ISNUMBER(SEARCH('Task Finder'!$C$7,$B414)),ISNUMBER(SEARCH('Task Finder'!$C$7,$C414)),ISNUMBER(SEARCH('Task Finder'!$C$7,$D414)),ISNUMBER(SEARCH('Task Finder'!$C$7,$K414)))))</f>
        <v/>
      </c>
    </row>
    <row r="415">
      <c r="A415" s="19" t="n"/>
      <c r="B415" s="19" t="n"/>
      <c r="C415" s="19" t="n"/>
      <c r="D415" s="19" t="n"/>
      <c r="E415" s="19" t="n"/>
      <c r="F415" s="19" t="n"/>
      <c r="G415" s="19" t="n"/>
      <c r="H415" s="19" t="n"/>
      <c r="I415" s="19" t="n"/>
      <c r="J415" s="19" t="n"/>
      <c r="K415" s="19" t="n"/>
      <c r="L415" s="19" t="n"/>
      <c r="M415" s="130">
        <f>IF($A415="","",AND('Task Finder'!$C$7&lt;&gt;"",OR(ISNUMBER(SEARCH('Task Finder'!$C$7,$A415)),ISNUMBER(SEARCH('Task Finder'!$C$7,$B415)),ISNUMBER(SEARCH('Task Finder'!$C$7,$C415)),ISNUMBER(SEARCH('Task Finder'!$C$7,$D415)),ISNUMBER(SEARCH('Task Finder'!$C$7,$K415)))))</f>
        <v/>
      </c>
    </row>
    <row r="416">
      <c r="A416" s="19" t="n"/>
      <c r="B416" s="19" t="n"/>
      <c r="C416" s="19" t="n"/>
      <c r="D416" s="19" t="n"/>
      <c r="E416" s="19" t="n"/>
      <c r="F416" s="19" t="n"/>
      <c r="G416" s="19" t="n"/>
      <c r="H416" s="19" t="n"/>
      <c r="I416" s="19" t="n"/>
      <c r="J416" s="19" t="n"/>
      <c r="K416" s="19" t="n"/>
      <c r="L416" s="19" t="n"/>
      <c r="M416" s="130">
        <f>IF($A416="","",AND('Task Finder'!$C$7&lt;&gt;"",OR(ISNUMBER(SEARCH('Task Finder'!$C$7,$A416)),ISNUMBER(SEARCH('Task Finder'!$C$7,$B416)),ISNUMBER(SEARCH('Task Finder'!$C$7,$C416)),ISNUMBER(SEARCH('Task Finder'!$C$7,$D416)),ISNUMBER(SEARCH('Task Finder'!$C$7,$K416)))))</f>
        <v/>
      </c>
    </row>
    <row r="417">
      <c r="A417" s="19" t="n"/>
      <c r="B417" s="19" t="n"/>
      <c r="C417" s="19" t="n"/>
      <c r="D417" s="19" t="n"/>
      <c r="E417" s="19" t="n"/>
      <c r="F417" s="19" t="n"/>
      <c r="G417" s="19" t="n"/>
      <c r="H417" s="19" t="n"/>
      <c r="I417" s="19" t="n"/>
      <c r="J417" s="19" t="n"/>
      <c r="K417" s="19" t="n"/>
      <c r="L417" s="19" t="n"/>
      <c r="M417" s="130">
        <f>IF($A417="","",AND('Task Finder'!$C$7&lt;&gt;"",OR(ISNUMBER(SEARCH('Task Finder'!$C$7,$A417)),ISNUMBER(SEARCH('Task Finder'!$C$7,$B417)),ISNUMBER(SEARCH('Task Finder'!$C$7,$C417)),ISNUMBER(SEARCH('Task Finder'!$C$7,$D417)),ISNUMBER(SEARCH('Task Finder'!$C$7,$K417)))))</f>
        <v/>
      </c>
    </row>
    <row r="418">
      <c r="A418" s="19" t="n"/>
      <c r="B418" s="19" t="n"/>
      <c r="C418" s="19" t="n"/>
      <c r="D418" s="19" t="n"/>
      <c r="E418" s="19" t="n"/>
      <c r="F418" s="19" t="n"/>
      <c r="G418" s="19" t="n"/>
      <c r="H418" s="19" t="n"/>
      <c r="I418" s="19" t="n"/>
      <c r="J418" s="19" t="n"/>
      <c r="K418" s="19" t="n"/>
      <c r="L418" s="19" t="n"/>
      <c r="M418" s="130">
        <f>IF($A418="","",AND('Task Finder'!$C$7&lt;&gt;"",OR(ISNUMBER(SEARCH('Task Finder'!$C$7,$A418)),ISNUMBER(SEARCH('Task Finder'!$C$7,$B418)),ISNUMBER(SEARCH('Task Finder'!$C$7,$C418)),ISNUMBER(SEARCH('Task Finder'!$C$7,$D418)),ISNUMBER(SEARCH('Task Finder'!$C$7,$K418)))))</f>
        <v/>
      </c>
    </row>
    <row r="419">
      <c r="A419" s="19" t="n"/>
      <c r="B419" s="19" t="n"/>
      <c r="C419" s="19" t="n"/>
      <c r="D419" s="19" t="n"/>
      <c r="E419" s="19" t="n"/>
      <c r="F419" s="19" t="n"/>
      <c r="G419" s="19" t="n"/>
      <c r="H419" s="19" t="n"/>
      <c r="I419" s="19" t="n"/>
      <c r="J419" s="19" t="n"/>
      <c r="K419" s="19" t="n"/>
      <c r="L419" s="19" t="n"/>
      <c r="M419" s="130">
        <f>IF($A419="","",AND('Task Finder'!$C$7&lt;&gt;"",OR(ISNUMBER(SEARCH('Task Finder'!$C$7,$A419)),ISNUMBER(SEARCH('Task Finder'!$C$7,$B419)),ISNUMBER(SEARCH('Task Finder'!$C$7,$C419)),ISNUMBER(SEARCH('Task Finder'!$C$7,$D419)),ISNUMBER(SEARCH('Task Finder'!$C$7,$K419)))))</f>
        <v/>
      </c>
    </row>
    <row r="420">
      <c r="A420" s="19" t="n"/>
      <c r="B420" s="19" t="n"/>
      <c r="C420" s="19" t="n"/>
      <c r="D420" s="19" t="n"/>
      <c r="E420" s="19" t="n"/>
      <c r="F420" s="19" t="n"/>
      <c r="G420" s="19" t="n"/>
      <c r="H420" s="19" t="n"/>
      <c r="I420" s="19" t="n"/>
      <c r="J420" s="19" t="n"/>
      <c r="K420" s="19" t="n"/>
      <c r="L420" s="19" t="n"/>
      <c r="M420" s="130">
        <f>IF($A420="","",AND('Task Finder'!$C$7&lt;&gt;"",OR(ISNUMBER(SEARCH('Task Finder'!$C$7,$A420)),ISNUMBER(SEARCH('Task Finder'!$C$7,$B420)),ISNUMBER(SEARCH('Task Finder'!$C$7,$C420)),ISNUMBER(SEARCH('Task Finder'!$C$7,$D420)),ISNUMBER(SEARCH('Task Finder'!$C$7,$K420)))))</f>
        <v/>
      </c>
    </row>
    <row r="421">
      <c r="A421" s="19" t="n"/>
      <c r="B421" s="19" t="n"/>
      <c r="C421" s="19" t="n"/>
      <c r="D421" s="19" t="n"/>
      <c r="E421" s="19" t="n"/>
      <c r="F421" s="19" t="n"/>
      <c r="G421" s="19" t="n"/>
      <c r="H421" s="19" t="n"/>
      <c r="I421" s="19" t="n"/>
      <c r="J421" s="19" t="n"/>
      <c r="K421" s="19" t="n"/>
      <c r="L421" s="19" t="n"/>
      <c r="M421" s="130">
        <f>IF($A421="","",AND('Task Finder'!$C$7&lt;&gt;"",OR(ISNUMBER(SEARCH('Task Finder'!$C$7,$A421)),ISNUMBER(SEARCH('Task Finder'!$C$7,$B421)),ISNUMBER(SEARCH('Task Finder'!$C$7,$C421)),ISNUMBER(SEARCH('Task Finder'!$C$7,$D421)),ISNUMBER(SEARCH('Task Finder'!$C$7,$K421)))))</f>
        <v/>
      </c>
    </row>
    <row r="422">
      <c r="A422" s="19" t="n"/>
      <c r="B422" s="19" t="n"/>
      <c r="C422" s="19" t="n"/>
      <c r="D422" s="19" t="n"/>
      <c r="E422" s="19" t="n"/>
      <c r="F422" s="19" t="n"/>
      <c r="G422" s="19" t="n"/>
      <c r="H422" s="19" t="n"/>
      <c r="I422" s="19" t="n"/>
      <c r="J422" s="19" t="n"/>
      <c r="K422" s="19" t="n"/>
      <c r="L422" s="19" t="n"/>
      <c r="M422" s="130">
        <f>IF($A422="","",AND('Task Finder'!$C$7&lt;&gt;"",OR(ISNUMBER(SEARCH('Task Finder'!$C$7,$A422)),ISNUMBER(SEARCH('Task Finder'!$C$7,$B422)),ISNUMBER(SEARCH('Task Finder'!$C$7,$C422)),ISNUMBER(SEARCH('Task Finder'!$C$7,$D422)),ISNUMBER(SEARCH('Task Finder'!$C$7,$K422)))))</f>
        <v/>
      </c>
    </row>
    <row r="423">
      <c r="A423" s="19" t="n"/>
      <c r="B423" s="19" t="n"/>
      <c r="C423" s="19" t="n"/>
      <c r="D423" s="19" t="n"/>
      <c r="E423" s="19" t="n"/>
      <c r="F423" s="19" t="n"/>
      <c r="G423" s="19" t="n"/>
      <c r="H423" s="19" t="n"/>
      <c r="I423" s="19" t="n"/>
      <c r="J423" s="19" t="n"/>
      <c r="K423" s="19" t="n"/>
      <c r="L423" s="19" t="n"/>
      <c r="M423" s="130">
        <f>IF($A423="","",AND('Task Finder'!$C$7&lt;&gt;"",OR(ISNUMBER(SEARCH('Task Finder'!$C$7,$A423)),ISNUMBER(SEARCH('Task Finder'!$C$7,$B423)),ISNUMBER(SEARCH('Task Finder'!$C$7,$C423)),ISNUMBER(SEARCH('Task Finder'!$C$7,$D423)),ISNUMBER(SEARCH('Task Finder'!$C$7,$K423)))))</f>
        <v/>
      </c>
    </row>
    <row r="424">
      <c r="A424" s="19" t="n"/>
      <c r="B424" s="19" t="n"/>
      <c r="C424" s="19" t="n"/>
      <c r="D424" s="19" t="n"/>
      <c r="E424" s="19" t="n"/>
      <c r="F424" s="19" t="n"/>
      <c r="G424" s="19" t="n"/>
      <c r="H424" s="19" t="n"/>
      <c r="I424" s="19" t="n"/>
      <c r="J424" s="19" t="n"/>
      <c r="K424" s="19" t="n"/>
      <c r="L424" s="19" t="n"/>
      <c r="M424" s="130">
        <f>IF($A424="","",AND('Task Finder'!$C$7&lt;&gt;"",OR(ISNUMBER(SEARCH('Task Finder'!$C$7,$A424)),ISNUMBER(SEARCH('Task Finder'!$C$7,$B424)),ISNUMBER(SEARCH('Task Finder'!$C$7,$C424)),ISNUMBER(SEARCH('Task Finder'!$C$7,$D424)),ISNUMBER(SEARCH('Task Finder'!$C$7,$K424)))))</f>
        <v/>
      </c>
    </row>
    <row r="425">
      <c r="A425" s="19" t="n"/>
      <c r="B425" s="19" t="n"/>
      <c r="C425" s="19" t="n"/>
      <c r="D425" s="19" t="n"/>
      <c r="E425" s="19" t="n"/>
      <c r="F425" s="19" t="n"/>
      <c r="G425" s="19" t="n"/>
      <c r="H425" s="19" t="n"/>
      <c r="I425" s="19" t="n"/>
      <c r="J425" s="19" t="n"/>
      <c r="K425" s="19" t="n"/>
      <c r="L425" s="19" t="n"/>
      <c r="M425" s="130">
        <f>IF($A425="","",AND('Task Finder'!$C$7&lt;&gt;"",OR(ISNUMBER(SEARCH('Task Finder'!$C$7,$A425)),ISNUMBER(SEARCH('Task Finder'!$C$7,$B425)),ISNUMBER(SEARCH('Task Finder'!$C$7,$C425)),ISNUMBER(SEARCH('Task Finder'!$C$7,$D425)),ISNUMBER(SEARCH('Task Finder'!$C$7,$K425)))))</f>
        <v/>
      </c>
    </row>
    <row r="426">
      <c r="A426" s="19" t="n"/>
      <c r="B426" s="19" t="n"/>
      <c r="C426" s="19" t="n"/>
      <c r="D426" s="19" t="n"/>
      <c r="E426" s="19" t="n"/>
      <c r="F426" s="19" t="n"/>
      <c r="G426" s="19" t="n"/>
      <c r="H426" s="19" t="n"/>
      <c r="I426" s="19" t="n"/>
      <c r="J426" s="19" t="n"/>
      <c r="K426" s="19" t="n"/>
      <c r="L426" s="19" t="n"/>
      <c r="M426" s="130">
        <f>IF($A426="","",AND('Task Finder'!$C$7&lt;&gt;"",OR(ISNUMBER(SEARCH('Task Finder'!$C$7,$A426)),ISNUMBER(SEARCH('Task Finder'!$C$7,$B426)),ISNUMBER(SEARCH('Task Finder'!$C$7,$C426)),ISNUMBER(SEARCH('Task Finder'!$C$7,$D426)),ISNUMBER(SEARCH('Task Finder'!$C$7,$K426)))))</f>
        <v/>
      </c>
    </row>
    <row r="427">
      <c r="A427" s="19" t="n"/>
      <c r="B427" s="19" t="n"/>
      <c r="C427" s="19" t="n"/>
      <c r="D427" s="19" t="n"/>
      <c r="E427" s="19" t="n"/>
      <c r="F427" s="19" t="n"/>
      <c r="G427" s="19" t="n"/>
      <c r="H427" s="19" t="n"/>
      <c r="I427" s="19" t="n"/>
      <c r="J427" s="19" t="n"/>
      <c r="K427" s="19" t="n"/>
      <c r="L427" s="19" t="n"/>
      <c r="M427" s="130">
        <f>IF($A427="","",AND('Task Finder'!$C$7&lt;&gt;"",OR(ISNUMBER(SEARCH('Task Finder'!$C$7,$A427)),ISNUMBER(SEARCH('Task Finder'!$C$7,$B427)),ISNUMBER(SEARCH('Task Finder'!$C$7,$C427)),ISNUMBER(SEARCH('Task Finder'!$C$7,$D427)),ISNUMBER(SEARCH('Task Finder'!$C$7,$K427)))))</f>
        <v/>
      </c>
    </row>
    <row r="428">
      <c r="A428" s="19" t="n"/>
      <c r="B428" s="19" t="n"/>
      <c r="C428" s="19" t="n"/>
      <c r="D428" s="19" t="n"/>
      <c r="E428" s="19" t="n"/>
      <c r="F428" s="19" t="n"/>
      <c r="G428" s="19" t="n"/>
      <c r="H428" s="19" t="n"/>
      <c r="I428" s="19" t="n"/>
      <c r="J428" s="19" t="n"/>
      <c r="K428" s="19" t="n"/>
      <c r="L428" s="19" t="n"/>
      <c r="M428" s="130">
        <f>IF($A428="","",AND('Task Finder'!$C$7&lt;&gt;"",OR(ISNUMBER(SEARCH('Task Finder'!$C$7,$A428)),ISNUMBER(SEARCH('Task Finder'!$C$7,$B428)),ISNUMBER(SEARCH('Task Finder'!$C$7,$C428)),ISNUMBER(SEARCH('Task Finder'!$C$7,$D428)),ISNUMBER(SEARCH('Task Finder'!$C$7,$K428)))))</f>
        <v/>
      </c>
    </row>
    <row r="429">
      <c r="A429" s="19" t="n"/>
      <c r="B429" s="19" t="n"/>
      <c r="C429" s="19" t="n"/>
      <c r="D429" s="19" t="n"/>
      <c r="E429" s="19" t="n"/>
      <c r="F429" s="19" t="n"/>
      <c r="G429" s="19" t="n"/>
      <c r="H429" s="19" t="n"/>
      <c r="I429" s="19" t="n"/>
      <c r="J429" s="19" t="n"/>
      <c r="K429" s="19" t="n"/>
      <c r="L429" s="19" t="n"/>
      <c r="M429" s="130">
        <f>IF($A429="","",AND('Task Finder'!$C$7&lt;&gt;"",OR(ISNUMBER(SEARCH('Task Finder'!$C$7,$A429)),ISNUMBER(SEARCH('Task Finder'!$C$7,$B429)),ISNUMBER(SEARCH('Task Finder'!$C$7,$C429)),ISNUMBER(SEARCH('Task Finder'!$C$7,$D429)),ISNUMBER(SEARCH('Task Finder'!$C$7,$K429)))))</f>
        <v/>
      </c>
    </row>
    <row r="430">
      <c r="A430" s="19" t="n"/>
      <c r="B430" s="19" t="n"/>
      <c r="C430" s="19" t="n"/>
      <c r="D430" s="19" t="n"/>
      <c r="E430" s="19" t="n"/>
      <c r="F430" s="19" t="n"/>
      <c r="G430" s="19" t="n"/>
      <c r="H430" s="19" t="n"/>
      <c r="I430" s="19" t="n"/>
      <c r="J430" s="19" t="n"/>
      <c r="K430" s="19" t="n"/>
      <c r="L430" s="19" t="n"/>
      <c r="M430" s="130">
        <f>IF($A430="","",AND('Task Finder'!$C$7&lt;&gt;"",OR(ISNUMBER(SEARCH('Task Finder'!$C$7,$A430)),ISNUMBER(SEARCH('Task Finder'!$C$7,$B430)),ISNUMBER(SEARCH('Task Finder'!$C$7,$C430)),ISNUMBER(SEARCH('Task Finder'!$C$7,$D430)),ISNUMBER(SEARCH('Task Finder'!$C$7,$K430)))))</f>
        <v/>
      </c>
    </row>
    <row r="431">
      <c r="A431" s="19" t="n"/>
      <c r="B431" s="19" t="n"/>
      <c r="C431" s="19" t="n"/>
      <c r="D431" s="19" t="n"/>
      <c r="E431" s="19" t="n"/>
      <c r="F431" s="19" t="n"/>
      <c r="G431" s="19" t="n"/>
      <c r="H431" s="19" t="n"/>
      <c r="I431" s="19" t="n"/>
      <c r="J431" s="19" t="n"/>
      <c r="K431" s="19" t="n"/>
      <c r="L431" s="19" t="n"/>
      <c r="M431" s="130">
        <f>IF($A431="","",AND('Task Finder'!$C$7&lt;&gt;"",OR(ISNUMBER(SEARCH('Task Finder'!$C$7,$A431)),ISNUMBER(SEARCH('Task Finder'!$C$7,$B431)),ISNUMBER(SEARCH('Task Finder'!$C$7,$C431)),ISNUMBER(SEARCH('Task Finder'!$C$7,$D431)),ISNUMBER(SEARCH('Task Finder'!$C$7,$K431)))))</f>
        <v/>
      </c>
    </row>
    <row r="432">
      <c r="A432" s="19" t="n"/>
      <c r="B432" s="19" t="n"/>
      <c r="C432" s="19" t="n"/>
      <c r="D432" s="19" t="n"/>
      <c r="E432" s="19" t="n"/>
      <c r="F432" s="19" t="n"/>
      <c r="G432" s="19" t="n"/>
      <c r="H432" s="19" t="n"/>
      <c r="I432" s="19" t="n"/>
      <c r="J432" s="19" t="n"/>
      <c r="K432" s="19" t="n"/>
      <c r="L432" s="19" t="n"/>
      <c r="M432" s="130">
        <f>IF($A432="","",AND('Task Finder'!$C$7&lt;&gt;"",OR(ISNUMBER(SEARCH('Task Finder'!$C$7,$A432)),ISNUMBER(SEARCH('Task Finder'!$C$7,$B432)),ISNUMBER(SEARCH('Task Finder'!$C$7,$C432)),ISNUMBER(SEARCH('Task Finder'!$C$7,$D432)),ISNUMBER(SEARCH('Task Finder'!$C$7,$K432)))))</f>
        <v/>
      </c>
    </row>
    <row r="433">
      <c r="A433" s="19" t="n"/>
      <c r="B433" s="19" t="n"/>
      <c r="C433" s="19" t="n"/>
      <c r="D433" s="19" t="n"/>
      <c r="E433" s="19" t="n"/>
      <c r="F433" s="19" t="n"/>
      <c r="G433" s="19" t="n"/>
      <c r="H433" s="19" t="n"/>
      <c r="I433" s="19" t="n"/>
      <c r="J433" s="19" t="n"/>
      <c r="K433" s="19" t="n"/>
      <c r="L433" s="19" t="n"/>
      <c r="M433" s="130">
        <f>IF($A433="","",AND('Task Finder'!$C$7&lt;&gt;"",OR(ISNUMBER(SEARCH('Task Finder'!$C$7,$A433)),ISNUMBER(SEARCH('Task Finder'!$C$7,$B433)),ISNUMBER(SEARCH('Task Finder'!$C$7,$C433)),ISNUMBER(SEARCH('Task Finder'!$C$7,$D433)),ISNUMBER(SEARCH('Task Finder'!$C$7,$K433)))))</f>
        <v/>
      </c>
    </row>
    <row r="434">
      <c r="A434" s="19" t="n"/>
      <c r="B434" s="19" t="n"/>
      <c r="C434" s="19" t="n"/>
      <c r="D434" s="19" t="n"/>
      <c r="E434" s="19" t="n"/>
      <c r="F434" s="19" t="n"/>
      <c r="G434" s="19" t="n"/>
      <c r="H434" s="19" t="n"/>
      <c r="I434" s="19" t="n"/>
      <c r="J434" s="19" t="n"/>
      <c r="K434" s="19" t="n"/>
      <c r="L434" s="19" t="n"/>
      <c r="M434" s="130">
        <f>IF($A434="","",AND('Task Finder'!$C$7&lt;&gt;"",OR(ISNUMBER(SEARCH('Task Finder'!$C$7,$A434)),ISNUMBER(SEARCH('Task Finder'!$C$7,$B434)),ISNUMBER(SEARCH('Task Finder'!$C$7,$C434)),ISNUMBER(SEARCH('Task Finder'!$C$7,$D434)),ISNUMBER(SEARCH('Task Finder'!$C$7,$K434)))))</f>
        <v/>
      </c>
    </row>
    <row r="435">
      <c r="A435" s="19" t="n"/>
      <c r="B435" s="19" t="n"/>
      <c r="C435" s="19" t="n"/>
      <c r="D435" s="19" t="n"/>
      <c r="E435" s="19" t="n"/>
      <c r="F435" s="19" t="n"/>
      <c r="G435" s="19" t="n"/>
      <c r="H435" s="19" t="n"/>
      <c r="I435" s="19" t="n"/>
      <c r="J435" s="19" t="n"/>
      <c r="K435" s="19" t="n"/>
      <c r="L435" s="19" t="n"/>
      <c r="M435" s="130">
        <f>IF($A435="","",AND('Task Finder'!$C$7&lt;&gt;"",OR(ISNUMBER(SEARCH('Task Finder'!$C$7,$A435)),ISNUMBER(SEARCH('Task Finder'!$C$7,$B435)),ISNUMBER(SEARCH('Task Finder'!$C$7,$C435)),ISNUMBER(SEARCH('Task Finder'!$C$7,$D435)),ISNUMBER(SEARCH('Task Finder'!$C$7,$K435)))))</f>
        <v/>
      </c>
    </row>
    <row r="436">
      <c r="A436" s="19" t="n"/>
      <c r="B436" s="19" t="n"/>
      <c r="C436" s="19" t="n"/>
      <c r="D436" s="19" t="n"/>
      <c r="E436" s="19" t="n"/>
      <c r="F436" s="19" t="n"/>
      <c r="G436" s="19" t="n"/>
      <c r="H436" s="19" t="n"/>
      <c r="I436" s="19" t="n"/>
      <c r="J436" s="19" t="n"/>
      <c r="K436" s="19" t="n"/>
      <c r="L436" s="19" t="n"/>
      <c r="M436" s="130">
        <f>IF($A436="","",AND('Task Finder'!$C$7&lt;&gt;"",OR(ISNUMBER(SEARCH('Task Finder'!$C$7,$A436)),ISNUMBER(SEARCH('Task Finder'!$C$7,$B436)),ISNUMBER(SEARCH('Task Finder'!$C$7,$C436)),ISNUMBER(SEARCH('Task Finder'!$C$7,$D436)),ISNUMBER(SEARCH('Task Finder'!$C$7,$K436)))))</f>
        <v/>
      </c>
    </row>
    <row r="437">
      <c r="A437" s="19" t="n"/>
      <c r="B437" s="19" t="n"/>
      <c r="C437" s="19" t="n"/>
      <c r="D437" s="19" t="n"/>
      <c r="E437" s="19" t="n"/>
      <c r="F437" s="19" t="n"/>
      <c r="G437" s="19" t="n"/>
      <c r="H437" s="19" t="n"/>
      <c r="I437" s="19" t="n"/>
      <c r="J437" s="19" t="n"/>
      <c r="K437" s="19" t="n"/>
      <c r="L437" s="19" t="n"/>
      <c r="M437" s="130">
        <f>IF($A437="","",AND('Task Finder'!$C$7&lt;&gt;"",OR(ISNUMBER(SEARCH('Task Finder'!$C$7,$A437)),ISNUMBER(SEARCH('Task Finder'!$C$7,$B437)),ISNUMBER(SEARCH('Task Finder'!$C$7,$C437)),ISNUMBER(SEARCH('Task Finder'!$C$7,$D437)),ISNUMBER(SEARCH('Task Finder'!$C$7,$K437)))))</f>
        <v/>
      </c>
    </row>
    <row r="438">
      <c r="A438" s="19" t="n"/>
      <c r="B438" s="19" t="n"/>
      <c r="C438" s="19" t="n"/>
      <c r="D438" s="19" t="n"/>
      <c r="E438" s="19" t="n"/>
      <c r="F438" s="19" t="n"/>
      <c r="G438" s="19" t="n"/>
      <c r="H438" s="19" t="n"/>
      <c r="I438" s="19" t="n"/>
      <c r="J438" s="19" t="n"/>
      <c r="K438" s="19" t="n"/>
      <c r="L438" s="19" t="n"/>
      <c r="M438" s="130">
        <f>IF($A438="","",AND('Task Finder'!$C$7&lt;&gt;"",OR(ISNUMBER(SEARCH('Task Finder'!$C$7,$A438)),ISNUMBER(SEARCH('Task Finder'!$C$7,$B438)),ISNUMBER(SEARCH('Task Finder'!$C$7,$C438)),ISNUMBER(SEARCH('Task Finder'!$C$7,$D438)),ISNUMBER(SEARCH('Task Finder'!$C$7,$K438)))))</f>
        <v/>
      </c>
    </row>
    <row r="439">
      <c r="A439" s="19" t="n"/>
      <c r="B439" s="19" t="n"/>
      <c r="C439" s="19" t="n"/>
      <c r="D439" s="19" t="n"/>
      <c r="E439" s="19" t="n"/>
      <c r="F439" s="19" t="n"/>
      <c r="G439" s="19" t="n"/>
      <c r="H439" s="19" t="n"/>
      <c r="I439" s="19" t="n"/>
      <c r="J439" s="19" t="n"/>
      <c r="K439" s="19" t="n"/>
      <c r="L439" s="19" t="n"/>
      <c r="M439" s="130">
        <f>IF($A439="","",AND('Task Finder'!$C$7&lt;&gt;"",OR(ISNUMBER(SEARCH('Task Finder'!$C$7,$A439)),ISNUMBER(SEARCH('Task Finder'!$C$7,$B439)),ISNUMBER(SEARCH('Task Finder'!$C$7,$C439)),ISNUMBER(SEARCH('Task Finder'!$C$7,$D439)),ISNUMBER(SEARCH('Task Finder'!$C$7,$K439)))))</f>
        <v/>
      </c>
    </row>
    <row r="440">
      <c r="A440" s="19" t="n"/>
      <c r="B440" s="19" t="n"/>
      <c r="C440" s="19" t="n"/>
      <c r="D440" s="19" t="n"/>
      <c r="E440" s="19" t="n"/>
      <c r="F440" s="19" t="n"/>
      <c r="G440" s="19" t="n"/>
      <c r="H440" s="19" t="n"/>
      <c r="I440" s="19" t="n"/>
      <c r="J440" s="19" t="n"/>
      <c r="K440" s="19" t="n"/>
      <c r="L440" s="19" t="n"/>
      <c r="M440" s="130">
        <f>IF($A440="","",AND('Task Finder'!$C$7&lt;&gt;"",OR(ISNUMBER(SEARCH('Task Finder'!$C$7,$A440)),ISNUMBER(SEARCH('Task Finder'!$C$7,$B440)),ISNUMBER(SEARCH('Task Finder'!$C$7,$C440)),ISNUMBER(SEARCH('Task Finder'!$C$7,$D440)),ISNUMBER(SEARCH('Task Finder'!$C$7,$K440)))))</f>
        <v/>
      </c>
    </row>
    <row r="441">
      <c r="A441" s="19" t="n"/>
      <c r="B441" s="19" t="n"/>
      <c r="C441" s="19" t="n"/>
      <c r="D441" s="19" t="n"/>
      <c r="E441" s="19" t="n"/>
      <c r="F441" s="19" t="n"/>
      <c r="G441" s="19" t="n"/>
      <c r="H441" s="19" t="n"/>
      <c r="I441" s="19" t="n"/>
      <c r="J441" s="19" t="n"/>
      <c r="K441" s="19" t="n"/>
      <c r="L441" s="19" t="n"/>
      <c r="M441" s="130">
        <f>IF($A441="","",AND('Task Finder'!$C$7&lt;&gt;"",OR(ISNUMBER(SEARCH('Task Finder'!$C$7,$A441)),ISNUMBER(SEARCH('Task Finder'!$C$7,$B441)),ISNUMBER(SEARCH('Task Finder'!$C$7,$C441)),ISNUMBER(SEARCH('Task Finder'!$C$7,$D441)),ISNUMBER(SEARCH('Task Finder'!$C$7,$K441)))))</f>
        <v/>
      </c>
    </row>
    <row r="442">
      <c r="A442" s="19" t="n"/>
      <c r="B442" s="19" t="n"/>
      <c r="C442" s="19" t="n"/>
      <c r="D442" s="19" t="n"/>
      <c r="E442" s="19" t="n"/>
      <c r="F442" s="19" t="n"/>
      <c r="G442" s="19" t="n"/>
      <c r="H442" s="19" t="n"/>
      <c r="I442" s="19" t="n"/>
      <c r="J442" s="19" t="n"/>
      <c r="K442" s="19" t="n"/>
      <c r="L442" s="19" t="n"/>
      <c r="M442" s="130">
        <f>IF($A442="","",AND('Task Finder'!$C$7&lt;&gt;"",OR(ISNUMBER(SEARCH('Task Finder'!$C$7,$A442)),ISNUMBER(SEARCH('Task Finder'!$C$7,$B442)),ISNUMBER(SEARCH('Task Finder'!$C$7,$C442)),ISNUMBER(SEARCH('Task Finder'!$C$7,$D442)),ISNUMBER(SEARCH('Task Finder'!$C$7,$K442)))))</f>
        <v/>
      </c>
    </row>
    <row r="443">
      <c r="A443" s="19" t="n"/>
      <c r="B443" s="19" t="n"/>
      <c r="C443" s="19" t="n"/>
      <c r="D443" s="19" t="n"/>
      <c r="E443" s="19" t="n"/>
      <c r="F443" s="19" t="n"/>
      <c r="G443" s="19" t="n"/>
      <c r="H443" s="19" t="n"/>
      <c r="I443" s="19" t="n"/>
      <c r="J443" s="19" t="n"/>
      <c r="K443" s="19" t="n"/>
      <c r="L443" s="19" t="n"/>
      <c r="M443" s="130">
        <f>IF($A443="","",AND('Task Finder'!$C$7&lt;&gt;"",OR(ISNUMBER(SEARCH('Task Finder'!$C$7,$A443)),ISNUMBER(SEARCH('Task Finder'!$C$7,$B443)),ISNUMBER(SEARCH('Task Finder'!$C$7,$C443)),ISNUMBER(SEARCH('Task Finder'!$C$7,$D443)),ISNUMBER(SEARCH('Task Finder'!$C$7,$K443)))))</f>
        <v/>
      </c>
    </row>
    <row r="444">
      <c r="A444" s="19" t="n"/>
      <c r="B444" s="19" t="n"/>
      <c r="C444" s="19" t="n"/>
      <c r="D444" s="19" t="n"/>
      <c r="E444" s="19" t="n"/>
      <c r="F444" s="19" t="n"/>
      <c r="G444" s="19" t="n"/>
      <c r="H444" s="19" t="n"/>
      <c r="I444" s="19" t="n"/>
      <c r="J444" s="19" t="n"/>
      <c r="K444" s="19" t="n"/>
      <c r="L444" s="19" t="n"/>
      <c r="M444" s="130">
        <f>IF($A444="","",AND('Task Finder'!$C$7&lt;&gt;"",OR(ISNUMBER(SEARCH('Task Finder'!$C$7,$A444)),ISNUMBER(SEARCH('Task Finder'!$C$7,$B444)),ISNUMBER(SEARCH('Task Finder'!$C$7,$C444)),ISNUMBER(SEARCH('Task Finder'!$C$7,$D444)),ISNUMBER(SEARCH('Task Finder'!$C$7,$K444)))))</f>
        <v/>
      </c>
    </row>
    <row r="445">
      <c r="A445" s="19" t="n"/>
      <c r="B445" s="19" t="n"/>
      <c r="C445" s="19" t="n"/>
      <c r="D445" s="19" t="n"/>
      <c r="E445" s="19" t="n"/>
      <c r="F445" s="19" t="n"/>
      <c r="G445" s="19" t="n"/>
      <c r="H445" s="19" t="n"/>
      <c r="I445" s="19" t="n"/>
      <c r="J445" s="19" t="n"/>
      <c r="K445" s="19" t="n"/>
      <c r="L445" s="19" t="n"/>
      <c r="M445" s="130">
        <f>IF($A445="","",AND('Task Finder'!$C$7&lt;&gt;"",OR(ISNUMBER(SEARCH('Task Finder'!$C$7,$A445)),ISNUMBER(SEARCH('Task Finder'!$C$7,$B445)),ISNUMBER(SEARCH('Task Finder'!$C$7,$C445)),ISNUMBER(SEARCH('Task Finder'!$C$7,$D445)),ISNUMBER(SEARCH('Task Finder'!$C$7,$K445)))))</f>
        <v/>
      </c>
    </row>
    <row r="446">
      <c r="A446" s="19" t="n"/>
      <c r="B446" s="19" t="n"/>
      <c r="C446" s="19" t="n"/>
      <c r="D446" s="19" t="n"/>
      <c r="E446" s="19" t="n"/>
      <c r="F446" s="19" t="n"/>
      <c r="G446" s="19" t="n"/>
      <c r="H446" s="19" t="n"/>
      <c r="I446" s="19" t="n"/>
      <c r="J446" s="19" t="n"/>
      <c r="K446" s="19" t="n"/>
      <c r="L446" s="19" t="n"/>
      <c r="M446" s="130">
        <f>IF($A446="","",AND('Task Finder'!$C$7&lt;&gt;"",OR(ISNUMBER(SEARCH('Task Finder'!$C$7,$A446)),ISNUMBER(SEARCH('Task Finder'!$C$7,$B446)),ISNUMBER(SEARCH('Task Finder'!$C$7,$C446)),ISNUMBER(SEARCH('Task Finder'!$C$7,$D446)),ISNUMBER(SEARCH('Task Finder'!$C$7,$K446)))))</f>
        <v/>
      </c>
    </row>
    <row r="447">
      <c r="A447" s="19" t="n"/>
      <c r="B447" s="19" t="n"/>
      <c r="C447" s="19" t="n"/>
      <c r="D447" s="19" t="n"/>
      <c r="E447" s="19" t="n"/>
      <c r="F447" s="19" t="n"/>
      <c r="G447" s="19" t="n"/>
      <c r="H447" s="19" t="n"/>
      <c r="I447" s="19" t="n"/>
      <c r="J447" s="19" t="n"/>
      <c r="K447" s="19" t="n"/>
      <c r="L447" s="19" t="n"/>
      <c r="M447" s="130">
        <f>IF($A447="","",AND('Task Finder'!$C$7&lt;&gt;"",OR(ISNUMBER(SEARCH('Task Finder'!$C$7,$A447)),ISNUMBER(SEARCH('Task Finder'!$C$7,$B447)),ISNUMBER(SEARCH('Task Finder'!$C$7,$C447)),ISNUMBER(SEARCH('Task Finder'!$C$7,$D447)),ISNUMBER(SEARCH('Task Finder'!$C$7,$K447)))))</f>
        <v/>
      </c>
    </row>
    <row r="448">
      <c r="A448" s="19" t="n"/>
      <c r="B448" s="19" t="n"/>
      <c r="C448" s="19" t="n"/>
      <c r="D448" s="19" t="n"/>
      <c r="E448" s="19" t="n"/>
      <c r="F448" s="19" t="n"/>
      <c r="G448" s="19" t="n"/>
      <c r="H448" s="19" t="n"/>
      <c r="I448" s="19" t="n"/>
      <c r="J448" s="19" t="n"/>
      <c r="K448" s="19" t="n"/>
      <c r="L448" s="19" t="n"/>
      <c r="M448" s="130">
        <f>IF($A448="","",AND('Task Finder'!$C$7&lt;&gt;"",OR(ISNUMBER(SEARCH('Task Finder'!$C$7,$A448)),ISNUMBER(SEARCH('Task Finder'!$C$7,$B448)),ISNUMBER(SEARCH('Task Finder'!$C$7,$C448)),ISNUMBER(SEARCH('Task Finder'!$C$7,$D448)),ISNUMBER(SEARCH('Task Finder'!$C$7,$K448)))))</f>
        <v/>
      </c>
    </row>
    <row r="449">
      <c r="A449" s="19" t="n"/>
      <c r="B449" s="19" t="n"/>
      <c r="C449" s="19" t="n"/>
      <c r="D449" s="19" t="n"/>
      <c r="E449" s="19" t="n"/>
      <c r="F449" s="19" t="n"/>
      <c r="G449" s="19" t="n"/>
      <c r="H449" s="19" t="n"/>
      <c r="I449" s="19" t="n"/>
      <c r="J449" s="19" t="n"/>
      <c r="K449" s="19" t="n"/>
      <c r="L449" s="19" t="n"/>
      <c r="M449" s="130">
        <f>IF($A449="","",AND('Task Finder'!$C$7&lt;&gt;"",OR(ISNUMBER(SEARCH('Task Finder'!$C$7,$A449)),ISNUMBER(SEARCH('Task Finder'!$C$7,$B449)),ISNUMBER(SEARCH('Task Finder'!$C$7,$C449)),ISNUMBER(SEARCH('Task Finder'!$C$7,$D449)),ISNUMBER(SEARCH('Task Finder'!$C$7,$K449)))))</f>
        <v/>
      </c>
    </row>
    <row r="450">
      <c r="A450" s="19" t="n"/>
      <c r="B450" s="19" t="n"/>
      <c r="C450" s="19" t="n"/>
      <c r="D450" s="19" t="n"/>
      <c r="E450" s="19" t="n"/>
      <c r="F450" s="19" t="n"/>
      <c r="G450" s="19" t="n"/>
      <c r="H450" s="19" t="n"/>
      <c r="I450" s="19" t="n"/>
      <c r="J450" s="19" t="n"/>
      <c r="K450" s="19" t="n"/>
      <c r="L450" s="19" t="n"/>
      <c r="M450" s="130">
        <f>IF($A450="","",AND('Task Finder'!$C$7&lt;&gt;"",OR(ISNUMBER(SEARCH('Task Finder'!$C$7,$A450)),ISNUMBER(SEARCH('Task Finder'!$C$7,$B450)),ISNUMBER(SEARCH('Task Finder'!$C$7,$C450)),ISNUMBER(SEARCH('Task Finder'!$C$7,$D450)),ISNUMBER(SEARCH('Task Finder'!$C$7,$K450)))))</f>
        <v/>
      </c>
    </row>
    <row r="451">
      <c r="A451" s="19" t="n"/>
      <c r="B451" s="19" t="n"/>
      <c r="C451" s="19" t="n"/>
      <c r="D451" s="19" t="n"/>
      <c r="E451" s="19" t="n"/>
      <c r="F451" s="19" t="n"/>
      <c r="G451" s="19" t="n"/>
      <c r="H451" s="19" t="n"/>
      <c r="I451" s="19" t="n"/>
      <c r="J451" s="19" t="n"/>
      <c r="K451" s="19" t="n"/>
      <c r="L451" s="19" t="n"/>
      <c r="M451" s="130">
        <f>IF($A451="","",AND('Task Finder'!$C$7&lt;&gt;"",OR(ISNUMBER(SEARCH('Task Finder'!$C$7,$A451)),ISNUMBER(SEARCH('Task Finder'!$C$7,$B451)),ISNUMBER(SEARCH('Task Finder'!$C$7,$C451)),ISNUMBER(SEARCH('Task Finder'!$C$7,$D451)),ISNUMBER(SEARCH('Task Finder'!$C$7,$K451)))))</f>
        <v/>
      </c>
    </row>
    <row r="452">
      <c r="A452" s="19" t="n"/>
      <c r="B452" s="19" t="n"/>
      <c r="C452" s="19" t="n"/>
      <c r="D452" s="19" t="n"/>
      <c r="E452" s="19" t="n"/>
      <c r="F452" s="19" t="n"/>
      <c r="G452" s="19" t="n"/>
      <c r="H452" s="19" t="n"/>
      <c r="I452" s="19" t="n"/>
      <c r="J452" s="19" t="n"/>
      <c r="K452" s="19" t="n"/>
      <c r="L452" s="19" t="n"/>
      <c r="M452" s="130">
        <f>IF($A452="","",AND('Task Finder'!$C$7&lt;&gt;"",OR(ISNUMBER(SEARCH('Task Finder'!$C$7,$A452)),ISNUMBER(SEARCH('Task Finder'!$C$7,$B452)),ISNUMBER(SEARCH('Task Finder'!$C$7,$C452)),ISNUMBER(SEARCH('Task Finder'!$C$7,$D452)),ISNUMBER(SEARCH('Task Finder'!$C$7,$K452)))))</f>
        <v/>
      </c>
    </row>
    <row r="453">
      <c r="A453" s="19" t="n"/>
      <c r="B453" s="19" t="n"/>
      <c r="C453" s="19" t="n"/>
      <c r="D453" s="19" t="n"/>
      <c r="E453" s="19" t="n"/>
      <c r="F453" s="19" t="n"/>
      <c r="G453" s="19" t="n"/>
      <c r="H453" s="19" t="n"/>
      <c r="I453" s="19" t="n"/>
      <c r="J453" s="19" t="n"/>
      <c r="K453" s="19" t="n"/>
      <c r="L453" s="19" t="n"/>
      <c r="M453" s="130">
        <f>IF($A453="","",AND('Task Finder'!$C$7&lt;&gt;"",OR(ISNUMBER(SEARCH('Task Finder'!$C$7,$A453)),ISNUMBER(SEARCH('Task Finder'!$C$7,$B453)),ISNUMBER(SEARCH('Task Finder'!$C$7,$C453)),ISNUMBER(SEARCH('Task Finder'!$C$7,$D453)),ISNUMBER(SEARCH('Task Finder'!$C$7,$K453)))))</f>
        <v/>
      </c>
    </row>
    <row r="454">
      <c r="A454" s="19" t="n"/>
      <c r="B454" s="19" t="n"/>
      <c r="C454" s="19" t="n"/>
      <c r="D454" s="19" t="n"/>
      <c r="E454" s="19" t="n"/>
      <c r="F454" s="19" t="n"/>
      <c r="G454" s="19" t="n"/>
      <c r="H454" s="19" t="n"/>
      <c r="I454" s="19" t="n"/>
      <c r="J454" s="19" t="n"/>
      <c r="K454" s="19" t="n"/>
      <c r="L454" s="19" t="n"/>
      <c r="M454" s="130">
        <f>IF($A454="","",AND('Task Finder'!$C$7&lt;&gt;"",OR(ISNUMBER(SEARCH('Task Finder'!$C$7,$A454)),ISNUMBER(SEARCH('Task Finder'!$C$7,$B454)),ISNUMBER(SEARCH('Task Finder'!$C$7,$C454)),ISNUMBER(SEARCH('Task Finder'!$C$7,$D454)),ISNUMBER(SEARCH('Task Finder'!$C$7,$K454)))))</f>
        <v/>
      </c>
    </row>
    <row r="455">
      <c r="A455" s="19" t="n"/>
      <c r="B455" s="19" t="n"/>
      <c r="C455" s="19" t="n"/>
      <c r="D455" s="19" t="n"/>
      <c r="E455" s="19" t="n"/>
      <c r="F455" s="19" t="n"/>
      <c r="G455" s="19" t="n"/>
      <c r="H455" s="19" t="n"/>
      <c r="I455" s="19" t="n"/>
      <c r="J455" s="19" t="n"/>
      <c r="K455" s="19" t="n"/>
      <c r="L455" s="19" t="n"/>
      <c r="M455" s="130">
        <f>IF($A455="","",AND('Task Finder'!$C$7&lt;&gt;"",OR(ISNUMBER(SEARCH('Task Finder'!$C$7,$A455)),ISNUMBER(SEARCH('Task Finder'!$C$7,$B455)),ISNUMBER(SEARCH('Task Finder'!$C$7,$C455)),ISNUMBER(SEARCH('Task Finder'!$C$7,$D455)),ISNUMBER(SEARCH('Task Finder'!$C$7,$K455)))))</f>
        <v/>
      </c>
    </row>
    <row r="456">
      <c r="A456" s="19" t="n"/>
      <c r="B456" s="19" t="n"/>
      <c r="C456" s="19" t="n"/>
      <c r="D456" s="19" t="n"/>
      <c r="E456" s="19" t="n"/>
      <c r="F456" s="19" t="n"/>
      <c r="G456" s="19" t="n"/>
      <c r="H456" s="19" t="n"/>
      <c r="I456" s="19" t="n"/>
      <c r="J456" s="19" t="n"/>
      <c r="K456" s="19" t="n"/>
      <c r="L456" s="19" t="n"/>
      <c r="M456" s="130">
        <f>IF($A456="","",AND('Task Finder'!$C$7&lt;&gt;"",OR(ISNUMBER(SEARCH('Task Finder'!$C$7,$A456)),ISNUMBER(SEARCH('Task Finder'!$C$7,$B456)),ISNUMBER(SEARCH('Task Finder'!$C$7,$C456)),ISNUMBER(SEARCH('Task Finder'!$C$7,$D456)),ISNUMBER(SEARCH('Task Finder'!$C$7,$K456)))))</f>
        <v/>
      </c>
    </row>
    <row r="457">
      <c r="A457" s="19" t="n"/>
      <c r="B457" s="19" t="n"/>
      <c r="C457" s="19" t="n"/>
      <c r="D457" s="19" t="n"/>
      <c r="E457" s="19" t="n"/>
      <c r="F457" s="19" t="n"/>
      <c r="G457" s="19" t="n"/>
      <c r="H457" s="19" t="n"/>
      <c r="I457" s="19" t="n"/>
      <c r="J457" s="19" t="n"/>
      <c r="K457" s="19" t="n"/>
      <c r="L457" s="19" t="n"/>
      <c r="M457" s="130">
        <f>IF($A457="","",AND('Task Finder'!$C$7&lt;&gt;"",OR(ISNUMBER(SEARCH('Task Finder'!$C$7,$A457)),ISNUMBER(SEARCH('Task Finder'!$C$7,$B457)),ISNUMBER(SEARCH('Task Finder'!$C$7,$C457)),ISNUMBER(SEARCH('Task Finder'!$C$7,$D457)),ISNUMBER(SEARCH('Task Finder'!$C$7,$K457)))))</f>
        <v/>
      </c>
    </row>
    <row r="458">
      <c r="A458" s="19" t="n"/>
      <c r="B458" s="19" t="n"/>
      <c r="C458" s="19" t="n"/>
      <c r="D458" s="19" t="n"/>
      <c r="E458" s="19" t="n"/>
      <c r="F458" s="19" t="n"/>
      <c r="G458" s="19" t="n"/>
      <c r="H458" s="19" t="n"/>
      <c r="I458" s="19" t="n"/>
      <c r="J458" s="19" t="n"/>
      <c r="K458" s="19" t="n"/>
      <c r="L458" s="19" t="n"/>
      <c r="M458" s="130">
        <f>IF($A458="","",AND('Task Finder'!$C$7&lt;&gt;"",OR(ISNUMBER(SEARCH('Task Finder'!$C$7,$A458)),ISNUMBER(SEARCH('Task Finder'!$C$7,$B458)),ISNUMBER(SEARCH('Task Finder'!$C$7,$C458)),ISNUMBER(SEARCH('Task Finder'!$C$7,$D458)),ISNUMBER(SEARCH('Task Finder'!$C$7,$K458)))))</f>
        <v/>
      </c>
    </row>
    <row r="459">
      <c r="A459" s="19" t="n"/>
      <c r="B459" s="19" t="n"/>
      <c r="C459" s="19" t="n"/>
      <c r="D459" s="19" t="n"/>
      <c r="E459" s="19" t="n"/>
      <c r="F459" s="19" t="n"/>
      <c r="G459" s="19" t="n"/>
      <c r="H459" s="19" t="n"/>
      <c r="I459" s="19" t="n"/>
      <c r="J459" s="19" t="n"/>
      <c r="K459" s="19" t="n"/>
      <c r="L459" s="19" t="n"/>
      <c r="M459" s="130">
        <f>IF($A459="","",AND('Task Finder'!$C$7&lt;&gt;"",OR(ISNUMBER(SEARCH('Task Finder'!$C$7,$A459)),ISNUMBER(SEARCH('Task Finder'!$C$7,$B459)),ISNUMBER(SEARCH('Task Finder'!$C$7,$C459)),ISNUMBER(SEARCH('Task Finder'!$C$7,$D459)),ISNUMBER(SEARCH('Task Finder'!$C$7,$K459)))))</f>
        <v/>
      </c>
    </row>
    <row r="460">
      <c r="A460" s="19" t="n"/>
      <c r="B460" s="19" t="n"/>
      <c r="C460" s="19" t="n"/>
      <c r="D460" s="19" t="n"/>
      <c r="E460" s="19" t="n"/>
      <c r="F460" s="19" t="n"/>
      <c r="G460" s="19" t="n"/>
      <c r="H460" s="19" t="n"/>
      <c r="I460" s="19" t="n"/>
      <c r="J460" s="19" t="n"/>
      <c r="K460" s="19" t="n"/>
      <c r="L460" s="19" t="n"/>
      <c r="M460" s="130">
        <f>IF($A460="","",AND('Task Finder'!$C$7&lt;&gt;"",OR(ISNUMBER(SEARCH('Task Finder'!$C$7,$A460)),ISNUMBER(SEARCH('Task Finder'!$C$7,$B460)),ISNUMBER(SEARCH('Task Finder'!$C$7,$C460)),ISNUMBER(SEARCH('Task Finder'!$C$7,$D460)),ISNUMBER(SEARCH('Task Finder'!$C$7,$K460)))))</f>
        <v/>
      </c>
    </row>
    <row r="461">
      <c r="A461" s="19" t="n"/>
      <c r="B461" s="19" t="n"/>
      <c r="C461" s="19" t="n"/>
      <c r="D461" s="19" t="n"/>
      <c r="E461" s="19" t="n"/>
      <c r="F461" s="19" t="n"/>
      <c r="G461" s="19" t="n"/>
      <c r="H461" s="19" t="n"/>
      <c r="I461" s="19" t="n"/>
      <c r="J461" s="19" t="n"/>
      <c r="K461" s="19" t="n"/>
      <c r="L461" s="19" t="n"/>
      <c r="M461" s="130">
        <f>IF($A461="","",AND('Task Finder'!$C$7&lt;&gt;"",OR(ISNUMBER(SEARCH('Task Finder'!$C$7,$A461)),ISNUMBER(SEARCH('Task Finder'!$C$7,$B461)),ISNUMBER(SEARCH('Task Finder'!$C$7,$C461)),ISNUMBER(SEARCH('Task Finder'!$C$7,$D461)),ISNUMBER(SEARCH('Task Finder'!$C$7,$K461)))))</f>
        <v/>
      </c>
    </row>
    <row r="462">
      <c r="A462" s="19" t="n"/>
      <c r="B462" s="19" t="n"/>
      <c r="C462" s="19" t="n"/>
      <c r="D462" s="19" t="n"/>
      <c r="E462" s="19" t="n"/>
      <c r="F462" s="19" t="n"/>
      <c r="G462" s="19" t="n"/>
      <c r="H462" s="19" t="n"/>
      <c r="I462" s="19" t="n"/>
      <c r="J462" s="19" t="n"/>
      <c r="K462" s="19" t="n"/>
      <c r="L462" s="19" t="n"/>
      <c r="M462" s="130">
        <f>IF($A462="","",AND('Task Finder'!$C$7&lt;&gt;"",OR(ISNUMBER(SEARCH('Task Finder'!$C$7,$A462)),ISNUMBER(SEARCH('Task Finder'!$C$7,$B462)),ISNUMBER(SEARCH('Task Finder'!$C$7,$C462)),ISNUMBER(SEARCH('Task Finder'!$C$7,$D462)),ISNUMBER(SEARCH('Task Finder'!$C$7,$K462)))))</f>
        <v/>
      </c>
    </row>
    <row r="463">
      <c r="A463" s="19" t="n"/>
      <c r="B463" s="19" t="n"/>
      <c r="C463" s="19" t="n"/>
      <c r="D463" s="19" t="n"/>
      <c r="E463" s="19" t="n"/>
      <c r="F463" s="19" t="n"/>
      <c r="G463" s="19" t="n"/>
      <c r="H463" s="19" t="n"/>
      <c r="I463" s="19" t="n"/>
      <c r="J463" s="19" t="n"/>
      <c r="K463" s="19" t="n"/>
      <c r="L463" s="19" t="n"/>
      <c r="M463" s="130">
        <f>IF($A463="","",AND('Task Finder'!$C$7&lt;&gt;"",OR(ISNUMBER(SEARCH('Task Finder'!$C$7,$A463)),ISNUMBER(SEARCH('Task Finder'!$C$7,$B463)),ISNUMBER(SEARCH('Task Finder'!$C$7,$C463)),ISNUMBER(SEARCH('Task Finder'!$C$7,$D463)),ISNUMBER(SEARCH('Task Finder'!$C$7,$K463)))))</f>
        <v/>
      </c>
    </row>
    <row r="464">
      <c r="A464" s="19" t="n"/>
      <c r="B464" s="19" t="n"/>
      <c r="C464" s="19" t="n"/>
      <c r="D464" s="19" t="n"/>
      <c r="E464" s="19" t="n"/>
      <c r="F464" s="19" t="n"/>
      <c r="G464" s="19" t="n"/>
      <c r="H464" s="19" t="n"/>
      <c r="I464" s="19" t="n"/>
      <c r="J464" s="19" t="n"/>
      <c r="K464" s="19" t="n"/>
      <c r="L464" s="19" t="n"/>
      <c r="M464" s="130">
        <f>IF($A464="","",AND('Task Finder'!$C$7&lt;&gt;"",OR(ISNUMBER(SEARCH('Task Finder'!$C$7,$A464)),ISNUMBER(SEARCH('Task Finder'!$C$7,$B464)),ISNUMBER(SEARCH('Task Finder'!$C$7,$C464)),ISNUMBER(SEARCH('Task Finder'!$C$7,$D464)),ISNUMBER(SEARCH('Task Finder'!$C$7,$K464)))))</f>
        <v/>
      </c>
    </row>
    <row r="465">
      <c r="A465" s="19" t="n"/>
      <c r="B465" s="19" t="n"/>
      <c r="C465" s="19" t="n"/>
      <c r="D465" s="19" t="n"/>
      <c r="E465" s="19" t="n"/>
      <c r="F465" s="19" t="n"/>
      <c r="G465" s="19" t="n"/>
      <c r="H465" s="19" t="n"/>
      <c r="I465" s="19" t="n"/>
      <c r="J465" s="19" t="n"/>
      <c r="K465" s="19" t="n"/>
      <c r="L465" s="19" t="n"/>
      <c r="M465" s="130">
        <f>IF($A465="","",AND('Task Finder'!$C$7&lt;&gt;"",OR(ISNUMBER(SEARCH('Task Finder'!$C$7,$A465)),ISNUMBER(SEARCH('Task Finder'!$C$7,$B465)),ISNUMBER(SEARCH('Task Finder'!$C$7,$C465)),ISNUMBER(SEARCH('Task Finder'!$C$7,$D465)),ISNUMBER(SEARCH('Task Finder'!$C$7,$K465)))))</f>
        <v/>
      </c>
    </row>
    <row r="466">
      <c r="A466" s="19" t="n"/>
      <c r="B466" s="19" t="n"/>
      <c r="C466" s="19" t="n"/>
      <c r="D466" s="19" t="n"/>
      <c r="E466" s="19" t="n"/>
      <c r="F466" s="19" t="n"/>
      <c r="G466" s="19" t="n"/>
      <c r="H466" s="19" t="n"/>
      <c r="I466" s="19" t="n"/>
      <c r="J466" s="19" t="n"/>
      <c r="K466" s="19" t="n"/>
      <c r="L466" s="19" t="n"/>
      <c r="M466" s="130">
        <f>IF($A466="","",AND('Task Finder'!$C$7&lt;&gt;"",OR(ISNUMBER(SEARCH('Task Finder'!$C$7,$A466)),ISNUMBER(SEARCH('Task Finder'!$C$7,$B466)),ISNUMBER(SEARCH('Task Finder'!$C$7,$C466)),ISNUMBER(SEARCH('Task Finder'!$C$7,$D466)),ISNUMBER(SEARCH('Task Finder'!$C$7,$K466)))))</f>
        <v/>
      </c>
    </row>
    <row r="467">
      <c r="A467" s="19" t="n"/>
      <c r="B467" s="19" t="n"/>
      <c r="C467" s="19" t="n"/>
      <c r="D467" s="19" t="n"/>
      <c r="E467" s="19" t="n"/>
      <c r="F467" s="19" t="n"/>
      <c r="G467" s="19" t="n"/>
      <c r="H467" s="19" t="n"/>
      <c r="I467" s="19" t="n"/>
      <c r="J467" s="19" t="n"/>
      <c r="K467" s="19" t="n"/>
      <c r="L467" s="19" t="n"/>
      <c r="M467" s="130">
        <f>IF($A467="","",AND('Task Finder'!$C$7&lt;&gt;"",OR(ISNUMBER(SEARCH('Task Finder'!$C$7,$A467)),ISNUMBER(SEARCH('Task Finder'!$C$7,$B467)),ISNUMBER(SEARCH('Task Finder'!$C$7,$C467)),ISNUMBER(SEARCH('Task Finder'!$C$7,$D467)),ISNUMBER(SEARCH('Task Finder'!$C$7,$K467)))))</f>
        <v/>
      </c>
    </row>
    <row r="468">
      <c r="A468" s="19" t="n"/>
      <c r="B468" s="19" t="n"/>
      <c r="C468" s="19" t="n"/>
      <c r="D468" s="19" t="n"/>
      <c r="E468" s="19" t="n"/>
      <c r="F468" s="19" t="n"/>
      <c r="G468" s="19" t="n"/>
      <c r="H468" s="19" t="n"/>
      <c r="I468" s="19" t="n"/>
      <c r="J468" s="19" t="n"/>
      <c r="K468" s="19" t="n"/>
      <c r="L468" s="19" t="n"/>
      <c r="M468" s="130">
        <f>IF($A468="","",AND('Task Finder'!$C$7&lt;&gt;"",OR(ISNUMBER(SEARCH('Task Finder'!$C$7,$A468)),ISNUMBER(SEARCH('Task Finder'!$C$7,$B468)),ISNUMBER(SEARCH('Task Finder'!$C$7,$C468)),ISNUMBER(SEARCH('Task Finder'!$C$7,$D468)),ISNUMBER(SEARCH('Task Finder'!$C$7,$K468)))))</f>
        <v/>
      </c>
    </row>
    <row r="469">
      <c r="A469" s="19" t="n"/>
      <c r="B469" s="19" t="n"/>
      <c r="C469" s="19" t="n"/>
      <c r="D469" s="19" t="n"/>
      <c r="E469" s="19" t="n"/>
      <c r="F469" s="19" t="n"/>
      <c r="G469" s="19" t="n"/>
      <c r="H469" s="19" t="n"/>
      <c r="I469" s="19" t="n"/>
      <c r="J469" s="19" t="n"/>
      <c r="K469" s="19" t="n"/>
      <c r="L469" s="19" t="n"/>
      <c r="M469" s="130">
        <f>IF($A469="","",AND('Task Finder'!$C$7&lt;&gt;"",OR(ISNUMBER(SEARCH('Task Finder'!$C$7,$A469)),ISNUMBER(SEARCH('Task Finder'!$C$7,$B469)),ISNUMBER(SEARCH('Task Finder'!$C$7,$C469)),ISNUMBER(SEARCH('Task Finder'!$C$7,$D469)),ISNUMBER(SEARCH('Task Finder'!$C$7,$K469)))))</f>
        <v/>
      </c>
    </row>
    <row r="470">
      <c r="A470" s="19" t="n"/>
      <c r="B470" s="19" t="n"/>
      <c r="C470" s="19" t="n"/>
      <c r="D470" s="19" t="n"/>
      <c r="E470" s="19" t="n"/>
      <c r="F470" s="19" t="n"/>
      <c r="G470" s="19" t="n"/>
      <c r="H470" s="19" t="n"/>
      <c r="I470" s="19" t="n"/>
      <c r="J470" s="19" t="n"/>
      <c r="K470" s="19" t="n"/>
      <c r="L470" s="19" t="n"/>
      <c r="M470" s="130">
        <f>IF($A470="","",AND('Task Finder'!$C$7&lt;&gt;"",OR(ISNUMBER(SEARCH('Task Finder'!$C$7,$A470)),ISNUMBER(SEARCH('Task Finder'!$C$7,$B470)),ISNUMBER(SEARCH('Task Finder'!$C$7,$C470)),ISNUMBER(SEARCH('Task Finder'!$C$7,$D470)),ISNUMBER(SEARCH('Task Finder'!$C$7,$K470)))))</f>
        <v/>
      </c>
    </row>
    <row r="471">
      <c r="A471" s="19" t="n"/>
      <c r="B471" s="19" t="n"/>
      <c r="C471" s="19" t="n"/>
      <c r="D471" s="19" t="n"/>
      <c r="E471" s="19" t="n"/>
      <c r="F471" s="19" t="n"/>
      <c r="G471" s="19" t="n"/>
      <c r="H471" s="19" t="n"/>
      <c r="I471" s="19" t="n"/>
      <c r="J471" s="19" t="n"/>
      <c r="K471" s="19" t="n"/>
      <c r="L471" s="19" t="n"/>
      <c r="M471" s="130">
        <f>IF($A471="","",AND('Task Finder'!$C$7&lt;&gt;"",OR(ISNUMBER(SEARCH('Task Finder'!$C$7,$A471)),ISNUMBER(SEARCH('Task Finder'!$C$7,$B471)),ISNUMBER(SEARCH('Task Finder'!$C$7,$C471)),ISNUMBER(SEARCH('Task Finder'!$C$7,$D471)),ISNUMBER(SEARCH('Task Finder'!$C$7,$K471)))))</f>
        <v/>
      </c>
    </row>
    <row r="472">
      <c r="A472" s="19" t="n"/>
      <c r="B472" s="19" t="n"/>
      <c r="C472" s="19" t="n"/>
      <c r="D472" s="19" t="n"/>
      <c r="E472" s="19" t="n"/>
      <c r="F472" s="19" t="n"/>
      <c r="G472" s="19" t="n"/>
      <c r="H472" s="19" t="n"/>
      <c r="I472" s="19" t="n"/>
      <c r="J472" s="19" t="n"/>
      <c r="K472" s="19" t="n"/>
      <c r="L472" s="19" t="n"/>
      <c r="M472" s="130">
        <f>IF($A472="","",AND('Task Finder'!$C$7&lt;&gt;"",OR(ISNUMBER(SEARCH('Task Finder'!$C$7,$A472)),ISNUMBER(SEARCH('Task Finder'!$C$7,$B472)),ISNUMBER(SEARCH('Task Finder'!$C$7,$C472)),ISNUMBER(SEARCH('Task Finder'!$C$7,$D472)),ISNUMBER(SEARCH('Task Finder'!$C$7,$K472)))))</f>
        <v/>
      </c>
    </row>
    <row r="473">
      <c r="A473" s="19" t="n"/>
      <c r="B473" s="19" t="n"/>
      <c r="C473" s="19" t="n"/>
      <c r="D473" s="19" t="n"/>
      <c r="E473" s="19" t="n"/>
      <c r="F473" s="19" t="n"/>
      <c r="G473" s="19" t="n"/>
      <c r="H473" s="19" t="n"/>
      <c r="I473" s="19" t="n"/>
      <c r="J473" s="19" t="n"/>
      <c r="K473" s="19" t="n"/>
      <c r="L473" s="19" t="n"/>
      <c r="M473" s="130">
        <f>IF($A473="","",AND('Task Finder'!$C$7&lt;&gt;"",OR(ISNUMBER(SEARCH('Task Finder'!$C$7,$A473)),ISNUMBER(SEARCH('Task Finder'!$C$7,$B473)),ISNUMBER(SEARCH('Task Finder'!$C$7,$C473)),ISNUMBER(SEARCH('Task Finder'!$C$7,$D473)),ISNUMBER(SEARCH('Task Finder'!$C$7,$K473)))))</f>
        <v/>
      </c>
    </row>
    <row r="474">
      <c r="A474" s="19" t="n"/>
      <c r="B474" s="19" t="n"/>
      <c r="C474" s="19" t="n"/>
      <c r="D474" s="19" t="n"/>
      <c r="E474" s="19" t="n"/>
      <c r="F474" s="19" t="n"/>
      <c r="G474" s="19" t="n"/>
      <c r="H474" s="19" t="n"/>
      <c r="I474" s="19" t="n"/>
      <c r="J474" s="19" t="n"/>
      <c r="K474" s="19" t="n"/>
      <c r="L474" s="19" t="n"/>
      <c r="M474" s="130">
        <f>IF($A474="","",AND('Task Finder'!$C$7&lt;&gt;"",OR(ISNUMBER(SEARCH('Task Finder'!$C$7,$A474)),ISNUMBER(SEARCH('Task Finder'!$C$7,$B474)),ISNUMBER(SEARCH('Task Finder'!$C$7,$C474)),ISNUMBER(SEARCH('Task Finder'!$C$7,$D474)),ISNUMBER(SEARCH('Task Finder'!$C$7,$K474)))))</f>
        <v/>
      </c>
    </row>
    <row r="475">
      <c r="A475" s="19" t="n"/>
      <c r="B475" s="19" t="n"/>
      <c r="C475" s="19" t="n"/>
      <c r="D475" s="19" t="n"/>
      <c r="E475" s="19" t="n"/>
      <c r="F475" s="19" t="n"/>
      <c r="G475" s="19" t="n"/>
      <c r="H475" s="19" t="n"/>
      <c r="I475" s="19" t="n"/>
      <c r="J475" s="19" t="n"/>
      <c r="K475" s="19" t="n"/>
      <c r="L475" s="19" t="n"/>
      <c r="M475" s="130">
        <f>IF($A475="","",AND('Task Finder'!$C$7&lt;&gt;"",OR(ISNUMBER(SEARCH('Task Finder'!$C$7,$A475)),ISNUMBER(SEARCH('Task Finder'!$C$7,$B475)),ISNUMBER(SEARCH('Task Finder'!$C$7,$C475)),ISNUMBER(SEARCH('Task Finder'!$C$7,$D475)),ISNUMBER(SEARCH('Task Finder'!$C$7,$K475)))))</f>
        <v/>
      </c>
    </row>
    <row r="476">
      <c r="A476" s="19" t="n"/>
      <c r="B476" s="19" t="n"/>
      <c r="C476" s="19" t="n"/>
      <c r="D476" s="19" t="n"/>
      <c r="E476" s="19" t="n"/>
      <c r="F476" s="19" t="n"/>
      <c r="G476" s="19" t="n"/>
      <c r="H476" s="19" t="n"/>
      <c r="I476" s="19" t="n"/>
      <c r="J476" s="19" t="n"/>
      <c r="K476" s="19" t="n"/>
      <c r="L476" s="19" t="n"/>
      <c r="M476" s="130">
        <f>IF($A476="","",AND('Task Finder'!$C$7&lt;&gt;"",OR(ISNUMBER(SEARCH('Task Finder'!$C$7,$A476)),ISNUMBER(SEARCH('Task Finder'!$C$7,$B476)),ISNUMBER(SEARCH('Task Finder'!$C$7,$C476)),ISNUMBER(SEARCH('Task Finder'!$C$7,$D476)),ISNUMBER(SEARCH('Task Finder'!$C$7,$K476)))))</f>
        <v/>
      </c>
    </row>
    <row r="477">
      <c r="A477" s="19" t="n"/>
      <c r="B477" s="19" t="n"/>
      <c r="C477" s="19" t="n"/>
      <c r="D477" s="19" t="n"/>
      <c r="E477" s="19" t="n"/>
      <c r="F477" s="19" t="n"/>
      <c r="G477" s="19" t="n"/>
      <c r="H477" s="19" t="n"/>
      <c r="I477" s="19" t="n"/>
      <c r="J477" s="19" t="n"/>
      <c r="K477" s="19" t="n"/>
      <c r="L477" s="19" t="n"/>
      <c r="M477" s="130">
        <f>IF($A477="","",AND('Task Finder'!$C$7&lt;&gt;"",OR(ISNUMBER(SEARCH('Task Finder'!$C$7,$A477)),ISNUMBER(SEARCH('Task Finder'!$C$7,$B477)),ISNUMBER(SEARCH('Task Finder'!$C$7,$C477)),ISNUMBER(SEARCH('Task Finder'!$C$7,$D477)),ISNUMBER(SEARCH('Task Finder'!$C$7,$K477)))))</f>
        <v/>
      </c>
    </row>
    <row r="478">
      <c r="A478" s="19" t="n"/>
      <c r="B478" s="19" t="n"/>
      <c r="C478" s="19" t="n"/>
      <c r="D478" s="19" t="n"/>
      <c r="E478" s="19" t="n"/>
      <c r="F478" s="19" t="n"/>
      <c r="G478" s="19" t="n"/>
      <c r="H478" s="19" t="n"/>
      <c r="I478" s="19" t="n"/>
      <c r="J478" s="19" t="n"/>
      <c r="K478" s="19" t="n"/>
      <c r="L478" s="19" t="n"/>
      <c r="M478" s="130">
        <f>IF($A478="","",AND('Task Finder'!$C$7&lt;&gt;"",OR(ISNUMBER(SEARCH('Task Finder'!$C$7,$A478)),ISNUMBER(SEARCH('Task Finder'!$C$7,$B478)),ISNUMBER(SEARCH('Task Finder'!$C$7,$C478)),ISNUMBER(SEARCH('Task Finder'!$C$7,$D478)),ISNUMBER(SEARCH('Task Finder'!$C$7,$K478)))))</f>
        <v/>
      </c>
    </row>
    <row r="479">
      <c r="A479" s="19" t="n"/>
      <c r="B479" s="19" t="n"/>
      <c r="C479" s="19" t="n"/>
      <c r="D479" s="19" t="n"/>
      <c r="E479" s="19" t="n"/>
      <c r="F479" s="19" t="n"/>
      <c r="G479" s="19" t="n"/>
      <c r="H479" s="19" t="n"/>
      <c r="I479" s="19" t="n"/>
      <c r="J479" s="19" t="n"/>
      <c r="K479" s="19" t="n"/>
      <c r="L479" s="19" t="n"/>
      <c r="M479" s="130">
        <f>IF($A479="","",AND('Task Finder'!$C$7&lt;&gt;"",OR(ISNUMBER(SEARCH('Task Finder'!$C$7,$A479)),ISNUMBER(SEARCH('Task Finder'!$C$7,$B479)),ISNUMBER(SEARCH('Task Finder'!$C$7,$C479)),ISNUMBER(SEARCH('Task Finder'!$C$7,$D479)),ISNUMBER(SEARCH('Task Finder'!$C$7,$K479)))))</f>
        <v/>
      </c>
    </row>
    <row r="480">
      <c r="A480" s="19" t="n"/>
      <c r="B480" s="19" t="n"/>
      <c r="C480" s="19" t="n"/>
      <c r="D480" s="19" t="n"/>
      <c r="E480" s="19" t="n"/>
      <c r="F480" s="19" t="n"/>
      <c r="G480" s="19" t="n"/>
      <c r="H480" s="19" t="n"/>
      <c r="I480" s="19" t="n"/>
      <c r="J480" s="19" t="n"/>
      <c r="K480" s="19" t="n"/>
      <c r="L480" s="19" t="n"/>
      <c r="M480" s="130">
        <f>IF($A480="","",AND('Task Finder'!$C$7&lt;&gt;"",OR(ISNUMBER(SEARCH('Task Finder'!$C$7,$A480)),ISNUMBER(SEARCH('Task Finder'!$C$7,$B480)),ISNUMBER(SEARCH('Task Finder'!$C$7,$C480)),ISNUMBER(SEARCH('Task Finder'!$C$7,$D480)),ISNUMBER(SEARCH('Task Finder'!$C$7,$K480)))))</f>
        <v/>
      </c>
    </row>
    <row r="481">
      <c r="A481" s="19" t="n"/>
      <c r="B481" s="19" t="n"/>
      <c r="C481" s="19" t="n"/>
      <c r="D481" s="19" t="n"/>
      <c r="E481" s="19" t="n"/>
      <c r="F481" s="19" t="n"/>
      <c r="G481" s="19" t="n"/>
      <c r="H481" s="19" t="n"/>
      <c r="I481" s="19" t="n"/>
      <c r="J481" s="19" t="n"/>
      <c r="K481" s="19" t="n"/>
      <c r="L481" s="19" t="n"/>
      <c r="M481" s="130">
        <f>IF($A481="","",AND('Task Finder'!$C$7&lt;&gt;"",OR(ISNUMBER(SEARCH('Task Finder'!$C$7,$A481)),ISNUMBER(SEARCH('Task Finder'!$C$7,$B481)),ISNUMBER(SEARCH('Task Finder'!$C$7,$C481)),ISNUMBER(SEARCH('Task Finder'!$C$7,$D481)),ISNUMBER(SEARCH('Task Finder'!$C$7,$K481)))))</f>
        <v/>
      </c>
    </row>
    <row r="482">
      <c r="A482" s="19" t="n"/>
      <c r="B482" s="19" t="n"/>
      <c r="C482" s="19" t="n"/>
      <c r="D482" s="19" t="n"/>
      <c r="E482" s="19" t="n"/>
      <c r="F482" s="19" t="n"/>
      <c r="G482" s="19" t="n"/>
      <c r="H482" s="19" t="n"/>
      <c r="I482" s="19" t="n"/>
      <c r="J482" s="19" t="n"/>
      <c r="K482" s="19" t="n"/>
      <c r="L482" s="19" t="n"/>
      <c r="M482" s="130">
        <f>IF($A482="","",AND('Task Finder'!$C$7&lt;&gt;"",OR(ISNUMBER(SEARCH('Task Finder'!$C$7,$A482)),ISNUMBER(SEARCH('Task Finder'!$C$7,$B482)),ISNUMBER(SEARCH('Task Finder'!$C$7,$C482)),ISNUMBER(SEARCH('Task Finder'!$C$7,$D482)),ISNUMBER(SEARCH('Task Finder'!$C$7,$K482)))))</f>
        <v/>
      </c>
    </row>
    <row r="483">
      <c r="A483" s="19" t="n"/>
      <c r="B483" s="19" t="n"/>
      <c r="C483" s="19" t="n"/>
      <c r="D483" s="19" t="n"/>
      <c r="E483" s="19" t="n"/>
      <c r="F483" s="19" t="n"/>
      <c r="G483" s="19" t="n"/>
      <c r="H483" s="19" t="n"/>
      <c r="I483" s="19" t="n"/>
      <c r="J483" s="19" t="n"/>
      <c r="K483" s="19" t="n"/>
      <c r="L483" s="19" t="n"/>
      <c r="M483" s="130">
        <f>IF($A483="","",AND('Task Finder'!$C$7&lt;&gt;"",OR(ISNUMBER(SEARCH('Task Finder'!$C$7,$A483)),ISNUMBER(SEARCH('Task Finder'!$C$7,$B483)),ISNUMBER(SEARCH('Task Finder'!$C$7,$C483)),ISNUMBER(SEARCH('Task Finder'!$C$7,$D483)),ISNUMBER(SEARCH('Task Finder'!$C$7,$K483)))))</f>
        <v/>
      </c>
    </row>
    <row r="484">
      <c r="A484" s="19" t="n"/>
      <c r="B484" s="19" t="n"/>
      <c r="C484" s="19" t="n"/>
      <c r="D484" s="19" t="n"/>
      <c r="E484" s="19" t="n"/>
      <c r="F484" s="19" t="n"/>
      <c r="G484" s="19" t="n"/>
      <c r="H484" s="19" t="n"/>
      <c r="I484" s="19" t="n"/>
      <c r="J484" s="19" t="n"/>
      <c r="K484" s="19" t="n"/>
      <c r="L484" s="19" t="n"/>
      <c r="M484" s="130">
        <f>IF($A484="","",AND('Task Finder'!$C$7&lt;&gt;"",OR(ISNUMBER(SEARCH('Task Finder'!$C$7,$A484)),ISNUMBER(SEARCH('Task Finder'!$C$7,$B484)),ISNUMBER(SEARCH('Task Finder'!$C$7,$C484)),ISNUMBER(SEARCH('Task Finder'!$C$7,$D484)),ISNUMBER(SEARCH('Task Finder'!$C$7,$K484)))))</f>
        <v/>
      </c>
    </row>
    <row r="485">
      <c r="A485" s="19" t="n"/>
      <c r="B485" s="19" t="n"/>
      <c r="C485" s="19" t="n"/>
      <c r="D485" s="19" t="n"/>
      <c r="E485" s="19" t="n"/>
      <c r="F485" s="19" t="n"/>
      <c r="G485" s="19" t="n"/>
      <c r="H485" s="19" t="n"/>
      <c r="I485" s="19" t="n"/>
      <c r="J485" s="19" t="n"/>
      <c r="K485" s="19" t="n"/>
      <c r="L485" s="19" t="n"/>
      <c r="M485" s="130">
        <f>IF($A485="","",AND('Task Finder'!$C$7&lt;&gt;"",OR(ISNUMBER(SEARCH('Task Finder'!$C$7,$A485)),ISNUMBER(SEARCH('Task Finder'!$C$7,$B485)),ISNUMBER(SEARCH('Task Finder'!$C$7,$C485)),ISNUMBER(SEARCH('Task Finder'!$C$7,$D485)),ISNUMBER(SEARCH('Task Finder'!$C$7,$K485)))))</f>
        <v/>
      </c>
    </row>
    <row r="486">
      <c r="A486" s="19" t="n"/>
      <c r="B486" s="19" t="n"/>
      <c r="C486" s="19" t="n"/>
      <c r="D486" s="19" t="n"/>
      <c r="E486" s="19" t="n"/>
      <c r="F486" s="19" t="n"/>
      <c r="G486" s="19" t="n"/>
      <c r="H486" s="19" t="n"/>
      <c r="I486" s="19" t="n"/>
      <c r="J486" s="19" t="n"/>
      <c r="K486" s="19" t="n"/>
      <c r="L486" s="19" t="n"/>
      <c r="M486" s="130">
        <f>IF($A486="","",AND('Task Finder'!$C$7&lt;&gt;"",OR(ISNUMBER(SEARCH('Task Finder'!$C$7,$A486)),ISNUMBER(SEARCH('Task Finder'!$C$7,$B486)),ISNUMBER(SEARCH('Task Finder'!$C$7,$C486)),ISNUMBER(SEARCH('Task Finder'!$C$7,$D486)),ISNUMBER(SEARCH('Task Finder'!$C$7,$K486)))))</f>
        <v/>
      </c>
    </row>
    <row r="487">
      <c r="A487" s="19" t="n"/>
      <c r="B487" s="19" t="n"/>
      <c r="C487" s="19" t="n"/>
      <c r="D487" s="19" t="n"/>
      <c r="E487" s="19" t="n"/>
      <c r="F487" s="19" t="n"/>
      <c r="G487" s="19" t="n"/>
      <c r="H487" s="19" t="n"/>
      <c r="I487" s="19" t="n"/>
      <c r="J487" s="19" t="n"/>
      <c r="K487" s="19" t="n"/>
      <c r="L487" s="19" t="n"/>
      <c r="M487" s="130">
        <f>IF($A487="","",AND('Task Finder'!$C$7&lt;&gt;"",OR(ISNUMBER(SEARCH('Task Finder'!$C$7,$A487)),ISNUMBER(SEARCH('Task Finder'!$C$7,$B487)),ISNUMBER(SEARCH('Task Finder'!$C$7,$C487)),ISNUMBER(SEARCH('Task Finder'!$C$7,$D487)),ISNUMBER(SEARCH('Task Finder'!$C$7,$K487)))))</f>
        <v/>
      </c>
    </row>
    <row r="488">
      <c r="A488" s="19" t="n"/>
      <c r="B488" s="19" t="n"/>
      <c r="C488" s="19" t="n"/>
      <c r="D488" s="19" t="n"/>
      <c r="E488" s="19" t="n"/>
      <c r="F488" s="19" t="n"/>
      <c r="G488" s="19" t="n"/>
      <c r="H488" s="19" t="n"/>
      <c r="I488" s="19" t="n"/>
      <c r="J488" s="19" t="n"/>
      <c r="K488" s="19" t="n"/>
      <c r="L488" s="19" t="n"/>
      <c r="M488" s="130">
        <f>IF($A488="","",AND('Task Finder'!$C$7&lt;&gt;"",OR(ISNUMBER(SEARCH('Task Finder'!$C$7,$A488)),ISNUMBER(SEARCH('Task Finder'!$C$7,$B488)),ISNUMBER(SEARCH('Task Finder'!$C$7,$C488)),ISNUMBER(SEARCH('Task Finder'!$C$7,$D488)),ISNUMBER(SEARCH('Task Finder'!$C$7,$K488)))))</f>
        <v/>
      </c>
    </row>
    <row r="489">
      <c r="A489" s="19" t="n"/>
      <c r="B489" s="19" t="n"/>
      <c r="C489" s="19" t="n"/>
      <c r="D489" s="19" t="n"/>
      <c r="E489" s="19" t="n"/>
      <c r="F489" s="19" t="n"/>
      <c r="G489" s="19" t="n"/>
      <c r="H489" s="19" t="n"/>
      <c r="I489" s="19" t="n"/>
      <c r="J489" s="19" t="n"/>
      <c r="K489" s="19" t="n"/>
      <c r="L489" s="19" t="n"/>
      <c r="M489" s="130">
        <f>IF($A489="","",AND('Task Finder'!$C$7&lt;&gt;"",OR(ISNUMBER(SEARCH('Task Finder'!$C$7,$A489)),ISNUMBER(SEARCH('Task Finder'!$C$7,$B489)),ISNUMBER(SEARCH('Task Finder'!$C$7,$C489)),ISNUMBER(SEARCH('Task Finder'!$C$7,$D489)),ISNUMBER(SEARCH('Task Finder'!$C$7,$K489)))))</f>
        <v/>
      </c>
    </row>
    <row r="490">
      <c r="A490" s="19" t="n"/>
      <c r="B490" s="19" t="n"/>
      <c r="C490" s="19" t="n"/>
      <c r="D490" s="19" t="n"/>
      <c r="E490" s="19" t="n"/>
      <c r="F490" s="19" t="n"/>
      <c r="G490" s="19" t="n"/>
      <c r="H490" s="19" t="n"/>
      <c r="I490" s="19" t="n"/>
      <c r="J490" s="19" t="n"/>
      <c r="K490" s="19" t="n"/>
      <c r="L490" s="19" t="n"/>
      <c r="M490" s="130">
        <f>IF($A490="","",AND('Task Finder'!$C$7&lt;&gt;"",OR(ISNUMBER(SEARCH('Task Finder'!$C$7,$A490)),ISNUMBER(SEARCH('Task Finder'!$C$7,$B490)),ISNUMBER(SEARCH('Task Finder'!$C$7,$C490)),ISNUMBER(SEARCH('Task Finder'!$C$7,$D490)),ISNUMBER(SEARCH('Task Finder'!$C$7,$K490)))))</f>
        <v/>
      </c>
    </row>
    <row r="491">
      <c r="A491" s="19" t="n"/>
      <c r="B491" s="19" t="n"/>
      <c r="C491" s="19" t="n"/>
      <c r="D491" s="19" t="n"/>
      <c r="E491" s="19" t="n"/>
      <c r="F491" s="19" t="n"/>
      <c r="G491" s="19" t="n"/>
      <c r="H491" s="19" t="n"/>
      <c r="I491" s="19" t="n"/>
      <c r="J491" s="19" t="n"/>
      <c r="K491" s="19" t="n"/>
      <c r="L491" s="19" t="n"/>
      <c r="M491" s="130">
        <f>IF($A491="","",AND('Task Finder'!$C$7&lt;&gt;"",OR(ISNUMBER(SEARCH('Task Finder'!$C$7,$A491)),ISNUMBER(SEARCH('Task Finder'!$C$7,$B491)),ISNUMBER(SEARCH('Task Finder'!$C$7,$C491)),ISNUMBER(SEARCH('Task Finder'!$C$7,$D491)),ISNUMBER(SEARCH('Task Finder'!$C$7,$K491)))))</f>
        <v/>
      </c>
    </row>
    <row r="492">
      <c r="A492" s="19" t="n"/>
      <c r="B492" s="19" t="n"/>
      <c r="C492" s="19" t="n"/>
      <c r="D492" s="19" t="n"/>
      <c r="E492" s="19" t="n"/>
      <c r="F492" s="19" t="n"/>
      <c r="G492" s="19" t="n"/>
      <c r="H492" s="19" t="n"/>
      <c r="I492" s="19" t="n"/>
      <c r="J492" s="19" t="n"/>
      <c r="K492" s="19" t="n"/>
      <c r="L492" s="19" t="n"/>
      <c r="M492" s="130">
        <f>IF($A492="","",AND('Task Finder'!$C$7&lt;&gt;"",OR(ISNUMBER(SEARCH('Task Finder'!$C$7,$A492)),ISNUMBER(SEARCH('Task Finder'!$C$7,$B492)),ISNUMBER(SEARCH('Task Finder'!$C$7,$C492)),ISNUMBER(SEARCH('Task Finder'!$C$7,$D492)),ISNUMBER(SEARCH('Task Finder'!$C$7,$K492)))))</f>
        <v/>
      </c>
    </row>
    <row r="493">
      <c r="A493" s="19" t="n"/>
      <c r="B493" s="19" t="n"/>
      <c r="C493" s="19" t="n"/>
      <c r="D493" s="19" t="n"/>
      <c r="E493" s="19" t="n"/>
      <c r="F493" s="19" t="n"/>
      <c r="G493" s="19" t="n"/>
      <c r="H493" s="19" t="n"/>
      <c r="I493" s="19" t="n"/>
      <c r="J493" s="19" t="n"/>
      <c r="K493" s="19" t="n"/>
      <c r="L493" s="19" t="n"/>
      <c r="M493" s="130">
        <f>IF($A493="","",AND('Task Finder'!$C$7&lt;&gt;"",OR(ISNUMBER(SEARCH('Task Finder'!$C$7,$A493)),ISNUMBER(SEARCH('Task Finder'!$C$7,$B493)),ISNUMBER(SEARCH('Task Finder'!$C$7,$C493)),ISNUMBER(SEARCH('Task Finder'!$C$7,$D493)),ISNUMBER(SEARCH('Task Finder'!$C$7,$K493)))))</f>
        <v/>
      </c>
    </row>
    <row r="494">
      <c r="A494" s="19" t="n"/>
      <c r="B494" s="19" t="n"/>
      <c r="C494" s="19" t="n"/>
      <c r="D494" s="19" t="n"/>
      <c r="E494" s="19" t="n"/>
      <c r="F494" s="19" t="n"/>
      <c r="G494" s="19" t="n"/>
      <c r="H494" s="19" t="n"/>
      <c r="I494" s="19" t="n"/>
      <c r="J494" s="19" t="n"/>
      <c r="K494" s="19" t="n"/>
      <c r="L494" s="19" t="n"/>
      <c r="M494" s="130">
        <f>IF($A494="","",AND('Task Finder'!$C$7&lt;&gt;"",OR(ISNUMBER(SEARCH('Task Finder'!$C$7,$A494)),ISNUMBER(SEARCH('Task Finder'!$C$7,$B494)),ISNUMBER(SEARCH('Task Finder'!$C$7,$C494)),ISNUMBER(SEARCH('Task Finder'!$C$7,$D494)),ISNUMBER(SEARCH('Task Finder'!$C$7,$K494)))))</f>
        <v/>
      </c>
    </row>
    <row r="495">
      <c r="A495" s="19" t="n"/>
      <c r="B495" s="19" t="n"/>
      <c r="C495" s="19" t="n"/>
      <c r="D495" s="19" t="n"/>
      <c r="E495" s="19" t="n"/>
      <c r="F495" s="19" t="n"/>
      <c r="G495" s="19" t="n"/>
      <c r="H495" s="19" t="n"/>
      <c r="I495" s="19" t="n"/>
      <c r="J495" s="19" t="n"/>
      <c r="K495" s="19" t="n"/>
      <c r="L495" s="19" t="n"/>
      <c r="M495" s="130">
        <f>IF($A495="","",AND('Task Finder'!$C$7&lt;&gt;"",OR(ISNUMBER(SEARCH('Task Finder'!$C$7,$A495)),ISNUMBER(SEARCH('Task Finder'!$C$7,$B495)),ISNUMBER(SEARCH('Task Finder'!$C$7,$C495)),ISNUMBER(SEARCH('Task Finder'!$C$7,$D495)),ISNUMBER(SEARCH('Task Finder'!$C$7,$K495)))))</f>
        <v/>
      </c>
    </row>
    <row r="496">
      <c r="A496" s="19" t="n"/>
      <c r="B496" s="19" t="n"/>
      <c r="C496" s="19" t="n"/>
      <c r="D496" s="19" t="n"/>
      <c r="E496" s="19" t="n"/>
      <c r="F496" s="19" t="n"/>
      <c r="G496" s="19" t="n"/>
      <c r="H496" s="19" t="n"/>
      <c r="I496" s="19" t="n"/>
      <c r="J496" s="19" t="n"/>
      <c r="K496" s="19" t="n"/>
      <c r="L496" s="19" t="n"/>
      <c r="M496" s="130">
        <f>IF($A496="","",AND('Task Finder'!$C$7&lt;&gt;"",OR(ISNUMBER(SEARCH('Task Finder'!$C$7,$A496)),ISNUMBER(SEARCH('Task Finder'!$C$7,$B496)),ISNUMBER(SEARCH('Task Finder'!$C$7,$C496)),ISNUMBER(SEARCH('Task Finder'!$C$7,$D496)),ISNUMBER(SEARCH('Task Finder'!$C$7,$K496)))))</f>
        <v/>
      </c>
    </row>
    <row r="497">
      <c r="A497" s="19" t="n"/>
      <c r="B497" s="19" t="n"/>
      <c r="C497" s="19" t="n"/>
      <c r="D497" s="19" t="n"/>
      <c r="E497" s="19" t="n"/>
      <c r="F497" s="19" t="n"/>
      <c r="G497" s="19" t="n"/>
      <c r="H497" s="19" t="n"/>
      <c r="I497" s="19" t="n"/>
      <c r="J497" s="19" t="n"/>
      <c r="K497" s="19" t="n"/>
      <c r="L497" s="19" t="n"/>
      <c r="M497" s="130">
        <f>IF($A497="","",AND('Task Finder'!$C$7&lt;&gt;"",OR(ISNUMBER(SEARCH('Task Finder'!$C$7,$A497)),ISNUMBER(SEARCH('Task Finder'!$C$7,$B497)),ISNUMBER(SEARCH('Task Finder'!$C$7,$C497)),ISNUMBER(SEARCH('Task Finder'!$C$7,$D497)),ISNUMBER(SEARCH('Task Finder'!$C$7,$K497)))))</f>
        <v/>
      </c>
    </row>
    <row r="498">
      <c r="A498" s="19" t="n"/>
      <c r="B498" s="19" t="n"/>
      <c r="C498" s="19" t="n"/>
      <c r="D498" s="19" t="n"/>
      <c r="E498" s="19" t="n"/>
      <c r="F498" s="19" t="n"/>
      <c r="G498" s="19" t="n"/>
      <c r="H498" s="19" t="n"/>
      <c r="I498" s="19" t="n"/>
      <c r="J498" s="19" t="n"/>
      <c r="K498" s="19" t="n"/>
      <c r="L498" s="19" t="n"/>
      <c r="M498" s="130">
        <f>IF($A498="","",AND('Task Finder'!$C$7&lt;&gt;"",OR(ISNUMBER(SEARCH('Task Finder'!$C$7,$A498)),ISNUMBER(SEARCH('Task Finder'!$C$7,$B498)),ISNUMBER(SEARCH('Task Finder'!$C$7,$C498)),ISNUMBER(SEARCH('Task Finder'!$C$7,$D498)),ISNUMBER(SEARCH('Task Finder'!$C$7,$K498)))))</f>
        <v/>
      </c>
    </row>
    <row r="499">
      <c r="A499" s="19" t="n"/>
      <c r="B499" s="19" t="n"/>
      <c r="C499" s="19" t="n"/>
      <c r="D499" s="19" t="n"/>
      <c r="E499" s="19" t="n"/>
      <c r="F499" s="19" t="n"/>
      <c r="G499" s="19" t="n"/>
      <c r="H499" s="19" t="n"/>
      <c r="I499" s="19" t="n"/>
      <c r="J499" s="19" t="n"/>
      <c r="K499" s="19" t="n"/>
      <c r="L499" s="19" t="n"/>
      <c r="M499" s="130">
        <f>IF($A499="","",AND('Task Finder'!$C$7&lt;&gt;"",OR(ISNUMBER(SEARCH('Task Finder'!$C$7,$A499)),ISNUMBER(SEARCH('Task Finder'!$C$7,$B499)),ISNUMBER(SEARCH('Task Finder'!$C$7,$C499)),ISNUMBER(SEARCH('Task Finder'!$C$7,$D499)),ISNUMBER(SEARCH('Task Finder'!$C$7,$K499)))))</f>
        <v/>
      </c>
    </row>
    <row r="500">
      <c r="A500" s="19" t="n"/>
      <c r="B500" s="19" t="n"/>
      <c r="C500" s="19" t="n"/>
      <c r="D500" s="19" t="n"/>
      <c r="E500" s="19" t="n"/>
      <c r="F500" s="19" t="n"/>
      <c r="G500" s="19" t="n"/>
      <c r="H500" s="19" t="n"/>
      <c r="I500" s="19" t="n"/>
      <c r="J500" s="19" t="n"/>
      <c r="K500" s="19" t="n"/>
      <c r="L500" s="19" t="n"/>
      <c r="M500" s="130">
        <f>IF($A500="","",AND('Task Finder'!$C$7&lt;&gt;"",OR(ISNUMBER(SEARCH('Task Finder'!$C$7,$A500)),ISNUMBER(SEARCH('Task Finder'!$C$7,$B500)),ISNUMBER(SEARCH('Task Finder'!$C$7,$C500)),ISNUMBER(SEARCH('Task Finder'!$C$7,$D500)),ISNUMBER(SEARCH('Task Finder'!$C$7,$K500)))))</f>
        <v/>
      </c>
    </row>
  </sheetData>
  <sheetProtection selectLockedCells="0" selectUnlockedCells="0" sheet="1" objects="0" insertRows="1" insertHyperlinks="1" autoFilter="1" scenarios="0" formatColumns="1" deleteColumns="1" insertColumns="1" pivotTables="1" deleteRows="1" formatCells="1" formatRows="1" sort="1"/>
  <mergeCells count="1">
    <mergeCell ref="A4:L4"/>
  </mergeCells>
  <conditionalFormatting sqref="A6:L500">
    <cfRule type="expression" priority="1" dxfId="5">
      <formula>AND($A6&lt;&gt;"",$F6&lt;&gt;"Done")</formula>
    </cfRule>
  </conditionalFormatting>
  <hyperlinks>
    <hyperlink xmlns:r="http://schemas.openxmlformats.org/officeDocument/2006/relationships" ref="A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2026-08-06T05:34:33Z</dcterms:created>
  <dcterms:modified xsi:type="dcterms:W3CDTF">2026-08-06T07:00:47Z</dcterms:modified>
</cp:coreProperties>
</file>