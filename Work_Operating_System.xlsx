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Missions" sheetId="5" state="visible" r:id="rId5"/>
    <sheet name="Task Finder" sheetId="6" state="visible" r:id="rId6"/>
    <sheet name="Today" sheetId="7" state="visible" r:id="rId7"/>
    <sheet name="Current Focus" sheetId="8" state="visible" r:id="rId8"/>
    <sheet name="Weekly Review" sheetId="9" state="visible" r:id="rId9"/>
    <sheet name="Archive" sheetId="10" state="visible" r:id="rId10"/>
  </sheets>
  <definedNames>
    <definedName name="StatusList">Lists!$A$2:$A$8</definedName>
    <definedName name="PriorityList">Lists!$C$2:$C$4</definedName>
    <definedName name="EnergyList">Lists!$E$2:$E$6</definedName>
    <definedName name="TimeList">Lists!$G$2:$G$6</definedName>
    <definedName name="PriorityWeights">Lists!$L$2:$M$4</definedName>
    <definedName name="TimeMinutes">Lists!$N$2:$O$6</definedName>
    <definedName name="FocusThemes">Lists!$P$2:$Q$6</definedName>
    <definedName name="FilterOptions">'Task Finder'!$T$1:$T$10</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numFmts>
  <fonts count="41">
    <font>
      <name val="Calibri"/>
      <family val="2"/>
      <color theme="1"/>
      <sz val="11"/>
      <scheme val="minor"/>
    </font>
    <font>
      <name val="Calibri"/>
      <b val="1"/>
      <sz val="11"/>
    </font>
    <font>
      <name val="Calibri"/>
      <b val="1"/>
      <color rgb="FF4472C4"/>
      <sz val="18"/>
    </font>
    <font>
      <name val="Calibri"/>
      <b val="1"/>
      <color rgb="FFFFFFFF"/>
      <sz val="11"/>
    </font>
    <font>
      <b val="1"/>
      <sz val="14"/>
    </font>
    <font>
      <name val="Calibri"/>
      <b val="1"/>
      <color rgb="FF4472C4"/>
      <sz val="14"/>
    </font>
    <font>
      <name val="Calibri"/>
      <b val="1"/>
      <color rgb="FFFFFFFF"/>
      <sz val="10"/>
    </font>
    <font>
      <name val="Calibri"/>
      <sz val="10"/>
    </font>
    <font>
      <name val="Calibri"/>
      <i val="1"/>
      <color rgb="FF808080"/>
      <sz val="11"/>
    </font>
    <font>
      <b val="1"/>
      <sz val="10"/>
    </font>
    <font>
      <i val="1"/>
      <color rgb="FF808080"/>
      <sz val="9"/>
    </font>
    <font>
      <b val="1"/>
      <sz val="11"/>
    </font>
    <font>
      <b val="1"/>
      <sz val="9"/>
    </font>
    <font>
      <i val="1"/>
      <sz val="9"/>
    </font>
    <font>
      <name val="Calibri"/>
      <i val="1"/>
      <color rgb="FF808080"/>
      <sz val="9"/>
    </font>
    <font>
      <name val="Calibri"/>
      <sz val="11"/>
    </font>
    <font>
      <name val="Calibri"/>
      <i val="1"/>
      <color rgb="FFBFBFBF"/>
      <sz val="8"/>
    </font>
    <font>
      <name val="Calibri"/>
      <b val="1"/>
      <sz val="12"/>
    </font>
    <font>
      <name val="Calibri"/>
      <b val="1"/>
      <color rgb="FF4472C4"/>
      <sz val="12"/>
    </font>
    <font>
      <name val="Calibri"/>
      <b val="1"/>
      <sz val="14"/>
    </font>
    <font>
      <name val="Calibri"/>
      <b val="1"/>
    </font>
    <font>
      <name val="Calibri"/>
      <i val="1"/>
      <color rgb="FF595959"/>
      <sz val="9"/>
    </font>
    <font>
      <name val="Calibri"/>
      <b val="1"/>
      <color rgb="FFFFFFFF"/>
      <sz val="9"/>
    </font>
    <font>
      <name val="Calibri"/>
      <b val="1"/>
      <sz val="13"/>
    </font>
    <font>
      <name val="Calibri"/>
      <i val="1"/>
      <color rgb="FF595959"/>
      <sz val="10"/>
    </font>
    <font>
      <name val="Calibri"/>
      <b val="1"/>
      <color rgb="FF4472C4"/>
      <sz val="10"/>
    </font>
    <font>
      <name val="Calibri"/>
      <i val="1"/>
      <color rgb="FF808080"/>
      <sz val="8"/>
    </font>
    <font>
      <name val="Calibri"/>
      <b val="1"/>
      <color rgb="FF4472C4"/>
      <sz val="11"/>
    </font>
    <font>
      <name val="Calibri"/>
      <i val="1"/>
      <color rgb="FF808080"/>
      <sz val="8"/>
    </font>
    <font>
      <name val="Calibri"/>
      <b val="1"/>
      <color rgb="FFFFFFFF"/>
      <sz val="11"/>
    </font>
    <font>
      <name val="Calibri"/>
      <i val="1"/>
      <color rgb="FF808080"/>
      <sz val="9"/>
    </font>
    <font>
      <name val="Calibri"/>
      <b val="1"/>
      <color rgb="FF9C5700"/>
      <sz val="10"/>
    </font>
    <font>
      <name val="Calibri"/>
      <b val="1"/>
      <color rgb="FF4472C4"/>
      <sz val="14"/>
    </font>
    <font>
      <name val="Calibri"/>
      <b val="1"/>
      <color rgb="FFFFFFFF"/>
      <sz val="10"/>
    </font>
    <font>
      <name val="Calibri"/>
      <b val="1"/>
      <color rgb="FF4472C4"/>
      <sz val="11"/>
    </font>
    <font>
      <name val="Calibri"/>
      <i val="1"/>
      <color rgb="FF595959"/>
      <sz val="10"/>
    </font>
    <font>
      <name val="Calibri"/>
      <i val="1"/>
      <color rgb="FFBFBFBF"/>
      <sz val="8"/>
    </font>
    <font>
      <name val="Calibri"/>
      <b val="1"/>
      <color rgb="FF4472C4"/>
      <sz val="12"/>
    </font>
    <font>
      <name val="Calibri"/>
      <i val="1"/>
      <color rgb="FF595959"/>
      <sz val="9"/>
    </font>
    <font>
      <name val="Calibri"/>
      <b val="1"/>
      <color rgb="FFFFFFFF"/>
      <sz val="9"/>
    </font>
    <font>
      <name val="Calibri"/>
      <color rgb="FF595959"/>
      <sz val="9"/>
    </font>
  </fonts>
  <fills count="6">
    <fill>
      <patternFill/>
    </fill>
    <fill>
      <patternFill patternType="gray125"/>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
      <patternFill patternType="solid">
        <fgColor rgb="FFF2F2F2"/>
        <bgColor rgb="FFF2F2F2"/>
      </patternFill>
    </fill>
  </fills>
  <borders count="13">
    <border>
      <left/>
      <right/>
      <top/>
      <bottom/>
      <diagonal/>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border>
      <right/>
      <bottom/>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s>
  <cellStyleXfs count="1">
    <xf numFmtId="0" fontId="0" fillId="0" borderId="0"/>
  </cellStyleXfs>
  <cellXfs count="12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7" fillId="0" borderId="0"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10" fillId="0" borderId="0" pivotButton="0" quotePrefix="0" xfId="0"/>
    <xf numFmtId="0" fontId="9" fillId="0" borderId="0" pivotButton="0" quotePrefix="0" xfId="0"/>
    <xf numFmtId="0" fontId="1" fillId="3" borderId="1" applyAlignment="1" pivotButton="0" quotePrefix="0" xfId="0">
      <alignment horizontal="center"/>
    </xf>
    <xf numFmtId="0" fontId="0" fillId="0" borderId="1" applyAlignment="1" pivotButton="0" quotePrefix="0" xfId="0">
      <alignment horizontal="left" vertical="center" wrapText="1"/>
    </xf>
    <xf numFmtId="0" fontId="3" fillId="2" borderId="1" applyAlignment="1" pivotButton="0" quotePrefix="0" xfId="0">
      <alignment horizontal="center" vertical="center" wrapText="1"/>
    </xf>
    <xf numFmtId="0" fontId="10" fillId="0" borderId="0" applyProtection="1" pivotButton="0" quotePrefix="0" xfId="0">
      <protection locked="0" hidden="0"/>
    </xf>
    <xf numFmtId="0" fontId="14" fillId="0" borderId="0" pivotButton="0" quotePrefix="0" xfId="0"/>
    <xf numFmtId="165" fontId="0" fillId="0" borderId="1" applyProtection="1" pivotButton="0" quotePrefix="0" xfId="0">
      <protection locked="0" hidden="0"/>
    </xf>
    <xf numFmtId="0" fontId="0" fillId="0" borderId="1" applyProtection="1" pivotButton="0" quotePrefix="0" xfId="0">
      <protection locked="0" hidden="0"/>
    </xf>
    <xf numFmtId="0" fontId="0" fillId="0" borderId="1" applyAlignment="1" pivotButton="0" quotePrefix="0" xfId="0">
      <alignment horizontal="center"/>
    </xf>
    <xf numFmtId="165" fontId="0" fillId="0" borderId="1" applyAlignment="1" pivotButton="0" quotePrefix="0" xfId="0">
      <alignment horizontal="center"/>
    </xf>
    <xf numFmtId="0" fontId="16" fillId="0" borderId="0" pivotButton="0" quotePrefix="0" xfId="0"/>
    <xf numFmtId="0" fontId="15" fillId="0" borderId="6" pivotButton="0" quotePrefix="0" xfId="0"/>
    <xf numFmtId="0" fontId="5" fillId="0" borderId="6" pivotButton="0" quotePrefix="0" xfId="0"/>
    <xf numFmtId="0" fontId="15" fillId="0" borderId="1" applyAlignment="1" pivotButton="0" quotePrefix="0" xfId="0">
      <alignment horizontal="center"/>
    </xf>
    <xf numFmtId="0" fontId="15" fillId="0" borderId="1" applyAlignment="1" pivotButton="0" quotePrefix="0" xfId="0">
      <alignment horizontal="left" vertical="center" wrapText="1"/>
    </xf>
    <xf numFmtId="0" fontId="17" fillId="3" borderId="1" pivotButton="0" quotePrefix="0" xfId="0"/>
    <xf numFmtId="0" fontId="18" fillId="0" borderId="1" applyAlignment="1" pivotButton="0" quotePrefix="0" xfId="0">
      <alignment horizontal="left" vertical="center" wrapText="1"/>
    </xf>
    <xf numFmtId="0" fontId="1" fillId="3" borderId="1" applyAlignment="1" pivotButton="0" quotePrefix="0" xfId="0">
      <alignment horizontal="center" wrapText="1"/>
    </xf>
    <xf numFmtId="0" fontId="19" fillId="0" borderId="1" applyAlignment="1" pivotButton="0" quotePrefix="0" xfId="0">
      <alignment horizontal="center"/>
    </xf>
    <xf numFmtId="0" fontId="15" fillId="0" borderId="1" pivotButton="0" quotePrefix="0" xfId="0"/>
    <xf numFmtId="9" fontId="15" fillId="0" borderId="1" applyAlignment="1" pivotButton="0" quotePrefix="0" xfId="0">
      <alignment horizontal="center"/>
    </xf>
    <xf numFmtId="0" fontId="20" fillId="0" borderId="1" pivotButton="0" quotePrefix="0" xfId="0"/>
    <xf numFmtId="0" fontId="20" fillId="0" borderId="1" applyAlignment="1" pivotButton="0" quotePrefix="0" xfId="0">
      <alignment horizontal="center"/>
    </xf>
    <xf numFmtId="9" fontId="20" fillId="0" borderId="1" applyAlignment="1" pivotButton="0" quotePrefix="0" xfId="0">
      <alignment horizontal="center"/>
    </xf>
    <xf numFmtId="0" fontId="18" fillId="3" borderId="1" applyAlignment="1" pivotButton="0" quotePrefix="0" xfId="0">
      <alignment horizontal="left" vertical="center" wrapText="1"/>
    </xf>
    <xf numFmtId="0" fontId="1" fillId="3" borderId="1" applyAlignment="1" pivotButton="0" quotePrefix="0" xfId="0">
      <alignment horizontal="left" vertical="center"/>
    </xf>
    <xf numFmtId="0" fontId="21" fillId="0" borderId="6" applyAlignment="1" pivotButton="0" quotePrefix="0" xfId="0">
      <alignment horizontal="left" vertical="top" wrapText="1"/>
    </xf>
    <xf numFmtId="0" fontId="22" fillId="2" borderId="6" applyAlignment="1" pivotButton="0" quotePrefix="0" xfId="0">
      <alignment horizontal="center" vertical="center"/>
    </xf>
    <xf numFmtId="0" fontId="23" fillId="3" borderId="1" applyAlignment="1" pivotButton="0" quotePrefix="0" xfId="0">
      <alignment horizontal="left" vertical="center" wrapText="1"/>
    </xf>
    <xf numFmtId="0" fontId="24" fillId="0" borderId="6" applyAlignment="1" applyProtection="1" pivotButton="0" quotePrefix="0" xfId="0">
      <alignment horizontal="left" vertical="center" wrapText="1"/>
      <protection locked="0" hidden="0"/>
    </xf>
    <xf numFmtId="0" fontId="25" fillId="0" borderId="6" applyAlignment="1" applyProtection="1" pivotButton="0" quotePrefix="0" xfId="0">
      <alignment horizontal="right" vertical="center"/>
      <protection locked="0" hidden="0"/>
    </xf>
    <xf numFmtId="0" fontId="15" fillId="0" borderId="6" applyProtection="1" pivotButton="0" quotePrefix="0" xfId="0">
      <protection locked="0" hidden="0"/>
    </xf>
    <xf numFmtId="0" fontId="5" fillId="0" borderId="6" applyProtection="1" pivotButton="0" quotePrefix="0" xfId="0">
      <protection locked="0" hidden="0"/>
    </xf>
    <xf numFmtId="0" fontId="26" fillId="0" borderId="6" pivotButton="0" quotePrefix="0" xfId="0"/>
    <xf numFmtId="0" fontId="15" fillId="0" borderId="1" applyAlignment="1" pivotButton="0" quotePrefix="0" xfId="0">
      <alignment horizontal="left" vertical="top" wrapText="1"/>
    </xf>
    <xf numFmtId="0" fontId="15" fillId="0" borderId="1" applyAlignment="1" applyProtection="1" pivotButton="0" quotePrefix="0" xfId="0">
      <alignment horizontal="left" vertical="top" wrapText="1"/>
      <protection locked="0" hidden="0"/>
    </xf>
    <xf numFmtId="0" fontId="15" fillId="0" borderId="1" applyAlignment="1" pivotButton="0" quotePrefix="0" xfId="0">
      <alignment horizontal="center" vertical="center" wrapText="1"/>
    </xf>
    <xf numFmtId="0" fontId="27" fillId="0" borderId="1" applyAlignment="1" pivotButton="0" quotePrefix="0" xfId="0">
      <alignment horizontal="center"/>
    </xf>
    <xf numFmtId="0" fontId="24" fillId="0" borderId="0" pivotButton="0" quotePrefix="0" xfId="0"/>
    <xf numFmtId="0" fontId="0" fillId="0" borderId="1" applyAlignment="1" pivotButton="0" quotePrefix="0" xfId="0">
      <alignment horizontal="center" vertical="center" wrapText="1"/>
    </xf>
    <xf numFmtId="0" fontId="24" fillId="0" borderId="7" applyAlignment="1" applyProtection="1" pivotButton="0" quotePrefix="0" xfId="0">
      <alignment horizontal="left" vertical="center" wrapText="1"/>
      <protection locked="0" hidden="0"/>
    </xf>
    <xf numFmtId="0" fontId="15" fillId="0" borderId="1" applyAlignment="1" applyProtection="1" pivotButton="0" quotePrefix="0" xfId="0">
      <alignment horizontal="center"/>
      <protection locked="0" hidden="0"/>
    </xf>
    <xf numFmtId="0" fontId="27" fillId="0" borderId="1" applyAlignment="1" applyProtection="1" pivotButton="0" quotePrefix="0" xfId="0">
      <alignment horizontal="center"/>
      <protection locked="0" hidden="0"/>
    </xf>
    <xf numFmtId="0" fontId="24" fillId="0" borderId="7" applyAlignment="1" pivotButton="0" quotePrefix="0" xfId="0">
      <alignment horizontal="left" vertical="center" wrapText="1"/>
    </xf>
    <xf numFmtId="0" fontId="25" fillId="0" borderId="6" applyAlignment="1" pivotButton="0" quotePrefix="0" xfId="0">
      <alignment horizontal="right" vertical="center"/>
    </xf>
    <xf numFmtId="0" fontId="28" fillId="0" borderId="0" pivotButton="0" quotePrefix="0" xfId="0"/>
    <xf numFmtId="0" fontId="29" fillId="4" borderId="8" applyAlignment="1" pivotButton="0" quotePrefix="0" xfId="0">
      <alignment horizontal="center" vertical="center" wrapText="1"/>
    </xf>
    <xf numFmtId="0" fontId="3" fillId="0" borderId="1" applyAlignment="1" pivotButton="0" quotePrefix="0" xfId="0">
      <alignment horizontal="center" vertical="center" wrapText="1"/>
    </xf>
    <xf numFmtId="0" fontId="30" fillId="0" borderId="0" applyProtection="1" pivotButton="0" quotePrefix="0" xfId="0">
      <protection locked="0" hidden="0"/>
    </xf>
    <xf numFmtId="0" fontId="1" fillId="5" borderId="8" pivotButton="0" quotePrefix="0" xfId="0"/>
    <xf numFmtId="0" fontId="15" fillId="0" borderId="8" applyAlignment="1" applyProtection="1" pivotButton="0" quotePrefix="0" xfId="0">
      <alignment horizontal="left" vertical="center" wrapText="1"/>
      <protection locked="0" hidden="0"/>
    </xf>
    <xf numFmtId="0" fontId="31" fillId="0" borderId="6" applyAlignment="1" pivotButton="0" quotePrefix="0" xfId="0">
      <alignment horizontal="left" vertical="center" wrapText="1"/>
    </xf>
    <xf numFmtId="0" fontId="15" fillId="0" borderId="8" applyAlignment="1" applyProtection="1" pivotButton="0" quotePrefix="0" xfId="0">
      <alignment horizontal="left" vertical="top" wrapText="1"/>
      <protection locked="0" hidden="0"/>
    </xf>
    <xf numFmtId="0" fontId="15" fillId="0" borderId="8" applyAlignment="1" pivotButton="0" quotePrefix="0" xfId="0">
      <alignment horizontal="left" vertical="top" wrapText="1"/>
    </xf>
    <xf numFmtId="0" fontId="9" fillId="0" borderId="6" pivotButton="0" quotePrefix="0" xfId="0"/>
    <xf numFmtId="0" fontId="30" fillId="0" borderId="6" pivotButton="0" quotePrefix="0" xfId="0"/>
    <xf numFmtId="0" fontId="30" fillId="0" borderId="0" pivotButton="0" quotePrefix="0" xfId="0"/>
    <xf numFmtId="0" fontId="28" fillId="0" borderId="6" pivotButton="0" quotePrefix="0" xfId="0"/>
    <xf numFmtId="0" fontId="29" fillId="4" borderId="0" applyAlignment="1" pivotButton="0" quotePrefix="0" xfId="0">
      <alignment horizontal="center" vertical="center" wrapText="1"/>
    </xf>
    <xf numFmtId="0" fontId="0" fillId="0" borderId="8" applyAlignment="1" pivotButton="0" quotePrefix="0" xfId="0">
      <alignment horizontal="center"/>
    </xf>
    <xf numFmtId="0" fontId="0" fillId="0" borderId="8" pivotButton="0" quotePrefix="0" xfId="0"/>
    <xf numFmtId="0" fontId="32" fillId="0" borderId="6" pivotButton="0" quotePrefix="0" xfId="0"/>
    <xf numFmtId="0" fontId="33" fillId="4" borderId="6" applyAlignment="1" pivotButton="0" quotePrefix="0" xfId="0">
      <alignment horizontal="center" vertical="center"/>
    </xf>
    <xf numFmtId="0" fontId="34" fillId="0" borderId="8" applyAlignment="1" applyProtection="1" pivotButton="0" quotePrefix="0" xfId="0">
      <alignment horizontal="center"/>
      <protection locked="0" hidden="0"/>
    </xf>
    <xf numFmtId="0" fontId="35" fillId="0" borderId="6" pivotButton="0" quotePrefix="0" xfId="0"/>
    <xf numFmtId="0" fontId="15" fillId="0" borderId="8" applyAlignment="1" pivotButton="0" quotePrefix="0" xfId="0">
      <alignment horizontal="center"/>
    </xf>
    <xf numFmtId="0" fontId="29" fillId="4" borderId="8" applyAlignment="1" pivotButton="0" quotePrefix="0" xfId="0">
      <alignment horizontal="center" vertical="center"/>
    </xf>
    <xf numFmtId="0" fontId="15" fillId="0" borderId="8" applyAlignment="1" pivotButton="0" quotePrefix="0" xfId="0">
      <alignment horizontal="left" vertical="center" wrapText="1"/>
    </xf>
    <xf numFmtId="0" fontId="15" fillId="0" borderId="8" applyAlignment="1" pivotButton="0" quotePrefix="0" xfId="0">
      <alignment horizontal="center" vertical="center" wrapText="1"/>
    </xf>
    <xf numFmtId="0" fontId="36" fillId="0" borderId="0" pivotButton="0" quotePrefix="0" xfId="0"/>
    <xf numFmtId="0" fontId="15" fillId="0" borderId="8" applyAlignment="1" applyProtection="1" pivotButton="0" quotePrefix="0" xfId="0">
      <alignment horizontal="center"/>
      <protection locked="0" hidden="0"/>
    </xf>
    <xf numFmtId="0" fontId="17" fillId="5" borderId="8" pivotButton="0" quotePrefix="0" xfId="0"/>
    <xf numFmtId="0" fontId="37" fillId="0" borderId="8" applyAlignment="1" pivotButton="0" quotePrefix="0" xfId="0">
      <alignment horizontal="left" vertical="center" wrapText="1"/>
    </xf>
    <xf numFmtId="0" fontId="1" fillId="5" borderId="8" applyAlignment="1" pivotButton="0" quotePrefix="0" xfId="0">
      <alignment horizontal="center" wrapText="1"/>
    </xf>
    <xf numFmtId="0" fontId="19" fillId="0" borderId="8" applyAlignment="1" pivotButton="0" quotePrefix="0" xfId="0">
      <alignment horizontal="center"/>
    </xf>
    <xf numFmtId="9" fontId="19" fillId="0" borderId="8" applyAlignment="1" pivotButton="0" quotePrefix="0" xfId="0">
      <alignment horizontal="center"/>
    </xf>
    <xf numFmtId="9" fontId="15" fillId="0" borderId="6" pivotButton="0" quotePrefix="0" xfId="0"/>
    <xf numFmtId="9" fontId="29" fillId="4" borderId="8" applyAlignment="1" pivotButton="0" quotePrefix="0" xfId="0">
      <alignment horizontal="center" vertical="center"/>
    </xf>
    <xf numFmtId="0" fontId="15" fillId="0" borderId="8" pivotButton="0" quotePrefix="0" xfId="0"/>
    <xf numFmtId="9" fontId="15" fillId="0" borderId="8" applyAlignment="1" pivotButton="0" quotePrefix="0" xfId="0">
      <alignment horizontal="center"/>
    </xf>
    <xf numFmtId="0" fontId="20" fillId="0" borderId="8" pivotButton="0" quotePrefix="0" xfId="0"/>
    <xf numFmtId="0" fontId="20" fillId="0" borderId="8" applyAlignment="1" pivotButton="0" quotePrefix="0" xfId="0">
      <alignment horizontal="center"/>
    </xf>
    <xf numFmtId="9" fontId="20" fillId="0" borderId="8" applyAlignment="1" pivotButton="0" quotePrefix="0" xfId="0">
      <alignment horizontal="center"/>
    </xf>
    <xf numFmtId="0" fontId="37" fillId="5" borderId="8" applyAlignment="1" pivotButton="0" quotePrefix="0" xfId="0">
      <alignment horizontal="left" vertical="center" wrapText="1"/>
    </xf>
    <xf numFmtId="0" fontId="1" fillId="5" borderId="8" applyAlignment="1" pivotButton="0" quotePrefix="0" xfId="0">
      <alignment horizontal="left" vertical="center"/>
    </xf>
    <xf numFmtId="0" fontId="0" fillId="0" borderId="11" pivotButton="0" quotePrefix="0" xfId="0"/>
    <xf numFmtId="0" fontId="0" fillId="0" borderId="12" pivotButton="0" quotePrefix="0" xfId="0"/>
    <xf numFmtId="0" fontId="38" fillId="0" borderId="6" applyAlignment="1" pivotButton="0" quotePrefix="0" xfId="0">
      <alignment horizontal="left" vertical="top" wrapText="1"/>
    </xf>
    <xf numFmtId="0" fontId="39" fillId="4" borderId="6" applyAlignment="1" pivotButton="0" quotePrefix="0" xfId="0">
      <alignment horizontal="center" vertical="center"/>
    </xf>
    <xf numFmtId="0" fontId="40" fillId="0" borderId="6" applyAlignment="1" pivotButton="0" quotePrefix="0" xfId="0">
      <alignment horizontal="left" vertical="center"/>
    </xf>
    <xf numFmtId="0" fontId="33" fillId="4" borderId="0" applyAlignment="1" pivotButton="0" quotePrefix="0" xfId="0">
      <alignment horizontal="center" vertical="center"/>
    </xf>
    <xf numFmtId="0" fontId="29" fillId="4" borderId="0" applyAlignment="1" pivotButton="0" quotePrefix="0" xfId="0">
      <alignment horizontal="center" vertical="center"/>
    </xf>
    <xf numFmtId="0" fontId="20" fillId="0" borderId="0" applyAlignment="1" pivotButton="0" quotePrefix="0" xfId="0">
      <alignment horizontal="center"/>
    </xf>
    <xf numFmtId="0" fontId="1" fillId="5" borderId="8" applyAlignment="1" pivotButton="0" quotePrefix="0" xfId="0">
      <alignment horizontal="left" vertical="center" wrapText="1"/>
    </xf>
    <xf numFmtId="0" fontId="29" fillId="4" borderId="8" applyAlignment="1" applyProtection="1" pivotButton="0" quotePrefix="0" xfId="0">
      <alignment horizontal="center" vertical="center" wrapText="1"/>
      <protection locked="0" hidden="0"/>
    </xf>
    <xf numFmtId="0" fontId="7" fillId="0" borderId="6" applyAlignment="1" pivotButton="0" quotePrefix="0" xfId="0">
      <alignment horizontal="center"/>
    </xf>
    <xf numFmtId="0" fontId="15" fillId="0" borderId="8" applyAlignment="1" applyProtection="1" pivotButton="0" quotePrefix="0" xfId="0">
      <alignment horizontal="center" vertical="center" wrapText="1"/>
      <protection locked="0" hidden="0"/>
    </xf>
    <xf numFmtId="0" fontId="0" fillId="0" borderId="8" applyProtection="1" pivotButton="0" quotePrefix="0" xfId="0">
      <protection locked="0" hidden="0"/>
    </xf>
    <xf numFmtId="0" fontId="20" fillId="0" borderId="0" applyAlignment="1" applyProtection="1" pivotButton="0" quotePrefix="0" xfId="0">
      <alignment horizontal="center"/>
      <protection locked="0" hidden="0"/>
    </xf>
  </cellXfs>
  <cellStyles count="1">
    <cellStyle name="Normal" xfId="0" builtinId="0" hidden="0"/>
  </cellStyles>
  <dxfs count="8">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
      <fill>
        <patternFill patternType="solid">
          <fgColor rgb="FFFFC7CE"/>
          <bgColor rgb="FFFFC7CE"/>
        </patternFill>
      </fill>
    </dxf>
    <dxf>
      <fill>
        <patternFill patternType="solid">
          <fgColor rgb="FFFFF2CC"/>
          <bgColor rgb="FFFFF2CC"/>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A1" TargetMode="External" Id="rId1" /></Relationships>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 Type="http://schemas.openxmlformats.org/officeDocument/2006/relationships/hyperlink" Target="#'Weekly Review'!A1" TargetMode="External" Id="rId4" /><Relationship Type="http://schemas.openxmlformats.org/officeDocument/2006/relationships/hyperlink" Target="#'Current Focus'!A1" TargetMode="External" Id="rId5" /><Relationship Type="http://schemas.openxmlformats.org/officeDocument/2006/relationships/hyperlink" Target="#'Weekly Review'!A1" TargetMode="External" Id="rId6" /><Relationship Type="http://schemas.openxmlformats.org/officeDocument/2006/relationships/hyperlink" Target="#Archive!A1" TargetMode="External" Id="rId7" /><Relationship Type="http://schemas.openxmlformats.org/officeDocument/2006/relationships/hyperlink" Target="#'Current Focus'!A1" TargetMode="External" Id="rId8" /><Relationship Type="http://schemas.openxmlformats.org/officeDocument/2006/relationships/hyperlink" Target="#Archive!A1" TargetMode="External" Id="rId9" /><Relationship Type="http://schemas.openxmlformats.org/officeDocument/2006/relationships/hyperlink" Target="#'Current Focus'!A1" TargetMode="External" Id="rId10" /><Relationship Type="http://schemas.openxmlformats.org/officeDocument/2006/relationships/hyperlink" Target="#'Weekly Review'!A1" TargetMode="External" Id="rId11" /><Relationship Type="http://schemas.openxmlformats.org/officeDocument/2006/relationships/hyperlink" Target="#'Task Finder'!A1" TargetMode="External" Id="rId12" /><Relationship Type="http://schemas.openxmlformats.org/officeDocument/2006/relationships/hyperlink" Target="#Missions!A1" TargetMode="External" Id="rId13" /><Relationship Type="http://schemas.openxmlformats.org/officeDocument/2006/relationships/hyperlink" Target="#Archive!A1" TargetMode="External" Id="rId14"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_rels/sheet6.xml.rels><Relationships xmlns="http://schemas.openxmlformats.org/package/2006/relationships"><Relationship Type="http://schemas.openxmlformats.org/officeDocument/2006/relationships/hyperlink" Target="#Home!A1" TargetMode="External" Id="rId1"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_rels/sheet8.xml.rels><Relationships xmlns="http://schemas.openxmlformats.org/package/2006/relationships"><Relationship Type="http://schemas.openxmlformats.org/officeDocument/2006/relationships/hyperlink" Target="#Home!A1" TargetMode="External" Id="rId1" /></Relationships>
</file>

<file path=xl/worksheets/_rels/sheet9.xml.rels><Relationships xmlns="http://schemas.openxmlformats.org/package/2006/relationships"><Relationship Type="http://schemas.openxmlformats.org/officeDocument/2006/relationships/hyperlink" Target="#Home!A1" TargetMode="External" Id="rId1" /></Relationships>
</file>

<file path=xl/worksheets/_rels/sheet10.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Q20"/>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 width="18" customWidth="1" min="9" max="9"/>
    <col width="35" customWidth="1" min="10" max="10"/>
    <col width="14" customWidth="1" min="12" max="12"/>
    <col width="10" customWidth="1" min="13" max="13"/>
    <col width="14" customWidth="1" min="14" max="14"/>
    <col width="10" customWidth="1" min="15" max="15"/>
    <col width="16" customWidth="1" min="16" max="16"/>
    <col width="32" customWidth="1" min="17" max="17"/>
  </cols>
  <sheetData>
    <row r="1">
      <c r="A1" s="1" t="inlineStr">
        <is>
          <t>Status</t>
        </is>
      </c>
      <c r="C1" s="1" t="inlineStr">
        <is>
          <t>Priority</t>
        </is>
      </c>
      <c r="E1" s="1" t="inlineStr">
        <is>
          <t>Energy</t>
        </is>
      </c>
      <c r="G1" s="1" t="inlineStr">
        <is>
          <t>Estimated Time</t>
        </is>
      </c>
      <c r="I1" s="21" t="inlineStr">
        <is>
          <t>Energy Guidelines</t>
        </is>
      </c>
      <c r="L1" s="1" t="inlineStr">
        <is>
          <t>Priority</t>
        </is>
      </c>
      <c r="M1" s="1" t="inlineStr">
        <is>
          <t>Weight</t>
        </is>
      </c>
      <c r="N1" s="1" t="inlineStr">
        <is>
          <t>Time Label</t>
        </is>
      </c>
      <c r="O1" s="1" t="inlineStr">
        <is>
          <t>Minutes</t>
        </is>
      </c>
      <c r="P1" s="1" t="inlineStr">
        <is>
          <t>Energy</t>
        </is>
      </c>
      <c r="Q1" s="1" t="inlineStr">
        <is>
          <t>Suggested Focus</t>
        </is>
      </c>
    </row>
    <row r="2">
      <c r="A2" t="inlineStr">
        <is>
          <t>Captured</t>
        </is>
      </c>
      <c r="C2" t="inlineStr">
        <is>
          <t>High</t>
        </is>
      </c>
      <c r="E2" t="inlineStr">
        <is>
          <t>Deep Thinking</t>
        </is>
      </c>
      <c r="G2" t="inlineStr">
        <is>
          <t>5 mins</t>
        </is>
      </c>
      <c r="I2" s="22" t="inlineStr">
        <is>
          <t>Deep Thinking</t>
        </is>
      </c>
      <c r="J2" s="23" t="inlineStr">
        <is>
          <t>Complex problems, strategic work, decision-making</t>
        </is>
      </c>
      <c r="L2" t="inlineStr">
        <is>
          <t>High</t>
        </is>
      </c>
      <c r="M2" t="n">
        <v>30</v>
      </c>
      <c r="N2" t="inlineStr">
        <is>
          <t>5 mins</t>
        </is>
      </c>
      <c r="O2" t="n">
        <v>5</v>
      </c>
      <c r="P2" t="inlineStr">
        <is>
          <t>Deep Thinking</t>
        </is>
      </c>
      <c r="Q2" t="inlineStr">
        <is>
          <t>Framework Design &amp; Strategic Work</t>
        </is>
      </c>
    </row>
    <row r="3">
      <c r="A3" t="inlineStr">
        <is>
          <t>Next</t>
        </is>
      </c>
      <c r="C3" t="inlineStr">
        <is>
          <t>Medium</t>
        </is>
      </c>
      <c r="E3" t="inlineStr">
        <is>
          <t>Processing</t>
        </is>
      </c>
      <c r="G3" t="inlineStr">
        <is>
          <t>15 mins</t>
        </is>
      </c>
      <c r="I3" s="22" t="inlineStr">
        <is>
          <t>Processing</t>
        </is>
      </c>
      <c r="J3" s="23" t="inlineStr">
        <is>
          <t>Routine analysis, execution, review</t>
        </is>
      </c>
      <c r="L3" t="inlineStr">
        <is>
          <t>Medium</t>
        </is>
      </c>
      <c r="M3" t="n">
        <v>20</v>
      </c>
      <c r="N3" t="inlineStr">
        <is>
          <t>15 mins</t>
        </is>
      </c>
      <c r="O3" t="n">
        <v>15</v>
      </c>
      <c r="P3" t="inlineStr">
        <is>
          <t>Processing</t>
        </is>
      </c>
      <c r="Q3" t="inlineStr">
        <is>
          <t>Documentation &amp; Review</t>
        </is>
      </c>
    </row>
    <row r="4">
      <c r="A4" t="inlineStr">
        <is>
          <t>In Progress</t>
        </is>
      </c>
      <c r="C4" t="inlineStr">
        <is>
          <t>Low</t>
        </is>
      </c>
      <c r="E4" t="inlineStr">
        <is>
          <t>Admin</t>
        </is>
      </c>
      <c r="G4" t="inlineStr">
        <is>
          <t>30 mins</t>
        </is>
      </c>
      <c r="I4" s="22" t="inlineStr">
        <is>
          <t>Admin</t>
        </is>
      </c>
      <c r="J4" s="23" t="inlineStr">
        <is>
          <t>Emails, scheduling, admin tasks</t>
        </is>
      </c>
      <c r="L4" t="inlineStr">
        <is>
          <t>Low</t>
        </is>
      </c>
      <c r="M4" t="n">
        <v>10</v>
      </c>
      <c r="N4" t="inlineStr">
        <is>
          <t>30 mins</t>
        </is>
      </c>
      <c r="O4" t="n">
        <v>30</v>
      </c>
      <c r="P4" t="inlineStr">
        <is>
          <t>Admin</t>
        </is>
      </c>
      <c r="Q4" t="inlineStr">
        <is>
          <t>Administration &amp; Housekeeping</t>
        </is>
      </c>
    </row>
    <row r="5">
      <c r="A5" t="inlineStr">
        <is>
          <t>Waiting</t>
        </is>
      </c>
      <c r="E5" t="inlineStr">
        <is>
          <t>Meeting</t>
        </is>
      </c>
      <c r="G5" t="inlineStr">
        <is>
          <t>60 mins</t>
        </is>
      </c>
      <c r="I5" s="22" t="inlineStr">
        <is>
          <t>Meeting</t>
        </is>
      </c>
      <c r="J5" s="23" t="inlineStr">
        <is>
          <t>Meetings, calls, collaboration</t>
        </is>
      </c>
      <c r="N5" t="inlineStr">
        <is>
          <t>60 mins</t>
        </is>
      </c>
      <c r="O5" t="n">
        <v>60</v>
      </c>
      <c r="P5" t="inlineStr">
        <is>
          <t>Meeting</t>
        </is>
      </c>
      <c r="Q5" t="inlineStr">
        <is>
          <t>Stakeholder Review &amp; Collaboration</t>
        </is>
      </c>
    </row>
    <row r="6">
      <c r="A6" t="inlineStr">
        <is>
          <t>Blocked</t>
        </is>
      </c>
      <c r="E6" t="inlineStr">
        <is>
          <t>Low Energy</t>
        </is>
      </c>
      <c r="G6" t="inlineStr">
        <is>
          <t>90+ mins</t>
        </is>
      </c>
      <c r="N6" t="inlineStr">
        <is>
          <t>90+ mins</t>
        </is>
      </c>
      <c r="O6" t="n">
        <v>90</v>
      </c>
      <c r="P6" t="inlineStr">
        <is>
          <t>Low Energy</t>
        </is>
      </c>
      <c r="Q6" t="inlineStr">
        <is>
          <t>Knowledge Capture &amp; Light Tasks</t>
        </is>
      </c>
    </row>
    <row r="7">
      <c r="A7" t="inlineStr">
        <is>
          <t>Done</t>
        </is>
      </c>
    </row>
    <row r="8">
      <c r="A8" t="inlineStr">
        <is>
          <t>Archive</t>
        </is>
      </c>
    </row>
    <row r="20">
      <c r="A20" s="118" t="inlineStr">
        <is>
          <t>← Home</t>
        </is>
      </c>
    </row>
  </sheetData>
  <sheetProtection selectLockedCells="0" selectUnlockedCells="0" sheet="1" objects="0" insertRows="1" insertHyperlinks="1" autoFilter="1" scenarios="0" formatColumns="1" deleteColumns="1" insertColumns="1" pivotTables="1" deleteRows="1" formatCells="1" formatRows="1" sort="1"/>
  <hyperlinks>
    <hyperlink xmlns:r="http://schemas.openxmlformats.org/officeDocument/2006/relationships" ref="A2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18" customWidth="1" min="6" max="6"/>
  </cols>
  <sheetData>
    <row r="1">
      <c r="Y1" s="97" t="inlineStr">
        <is>
          <t>system — do not edit</t>
        </is>
      </c>
      <c r="Z1" s="97">
        <f>IF(MAX('Work Register'!$N$5:$N$500)&lt;=-9000,0,MATCH(MAX('Work Register'!$N$5:$N$500),'Work Register'!$N$5:$N$500,0)+4)</f>
        <v/>
      </c>
    </row>
    <row r="2" ht="25" customHeight="1">
      <c r="B2" s="2" t="inlineStr">
        <is>
          <t>Work Operating System</t>
        </is>
      </c>
    </row>
    <row r="4" ht="25" customHeight="1">
      <c r="B4" s="3" t="inlineStr">
        <is>
          <t>New Mission</t>
        </is>
      </c>
      <c r="C4" s="3" t="inlineStr">
        <is>
          <t>Today</t>
        </is>
      </c>
      <c r="D4" s="3" t="inlineStr">
        <is>
          <t>Work Register</t>
        </is>
      </c>
      <c r="E4" s="3" t="inlineStr">
        <is>
          <t>Weekly Review</t>
        </is>
      </c>
    </row>
    <row r="6">
      <c r="A6" s="39" t="n"/>
      <c r="B6" s="89" t="inlineStr">
        <is>
          <t>Work Selection</t>
        </is>
      </c>
      <c r="C6" s="39" t="n"/>
      <c r="D6" s="39" t="n"/>
      <c r="E6" s="39" t="n"/>
      <c r="F6" s="39" t="n"/>
      <c r="G6" s="39" t="n"/>
      <c r="H6" s="39" t="n"/>
      <c r="I6" s="39" t="n"/>
      <c r="J6" s="39" t="n"/>
      <c r="K6" s="39" t="n"/>
      <c r="L6" s="39" t="n"/>
      <c r="M6" s="39" t="n"/>
      <c r="N6" s="39" t="n"/>
      <c r="O6" s="39" t="n"/>
      <c r="P6" s="39" t="n"/>
      <c r="Q6" s="39" t="n"/>
      <c r="R6" s="39" t="n"/>
      <c r="S6" s="39" t="n"/>
      <c r="T6" s="39" t="n"/>
      <c r="U6" s="39" t="n"/>
      <c r="V6" s="39" t="n"/>
      <c r="W6" s="39" t="n"/>
      <c r="X6" s="39" t="n"/>
      <c r="Y6" s="39" t="n"/>
      <c r="Z6" s="39" t="n"/>
    </row>
    <row r="7" ht="20" customHeight="1">
      <c r="A7" s="39" t="n"/>
      <c r="B7" s="77" t="inlineStr">
        <is>
          <t>Available Time</t>
        </is>
      </c>
      <c r="C7" s="98" t="inlineStr">
        <is>
          <t>30 mins</t>
        </is>
      </c>
      <c r="D7" s="77" t="inlineStr">
        <is>
          <t>Current Energy</t>
        </is>
      </c>
      <c r="E7" s="98" t="inlineStr">
        <is>
          <t>Processing</t>
        </is>
      </c>
      <c r="F7" s="39" t="n"/>
      <c r="G7" s="39" t="n"/>
      <c r="H7" s="39" t="n"/>
      <c r="I7" s="39" t="n"/>
      <c r="J7" s="39" t="n"/>
      <c r="K7" s="39" t="n"/>
      <c r="L7" s="39" t="n"/>
      <c r="M7" s="39" t="n"/>
      <c r="N7" s="39" t="n"/>
      <c r="O7" s="39" t="n"/>
      <c r="P7" s="39" t="n"/>
      <c r="Q7" s="39" t="n"/>
      <c r="R7" s="39" t="n"/>
      <c r="S7" s="39" t="n"/>
      <c r="T7" s="39" t="n"/>
      <c r="U7" s="39" t="n"/>
      <c r="V7" s="39" t="n"/>
      <c r="W7" s="39" t="n"/>
      <c r="X7" s="39" t="n"/>
      <c r="Y7" s="39" t="n"/>
      <c r="Z7" s="39" t="n"/>
    </row>
    <row r="8">
      <c r="A8" s="39" t="n"/>
      <c r="B8" s="39" t="n"/>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39" t="n"/>
    </row>
    <row r="9">
      <c r="A9" s="39" t="n"/>
      <c r="B9" s="89" t="inlineStr">
        <is>
          <t>Recommended Next Task</t>
        </is>
      </c>
      <c r="F9" s="39" t="n"/>
      <c r="G9" s="39" t="n"/>
      <c r="H9" s="39" t="n"/>
      <c r="I9" s="39" t="n"/>
      <c r="J9" s="39" t="n"/>
      <c r="K9" s="39" t="n"/>
      <c r="L9" s="39" t="n"/>
      <c r="M9" s="39" t="n"/>
      <c r="N9" s="39" t="n"/>
      <c r="O9" s="39" t="n"/>
      <c r="P9" s="39" t="n"/>
      <c r="Q9" s="39" t="n"/>
      <c r="R9" s="39" t="n"/>
      <c r="S9" s="39" t="n"/>
      <c r="T9" s="39" t="n"/>
      <c r="U9" s="39" t="n"/>
      <c r="V9" s="39" t="n"/>
      <c r="W9" s="39" t="n"/>
      <c r="X9" s="39" t="n"/>
      <c r="Y9" s="39" t="n"/>
      <c r="Z9" s="39" t="n"/>
    </row>
    <row r="10" ht="20" customHeight="1">
      <c r="A10" s="39" t="n"/>
      <c r="B10" s="77" t="inlineStr">
        <is>
          <t>Mission</t>
        </is>
      </c>
      <c r="C10" s="95">
        <f>IF($Z$1=0,"No actionable tasks",INDEX('Work Register'!A:A,$Z$1))</f>
        <v/>
      </c>
      <c r="D10" s="113" t="n"/>
      <c r="E10" s="114" t="n"/>
      <c r="F10" s="39" t="n"/>
      <c r="G10" s="39" t="n"/>
      <c r="H10" s="39" t="n"/>
      <c r="I10" s="39" t="n"/>
      <c r="J10" s="39" t="n"/>
      <c r="K10" s="39" t="n"/>
      <c r="L10" s="39" t="n"/>
      <c r="M10" s="39" t="n"/>
      <c r="N10" s="39" t="n"/>
      <c r="O10" s="39" t="n"/>
      <c r="P10" s="39" t="n"/>
      <c r="Q10" s="39" t="n"/>
      <c r="R10" s="39" t="n"/>
      <c r="S10" s="39" t="n"/>
      <c r="T10" s="39" t="n"/>
      <c r="U10" s="39" t="n"/>
      <c r="V10" s="39" t="n"/>
      <c r="W10" s="39" t="n"/>
      <c r="X10" s="39" t="n"/>
      <c r="Y10" s="39" t="n"/>
      <c r="Z10" s="39" t="n"/>
    </row>
    <row r="11" ht="20" customHeight="1">
      <c r="A11" s="39" t="n"/>
      <c r="B11" s="77" t="inlineStr">
        <is>
          <t>Component</t>
        </is>
      </c>
      <c r="C11" s="95">
        <f>IF($Z$1=0,"—",INDEX('Work Register'!C:C,$Z$1))</f>
        <v/>
      </c>
      <c r="D11" s="113" t="n"/>
      <c r="E11" s="114" t="n"/>
      <c r="F11" s="39" t="n"/>
      <c r="G11" s="39" t="n"/>
      <c r="H11" s="39" t="n"/>
      <c r="I11" s="39" t="n"/>
      <c r="J11" s="39" t="n"/>
      <c r="K11" s="39" t="n"/>
      <c r="L11" s="39" t="n"/>
      <c r="M11" s="39" t="n"/>
      <c r="N11" s="39" t="n"/>
      <c r="O11" s="39" t="n"/>
      <c r="P11" s="39" t="n"/>
      <c r="Q11" s="39" t="n"/>
      <c r="R11" s="39" t="n"/>
      <c r="S11" s="39" t="n"/>
      <c r="T11" s="39" t="n"/>
      <c r="U11" s="39" t="n"/>
      <c r="V11" s="39" t="n"/>
      <c r="W11" s="39" t="n"/>
      <c r="X11" s="39" t="n"/>
      <c r="Y11" s="39" t="n"/>
      <c r="Z11" s="39" t="n"/>
    </row>
    <row r="12" ht="20" customHeight="1">
      <c r="A12" s="39" t="n"/>
      <c r="B12" s="99" t="inlineStr">
        <is>
          <t>Task</t>
        </is>
      </c>
      <c r="C12" s="100">
        <f>IF($Z$1=0,"—",INDEX('Work Register'!D:D,$Z$1))</f>
        <v/>
      </c>
      <c r="D12" s="113" t="n"/>
      <c r="E12" s="114"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row>
    <row r="13" ht="32" customHeight="1">
      <c r="A13" s="39" t="n"/>
      <c r="B13" s="77" t="inlineStr">
        <is>
          <t>Reason</t>
        </is>
      </c>
      <c r="C13" s="95">
        <f>IF($Z$1=0,"Nothing actionable — review Blocked and Waiting items.",INDEX('Work Register'!O:O,$Z$1))</f>
        <v/>
      </c>
      <c r="D13" s="113" t="n"/>
      <c r="E13" s="114" t="n"/>
      <c r="F13" s="39" t="n"/>
      <c r="G13" s="39" t="n"/>
      <c r="H13" s="39" t="n"/>
      <c r="I13" s="39" t="n"/>
      <c r="J13" s="39" t="n"/>
      <c r="K13" s="39" t="n"/>
      <c r="L13" s="39" t="n"/>
      <c r="M13" s="39" t="n"/>
      <c r="N13" s="39" t="n"/>
      <c r="O13" s="39" t="n"/>
      <c r="P13" s="39" t="n"/>
      <c r="Q13" s="39" t="n"/>
      <c r="R13" s="39" t="n"/>
      <c r="S13" s="39" t="n"/>
      <c r="T13" s="39" t="n"/>
      <c r="U13" s="39" t="n"/>
      <c r="V13" s="39" t="n"/>
      <c r="W13" s="39" t="n"/>
      <c r="X13" s="39" t="n"/>
      <c r="Y13" s="39" t="n"/>
      <c r="Z13" s="39" t="n"/>
    </row>
    <row r="14" ht="20" customHeight="1">
      <c r="A14" s="39" t="n"/>
      <c r="B14" s="77" t="inlineStr">
        <is>
          <t>Estimated Duration</t>
        </is>
      </c>
      <c r="C14" s="95">
        <f>IF($Z$1=0,"—",INDEX('Work Register'!H:H,$Z$1))</f>
        <v/>
      </c>
      <c r="D14" s="113" t="n"/>
      <c r="E14" s="114"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39" t="n"/>
    </row>
    <row r="15" ht="20" customHeight="1">
      <c r="A15" s="39" t="n"/>
      <c r="B15" s="77" t="inlineStr">
        <is>
          <t>Deliverable</t>
        </is>
      </c>
      <c r="C15" s="95">
        <f>IF($Z$1=0,"—",INDEX('Work Register'!B:B,$Z$1))</f>
        <v/>
      </c>
      <c r="D15" s="113" t="n"/>
      <c r="E15" s="114" t="n"/>
      <c r="F15" s="39" t="n"/>
      <c r="G15" s="39" t="n"/>
      <c r="H15" s="39" t="n"/>
      <c r="I15" s="39" t="n"/>
      <c r="J15" s="39" t="n"/>
      <c r="K15" s="39" t="n"/>
      <c r="L15" s="39" t="n"/>
      <c r="M15" s="39" t="n"/>
      <c r="N15" s="39" t="n"/>
      <c r="O15" s="39" t="n"/>
      <c r="P15" s="39" t="n"/>
      <c r="Q15" s="39" t="n"/>
      <c r="R15" s="39" t="n"/>
      <c r="S15" s="39" t="n"/>
      <c r="T15" s="39" t="n"/>
      <c r="U15" s="39" t="n"/>
      <c r="V15" s="39" t="n"/>
      <c r="W15" s="39" t="n"/>
      <c r="X15" s="39" t="n"/>
      <c r="Y15" s="39" t="n"/>
      <c r="Z15" s="39" t="n"/>
    </row>
    <row r="16" ht="20" customHeight="1">
      <c r="A16" s="39" t="n"/>
      <c r="B16" s="77" t="inlineStr">
        <is>
          <t>Energy Required</t>
        </is>
      </c>
      <c r="C16" s="95">
        <f>IF($Z$1=0,"—",INDEX('Work Register'!G:G,$Z$1))</f>
        <v/>
      </c>
      <c r="D16" s="113" t="n"/>
      <c r="E16" s="114" t="n"/>
      <c r="F16" s="39" t="n"/>
      <c r="G16" s="39" t="n"/>
      <c r="H16" s="39" t="n"/>
      <c r="I16" s="39" t="n"/>
      <c r="J16" s="39" t="n"/>
      <c r="K16" s="39" t="n"/>
      <c r="L16" s="39" t="n"/>
      <c r="M16" s="39" t="n"/>
      <c r="N16" s="39" t="n"/>
      <c r="O16" s="39" t="n"/>
      <c r="P16" s="39" t="n"/>
      <c r="Q16" s="39" t="n"/>
      <c r="R16" s="39" t="n"/>
      <c r="S16" s="39" t="n"/>
      <c r="T16" s="39" t="n"/>
      <c r="U16" s="39" t="n"/>
      <c r="V16" s="39" t="n"/>
      <c r="W16" s="39" t="n"/>
      <c r="X16" s="39" t="n"/>
      <c r="Y16" s="39" t="n"/>
      <c r="Z16" s="39" t="n"/>
    </row>
    <row r="17" ht="20" customHeight="1">
      <c r="A17" s="39" t="n"/>
      <c r="B17" s="77" t="inlineStr">
        <is>
          <t>Due Date</t>
        </is>
      </c>
      <c r="C17" s="95">
        <f>IF($Z$1=0,"—",IFERROR(TEXT(INDEX('Work Register'!I:I,$Z$1),"ddd d mmm"),"No due date"))</f>
        <v/>
      </c>
      <c r="D17" s="113" t="n"/>
      <c r="E17" s="114"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39" t="n"/>
    </row>
    <row r="18" ht="20" customHeight="1">
      <c r="A18" s="39" t="n"/>
      <c r="B18" s="77" t="inlineStr">
        <is>
          <t>Status</t>
        </is>
      </c>
      <c r="C18" s="95">
        <f>IF($Z$1=0,"—",INDEX('Work Register'!E:E,$Z$1))</f>
        <v/>
      </c>
      <c r="D18" s="113" t="n"/>
      <c r="E18" s="114"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39" t="n"/>
    </row>
    <row r="19">
      <c r="A19" s="39" t="n"/>
      <c r="B19" s="39" t="n"/>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39" t="n"/>
    </row>
    <row r="20">
      <c r="A20" s="39" t="n"/>
      <c r="B20" s="101" t="inlineStr">
        <is>
          <t>Active Missions</t>
        </is>
      </c>
      <c r="C20" s="101" t="inlineStr">
        <is>
          <t>Due Today</t>
        </is>
      </c>
      <c r="D20" s="101" t="inlineStr">
        <is>
          <t>Blocked</t>
        </is>
      </c>
      <c r="E20" s="101" t="inlineStr">
        <is>
          <t>Waiting</t>
        </is>
      </c>
      <c r="F20" s="101" t="inlineStr">
        <is>
          <t>Completed This Week</t>
        </is>
      </c>
      <c r="G20" s="39" t="n"/>
      <c r="H20" s="39" t="n"/>
      <c r="I20" s="39" t="n"/>
      <c r="J20" s="39" t="n"/>
      <c r="K20" s="39" t="n"/>
      <c r="L20" s="39" t="n"/>
      <c r="M20" s="39" t="n"/>
      <c r="N20" s="39" t="n"/>
      <c r="O20" s="39" t="n"/>
      <c r="P20" s="39" t="n"/>
      <c r="Q20" s="39" t="n"/>
      <c r="R20" s="39" t="n"/>
      <c r="S20" s="39" t="n"/>
      <c r="T20" s="39" t="n"/>
      <c r="U20" s="39" t="n"/>
      <c r="V20" s="39" t="n"/>
      <c r="W20" s="39" t="n"/>
      <c r="X20" s="39" t="n"/>
      <c r="Y20" s="39" t="n"/>
      <c r="Z20" s="39" t="n"/>
    </row>
    <row r="21" ht="20" customHeight="1">
      <c r="A21" s="39" t="n"/>
      <c r="B21" s="102">
        <f>COUNTIFS('Work Register'!$E:$E,"&lt;&gt;Done",'Work Register'!$E:$E,"&lt;&gt;Archive",'Work Register'!$E:$E,"&lt;&gt;Blocked")</f>
        <v/>
      </c>
      <c r="C21" s="102">
        <f>COUNTIFS('Work Register'!$I:$I,"&gt;="&amp;TODAY(),'Work Register'!$I:$I,"&lt;"&amp;TODAY()+1,'Work Register'!$E:$E,"&lt;&gt;Done")</f>
        <v/>
      </c>
      <c r="D21" s="102">
        <f>COUNTIF('Work Register'!$E:$E,"Blocked")</f>
        <v/>
      </c>
      <c r="E21" s="103">
        <f>COUNTIF('Work Register'!$E:$E,"Waiting")</f>
        <v/>
      </c>
      <c r="F21" s="102">
        <f>COUNTIFS('Work Register'!$E:$E,"Done",'Work Register'!$L:$L,"&gt;="&amp;(TODAY()-WEEKDAY(TODAY(),3)))</f>
        <v/>
      </c>
      <c r="G21" s="39" t="n"/>
      <c r="H21" s="39" t="n"/>
      <c r="I21" s="39" t="n"/>
      <c r="J21" s="39" t="n"/>
      <c r="K21" s="39" t="n"/>
      <c r="L21" s="39" t="n"/>
      <c r="M21" s="39" t="n"/>
      <c r="N21" s="39" t="n"/>
      <c r="O21" s="39" t="n"/>
      <c r="P21" s="39" t="n"/>
      <c r="Q21" s="39" t="n"/>
      <c r="R21" s="39" t="n"/>
      <c r="S21" s="39" t="n"/>
      <c r="T21" s="39" t="n"/>
      <c r="U21" s="39" t="n"/>
      <c r="V21" s="39" t="n"/>
      <c r="W21" s="39" t="n"/>
      <c r="X21" s="39" t="n"/>
      <c r="Y21" s="39" t="n"/>
      <c r="Z21" s="39" t="n"/>
    </row>
    <row r="22" ht="20" customHeight="1">
      <c r="A22" s="39" t="n"/>
      <c r="B22" s="39" t="inlineStr">
        <is>
          <t>#'Weekly Review'!A1</t>
        </is>
      </c>
      <c r="C22" s="39" t="n"/>
      <c r="D22" s="39" t="n"/>
      <c r="E22" s="104"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39" t="n"/>
    </row>
    <row r="23" ht="20" customHeight="1">
      <c r="A23" s="39" t="n"/>
      <c r="B23" s="89" t="inlineStr">
        <is>
          <t>Workload Balance</t>
        </is>
      </c>
      <c r="C23" s="39" t="n"/>
      <c r="D23" s="39" t="n"/>
      <c r="E23" s="104"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39" t="n"/>
    </row>
    <row r="24">
      <c r="A24" s="39" t="n"/>
      <c r="B24" s="94" t="inlineStr">
        <is>
          <t>Energy</t>
        </is>
      </c>
      <c r="C24" s="94" t="inlineStr">
        <is>
          <t>Tasks</t>
        </is>
      </c>
      <c r="D24" s="94" t="inlineStr">
        <is>
          <t>Hours</t>
        </is>
      </c>
      <c r="E24" s="105" t="inlineStr">
        <is>
          <t>% of Active</t>
        </is>
      </c>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39" t="n"/>
    </row>
    <row r="25">
      <c r="A25" s="39" t="n"/>
      <c r="B25" s="106" t="inlineStr">
        <is>
          <t>Deep Thinking</t>
        </is>
      </c>
      <c r="C25" s="93">
        <f>SUMPRODUCT(('Work Register'!$G$5:$G$500="Deep Thinking")*(('Work Register'!$E$5:$E$500="Captured")+('Work Register'!$E$5:$E$500="Next")+('Work Register'!$E$5:$E$500="In Progress")+('Work Register'!$E$5:$E$500="Waiting")))</f>
        <v/>
      </c>
      <c r="D25" s="93">
        <f>ROUND(SUMPRODUCT(('Work Register'!$G$5:$G$500="Deep Thinking")*(('Work Register'!$E$5:$E$500="Captured")+('Work Register'!$E$5:$E$500="Next")+('Work Register'!$E$5:$E$500="In Progress")+('Work Register'!$E$5:$E$500="Waiting"))*'Work Register'!$M$5:$M$500)/60,1)</f>
        <v/>
      </c>
      <c r="E25" s="107">
        <f>IFERROR($D25/$D$30,0)</f>
        <v/>
      </c>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39" t="n"/>
    </row>
    <row r="26">
      <c r="A26" s="39" t="n"/>
      <c r="B26" s="106" t="inlineStr">
        <is>
          <t>Processing</t>
        </is>
      </c>
      <c r="C26" s="93">
        <f>SUMPRODUCT(('Work Register'!$G$5:$G$500="Processing")*(('Work Register'!$E$5:$E$500="Captured")+('Work Register'!$E$5:$E$500="Next")+('Work Register'!$E$5:$E$500="In Progress")+('Work Register'!$E$5:$E$500="Waiting")))</f>
        <v/>
      </c>
      <c r="D26" s="93">
        <f>ROUND(SUMPRODUCT(('Work Register'!$G$5:$G$500="Processing")*(('Work Register'!$E$5:$E$500="Captured")+('Work Register'!$E$5:$E$500="Next")+('Work Register'!$E$5:$E$500="In Progress")+('Work Register'!$E$5:$E$500="Waiting"))*'Work Register'!$M$5:$M$500)/60,1)</f>
        <v/>
      </c>
      <c r="E26" s="107">
        <f>IFERROR($D26/$D$30,0)</f>
        <v/>
      </c>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39" t="n"/>
    </row>
    <row r="27">
      <c r="A27" s="39" t="n"/>
      <c r="B27" s="106" t="inlineStr">
        <is>
          <t>Admin</t>
        </is>
      </c>
      <c r="C27" s="93">
        <f>SUMPRODUCT(('Work Register'!$G$5:$G$500="Admin")*(('Work Register'!$E$5:$E$500="Captured")+('Work Register'!$E$5:$E$500="Next")+('Work Register'!$E$5:$E$500="In Progress")+('Work Register'!$E$5:$E$500="Waiting")))</f>
        <v/>
      </c>
      <c r="D27" s="93">
        <f>ROUND(SUMPRODUCT(('Work Register'!$G$5:$G$500="Admin")*(('Work Register'!$E$5:$E$500="Captured")+('Work Register'!$E$5:$E$500="Next")+('Work Register'!$E$5:$E$500="In Progress")+('Work Register'!$E$5:$E$500="Waiting"))*'Work Register'!$M$5:$M$500)/60,1)</f>
        <v/>
      </c>
      <c r="E27" s="107">
        <f>IFERROR($D27/$D$30,0)</f>
        <v/>
      </c>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39" t="n"/>
    </row>
    <row r="28">
      <c r="A28" s="39" t="n"/>
      <c r="B28" s="106" t="inlineStr">
        <is>
          <t>Meeting</t>
        </is>
      </c>
      <c r="C28" s="93">
        <f>SUMPRODUCT(('Work Register'!$G$5:$G$500="Meeting")*(('Work Register'!$E$5:$E$500="Captured")+('Work Register'!$E$5:$E$500="Next")+('Work Register'!$E$5:$E$500="In Progress")+('Work Register'!$E$5:$E$500="Waiting")))</f>
        <v/>
      </c>
      <c r="D28" s="93">
        <f>ROUND(SUMPRODUCT(('Work Register'!$G$5:$G$500="Meeting")*(('Work Register'!$E$5:$E$500="Captured")+('Work Register'!$E$5:$E$500="Next")+('Work Register'!$E$5:$E$500="In Progress")+('Work Register'!$E$5:$E$500="Waiting"))*'Work Register'!$M$5:$M$500)/60,1)</f>
        <v/>
      </c>
      <c r="E28" s="107">
        <f>IFERROR($D28/$D$30,0)</f>
        <v/>
      </c>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39" t="n"/>
    </row>
    <row r="29" ht="24" customHeight="1">
      <c r="A29" s="39" t="n"/>
      <c r="B29" s="106" t="inlineStr">
        <is>
          <t>Low Energy</t>
        </is>
      </c>
      <c r="C29" s="93">
        <f>SUMPRODUCT(('Work Register'!$G$5:$G$500="Low Energy")*(('Work Register'!$E$5:$E$500="Captured")+('Work Register'!$E$5:$E$500="Next")+('Work Register'!$E$5:$E$500="In Progress")+('Work Register'!$E$5:$E$500="Waiting")))</f>
        <v/>
      </c>
      <c r="D29" s="93">
        <f>ROUND(SUMPRODUCT(('Work Register'!$G$5:$G$500="Low Energy")*(('Work Register'!$E$5:$E$500="Captured")+('Work Register'!$E$5:$E$500="Next")+('Work Register'!$E$5:$E$500="In Progress")+('Work Register'!$E$5:$E$500="Waiting"))*'Work Register'!$M$5:$M$500)/60,1)</f>
        <v/>
      </c>
      <c r="E29" s="107">
        <f>IFERROR($D29/$D$30,0)</f>
        <v/>
      </c>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39" t="n"/>
    </row>
    <row r="30">
      <c r="A30" s="39" t="n"/>
      <c r="B30" s="108" t="inlineStr">
        <is>
          <t>Total</t>
        </is>
      </c>
      <c r="C30" s="109">
        <f>SUM(C25:C29)</f>
        <v/>
      </c>
      <c r="D30" s="109">
        <f>SUM(D25:D29)</f>
        <v/>
      </c>
      <c r="E30" s="110">
        <f>IFERROR(SUM(E25:E29),0)</f>
        <v/>
      </c>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39" t="n"/>
    </row>
    <row r="31">
      <c r="A31" s="39" t="n"/>
      <c r="B31" s="39" t="n"/>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39" t="n"/>
    </row>
    <row r="32">
      <c r="A32" s="39" t="n"/>
      <c r="B32" s="89" t="inlineStr">
        <is>
          <t>Today is Best Suited To</t>
        </is>
      </c>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39" t="n"/>
    </row>
    <row r="33" ht="24" customHeight="1">
      <c r="A33" s="39" t="n"/>
      <c r="B33" s="111">
        <f>IFERROR(VLOOKUP(INDEX($B$25:$B$29,MATCH(MAX($D$25:$D$29),$D$25:$D$29,0)),Lists!$P$2:$Q$6,2,FALSE),"Add tasks to Work Register to see a recommendation")</f>
        <v/>
      </c>
      <c r="C33" s="113" t="n"/>
      <c r="D33" s="113" t="n"/>
      <c r="E33" s="114"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39" t="n"/>
    </row>
    <row r="34">
      <c r="A34" s="39" t="n"/>
      <c r="B34" s="39" t="n"/>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39" t="n"/>
    </row>
    <row r="35">
      <c r="A35" s="39" t="n"/>
      <c r="B35" s="89" t="inlineStr">
        <is>
          <t>Needs Attention</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39" t="n"/>
    </row>
    <row r="36" ht="20" customHeight="1">
      <c r="A36" s="39" t="n"/>
      <c r="B36" s="112">
        <f>COUNTIF(Missions!$O$2:$O$8,TRUE)&amp;" active warning(s)"</f>
        <v/>
      </c>
      <c r="C36" s="113" t="n"/>
      <c r="D36" s="113" t="n"/>
      <c r="E36" s="114" t="n"/>
      <c r="F36" s="39" t="inlineStr">
        <is>
          <t>#Archive!A1</t>
        </is>
      </c>
      <c r="G36" s="39" t="n"/>
      <c r="H36" s="39" t="n"/>
      <c r="I36" s="39" t="n"/>
      <c r="J36" s="39" t="n"/>
      <c r="K36" s="39" t="n"/>
      <c r="L36" s="39" t="n"/>
      <c r="M36" s="39" t="n"/>
      <c r="N36" s="39" t="n"/>
      <c r="O36" s="39" t="n"/>
      <c r="P36" s="39" t="n"/>
      <c r="Q36" s="39" t="n"/>
      <c r="R36" s="39" t="n"/>
      <c r="S36" s="39" t="n"/>
      <c r="T36" s="39" t="n"/>
      <c r="U36" s="39" t="n"/>
      <c r="V36" s="39" t="n"/>
      <c r="W36" s="39" t="n"/>
      <c r="X36" s="39" t="n"/>
      <c r="Y36" s="39" t="n"/>
      <c r="Z36" s="39" t="n"/>
    </row>
    <row r="37" ht="26" customHeight="1">
      <c r="A37" s="39" t="n"/>
      <c r="B37" s="115">
        <f>IFERROR(TEXTJOIN("; ",TRUE,IF(Missions!$O$2,Missions!$N$2,""),IF(Missions!$O$3,Missions!$N$3,""),IF(Missions!$O$4,Missions!$N$4,""),IF(Missions!$O$5,Missions!$N$5,""),IF(Missions!$O$6,Missions!$N$6,""),IF(Missions!$O$7,Missions!$N$7,""),IF(Missions!$O$8,Missions!$N$8,"")),"")</f>
        <v/>
      </c>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39" t="n"/>
    </row>
    <row r="38">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39" t="n"/>
    </row>
    <row r="39">
      <c r="A39" s="39" t="n"/>
      <c r="B39" s="89" t="inlineStr">
        <is>
          <t>Quick Access</t>
        </is>
      </c>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39" t="n"/>
    </row>
    <row r="40" ht="20" customHeight="1">
      <c r="A40" s="39" t="n"/>
      <c r="B40" s="116" t="inlineStr">
        <is>
          <t>Current Focus</t>
        </is>
      </c>
      <c r="C40" s="116" t="inlineStr">
        <is>
          <t>Weekly Review</t>
        </is>
      </c>
      <c r="D40" s="116" t="inlineStr">
        <is>
          <t>Task Finder</t>
        </is>
      </c>
      <c r="E40" s="116" t="inlineStr">
        <is>
          <t>Missions</t>
        </is>
      </c>
      <c r="F40" s="116" t="inlineStr">
        <is>
          <t>Archive</t>
        </is>
      </c>
      <c r="G40" s="39" t="n"/>
      <c r="H40" s="39" t="n"/>
      <c r="I40" s="39" t="n"/>
      <c r="J40" s="39" t="n"/>
      <c r="K40" s="39" t="n"/>
      <c r="L40" s="39" t="n"/>
      <c r="M40" s="39" t="n"/>
      <c r="N40" s="39" t="n"/>
      <c r="O40" s="39" t="n"/>
      <c r="P40" s="39" t="n"/>
      <c r="Q40" s="39" t="n"/>
      <c r="R40" s="39" t="n"/>
      <c r="S40" s="39" t="n"/>
      <c r="T40" s="39" t="n"/>
      <c r="U40" s="39" t="n"/>
      <c r="V40" s="39" t="n"/>
      <c r="W40" s="39" t="n"/>
      <c r="X40" s="39" t="n"/>
      <c r="Y40" s="39" t="n"/>
      <c r="Z40" s="39" t="n"/>
    </row>
    <row r="41">
      <c r="A41" s="39" t="n"/>
      <c r="B41" s="39" t="n"/>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39" t="n"/>
      <c r="Z41" s="39" t="n"/>
    </row>
    <row r="42">
      <c r="A42" s="39" t="n"/>
      <c r="B42" s="39" t="n"/>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39" t="n"/>
    </row>
    <row r="43">
      <c r="A43" s="39" t="n"/>
      <c r="B43" s="39" t="n"/>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row>
    <row r="44">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39" t="n"/>
    </row>
    <row r="45">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39" t="n"/>
    </row>
  </sheetData>
  <sheetProtection selectLockedCells="0" selectUnlockedCells="0" sheet="1" objects="0" insertRows="1" insertHyperlinks="1" autoFilter="1" scenarios="0" formatColumns="1" deleteColumns="1" insertColumns="1" pivotTables="1" deleteRows="1" formatCells="1" formatRows="1" sort="1"/>
  <mergeCells count="13">
    <mergeCell ref="C16:E16"/>
    <mergeCell ref="B9:E9"/>
    <mergeCell ref="C11:E11"/>
    <mergeCell ref="C14:E14"/>
    <mergeCell ref="C13:E13"/>
    <mergeCell ref="C18:E18"/>
    <mergeCell ref="B33:E33"/>
    <mergeCell ref="C17:E17"/>
    <mergeCell ref="B37:E37"/>
    <mergeCell ref="C15:E15"/>
    <mergeCell ref="C12:E12"/>
    <mergeCell ref="B36:E36"/>
    <mergeCell ref="C10:E10"/>
  </mergeCells>
  <conditionalFormatting sqref="B32:E32">
    <cfRule type="expression" priority="2" dxfId="5">
      <formula>COUNTIF(Missions!$O$2:$O$7,TRUE)&gt;0</formula>
    </cfRule>
  </conditionalFormatting>
  <conditionalFormatting sqref="E21:E25">
    <cfRule type="dataBar" priority="1">
      <dataBar showValue="1">
        <cfvo type="num" val="0"/>
        <cfvo type="num" val="1"/>
        <color rgb="FF4472C4"/>
      </dataBar>
    </cfRule>
  </conditionalFormatting>
  <conditionalFormatting sqref="E25:E29">
    <cfRule type="dataBar" priority="3">
      <dataBar showValue="1">
        <cfvo type="num" val="0"/>
        <cfvo type="num" val="1"/>
        <color rgb="FF4472C4"/>
      </dataBar>
    </cfRule>
  </conditionalFormatting>
  <conditionalFormatting sqref="B36:E36">
    <cfRule type="expression" priority="4" dxfId="7">
      <formula>COUNTIF(Missions!$O$2:$O$8,TRUE)&gt;0</formula>
    </cfRule>
  </conditionalFormatting>
  <dataValidations count="2">
    <dataValidation sqref="C7" showDropDown="0" showInputMessage="0" showErrorMessage="0" allowBlank="1" type="list">
      <formula1>TimeList</formula1>
    </dataValidation>
    <dataValidation sqref="E7" showDropDown="0" showInputMessage="0" showErrorMessage="0" allowBlank="1" type="list">
      <formula1>EnergyList</formula1>
    </dataValidation>
  </dataValidation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36" r:id="rId8"/>
    <hyperlink xmlns:r="http://schemas.openxmlformats.org/officeDocument/2006/relationships" ref="F36" r:id="rId9"/>
    <hyperlink xmlns:r="http://schemas.openxmlformats.org/officeDocument/2006/relationships" ref="B40" r:id="rId10"/>
    <hyperlink xmlns:r="http://schemas.openxmlformats.org/officeDocument/2006/relationships" ref="C40" r:id="rId11"/>
    <hyperlink xmlns:r="http://schemas.openxmlformats.org/officeDocument/2006/relationships" ref="D40" r:id="rId12"/>
    <hyperlink xmlns:r="http://schemas.openxmlformats.org/officeDocument/2006/relationships" ref="E40" r:id="rId13"/>
    <hyperlink xmlns:r="http://schemas.openxmlformats.org/officeDocument/2006/relationships" ref="F40" r:id="rId14"/>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A2:L37"/>
  <sheetViews>
    <sheetView showGridLines="0" workbookViewId="0">
      <selection activeCell="A1" sqref="A1"/>
    </sheetView>
  </sheetViews>
  <sheetFormatPr baseColWidth="8" defaultRowHeight="15"/>
  <cols>
    <col width="22" customWidth="1" min="1" max="1"/>
    <col width="18" customWidth="1" min="2" max="2"/>
    <col width="16" customWidth="1" min="3" max="3"/>
    <col width="22" customWidth="1" min="4" max="4"/>
    <col width="12" customWidth="1" min="5" max="5"/>
    <col width="10" customWidth="1" min="6" max="6"/>
    <col width="14" customWidth="1" min="7" max="7"/>
    <col width="12" customWidth="1" min="8" max="8"/>
    <col width="12" customWidth="1" min="9" max="9"/>
    <col width="10" customWidth="1" min="10" max="10"/>
    <col width="20" customWidth="1" min="11" max="11"/>
  </cols>
  <sheetData>
    <row r="2" ht="25" customHeight="1">
      <c r="B2" s="10" t="inlineStr">
        <is>
          <t>New Mission</t>
        </is>
      </c>
    </row>
    <row r="3" ht="20" customHeight="1">
      <c r="B3" s="11" t="inlineStr">
        <is>
          <t>← Home</t>
        </is>
      </c>
    </row>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2">
      <c r="A12" s="39" t="n"/>
      <c r="B12" s="89" t="inlineStr">
        <is>
          <t>Readiness Check</t>
        </is>
      </c>
      <c r="C12" s="39" t="n"/>
      <c r="D12" s="39" t="n"/>
      <c r="E12" s="39" t="n"/>
      <c r="F12" s="39" t="n"/>
      <c r="G12" s="39" t="n"/>
      <c r="H12" s="39" t="n"/>
      <c r="I12" s="39" t="n"/>
      <c r="J12" s="39" t="n"/>
      <c r="K12" s="39" t="n"/>
      <c r="L12" s="39" t="n"/>
    </row>
    <row r="13" ht="20" customHeight="1">
      <c r="A13" s="39" t="n"/>
      <c r="B13" s="121">
        <f>IF(AND($C$5&lt;&gt;"",$C$6&lt;&gt;"",$C$8&lt;&gt;"",COUNTIFS($C$17:$C$21,"&lt;&gt;",$D$17:$D$21,"&lt;&gt;",$E$17:$E$21,"&lt;&gt;")&gt;0),"✓ Ready — select and copy the block below into Work Register","⚠ Missing: "&amp;TEXTJOIN(", ",TRUE,IF($C$5="","Mission Name",""),IF($C$6="","Outcome",""),IF($C$8="","Priority",""),IF(COUNTIFS($C$17:$C$21,"&lt;&gt;",$D$17:$D$21,"&lt;&gt;",$E$17:$E$21,"&lt;&gt;")=0,"at least one complete Deliverable (Name + Component + Task)","")))</f>
        <v/>
      </c>
      <c r="C13" s="113" t="n"/>
      <c r="D13" s="113" t="n"/>
      <c r="E13" s="113" t="n"/>
      <c r="F13" s="114" t="n"/>
      <c r="G13" s="39" t="n"/>
      <c r="H13" s="39" t="n"/>
      <c r="I13" s="39" t="n"/>
      <c r="J13" s="39" t="n"/>
      <c r="K13" s="39" t="n"/>
      <c r="L13" s="39" t="n"/>
    </row>
    <row r="14">
      <c r="A14" s="39" t="n"/>
      <c r="B14" s="39" t="n"/>
      <c r="C14" s="39" t="n"/>
      <c r="D14" s="39" t="n"/>
      <c r="E14" s="39" t="n"/>
      <c r="F14" s="39" t="n"/>
      <c r="G14" s="39" t="n"/>
      <c r="H14" s="39" t="n"/>
      <c r="I14" s="39" t="n"/>
      <c r="J14" s="39" t="n"/>
      <c r="K14" s="39" t="n"/>
      <c r="L14" s="39" t="n"/>
    </row>
    <row r="15">
      <c r="A15" s="39" t="n"/>
      <c r="B15" s="89" t="inlineStr">
        <is>
          <t>Deliverables</t>
        </is>
      </c>
      <c r="C15" s="39" t="n"/>
      <c r="D15" s="39" t="n"/>
      <c r="E15" s="39" t="n"/>
      <c r="F15" s="39" t="n"/>
      <c r="G15" s="39" t="n"/>
      <c r="H15" s="39" t="n"/>
      <c r="I15" s="39" t="n"/>
      <c r="J15" s="39" t="n"/>
      <c r="K15" s="39" t="n"/>
      <c r="L15" s="39" t="n"/>
    </row>
    <row r="16">
      <c r="A16" s="39" t="n"/>
      <c r="B16" s="39" t="n"/>
      <c r="C16" s="74" t="inlineStr">
        <is>
          <t>Deliverable Name</t>
        </is>
      </c>
      <c r="D16" s="74" t="inlineStr">
        <is>
          <t>Component</t>
        </is>
      </c>
      <c r="E16" s="74" t="inlineStr">
        <is>
          <t>Task (First Next Action)</t>
        </is>
      </c>
      <c r="F16" s="74" t="inlineStr">
        <is>
          <t>Energy</t>
        </is>
      </c>
      <c r="G16" s="74" t="inlineStr">
        <is>
          <t>Estimated Time</t>
        </is>
      </c>
      <c r="H16" s="39" t="n"/>
      <c r="I16" s="39" t="n"/>
      <c r="J16" s="39" t="n"/>
      <c r="K16" s="39" t="n"/>
      <c r="L16" s="39" t="n"/>
    </row>
    <row r="17">
      <c r="A17" s="39" t="n"/>
      <c r="B17" s="123" t="inlineStr">
        <is>
          <t>D1</t>
        </is>
      </c>
      <c r="C17" s="80" t="n"/>
      <c r="D17" s="80" t="n"/>
      <c r="E17" s="80" t="n"/>
      <c r="F17" s="80" t="n"/>
      <c r="G17" s="80" t="n"/>
      <c r="H17" s="39" t="n"/>
      <c r="I17" s="39" t="n"/>
      <c r="J17" s="39" t="n"/>
      <c r="K17" s="39" t="n"/>
      <c r="L17" s="39" t="n"/>
    </row>
    <row r="18">
      <c r="A18" s="39" t="n"/>
      <c r="B18" s="123" t="inlineStr">
        <is>
          <t>D2</t>
        </is>
      </c>
      <c r="C18" s="80" t="n"/>
      <c r="D18" s="80" t="n"/>
      <c r="E18" s="80" t="n"/>
      <c r="F18" s="80" t="n"/>
      <c r="G18" s="80" t="n"/>
      <c r="H18" s="39" t="n"/>
      <c r="I18" s="39" t="n"/>
      <c r="J18" s="39" t="n"/>
      <c r="K18" s="39" t="n"/>
      <c r="L18" s="39" t="n"/>
    </row>
    <row r="19">
      <c r="A19" s="39" t="n"/>
      <c r="B19" s="123" t="inlineStr">
        <is>
          <t>D3</t>
        </is>
      </c>
      <c r="C19" s="80" t="n"/>
      <c r="D19" s="80" t="n"/>
      <c r="E19" s="80" t="n"/>
      <c r="F19" s="80" t="n"/>
      <c r="G19" s="80" t="n"/>
      <c r="H19" s="39" t="n"/>
      <c r="I19" s="39" t="n"/>
      <c r="J19" s="39" t="n"/>
      <c r="K19" s="39" t="n"/>
      <c r="L19" s="39" t="n"/>
    </row>
    <row r="20">
      <c r="A20" s="39" t="n"/>
      <c r="B20" s="123" t="inlineStr">
        <is>
          <t>D4</t>
        </is>
      </c>
      <c r="C20" s="80" t="n"/>
      <c r="D20" s="80" t="n"/>
      <c r="E20" s="80" t="n"/>
      <c r="F20" s="80" t="n"/>
      <c r="G20" s="80" t="n"/>
      <c r="H20" s="39" t="n"/>
      <c r="I20" s="39" t="n"/>
      <c r="J20" s="39" t="n"/>
      <c r="K20" s="39" t="n"/>
      <c r="L20" s="39" t="n"/>
    </row>
    <row r="21">
      <c r="A21" s="39" t="n"/>
      <c r="B21" s="123" t="inlineStr">
        <is>
          <t>D5</t>
        </is>
      </c>
      <c r="C21" s="80" t="n"/>
      <c r="D21" s="80" t="n"/>
      <c r="E21" s="80" t="n"/>
      <c r="F21" s="80" t="n"/>
      <c r="G21" s="80" t="n"/>
      <c r="H21" s="39" t="n"/>
      <c r="I21" s="39" t="n"/>
      <c r="J21" s="39" t="n"/>
      <c r="K21" s="39" t="n"/>
      <c r="L21" s="39" t="n"/>
    </row>
    <row r="22">
      <c r="A22" s="39" t="n"/>
      <c r="B22" s="39" t="n"/>
      <c r="C22" s="39" t="n"/>
      <c r="D22" s="39" t="n"/>
      <c r="E22" s="39" t="n"/>
      <c r="F22" s="39" t="n"/>
      <c r="G22" s="39" t="n"/>
      <c r="H22" s="39" t="n"/>
      <c r="I22" s="39" t="n"/>
      <c r="J22" s="39" t="n"/>
      <c r="K22" s="39" t="n"/>
      <c r="L22" s="39" t="n"/>
    </row>
    <row r="23">
      <c r="A23" s="39" t="n"/>
      <c r="B23" s="89" t="inlineStr">
        <is>
          <t>Copy This Block Into Work Register</t>
        </is>
      </c>
      <c r="C23" s="39" t="n"/>
      <c r="D23" s="39" t="n"/>
      <c r="E23" s="39" t="n"/>
      <c r="F23" s="39" t="n"/>
      <c r="G23" s="39" t="n"/>
      <c r="H23" s="39" t="n"/>
      <c r="I23" s="39" t="n"/>
      <c r="J23" s="39" t="n"/>
      <c r="K23" s="39" t="n"/>
      <c r="L23" s="39" t="n"/>
    </row>
    <row r="24">
      <c r="A24" s="39" t="n"/>
      <c r="B24" s="83" t="inlineStr">
        <is>
          <t>Select A26:K30, copy, then paste into the first empty row of Work Register (starting at column A). Rows for Deliverables you didn't fill in will paste blank — delete them after pasting. Fill in Owner and Notes (columns J and K) either before or after pasting.</t>
        </is>
      </c>
      <c r="L24" s="39" t="n"/>
    </row>
    <row r="25">
      <c r="A25" s="74" t="inlineStr">
        <is>
          <t>Mission</t>
        </is>
      </c>
      <c r="B25" s="74" t="inlineStr">
        <is>
          <t>Deliverable</t>
        </is>
      </c>
      <c r="C25" s="74" t="inlineStr">
        <is>
          <t>Component</t>
        </is>
      </c>
      <c r="D25" s="74" t="inlineStr">
        <is>
          <t>Task</t>
        </is>
      </c>
      <c r="E25" s="74" t="inlineStr">
        <is>
          <t>Status</t>
        </is>
      </c>
      <c r="F25" s="74" t="inlineStr">
        <is>
          <t>Priority</t>
        </is>
      </c>
      <c r="G25" s="74" t="inlineStr">
        <is>
          <t>Energy</t>
        </is>
      </c>
      <c r="H25" s="74" t="inlineStr">
        <is>
          <t>Estimated Time</t>
        </is>
      </c>
      <c r="I25" s="74" t="inlineStr">
        <is>
          <t>Due Date</t>
        </is>
      </c>
      <c r="J25" s="74" t="inlineStr">
        <is>
          <t>Owner</t>
        </is>
      </c>
      <c r="K25" s="74" t="inlineStr">
        <is>
          <t>Notes</t>
        </is>
      </c>
      <c r="L25" s="39" t="n"/>
    </row>
    <row r="26">
      <c r="A26" s="95">
        <f>IF($C$17="","",$C$5)</f>
        <v/>
      </c>
      <c r="B26" s="95">
        <f>IF($C$17="","",$C$17)</f>
        <v/>
      </c>
      <c r="C26" s="95">
        <f>IF($C$17="","",$D$17)</f>
        <v/>
      </c>
      <c r="D26" s="95">
        <f>IF($C$17="","",$E$17)</f>
        <v/>
      </c>
      <c r="E26" s="96">
        <f>IF($C$17="","",$C$10)</f>
        <v/>
      </c>
      <c r="F26" s="96">
        <f>IF($C$17="","",$C$8)</f>
        <v/>
      </c>
      <c r="G26" s="96">
        <f>IF($C$17="","",$F$17)</f>
        <v/>
      </c>
      <c r="H26" s="96">
        <f>IF($C$17="","",$G$17)</f>
        <v/>
      </c>
      <c r="I26" s="96">
        <f>IF($C$17="","",$C$9)</f>
        <v/>
      </c>
      <c r="J26" s="124" t="n"/>
      <c r="K26" s="78" t="n"/>
      <c r="L26" s="39" t="n"/>
    </row>
    <row r="27">
      <c r="A27" s="95">
        <f>IF($C$18="","",$C$5)</f>
        <v/>
      </c>
      <c r="B27" s="95">
        <f>IF($C$18="","",$C$18)</f>
        <v/>
      </c>
      <c r="C27" s="95">
        <f>IF($C$18="","",$D$18)</f>
        <v/>
      </c>
      <c r="D27" s="95">
        <f>IF($C$18="","",$E$18)</f>
        <v/>
      </c>
      <c r="E27" s="96">
        <f>IF($C$18="","",$C$10)</f>
        <v/>
      </c>
      <c r="F27" s="96">
        <f>IF($C$18="","",$C$8)</f>
        <v/>
      </c>
      <c r="G27" s="96">
        <f>IF($C$18="","",$F$18)</f>
        <v/>
      </c>
      <c r="H27" s="96">
        <f>IF($C$18="","",$G$18)</f>
        <v/>
      </c>
      <c r="I27" s="96">
        <f>IF($C$18="","",$C$9)</f>
        <v/>
      </c>
      <c r="J27" s="124" t="n"/>
      <c r="K27" s="78" t="n"/>
      <c r="L27" s="39" t="n"/>
    </row>
    <row r="28">
      <c r="A28" s="95">
        <f>IF($C$19="","",$C$5)</f>
        <v/>
      </c>
      <c r="B28" s="95">
        <f>IF($C$19="","",$C$19)</f>
        <v/>
      </c>
      <c r="C28" s="95">
        <f>IF($C$19="","",$D$19)</f>
        <v/>
      </c>
      <c r="D28" s="95">
        <f>IF($C$19="","",$E$19)</f>
        <v/>
      </c>
      <c r="E28" s="96">
        <f>IF($C$19="","",$C$10)</f>
        <v/>
      </c>
      <c r="F28" s="96">
        <f>IF($C$19="","",$C$8)</f>
        <v/>
      </c>
      <c r="G28" s="96">
        <f>IF($C$19="","",$F$19)</f>
        <v/>
      </c>
      <c r="H28" s="96">
        <f>IF($C$19="","",$G$19)</f>
        <v/>
      </c>
      <c r="I28" s="96">
        <f>IF($C$19="","",$C$9)</f>
        <v/>
      </c>
      <c r="J28" s="124" t="n"/>
      <c r="K28" s="78" t="n"/>
      <c r="L28" s="39" t="n"/>
    </row>
    <row r="29">
      <c r="A29" s="95">
        <f>IF($C$20="","",$C$5)</f>
        <v/>
      </c>
      <c r="B29" s="95">
        <f>IF($C$20="","",$C$20)</f>
        <v/>
      </c>
      <c r="C29" s="95">
        <f>IF($C$20="","",$D$20)</f>
        <v/>
      </c>
      <c r="D29" s="95">
        <f>IF($C$20="","",$E$20)</f>
        <v/>
      </c>
      <c r="E29" s="96">
        <f>IF($C$20="","",$C$10)</f>
        <v/>
      </c>
      <c r="F29" s="96">
        <f>IF($C$20="","",$C$8)</f>
        <v/>
      </c>
      <c r="G29" s="96">
        <f>IF($C$20="","",$F$20)</f>
        <v/>
      </c>
      <c r="H29" s="96">
        <f>IF($C$20="","",$G$20)</f>
        <v/>
      </c>
      <c r="I29" s="96">
        <f>IF($C$20="","",$C$9)</f>
        <v/>
      </c>
      <c r="J29" s="124" t="n"/>
      <c r="K29" s="78" t="n"/>
      <c r="L29" s="39" t="n"/>
    </row>
    <row r="30">
      <c r="A30" s="95">
        <f>IF($C$21="","",$C$5)</f>
        <v/>
      </c>
      <c r="B30" s="95">
        <f>IF($C$21="","",$C$21)</f>
        <v/>
      </c>
      <c r="C30" s="95">
        <f>IF($C$21="","",$D$21)</f>
        <v/>
      </c>
      <c r="D30" s="95">
        <f>IF($C$21="","",$E$21)</f>
        <v/>
      </c>
      <c r="E30" s="96">
        <f>IF($C$21="","",$C$10)</f>
        <v/>
      </c>
      <c r="F30" s="96">
        <f>IF($C$21="","",$C$8)</f>
        <v/>
      </c>
      <c r="G30" s="96">
        <f>IF($C$21="","",$F$21)</f>
        <v/>
      </c>
      <c r="H30" s="96">
        <f>IF($C$21="","",$G$21)</f>
        <v/>
      </c>
      <c r="I30" s="96">
        <f>IF($C$21="","",$C$9)</f>
        <v/>
      </c>
      <c r="J30" s="124" t="n"/>
      <c r="K30" s="78" t="n"/>
      <c r="L30" s="39" t="n"/>
    </row>
    <row r="31">
      <c r="A31" s="39" t="n"/>
      <c r="B31" s="39" t="n"/>
      <c r="C31" s="39" t="n"/>
      <c r="D31" s="39" t="n"/>
      <c r="E31" s="39" t="n"/>
      <c r="F31" s="39" t="n"/>
      <c r="G31" s="39" t="n"/>
      <c r="H31" s="39" t="n"/>
      <c r="I31" s="39" t="n"/>
      <c r="J31" s="39" t="n"/>
      <c r="K31" s="39" t="n"/>
      <c r="L31" s="39" t="n"/>
    </row>
    <row r="32">
      <c r="A32" s="39" t="n"/>
      <c r="B32" s="82" t="inlineStr">
        <is>
          <t>How this works:</t>
        </is>
      </c>
      <c r="C32" s="39" t="n"/>
      <c r="D32" s="39" t="n"/>
      <c r="E32" s="39" t="n"/>
      <c r="F32" s="39" t="n"/>
      <c r="G32" s="39" t="n"/>
      <c r="H32" s="39" t="n"/>
      <c r="I32" s="39" t="n"/>
      <c r="J32" s="39" t="n"/>
      <c r="K32" s="39" t="n"/>
      <c r="L32" s="39" t="n"/>
    </row>
    <row r="33">
      <c r="A33" s="39" t="n"/>
      <c r="B33" s="83" t="inlineStr">
        <is>
          <t>This form does not automatically create records — Excel formulas can't write to another sheet</t>
        </is>
      </c>
      <c r="C33" s="39" t="n"/>
      <c r="D33" s="39" t="n"/>
      <c r="E33" s="39" t="n"/>
      <c r="F33" s="39" t="n"/>
      <c r="G33" s="39" t="n"/>
      <c r="H33" s="39" t="n"/>
      <c r="I33" s="39" t="n"/>
      <c r="J33" s="39" t="n"/>
      <c r="K33" s="39" t="n"/>
      <c r="L33" s="39" t="n"/>
    </row>
    <row r="34">
      <c r="A34" s="39" t="n"/>
      <c r="B34" s="83" t="inlineStr">
        <is>
          <t>on their own without VBA, which this workbook deliberately avoids for corporate compatibility.</t>
        </is>
      </c>
      <c r="C34" s="39" t="n"/>
      <c r="D34" s="39" t="n"/>
      <c r="E34" s="39" t="n"/>
      <c r="F34" s="39" t="n"/>
      <c r="G34" s="39" t="n"/>
      <c r="H34" s="39" t="n"/>
      <c r="I34" s="39" t="n"/>
      <c r="J34" s="39" t="n"/>
      <c r="K34" s="39" t="n"/>
      <c r="L34" s="39" t="n"/>
    </row>
    <row r="35">
      <c r="A35" s="39" t="n"/>
      <c r="B35" s="83" t="inlineStr">
        <is>
          <t>Fill in the Mission fields and up to 5 Deliverables above; the Readiness Check tells you when</t>
        </is>
      </c>
      <c r="C35" s="39" t="n"/>
      <c r="D35" s="39" t="n"/>
      <c r="E35" s="39" t="n"/>
      <c r="F35" s="39" t="n"/>
      <c r="G35" s="39" t="n"/>
      <c r="H35" s="39" t="n"/>
      <c r="I35" s="39" t="n"/>
      <c r="J35" s="39" t="n"/>
      <c r="K35" s="39" t="n"/>
      <c r="L35" s="39" t="n"/>
    </row>
    <row r="36">
      <c r="B36" s="84" t="inlineStr">
        <is>
          <t>you're good to go. The block below auto-fills Mission/Status/Priority/Due Date for you, so you</t>
        </is>
      </c>
    </row>
    <row r="37">
      <c r="B37" s="84" t="inlineStr">
        <is>
          <t>only type each Deliverable's details once. Copy it into Work Register, done in one paste.</t>
        </is>
      </c>
    </row>
  </sheetData>
  <sheetProtection selectLockedCells="0" selectUnlockedCells="0" sheet="1" objects="0" insertRows="1" insertHyperlinks="1" autoFilter="1" scenarios="0" formatColumns="1" deleteColumns="1" insertColumns="1" pivotTables="1" deleteRows="1" formatCells="1" formatRows="1" sort="1"/>
  <mergeCells count="2">
    <mergeCell ref="B13:F13"/>
    <mergeCell ref="B24:K24"/>
  </mergeCells>
  <dataValidations count="4">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 sqref="F17 F18 F19 F20 F21" showDropDown="0" showInputMessage="0" showErrorMessage="0" allowBlank="1" type="list">
      <formula1>EnergyList</formula1>
    </dataValidation>
    <dataValidation sqref="G17 G18 G19 G20 G21" showDropDown="0" showInputMessage="0" showErrorMessage="0" allowBlank="1" type="list">
      <formula1>TimeList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4" customWidth="1" min="12" max="12"/>
    <col width="10" customWidth="1" min="13" max="13"/>
    <col width="9" customWidth="1" min="14" max="14"/>
    <col width="34" customWidth="1" min="15" max="15"/>
    <col width="12" customWidth="1" min="16" max="16"/>
  </cols>
  <sheetData>
    <row r="1">
      <c r="A1" s="10" t="inlineStr">
        <is>
          <t>Work Register</t>
        </is>
      </c>
    </row>
    <row r="2" ht="20" customHeight="1">
      <c r="A2" s="11" t="inlineStr">
        <is>
          <t>← Home</t>
        </is>
      </c>
    </row>
    <row r="3">
      <c r="H3" s="84">
        <f>COUNTIF($D$5:$D$500,"&lt;&gt;")&amp;" of 496 task rows used"</f>
        <v/>
      </c>
      <c r="L3" s="33" t="inlineStr">
        <is>
          <t>Columns L–P power the recommendation engine — formulas cover rows 5–500 (496 tasks). Safe to leave as-is.</t>
        </is>
      </c>
    </row>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c r="L4" s="16" t="inlineStr">
        <is>
          <t>Last Updated</t>
        </is>
      </c>
      <c r="M4" s="16" t="inlineStr">
        <is>
          <t>Minutes</t>
        </is>
      </c>
      <c r="N4" s="16" t="inlineStr">
        <is>
          <t>Score</t>
        </is>
      </c>
      <c r="O4" s="16" t="inlineStr">
        <is>
          <t>Reason</t>
        </is>
      </c>
      <c r="P4" s="16" t="inlineStr">
        <is>
          <t>Filter Match</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46243.24672175926</v>
      </c>
      <c r="J5" s="15" t="inlineStr">
        <is>
          <t>TJR</t>
        </is>
      </c>
      <c r="K5" s="15" t="inlineStr">
        <is>
          <t>Updated role mapping</t>
        </is>
      </c>
      <c r="L5" s="34" t="n">
        <v>46239.24672175926</v>
      </c>
      <c r="M5" s="5">
        <f>IF($D5="","",IFERROR(VLOOKUP($H5,Lists!$N$2:$O$6,2,FALSE),0))</f>
        <v/>
      </c>
      <c r="N5" s="5">
        <f>IF($D5="","",IF(OR($E5="Blocked",$E5="Done",$E5="Archive"),-9999,IF(AND($E5="Waiting",SUMPRODUCT((($E$5:$E$500="Next")+($E$5:$E$500="In Progress")+($E$5:$E$500="Captured"))*($D$5:$D$500&lt;&gt;""))&gt;0),-500,VLOOKUP($F5,Lists!$L$2:$M$4,2,FALSE)+IF($E5="In Progress",10,0)+IF(AND($I5&lt;&gt;"",$I5&lt;TODAY()),25,0)+IF(AND($I5&lt;&gt;"",$I5&gt;=TODAY(),$I5&lt;=TODAY()+7),15,0)+IF($M5&lt;=VLOOKUP(Home!$C$7,Lists!$N$2:$O$6,2,FALSE),20,-10)+IF($G5=Home!$E$7,15,IF(Home!$E$7="",0,-5))-ROW()/100000)))</f>
        <v/>
      </c>
      <c r="O5" s="5">
        <f>IF($D5="","",IF($N5&lt;=-500,"Not recommended right now",IF($E5="Waiting","Nothing else actionable right now — Waiting on: "&amp;IF($K5="","this item",$K5),TEXTJOIN(" • ",TRUE,IF($F5="High","High Priority",""),IF(AND($I5&lt;&gt;"",$I5&lt;TODAY()),"Overdue",""),IF(AND($I5&lt;&gt;"",$I5&gt;=TODAY(),$I5&lt;=TODAY()+7),"Due This Week",""),IF($M5&lt;=VLOOKUP(Home!$C$7,Lists!$N$2:$O$6,2,FALSE),$H5&amp;" Task",""),IF($G5=Home!$E$7,"Fits Current Energy",""),"No Blockers"))))</f>
        <v/>
      </c>
      <c r="P5" s="5">
        <f>IF($D5="","",SWITCH('Task Finder'!$C$6,"High Priority",AND($F5="High",$E5&lt;&gt;"Done",$E5&lt;&gt;"Archive"),"Due This Week",AND($I5&lt;&gt;"",$I5&gt;=TODAY(),$I5&lt;=TODAY()+7,$E5&lt;&gt;"Done"),"Quick Wins (15 mins or less)",AND($M5&lt;=15,$E5&lt;&gt;"Done",$E5&lt;&gt;"Blocked"),"Deep Thinking",AND($G5="Deep Thinking",$E5&lt;&gt;"Done"),"Processing",AND($G5="Processing",$E5&lt;&gt;"Done"),"Blocked",$E5="Blocked","Waiting",$E5="Waiting","Recently Updated",AND($L5&lt;&gt;"",$L5&gt;=TODAY()-7),"Keyword",AND('Task Finder'!$C$7&lt;&gt;"",OR(ISNUMBER(SEARCH('Task Finder'!$C$7,$A5)),ISNUMBER(SEARCH('Task Finder'!$C$7,$B5)),ISNUMBER(SEARCH('Task Finder'!$C$7,$C5)),ISNUMBER(SEARCH('Task Finder'!$C$7,$D5)),ISNUMBER(SEARCH('Task Finder'!$C$7,$K5)))),TRUE))</f>
        <v/>
      </c>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46252.24672175926</v>
      </c>
      <c r="J6" s="15" t="inlineStr">
        <is>
          <t>TJR</t>
        </is>
      </c>
      <c r="K6" s="15" t="inlineStr">
        <is>
          <t>Awaiting feedback</t>
        </is>
      </c>
      <c r="L6" s="34" t="n">
        <v>46234.24672175926</v>
      </c>
      <c r="M6" s="5">
        <f>IF($D6="","",IFERROR(VLOOKUP($H6,Lists!$N$2:$O$6,2,FALSE),0))</f>
        <v/>
      </c>
      <c r="N6" s="5">
        <f>IF($D6="","",IF(OR($E6="Blocked",$E6="Done",$E6="Archive"),-9999,IF(AND($E6="Waiting",SUMPRODUCT((($E$5:$E$500="Next")+($E$5:$E$500="In Progress")+($E$5:$E$500="Captured"))*($D$5:$D$500&lt;&gt;""))&gt;0),-500,VLOOKUP($F6,Lists!$L$2:$M$4,2,FALSE)+IF($E6="In Progress",10,0)+IF(AND($I6&lt;&gt;"",$I6&lt;TODAY()),25,0)+IF(AND($I6&lt;&gt;"",$I6&gt;=TODAY(),$I6&lt;=TODAY()+7),15,0)+IF($M6&lt;=VLOOKUP(Home!$C$7,Lists!$N$2:$O$6,2,FALSE),20,-10)+IF($G6=Home!$E$7,15,IF(Home!$E$7="",0,-5))-ROW()/100000)))</f>
        <v/>
      </c>
      <c r="O6" s="5">
        <f>IF($D6="","",IF($N6&lt;=-500,"Not recommended right now",IF($E6="Waiting","Nothing else actionable right now — Waiting on: "&amp;IF($K6="","this item",$K6),TEXTJOIN(" • ",TRUE,IF($F6="High","High Priority",""),IF(AND($I6&lt;&gt;"",$I6&lt;TODAY()),"Overdue",""),IF(AND($I6&lt;&gt;"",$I6&gt;=TODAY(),$I6&lt;=TODAY()+7),"Due This Week",""),IF($M6&lt;=VLOOKUP(Home!$C$7,Lists!$N$2:$O$6,2,FALSE),$H6&amp;" Task",""),IF($G6=Home!$E$7,"Fits Current Energy",""),"No Blockers"))))</f>
        <v/>
      </c>
      <c r="P6" s="5">
        <f>IF($D6="","",SWITCH('Task Finder'!$C$6,"High Priority",AND($F6="High",$E6&lt;&gt;"Done",$E6&lt;&gt;"Archive"),"Due This Week",AND($I6&lt;&gt;"",$I6&gt;=TODAY(),$I6&lt;=TODAY()+7,$E6&lt;&gt;"Done"),"Quick Wins (15 mins or less)",AND($M6&lt;=15,$E6&lt;&gt;"Done",$E6&lt;&gt;"Blocked"),"Deep Thinking",AND($G6="Deep Thinking",$E6&lt;&gt;"Done"),"Processing",AND($G6="Processing",$E6&lt;&gt;"Done"),"Blocked",$E6="Blocked","Waiting",$E6="Waiting","Recently Updated",AND($L6&lt;&gt;"",$L6&gt;=TODAY()-7),"Keyword",AND('Task Finder'!$C$7&lt;&gt;"",OR(ISNUMBER(SEARCH('Task Finder'!$C$7,$A6)),ISNUMBER(SEARCH('Task Finder'!$C$7,$B6)),ISNUMBER(SEARCH('Task Finder'!$C$7,$C6)),ISNUMBER(SEARCH('Task Finder'!$C$7,$D6)),ISNUMBER(SEARCH('Task Finder'!$C$7,$K6)))),TRUE))</f>
        <v/>
      </c>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46238.24672175926</v>
      </c>
      <c r="J7" s="15" t="inlineStr">
        <is>
          <t>TJR</t>
        </is>
      </c>
      <c r="K7" s="15" t="inlineStr">
        <is>
          <t>Initial outline needed</t>
        </is>
      </c>
      <c r="L7" s="34" t="n">
        <v>46224.24672175926</v>
      </c>
      <c r="M7" s="5">
        <f>IF($D7="","",IFERROR(VLOOKUP($H7,Lists!$N$2:$O$6,2,FALSE),0))</f>
        <v/>
      </c>
      <c r="N7" s="5">
        <f>IF($D7="","",IF(OR($E7="Blocked",$E7="Done",$E7="Archive"),-9999,IF(AND($E7="Waiting",SUMPRODUCT((($E$5:$E$500="Next")+($E$5:$E$500="In Progress")+($E$5:$E$500="Captured"))*($D$5:$D$500&lt;&gt;""))&gt;0),-500,VLOOKUP($F7,Lists!$L$2:$M$4,2,FALSE)+IF($E7="In Progress",10,0)+IF(AND($I7&lt;&gt;"",$I7&lt;TODAY()),25,0)+IF(AND($I7&lt;&gt;"",$I7&gt;=TODAY(),$I7&lt;=TODAY()+7),15,0)+IF($M7&lt;=VLOOKUP(Home!$C$7,Lists!$N$2:$O$6,2,FALSE),20,-10)+IF($G7=Home!$E$7,15,IF(Home!$E$7="",0,-5))-ROW()/100000)))</f>
        <v/>
      </c>
      <c r="O7" s="5">
        <f>IF($D7="","",IF($N7&lt;=-500,"Not recommended right now",IF($E7="Waiting","Nothing else actionable right now — Waiting on: "&amp;IF($K7="","this item",$K7),TEXTJOIN(" • ",TRUE,IF($F7="High","High Priority",""),IF(AND($I7&lt;&gt;"",$I7&lt;TODAY()),"Overdue",""),IF(AND($I7&lt;&gt;"",$I7&gt;=TODAY(),$I7&lt;=TODAY()+7),"Due This Week",""),IF($M7&lt;=VLOOKUP(Home!$C$7,Lists!$N$2:$O$6,2,FALSE),$H7&amp;" Task",""),IF($G7=Home!$E$7,"Fits Current Energy",""),"No Blockers"))))</f>
        <v/>
      </c>
      <c r="P7" s="5">
        <f>IF($D7="","",SWITCH('Task Finder'!$C$6,"High Priority",AND($F7="High",$E7&lt;&gt;"Done",$E7&lt;&gt;"Archive"),"Due This Week",AND($I7&lt;&gt;"",$I7&gt;=TODAY(),$I7&lt;=TODAY()+7,$E7&lt;&gt;"Done"),"Quick Wins (15 mins or less)",AND($M7&lt;=15,$E7&lt;&gt;"Done",$E7&lt;&gt;"Blocked"),"Deep Thinking",AND($G7="Deep Thinking",$E7&lt;&gt;"Done"),"Processing",AND($G7="Processing",$E7&lt;&gt;"Done"),"Blocked",$E7="Blocked","Waiting",$E7="Waiting","Recently Updated",AND($L7&lt;&gt;"",$L7&gt;=TODAY()-7),"Keyword",AND('Task Finder'!$C$7&lt;&gt;"",OR(ISNUMBER(SEARCH('Task Finder'!$C$7,$A7)),ISNUMBER(SEARCH('Task Finder'!$C$7,$B7)),ISNUMBER(SEARCH('Task Finder'!$C$7,$C7)),ISNUMBER(SEARCH('Task Finder'!$C$7,$D7)),ISNUMBER(SEARCH('Task Finder'!$C$7,$K7)))),TRUE))</f>
        <v/>
      </c>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46241.24672175926</v>
      </c>
      <c r="J8" s="15" t="inlineStr">
        <is>
          <t>TJR</t>
        </is>
      </c>
      <c r="K8" s="15" t="inlineStr">
        <is>
          <t>Final review pending</t>
        </is>
      </c>
      <c r="L8" s="34" t="n">
        <v>46238.24672175926</v>
      </c>
      <c r="M8" s="5">
        <f>IF($D8="","",IFERROR(VLOOKUP($H8,Lists!$N$2:$O$6,2,FALSE),0))</f>
        <v/>
      </c>
      <c r="N8" s="5">
        <f>IF($D8="","",IF(OR($E8="Blocked",$E8="Done",$E8="Archive"),-9999,IF(AND($E8="Waiting",SUMPRODUCT((($E$5:$E$500="Next")+($E$5:$E$500="In Progress")+($E$5:$E$500="Captured"))*($D$5:$D$500&lt;&gt;""))&gt;0),-500,VLOOKUP($F8,Lists!$L$2:$M$4,2,FALSE)+IF($E8="In Progress",10,0)+IF(AND($I8&lt;&gt;"",$I8&lt;TODAY()),25,0)+IF(AND($I8&lt;&gt;"",$I8&gt;=TODAY(),$I8&lt;=TODAY()+7),15,0)+IF($M8&lt;=VLOOKUP(Home!$C$7,Lists!$N$2:$O$6,2,FALSE),20,-10)+IF($G8=Home!$E$7,15,IF(Home!$E$7="",0,-5))-ROW()/100000)))</f>
        <v/>
      </c>
      <c r="O8" s="5">
        <f>IF($D8="","",IF($N8&lt;=-500,"Not recommended right now",IF($E8="Waiting","Nothing else actionable right now — Waiting on: "&amp;IF($K8="","this item",$K8),TEXTJOIN(" • ",TRUE,IF($F8="High","High Priority",""),IF(AND($I8&lt;&gt;"",$I8&lt;TODAY()),"Overdue",""),IF(AND($I8&lt;&gt;"",$I8&gt;=TODAY(),$I8&lt;=TODAY()+7),"Due This Week",""),IF($M8&lt;=VLOOKUP(Home!$C$7,Lists!$N$2:$O$6,2,FALSE),$H8&amp;" Task",""),IF($G8=Home!$E$7,"Fits Current Energy",""),"No Blockers"))))</f>
        <v/>
      </c>
      <c r="P8" s="5">
        <f>IF($D8="","",SWITCH('Task Finder'!$C$6,"High Priority",AND($F8="High",$E8&lt;&gt;"Done",$E8&lt;&gt;"Archive"),"Due This Week",AND($I8&lt;&gt;"",$I8&gt;=TODAY(),$I8&lt;=TODAY()+7,$E8&lt;&gt;"Done"),"Quick Wins (15 mins or less)",AND($M8&lt;=15,$E8&lt;&gt;"Done",$E8&lt;&gt;"Blocked"),"Deep Thinking",AND($G8="Deep Thinking",$E8&lt;&gt;"Done"),"Processing",AND($G8="Processing",$E8&lt;&gt;"Done"),"Blocked",$E8="Blocked","Waiting",$E8="Waiting","Recently Updated",AND($L8&lt;&gt;"",$L8&gt;=TODAY()-7),"Keyword",AND('Task Finder'!$C$7&lt;&gt;"",OR(ISNUMBER(SEARCH('Task Finder'!$C$7,$A8)),ISNUMBER(SEARCH('Task Finder'!$C$7,$B8)),ISNUMBER(SEARCH('Task Finder'!$C$7,$C8)),ISNUMBER(SEARCH('Task Finder'!$C$7,$D8)),ISNUMBER(SEARCH('Task Finder'!$C$7,$K8)))),TRUE))</f>
        <v/>
      </c>
    </row>
    <row r="9">
      <c r="A9" s="15" t="inlineStr">
        <is>
          <t>Operational Resilience Framework</t>
        </is>
      </c>
      <c r="B9" s="15" t="inlineStr">
        <is>
          <t>Framework</t>
        </is>
      </c>
      <c r="C9" s="15" t="inlineStr">
        <is>
          <t>Role Cards</t>
        </is>
      </c>
      <c r="D9" s="15" t="inlineStr">
        <is>
          <t>Send Role Card for Sign-off</t>
        </is>
      </c>
      <c r="E9" s="17" t="inlineStr">
        <is>
          <t>Waiting</t>
        </is>
      </c>
      <c r="F9" s="17" t="inlineStr">
        <is>
          <t>Medium</t>
        </is>
      </c>
      <c r="G9" s="17" t="inlineStr">
        <is>
          <t>Admin</t>
        </is>
      </c>
      <c r="H9" s="17" t="inlineStr">
        <is>
          <t>15 mins</t>
        </is>
      </c>
      <c r="I9" s="18" t="n">
        <v>46245.24672175926</v>
      </c>
      <c r="J9" s="15" t="inlineStr">
        <is>
          <t>TJR</t>
        </is>
      </c>
      <c r="K9" s="15" t="inlineStr">
        <is>
          <t>Awaiting sponsor sign-off</t>
        </is>
      </c>
      <c r="L9" s="34" t="n">
        <v>46237.24672175926</v>
      </c>
      <c r="M9" s="5">
        <f>IF($D9="","",IFERROR(VLOOKUP($H9,Lists!$N$2:$O$6,2,FALSE),0))</f>
        <v/>
      </c>
      <c r="N9" s="5">
        <f>IF($D9="","",IF(OR($E9="Blocked",$E9="Done",$E9="Archive"),-9999,IF(AND($E9="Waiting",SUMPRODUCT((($E$5:$E$500="Next")+($E$5:$E$500="In Progress")+($E$5:$E$500="Captured"))*($D$5:$D$500&lt;&gt;""))&gt;0),-500,VLOOKUP($F9,Lists!$L$2:$M$4,2,FALSE)+IF($E9="In Progress",10,0)+IF(AND($I9&lt;&gt;"",$I9&lt;TODAY()),25,0)+IF(AND($I9&lt;&gt;"",$I9&gt;=TODAY(),$I9&lt;=TODAY()+7),15,0)+IF($M9&lt;=VLOOKUP(Home!$C$7,Lists!$N$2:$O$6,2,FALSE),20,-10)+IF($G9=Home!$E$7,15,IF(Home!$E$7="",0,-5))-ROW()/100000)))</f>
        <v/>
      </c>
      <c r="O9" s="5">
        <f>IF($D9="","",IF($N9&lt;=-500,"Not recommended right now",IF($E9="Waiting","Nothing else actionable right now — Waiting on: "&amp;IF($K9="","this item",$K9),TEXTJOIN(" • ",TRUE,IF($F9="High","High Priority",""),IF(AND($I9&lt;&gt;"",$I9&lt;TODAY()),"Overdue",""),IF(AND($I9&lt;&gt;"",$I9&gt;=TODAY(),$I9&lt;=TODAY()+7),"Due This Week",""),IF($M9&lt;=VLOOKUP(Home!$C$7,Lists!$N$2:$O$6,2,FALSE),$H9&amp;" Task",""),IF($G9=Home!$E$7,"Fits Current Energy",""),"No Blockers"))))</f>
        <v/>
      </c>
      <c r="P9" s="5">
        <f>IF($D9="","",SWITCH('Task Finder'!$C$6,"High Priority",AND($F9="High",$E9&lt;&gt;"Done",$E9&lt;&gt;"Archive"),"Due This Week",AND($I9&lt;&gt;"",$I9&gt;=TODAY(),$I9&lt;=TODAY()+7,$E9&lt;&gt;"Done"),"Quick Wins (15 mins or less)",AND($M9&lt;=15,$E9&lt;&gt;"Done",$E9&lt;&gt;"Blocked"),"Deep Thinking",AND($G9="Deep Thinking",$E9&lt;&gt;"Done"),"Processing",AND($G9="Processing",$E9&lt;&gt;"Done"),"Blocked",$E9="Blocked","Waiting",$E9="Waiting","Recently Updated",AND($L9&lt;&gt;"",$L9&gt;=TODAY()-7),"Keyword",AND('Task Finder'!$C$7&lt;&gt;"",OR(ISNUMBER(SEARCH('Task Finder'!$C$7,$A9)),ISNUMBER(SEARCH('Task Finder'!$C$7,$B9)),ISNUMBER(SEARCH('Task Finder'!$C$7,$C9)),ISNUMBER(SEARCH('Task Finder'!$C$7,$D9)),ISNUMBER(SEARCH('Task Finder'!$C$7,$K9)))),TRUE))</f>
        <v/>
      </c>
    </row>
    <row r="10">
      <c r="A10" s="15" t="inlineStr">
        <is>
          <t>Operational Resilience Framework</t>
        </is>
      </c>
      <c r="B10" s="15" t="inlineStr">
        <is>
          <t>Exercises</t>
        </is>
      </c>
      <c r="C10" s="15" t="inlineStr">
        <is>
          <t>Training</t>
        </is>
      </c>
      <c r="D10" s="15" t="inlineStr">
        <is>
          <t>Confirm Venue Booking</t>
        </is>
      </c>
      <c r="E10" s="17" t="inlineStr">
        <is>
          <t>Blocked</t>
        </is>
      </c>
      <c r="F10" s="17" t="inlineStr">
        <is>
          <t>Medium</t>
        </is>
      </c>
      <c r="G10" s="17" t="inlineStr">
        <is>
          <t>Admin</t>
        </is>
      </c>
      <c r="H10" s="17" t="inlineStr">
        <is>
          <t>15 mins</t>
        </is>
      </c>
      <c r="I10" s="18" t="n">
        <v>46250.24672175926</v>
      </c>
      <c r="J10" s="15" t="inlineStr">
        <is>
          <t>TJR</t>
        </is>
      </c>
      <c r="K10" s="15" t="inlineStr">
        <is>
          <t>Blocked on facilities team</t>
        </is>
      </c>
      <c r="L10" s="34" t="n">
        <v>46231.24672175926</v>
      </c>
      <c r="M10" s="5">
        <f>IF($D10="","",IFERROR(VLOOKUP($H10,Lists!$N$2:$O$6,2,FALSE),0))</f>
        <v/>
      </c>
      <c r="N10" s="5">
        <f>IF($D10="","",IF(OR($E10="Blocked",$E10="Done",$E10="Archive"),-9999,IF(AND($E10="Waiting",SUMPRODUCT((($E$5:$E$500="Next")+($E$5:$E$500="In Progress")+($E$5:$E$500="Captured"))*($D$5:$D$500&lt;&gt;""))&gt;0),-500,VLOOKUP($F10,Lists!$L$2:$M$4,2,FALSE)+IF($E10="In Progress",10,0)+IF(AND($I10&lt;&gt;"",$I10&lt;TODAY()),25,0)+IF(AND($I10&lt;&gt;"",$I10&gt;=TODAY(),$I10&lt;=TODAY()+7),15,0)+IF($M10&lt;=VLOOKUP(Home!$C$7,Lists!$N$2:$O$6,2,FALSE),20,-10)+IF($G10=Home!$E$7,15,IF(Home!$E$7="",0,-5))-ROW()/100000)))</f>
        <v/>
      </c>
      <c r="O10" s="5">
        <f>IF($D10="","",IF($N10&lt;=-500,"Not recommended right now",IF($E10="Waiting","Nothing else actionable right now — Waiting on: "&amp;IF($K10="","this item",$K10),TEXTJOIN(" • ",TRUE,IF($F10="High","High Priority",""),IF(AND($I10&lt;&gt;"",$I10&lt;TODAY()),"Overdue",""),IF(AND($I10&lt;&gt;"",$I10&gt;=TODAY(),$I10&lt;=TODAY()+7),"Due This Week",""),IF($M10&lt;=VLOOKUP(Home!$C$7,Lists!$N$2:$O$6,2,FALSE),$H10&amp;" Task",""),IF($G10=Home!$E$7,"Fits Current Energy",""),"No Blockers"))))</f>
        <v/>
      </c>
      <c r="P10" s="5">
        <f>IF($D10="","",SWITCH('Task Finder'!$C$6,"High Priority",AND($F10="High",$E10&lt;&gt;"Done",$E10&lt;&gt;"Archive"),"Due This Week",AND($I10&lt;&gt;"",$I10&gt;=TODAY(),$I10&lt;=TODAY()+7,$E10&lt;&gt;"Done"),"Quick Wins (15 mins or less)",AND($M10&lt;=15,$E10&lt;&gt;"Done",$E10&lt;&gt;"Blocked"),"Deep Thinking",AND($G10="Deep Thinking",$E10&lt;&gt;"Done"),"Processing",AND($G10="Processing",$E10&lt;&gt;"Done"),"Blocked",$E10="Blocked","Waiting",$E10="Waiting","Recently Updated",AND($L10&lt;&gt;"",$L10&gt;=TODAY()-7),"Keyword",AND('Task Finder'!$C$7&lt;&gt;"",OR(ISNUMBER(SEARCH('Task Finder'!$C$7,$A10)),ISNUMBER(SEARCH('Task Finder'!$C$7,$B10)),ISNUMBER(SEARCH('Task Finder'!$C$7,$C10)),ISNUMBER(SEARCH('Task Finder'!$C$7,$D10)),ISNUMBER(SEARCH('Task Finder'!$C$7,$K10)))),TRUE))</f>
        <v/>
      </c>
    </row>
    <row r="11">
      <c r="A11" s="15" t="inlineStr">
        <is>
          <t>Operational Resilience Framework</t>
        </is>
      </c>
      <c r="B11" s="15" t="inlineStr">
        <is>
          <t>Framework</t>
        </is>
      </c>
      <c r="C11" s="15" t="inlineStr">
        <is>
          <t>Governance</t>
        </is>
      </c>
      <c r="D11" s="15" t="inlineStr">
        <is>
          <t>Tidy Reference List</t>
        </is>
      </c>
      <c r="E11" s="17" t="inlineStr">
        <is>
          <t>Next</t>
        </is>
      </c>
      <c r="F11" s="17" t="inlineStr">
        <is>
          <t>Low</t>
        </is>
      </c>
      <c r="G11" s="17" t="inlineStr">
        <is>
          <t>Admin</t>
        </is>
      </c>
      <c r="H11" s="17" t="inlineStr">
        <is>
          <t>5 mins</t>
        </is>
      </c>
      <c r="I11" s="15" t="inlineStr"/>
      <c r="J11" s="15" t="inlineStr">
        <is>
          <t>TJR</t>
        </is>
      </c>
      <c r="K11" s="15" t="inlineStr"/>
      <c r="L11" s="34" t="n">
        <v>46239.24672175926</v>
      </c>
      <c r="M11" s="5">
        <f>IF($D11="","",IFERROR(VLOOKUP($H11,Lists!$N$2:$O$6,2,FALSE),0))</f>
        <v/>
      </c>
      <c r="N11" s="5">
        <f>IF($D11="","",IF(OR($E11="Blocked",$E11="Done",$E11="Archive"),-9999,IF(AND($E11="Waiting",SUMPRODUCT((($E$5:$E$500="Next")+($E$5:$E$500="In Progress")+($E$5:$E$500="Captured"))*($D$5:$D$500&lt;&gt;""))&gt;0),-500,VLOOKUP($F11,Lists!$L$2:$M$4,2,FALSE)+IF($E11="In Progress",10,0)+IF(AND($I11&lt;&gt;"",$I11&lt;TODAY()),25,0)+IF(AND($I11&lt;&gt;"",$I11&gt;=TODAY(),$I11&lt;=TODAY()+7),15,0)+IF($M11&lt;=VLOOKUP(Home!$C$7,Lists!$N$2:$O$6,2,FALSE),20,-10)+IF($G11=Home!$E$7,15,IF(Home!$E$7="",0,-5))-ROW()/100000)))</f>
        <v/>
      </c>
      <c r="O11" s="5">
        <f>IF($D11="","",IF($N11&lt;=-500,"Not recommended right now",IF($E11="Waiting","Nothing else actionable right now — Waiting on: "&amp;IF($K11="","this item",$K11),TEXTJOIN(" • ",TRUE,IF($F11="High","High Priority",""),IF(AND($I11&lt;&gt;"",$I11&lt;TODAY()),"Overdue",""),IF(AND($I11&lt;&gt;"",$I11&gt;=TODAY(),$I11&lt;=TODAY()+7),"Due This Week",""),IF($M11&lt;=VLOOKUP(Home!$C$7,Lists!$N$2:$O$6,2,FALSE),$H11&amp;" Task",""),IF($G11=Home!$E$7,"Fits Current Energy",""),"No Blockers"))))</f>
        <v/>
      </c>
      <c r="P11" s="5">
        <f>IF($D11="","",SWITCH('Task Finder'!$C$6,"High Priority",AND($F11="High",$E11&lt;&gt;"Done",$E11&lt;&gt;"Archive"),"Due This Week",AND($I11&lt;&gt;"",$I11&gt;=TODAY(),$I11&lt;=TODAY()+7,$E11&lt;&gt;"Done"),"Quick Wins (15 mins or less)",AND($M11&lt;=15,$E11&lt;&gt;"Done",$E11&lt;&gt;"Blocked"),"Deep Thinking",AND($G11="Deep Thinking",$E11&lt;&gt;"Done"),"Processing",AND($G11="Processing",$E11&lt;&gt;"Done"),"Blocked",$E11="Blocked","Waiting",$E11="Waiting","Recently Updated",AND($L11&lt;&gt;"",$L11&gt;=TODAY()-7),"Keyword",AND('Task Finder'!$C$7&lt;&gt;"",OR(ISNUMBER(SEARCH('Task Finder'!$C$7,$A11)),ISNUMBER(SEARCH('Task Finder'!$C$7,$B11)),ISNUMBER(SEARCH('Task Finder'!$C$7,$C11)),ISNUMBER(SEARCH('Task Finder'!$C$7,$D11)),ISNUMBER(SEARCH('Task Finder'!$C$7,$K11)))),TRUE))</f>
        <v/>
      </c>
    </row>
    <row r="12">
      <c r="A12" s="15" t="inlineStr">
        <is>
          <t>Client Onboarding Playbook</t>
        </is>
      </c>
      <c r="B12" s="15" t="inlineStr">
        <is>
          <t>Playbook</t>
        </is>
      </c>
      <c r="C12" s="15" t="inlineStr">
        <is>
          <t>Welcome Kit</t>
        </is>
      </c>
      <c r="D12" s="15" t="inlineStr">
        <is>
          <t>Draft Welcome Email Template</t>
        </is>
      </c>
      <c r="E12" s="17" t="inlineStr">
        <is>
          <t>In Progress</t>
        </is>
      </c>
      <c r="F12" s="17" t="inlineStr">
        <is>
          <t>High</t>
        </is>
      </c>
      <c r="G12" s="17" t="inlineStr">
        <is>
          <t>Processing</t>
        </is>
      </c>
      <c r="H12" s="17" t="inlineStr">
        <is>
          <t>30 mins</t>
        </is>
      </c>
      <c r="I12" s="18" t="n">
        <v>46242.24672175926</v>
      </c>
      <c r="J12" s="15" t="inlineStr">
        <is>
          <t>TJR</t>
        </is>
      </c>
      <c r="K12" s="15" t="inlineStr">
        <is>
          <t>First draft underway</t>
        </is>
      </c>
      <c r="L12" s="34" t="n">
        <v>46240.24672175926</v>
      </c>
      <c r="M12" s="5">
        <f>IF($D12="","",IFERROR(VLOOKUP($H12,Lists!$N$2:$O$6,2,FALSE),0))</f>
        <v/>
      </c>
      <c r="N12" s="5">
        <f>IF($D12="","",IF(OR($E12="Blocked",$E12="Done",$E12="Archive"),-9999,IF(AND($E12="Waiting",SUMPRODUCT((($E$5:$E$500="Next")+($E$5:$E$500="In Progress")+($E$5:$E$500="Captured"))*($D$5:$D$500&lt;&gt;""))&gt;0),-500,VLOOKUP($F12,Lists!$L$2:$M$4,2,FALSE)+IF($E12="In Progress",10,0)+IF(AND($I12&lt;&gt;"",$I12&lt;TODAY()),25,0)+IF(AND($I12&lt;&gt;"",$I12&gt;=TODAY(),$I12&lt;=TODAY()+7),15,0)+IF($M12&lt;=VLOOKUP(Home!$C$7,Lists!$N$2:$O$6,2,FALSE),20,-10)+IF($G12=Home!$E$7,15,IF(Home!$E$7="",0,-5))-ROW()/100000)))</f>
        <v/>
      </c>
      <c r="O12" s="5">
        <f>IF($D12="","",IF($N12&lt;=-500,"Not recommended right now",IF($E12="Waiting","Nothing else actionable right now — Waiting on: "&amp;IF($K12="","this item",$K12),TEXTJOIN(" • ",TRUE,IF($F12="High","High Priority",""),IF(AND($I12&lt;&gt;"",$I12&lt;TODAY()),"Overdue",""),IF(AND($I12&lt;&gt;"",$I12&gt;=TODAY(),$I12&lt;=TODAY()+7),"Due This Week",""),IF($M12&lt;=VLOOKUP(Home!$C$7,Lists!$N$2:$O$6,2,FALSE),$H12&amp;" Task",""),IF($G12=Home!$E$7,"Fits Current Energy",""),"No Blockers"))))</f>
        <v/>
      </c>
      <c r="P12" s="5">
        <f>IF($D12="","",SWITCH('Task Finder'!$C$6,"High Priority",AND($F12="High",$E12&lt;&gt;"Done",$E12&lt;&gt;"Archive"),"Due This Week",AND($I12&lt;&gt;"",$I12&gt;=TODAY(),$I12&lt;=TODAY()+7,$E12&lt;&gt;"Done"),"Quick Wins (15 mins or less)",AND($M12&lt;=15,$E12&lt;&gt;"Done",$E12&lt;&gt;"Blocked"),"Deep Thinking",AND($G12="Deep Thinking",$E12&lt;&gt;"Done"),"Processing",AND($G12="Processing",$E12&lt;&gt;"Done"),"Blocked",$E12="Blocked","Waiting",$E12="Waiting","Recently Updated",AND($L12&lt;&gt;"",$L12&gt;=TODAY()-7),"Keyword",AND('Task Finder'!$C$7&lt;&gt;"",OR(ISNUMBER(SEARCH('Task Finder'!$C$7,$A12)),ISNUMBER(SEARCH('Task Finder'!$C$7,$B12)),ISNUMBER(SEARCH('Task Finder'!$C$7,$C12)),ISNUMBER(SEARCH('Task Finder'!$C$7,$D12)),ISNUMBER(SEARCH('Task Finder'!$C$7,$K12)))),TRUE))</f>
        <v/>
      </c>
    </row>
    <row r="13">
      <c r="A13" s="15" t="inlineStr">
        <is>
          <t>Client Onboarding Playbook</t>
        </is>
      </c>
      <c r="B13" s="15" t="inlineStr">
        <is>
          <t>Playbook</t>
        </is>
      </c>
      <c r="C13" s="15" t="inlineStr">
        <is>
          <t>Welcome Kit</t>
        </is>
      </c>
      <c r="D13" s="15" t="inlineStr">
        <is>
          <t>List Required Access Requests</t>
        </is>
      </c>
      <c r="E13" s="17" t="inlineStr">
        <is>
          <t>Next</t>
        </is>
      </c>
      <c r="F13" s="17" t="inlineStr">
        <is>
          <t>Medium</t>
        </is>
      </c>
      <c r="G13" s="17" t="inlineStr">
        <is>
          <t>Admin</t>
        </is>
      </c>
      <c r="H13" s="17" t="inlineStr">
        <is>
          <t>15 mins</t>
        </is>
      </c>
      <c r="I13" s="18" t="n">
        <v>46246.24672175926</v>
      </c>
      <c r="J13" s="15" t="inlineStr">
        <is>
          <t>TJR</t>
        </is>
      </c>
      <c r="K13" s="15" t="inlineStr"/>
      <c r="L13" s="34" t="n">
        <v>46236.24672175926</v>
      </c>
      <c r="M13" s="5">
        <f>IF($D13="","",IFERROR(VLOOKUP($H13,Lists!$N$2:$O$6,2,FALSE),0))</f>
        <v/>
      </c>
      <c r="N13" s="5">
        <f>IF($D13="","",IF(OR($E13="Blocked",$E13="Done",$E13="Archive"),-9999,IF(AND($E13="Waiting",SUMPRODUCT((($E$5:$E$500="Next")+($E$5:$E$500="In Progress")+($E$5:$E$500="Captured"))*($D$5:$D$500&lt;&gt;""))&gt;0),-500,VLOOKUP($F13,Lists!$L$2:$M$4,2,FALSE)+IF($E13="In Progress",10,0)+IF(AND($I13&lt;&gt;"",$I13&lt;TODAY()),25,0)+IF(AND($I13&lt;&gt;"",$I13&gt;=TODAY(),$I13&lt;=TODAY()+7),15,0)+IF($M13&lt;=VLOOKUP(Home!$C$7,Lists!$N$2:$O$6,2,FALSE),20,-10)+IF($G13=Home!$E$7,15,IF(Home!$E$7="",0,-5))-ROW()/100000)))</f>
        <v/>
      </c>
      <c r="O13" s="5">
        <f>IF($D13="","",IF($N13&lt;=-500,"Not recommended right now",IF($E13="Waiting","Nothing else actionable right now — Waiting on: "&amp;IF($K13="","this item",$K13),TEXTJOIN(" • ",TRUE,IF($F13="High","High Priority",""),IF(AND($I13&lt;&gt;"",$I13&lt;TODAY()),"Overdue",""),IF(AND($I13&lt;&gt;"",$I13&gt;=TODAY(),$I13&lt;=TODAY()+7),"Due This Week",""),IF($M13&lt;=VLOOKUP(Home!$C$7,Lists!$N$2:$O$6,2,FALSE),$H13&amp;" Task",""),IF($G13=Home!$E$7,"Fits Current Energy",""),"No Blockers"))))</f>
        <v/>
      </c>
      <c r="P13" s="5">
        <f>IF($D13="","",SWITCH('Task Finder'!$C$6,"High Priority",AND($F13="High",$E13&lt;&gt;"Done",$E13&lt;&gt;"Archive"),"Due This Week",AND($I13&lt;&gt;"",$I13&gt;=TODAY(),$I13&lt;=TODAY()+7,$E13&lt;&gt;"Done"),"Quick Wins (15 mins or less)",AND($M13&lt;=15,$E13&lt;&gt;"Done",$E13&lt;&gt;"Blocked"),"Deep Thinking",AND($G13="Deep Thinking",$E13&lt;&gt;"Done"),"Processing",AND($G13="Processing",$E13&lt;&gt;"Done"),"Blocked",$E13="Blocked","Waiting",$E13="Waiting","Recently Updated",AND($L13&lt;&gt;"",$L13&gt;=TODAY()-7),"Keyword",AND('Task Finder'!$C$7&lt;&gt;"",OR(ISNUMBER(SEARCH('Task Finder'!$C$7,$A13)),ISNUMBER(SEARCH('Task Finder'!$C$7,$B13)),ISNUMBER(SEARCH('Task Finder'!$C$7,$C13)),ISNUMBER(SEARCH('Task Finder'!$C$7,$D13)),ISNUMBER(SEARCH('Task Finder'!$C$7,$K13)))),TRUE))</f>
        <v/>
      </c>
    </row>
    <row r="14">
      <c r="A14" s="19" t="n"/>
      <c r="B14" s="19" t="n"/>
      <c r="C14" s="19" t="n"/>
      <c r="D14" s="19" t="n"/>
      <c r="E14" s="19" t="n"/>
      <c r="F14" s="19" t="n"/>
      <c r="G14" s="19" t="n"/>
      <c r="H14" s="19" t="n"/>
      <c r="I14" s="19" t="n"/>
      <c r="J14" s="19" t="n"/>
      <c r="K14" s="19" t="n"/>
      <c r="L14" s="35" t="n"/>
      <c r="M14" s="5">
        <f>IF($D14="","",IFERROR(VLOOKUP($H14,Lists!$N$2:$O$6,2,FALSE),0))</f>
        <v/>
      </c>
      <c r="N14" s="5">
        <f>IF($D14="","",IF(OR($E14="Blocked",$E14="Done",$E14="Archive"),-9999,IF(AND($E14="Waiting",SUMPRODUCT((($E$5:$E$500="Next")+($E$5:$E$500="In Progress")+($E$5:$E$500="Captured"))*($D$5:$D$500&lt;&gt;""))&gt;0),-500,VLOOKUP($F14,Lists!$L$2:$M$4,2,FALSE)+IF($E14="In Progress",10,0)+IF(AND($I14&lt;&gt;"",$I14&lt;TODAY()),25,0)+IF(AND($I14&lt;&gt;"",$I14&gt;=TODAY(),$I14&lt;=TODAY()+7),15,0)+IF($M14&lt;=VLOOKUP(Home!$C$7,Lists!$N$2:$O$6,2,FALSE),20,-10)+IF($G14=Home!$E$7,15,IF(Home!$E$7="",0,-5))-ROW()/100000)))</f>
        <v/>
      </c>
      <c r="O14" s="5">
        <f>IF($D14="","",IF($N14&lt;=-500,"Not recommended right now",IF($E14="Waiting","Nothing else actionable right now — Waiting on: "&amp;IF($K14="","this item",$K14),TEXTJOIN(" • ",TRUE,IF($F14="High","High Priority",""),IF(AND($I14&lt;&gt;"",$I14&lt;TODAY()),"Overdue",""),IF(AND($I14&lt;&gt;"",$I14&gt;=TODAY(),$I14&lt;=TODAY()+7),"Due This Week",""),IF($M14&lt;=VLOOKUP(Home!$C$7,Lists!$N$2:$O$6,2,FALSE),$H14&amp;" Task",""),IF($G14=Home!$E$7,"Fits Current Energy",""),"No Blockers"))))</f>
        <v/>
      </c>
      <c r="P14" s="5">
        <f>IF($D14="","",SWITCH('Task Finder'!$C$6,"High Priority",AND($F14="High",$E14&lt;&gt;"Done",$E14&lt;&gt;"Archive"),"Due This Week",AND($I14&lt;&gt;"",$I14&gt;=TODAY(),$I14&lt;=TODAY()+7,$E14&lt;&gt;"Done"),"Quick Wins (15 mins or less)",AND($M14&lt;=15,$E14&lt;&gt;"Done",$E14&lt;&gt;"Blocked"),"Deep Thinking",AND($G14="Deep Thinking",$E14&lt;&gt;"Done"),"Processing",AND($G14="Processing",$E14&lt;&gt;"Done"),"Blocked",$E14="Blocked","Waiting",$E14="Waiting","Recently Updated",AND($L14&lt;&gt;"",$L14&gt;=TODAY()-7),"Keyword",AND('Task Finder'!$C$7&lt;&gt;"",OR(ISNUMBER(SEARCH('Task Finder'!$C$7,$A14)),ISNUMBER(SEARCH('Task Finder'!$C$7,$B14)),ISNUMBER(SEARCH('Task Finder'!$C$7,$C14)),ISNUMBER(SEARCH('Task Finder'!$C$7,$D14)),ISNUMBER(SEARCH('Task Finder'!$C$7,$K14)))),TRUE))</f>
        <v/>
      </c>
    </row>
    <row r="15">
      <c r="A15" s="19" t="n"/>
      <c r="B15" s="19" t="n"/>
      <c r="C15" s="19" t="n"/>
      <c r="D15" s="19" t="n"/>
      <c r="E15" s="19" t="n"/>
      <c r="F15" s="19" t="n"/>
      <c r="G15" s="19" t="n"/>
      <c r="H15" s="19" t="n"/>
      <c r="I15" s="19" t="n"/>
      <c r="J15" s="19" t="n"/>
      <c r="K15" s="19" t="n"/>
      <c r="L15" s="35" t="n"/>
      <c r="M15" s="5">
        <f>IF($D15="","",IFERROR(VLOOKUP($H15,Lists!$N$2:$O$6,2,FALSE),0))</f>
        <v/>
      </c>
      <c r="N15" s="5">
        <f>IF($D15="","",IF(OR($E15="Blocked",$E15="Done",$E15="Archive"),-9999,IF(AND($E15="Waiting",SUMPRODUCT((($E$5:$E$500="Next")+($E$5:$E$500="In Progress")+($E$5:$E$500="Captured"))*($D$5:$D$500&lt;&gt;""))&gt;0),-500,VLOOKUP($F15,Lists!$L$2:$M$4,2,FALSE)+IF($E15="In Progress",10,0)+IF(AND($I15&lt;&gt;"",$I15&lt;TODAY()),25,0)+IF(AND($I15&lt;&gt;"",$I15&gt;=TODAY(),$I15&lt;=TODAY()+7),15,0)+IF($M15&lt;=VLOOKUP(Home!$C$7,Lists!$N$2:$O$6,2,FALSE),20,-10)+IF($G15=Home!$E$7,15,IF(Home!$E$7="",0,-5))-ROW()/100000)))</f>
        <v/>
      </c>
      <c r="O15" s="5">
        <f>IF($D15="","",IF($N15&lt;=-500,"Not recommended right now",IF($E15="Waiting","Nothing else actionable right now — Waiting on: "&amp;IF($K15="","this item",$K15),TEXTJOIN(" • ",TRUE,IF($F15="High","High Priority",""),IF(AND($I15&lt;&gt;"",$I15&lt;TODAY()),"Overdue",""),IF(AND($I15&lt;&gt;"",$I15&gt;=TODAY(),$I15&lt;=TODAY()+7),"Due This Week",""),IF($M15&lt;=VLOOKUP(Home!$C$7,Lists!$N$2:$O$6,2,FALSE),$H15&amp;" Task",""),IF($G15=Home!$E$7,"Fits Current Energy",""),"No Blockers"))))</f>
        <v/>
      </c>
      <c r="P15" s="5">
        <f>IF($D15="","",SWITCH('Task Finder'!$C$6,"High Priority",AND($F15="High",$E15&lt;&gt;"Done",$E15&lt;&gt;"Archive"),"Due This Week",AND($I15&lt;&gt;"",$I15&gt;=TODAY(),$I15&lt;=TODAY()+7,$E15&lt;&gt;"Done"),"Quick Wins (15 mins or less)",AND($M15&lt;=15,$E15&lt;&gt;"Done",$E15&lt;&gt;"Blocked"),"Deep Thinking",AND($G15="Deep Thinking",$E15&lt;&gt;"Done"),"Processing",AND($G15="Processing",$E15&lt;&gt;"Done"),"Blocked",$E15="Blocked","Waiting",$E15="Waiting","Recently Updated",AND($L15&lt;&gt;"",$L15&gt;=TODAY()-7),"Keyword",AND('Task Finder'!$C$7&lt;&gt;"",OR(ISNUMBER(SEARCH('Task Finder'!$C$7,$A15)),ISNUMBER(SEARCH('Task Finder'!$C$7,$B15)),ISNUMBER(SEARCH('Task Finder'!$C$7,$C15)),ISNUMBER(SEARCH('Task Finder'!$C$7,$D15)),ISNUMBER(SEARCH('Task Finder'!$C$7,$K15)))),TRUE))</f>
        <v/>
      </c>
    </row>
    <row r="16">
      <c r="A16" s="19" t="n"/>
      <c r="B16" s="19" t="n"/>
      <c r="C16" s="19" t="n"/>
      <c r="D16" s="19" t="n"/>
      <c r="E16" s="19" t="n"/>
      <c r="F16" s="19" t="n"/>
      <c r="G16" s="19" t="n"/>
      <c r="H16" s="19" t="n"/>
      <c r="I16" s="19" t="n"/>
      <c r="J16" s="19" t="n"/>
      <c r="K16" s="19" t="n"/>
      <c r="L16" s="35" t="n"/>
      <c r="M16" s="5">
        <f>IF($D16="","",IFERROR(VLOOKUP($H16,Lists!$N$2:$O$6,2,FALSE),0))</f>
        <v/>
      </c>
      <c r="N16" s="5">
        <f>IF($D16="","",IF(OR($E16="Blocked",$E16="Done",$E16="Archive"),-9999,IF(AND($E16="Waiting",SUMPRODUCT((($E$5:$E$500="Next")+($E$5:$E$500="In Progress")+($E$5:$E$500="Captured"))*($D$5:$D$500&lt;&gt;""))&gt;0),-500,VLOOKUP($F16,Lists!$L$2:$M$4,2,FALSE)+IF($E16="In Progress",10,0)+IF(AND($I16&lt;&gt;"",$I16&lt;TODAY()),25,0)+IF(AND($I16&lt;&gt;"",$I16&gt;=TODAY(),$I16&lt;=TODAY()+7),15,0)+IF($M16&lt;=VLOOKUP(Home!$C$7,Lists!$N$2:$O$6,2,FALSE),20,-10)+IF($G16=Home!$E$7,15,IF(Home!$E$7="",0,-5))-ROW()/100000)))</f>
        <v/>
      </c>
      <c r="O16" s="5">
        <f>IF($D16="","",IF($N16&lt;=-500,"Not recommended right now",IF($E16="Waiting","Nothing else actionable right now — Waiting on: "&amp;IF($K16="","this item",$K16),TEXTJOIN(" • ",TRUE,IF($F16="High","High Priority",""),IF(AND($I16&lt;&gt;"",$I16&lt;TODAY()),"Overdue",""),IF(AND($I16&lt;&gt;"",$I16&gt;=TODAY(),$I16&lt;=TODAY()+7),"Due This Week",""),IF($M16&lt;=VLOOKUP(Home!$C$7,Lists!$N$2:$O$6,2,FALSE),$H16&amp;" Task",""),IF($G16=Home!$E$7,"Fits Current Energy",""),"No Blockers"))))</f>
        <v/>
      </c>
      <c r="P16" s="5">
        <f>IF($D16="","",SWITCH('Task Finder'!$C$6,"High Priority",AND($F16="High",$E16&lt;&gt;"Done",$E16&lt;&gt;"Archive"),"Due This Week",AND($I16&lt;&gt;"",$I16&gt;=TODAY(),$I16&lt;=TODAY()+7,$E16&lt;&gt;"Done"),"Quick Wins (15 mins or less)",AND($M16&lt;=15,$E16&lt;&gt;"Done",$E16&lt;&gt;"Blocked"),"Deep Thinking",AND($G16="Deep Thinking",$E16&lt;&gt;"Done"),"Processing",AND($G16="Processing",$E16&lt;&gt;"Done"),"Blocked",$E16="Blocked","Waiting",$E16="Waiting","Recently Updated",AND($L16&lt;&gt;"",$L16&gt;=TODAY()-7),"Keyword",AND('Task Finder'!$C$7&lt;&gt;"",OR(ISNUMBER(SEARCH('Task Finder'!$C$7,$A16)),ISNUMBER(SEARCH('Task Finder'!$C$7,$B16)),ISNUMBER(SEARCH('Task Finder'!$C$7,$C16)),ISNUMBER(SEARCH('Task Finder'!$C$7,$D16)),ISNUMBER(SEARCH('Task Finder'!$C$7,$K16)))),TRUE))</f>
        <v/>
      </c>
    </row>
    <row r="17">
      <c r="A17" s="19" t="n"/>
      <c r="B17" s="19" t="n"/>
      <c r="C17" s="19" t="n"/>
      <c r="D17" s="19" t="n"/>
      <c r="E17" s="19" t="n"/>
      <c r="F17" s="19" t="n"/>
      <c r="G17" s="19" t="n"/>
      <c r="H17" s="19" t="n"/>
      <c r="I17" s="19" t="n"/>
      <c r="J17" s="19" t="n"/>
      <c r="K17" s="19" t="n"/>
      <c r="L17" s="35" t="n"/>
      <c r="M17" s="5">
        <f>IF($D17="","",IFERROR(VLOOKUP($H17,Lists!$N$2:$O$6,2,FALSE),0))</f>
        <v/>
      </c>
      <c r="N17" s="5">
        <f>IF($D17="","",IF(OR($E17="Blocked",$E17="Done",$E17="Archive"),-9999,IF(AND($E17="Waiting",SUMPRODUCT((($E$5:$E$500="Next")+($E$5:$E$500="In Progress")+($E$5:$E$500="Captured"))*($D$5:$D$500&lt;&gt;""))&gt;0),-500,VLOOKUP($F17,Lists!$L$2:$M$4,2,FALSE)+IF($E17="In Progress",10,0)+IF(AND($I17&lt;&gt;"",$I17&lt;TODAY()),25,0)+IF(AND($I17&lt;&gt;"",$I17&gt;=TODAY(),$I17&lt;=TODAY()+7),15,0)+IF($M17&lt;=VLOOKUP(Home!$C$7,Lists!$N$2:$O$6,2,FALSE),20,-10)+IF($G17=Home!$E$7,15,IF(Home!$E$7="",0,-5))-ROW()/100000)))</f>
        <v/>
      </c>
      <c r="O17" s="5">
        <f>IF($D17="","",IF($N17&lt;=-500,"Not recommended right now",IF($E17="Waiting","Nothing else actionable right now — Waiting on: "&amp;IF($K17="","this item",$K17),TEXTJOIN(" • ",TRUE,IF($F17="High","High Priority",""),IF(AND($I17&lt;&gt;"",$I17&lt;TODAY()),"Overdue",""),IF(AND($I17&lt;&gt;"",$I17&gt;=TODAY(),$I17&lt;=TODAY()+7),"Due This Week",""),IF($M17&lt;=VLOOKUP(Home!$C$7,Lists!$N$2:$O$6,2,FALSE),$H17&amp;" Task",""),IF($G17=Home!$E$7,"Fits Current Energy",""),"No Blockers"))))</f>
        <v/>
      </c>
      <c r="P17" s="5">
        <f>IF($D17="","",SWITCH('Task Finder'!$C$6,"High Priority",AND($F17="High",$E17&lt;&gt;"Done",$E17&lt;&gt;"Archive"),"Due This Week",AND($I17&lt;&gt;"",$I17&gt;=TODAY(),$I17&lt;=TODAY()+7,$E17&lt;&gt;"Done"),"Quick Wins (15 mins or less)",AND($M17&lt;=15,$E17&lt;&gt;"Done",$E17&lt;&gt;"Blocked"),"Deep Thinking",AND($G17="Deep Thinking",$E17&lt;&gt;"Done"),"Processing",AND($G17="Processing",$E17&lt;&gt;"Done"),"Blocked",$E17="Blocked","Waiting",$E17="Waiting","Recently Updated",AND($L17&lt;&gt;"",$L17&gt;=TODAY()-7),"Keyword",AND('Task Finder'!$C$7&lt;&gt;"",OR(ISNUMBER(SEARCH('Task Finder'!$C$7,$A17)),ISNUMBER(SEARCH('Task Finder'!$C$7,$B17)),ISNUMBER(SEARCH('Task Finder'!$C$7,$C17)),ISNUMBER(SEARCH('Task Finder'!$C$7,$D17)),ISNUMBER(SEARCH('Task Finder'!$C$7,$K17)))),TRUE))</f>
        <v/>
      </c>
    </row>
    <row r="18">
      <c r="A18" s="19" t="n"/>
      <c r="B18" s="19" t="n"/>
      <c r="C18" s="19" t="n"/>
      <c r="D18" s="19" t="n"/>
      <c r="E18" s="19" t="n"/>
      <c r="F18" s="19" t="n"/>
      <c r="G18" s="19" t="n"/>
      <c r="H18" s="19" t="n"/>
      <c r="I18" s="19" t="n"/>
      <c r="J18" s="19" t="n"/>
      <c r="K18" s="19" t="n"/>
      <c r="L18" s="35" t="n"/>
      <c r="M18" s="5">
        <f>IF($D18="","",IFERROR(VLOOKUP($H18,Lists!$N$2:$O$6,2,FALSE),0))</f>
        <v/>
      </c>
      <c r="N18" s="5">
        <f>IF($D18="","",IF(OR($E18="Blocked",$E18="Done",$E18="Archive"),-9999,IF(AND($E18="Waiting",SUMPRODUCT((($E$5:$E$500="Next")+($E$5:$E$500="In Progress")+($E$5:$E$500="Captured"))*($D$5:$D$500&lt;&gt;""))&gt;0),-500,VLOOKUP($F18,Lists!$L$2:$M$4,2,FALSE)+IF($E18="In Progress",10,0)+IF(AND($I18&lt;&gt;"",$I18&lt;TODAY()),25,0)+IF(AND($I18&lt;&gt;"",$I18&gt;=TODAY(),$I18&lt;=TODAY()+7),15,0)+IF($M18&lt;=VLOOKUP(Home!$C$7,Lists!$N$2:$O$6,2,FALSE),20,-10)+IF($G18=Home!$E$7,15,IF(Home!$E$7="",0,-5))-ROW()/100000)))</f>
        <v/>
      </c>
      <c r="O18" s="5">
        <f>IF($D18="","",IF($N18&lt;=-500,"Not recommended right now",IF($E18="Waiting","Nothing else actionable right now — Waiting on: "&amp;IF($K18="","this item",$K18),TEXTJOIN(" • ",TRUE,IF($F18="High","High Priority",""),IF(AND($I18&lt;&gt;"",$I18&lt;TODAY()),"Overdue",""),IF(AND($I18&lt;&gt;"",$I18&gt;=TODAY(),$I18&lt;=TODAY()+7),"Due This Week",""),IF($M18&lt;=VLOOKUP(Home!$C$7,Lists!$N$2:$O$6,2,FALSE),$H18&amp;" Task",""),IF($G18=Home!$E$7,"Fits Current Energy",""),"No Blockers"))))</f>
        <v/>
      </c>
      <c r="P18" s="5">
        <f>IF($D18="","",SWITCH('Task Finder'!$C$6,"High Priority",AND($F18="High",$E18&lt;&gt;"Done",$E18&lt;&gt;"Archive"),"Due This Week",AND($I18&lt;&gt;"",$I18&gt;=TODAY(),$I18&lt;=TODAY()+7,$E18&lt;&gt;"Done"),"Quick Wins (15 mins or less)",AND($M18&lt;=15,$E18&lt;&gt;"Done",$E18&lt;&gt;"Blocked"),"Deep Thinking",AND($G18="Deep Thinking",$E18&lt;&gt;"Done"),"Processing",AND($G18="Processing",$E18&lt;&gt;"Done"),"Blocked",$E18="Blocked","Waiting",$E18="Waiting","Recently Updated",AND($L18&lt;&gt;"",$L18&gt;=TODAY()-7),"Keyword",AND('Task Finder'!$C$7&lt;&gt;"",OR(ISNUMBER(SEARCH('Task Finder'!$C$7,$A18)),ISNUMBER(SEARCH('Task Finder'!$C$7,$B18)),ISNUMBER(SEARCH('Task Finder'!$C$7,$C18)),ISNUMBER(SEARCH('Task Finder'!$C$7,$D18)),ISNUMBER(SEARCH('Task Finder'!$C$7,$K18)))),TRUE))</f>
        <v/>
      </c>
    </row>
    <row r="19">
      <c r="A19" s="19" t="n"/>
      <c r="B19" s="19" t="n"/>
      <c r="C19" s="19" t="n"/>
      <c r="D19" s="19" t="n"/>
      <c r="E19" s="19" t="n"/>
      <c r="F19" s="19" t="n"/>
      <c r="G19" s="19" t="n"/>
      <c r="H19" s="19" t="n"/>
      <c r="I19" s="19" t="n"/>
      <c r="J19" s="19" t="n"/>
      <c r="K19" s="19" t="n"/>
      <c r="L19" s="35" t="n"/>
      <c r="M19" s="5">
        <f>IF($D19="","",IFERROR(VLOOKUP($H19,Lists!$N$2:$O$6,2,FALSE),0))</f>
        <v/>
      </c>
      <c r="N19" s="5">
        <f>IF($D19="","",IF(OR($E19="Blocked",$E19="Done",$E19="Archive"),-9999,IF(AND($E19="Waiting",SUMPRODUCT((($E$5:$E$500="Next")+($E$5:$E$500="In Progress")+($E$5:$E$500="Captured"))*($D$5:$D$500&lt;&gt;""))&gt;0),-500,VLOOKUP($F19,Lists!$L$2:$M$4,2,FALSE)+IF($E19="In Progress",10,0)+IF(AND($I19&lt;&gt;"",$I19&lt;TODAY()),25,0)+IF(AND($I19&lt;&gt;"",$I19&gt;=TODAY(),$I19&lt;=TODAY()+7),15,0)+IF($M19&lt;=VLOOKUP(Home!$C$7,Lists!$N$2:$O$6,2,FALSE),20,-10)+IF($G19=Home!$E$7,15,IF(Home!$E$7="",0,-5))-ROW()/100000)))</f>
        <v/>
      </c>
      <c r="O19" s="5">
        <f>IF($D19="","",IF($N19&lt;=-500,"Not recommended right now",IF($E19="Waiting","Nothing else actionable right now — Waiting on: "&amp;IF($K19="","this item",$K19),TEXTJOIN(" • ",TRUE,IF($F19="High","High Priority",""),IF(AND($I19&lt;&gt;"",$I19&lt;TODAY()),"Overdue",""),IF(AND($I19&lt;&gt;"",$I19&gt;=TODAY(),$I19&lt;=TODAY()+7),"Due This Week",""),IF($M19&lt;=VLOOKUP(Home!$C$7,Lists!$N$2:$O$6,2,FALSE),$H19&amp;" Task",""),IF($G19=Home!$E$7,"Fits Current Energy",""),"No Blockers"))))</f>
        <v/>
      </c>
      <c r="P19" s="5">
        <f>IF($D19="","",SWITCH('Task Finder'!$C$6,"High Priority",AND($F19="High",$E19&lt;&gt;"Done",$E19&lt;&gt;"Archive"),"Due This Week",AND($I19&lt;&gt;"",$I19&gt;=TODAY(),$I19&lt;=TODAY()+7,$E19&lt;&gt;"Done"),"Quick Wins (15 mins or less)",AND($M19&lt;=15,$E19&lt;&gt;"Done",$E19&lt;&gt;"Blocked"),"Deep Thinking",AND($G19="Deep Thinking",$E19&lt;&gt;"Done"),"Processing",AND($G19="Processing",$E19&lt;&gt;"Done"),"Blocked",$E19="Blocked","Waiting",$E19="Waiting","Recently Updated",AND($L19&lt;&gt;"",$L19&gt;=TODAY()-7),"Keyword",AND('Task Finder'!$C$7&lt;&gt;"",OR(ISNUMBER(SEARCH('Task Finder'!$C$7,$A19)),ISNUMBER(SEARCH('Task Finder'!$C$7,$B19)),ISNUMBER(SEARCH('Task Finder'!$C$7,$C19)),ISNUMBER(SEARCH('Task Finder'!$C$7,$D19)),ISNUMBER(SEARCH('Task Finder'!$C$7,$K19)))),TRUE))</f>
        <v/>
      </c>
    </row>
    <row r="20">
      <c r="A20" s="19" t="n"/>
      <c r="B20" s="19" t="n"/>
      <c r="C20" s="19" t="n"/>
      <c r="D20" s="19" t="n"/>
      <c r="E20" s="19" t="n"/>
      <c r="F20" s="19" t="n"/>
      <c r="G20" s="19" t="n"/>
      <c r="H20" s="19" t="n"/>
      <c r="I20" s="19" t="n"/>
      <c r="J20" s="19" t="n"/>
      <c r="K20" s="19" t="n"/>
      <c r="L20" s="35" t="n"/>
      <c r="M20" s="5">
        <f>IF($D20="","",IFERROR(VLOOKUP($H20,Lists!$N$2:$O$6,2,FALSE),0))</f>
        <v/>
      </c>
      <c r="N20" s="5">
        <f>IF($D20="","",IF(OR($E20="Blocked",$E20="Done",$E20="Archive"),-9999,IF(AND($E20="Waiting",SUMPRODUCT((($E$5:$E$500="Next")+($E$5:$E$500="In Progress")+($E$5:$E$500="Captured"))*($D$5:$D$500&lt;&gt;""))&gt;0),-500,VLOOKUP($F20,Lists!$L$2:$M$4,2,FALSE)+IF($E20="In Progress",10,0)+IF(AND($I20&lt;&gt;"",$I20&lt;TODAY()),25,0)+IF(AND($I20&lt;&gt;"",$I20&gt;=TODAY(),$I20&lt;=TODAY()+7),15,0)+IF($M20&lt;=VLOOKUP(Home!$C$7,Lists!$N$2:$O$6,2,FALSE),20,-10)+IF($G20=Home!$E$7,15,IF(Home!$E$7="",0,-5))-ROW()/100000)))</f>
        <v/>
      </c>
      <c r="O20" s="5">
        <f>IF($D20="","",IF($N20&lt;=-500,"Not recommended right now",IF($E20="Waiting","Nothing else actionable right now — Waiting on: "&amp;IF($K20="","this item",$K20),TEXTJOIN(" • ",TRUE,IF($F20="High","High Priority",""),IF(AND($I20&lt;&gt;"",$I20&lt;TODAY()),"Overdue",""),IF(AND($I20&lt;&gt;"",$I20&gt;=TODAY(),$I20&lt;=TODAY()+7),"Due This Week",""),IF($M20&lt;=VLOOKUP(Home!$C$7,Lists!$N$2:$O$6,2,FALSE),$H20&amp;" Task",""),IF($G20=Home!$E$7,"Fits Current Energy",""),"No Blockers"))))</f>
        <v/>
      </c>
      <c r="P20" s="5">
        <f>IF($D20="","",SWITCH('Task Finder'!$C$6,"High Priority",AND($F20="High",$E20&lt;&gt;"Done",$E20&lt;&gt;"Archive"),"Due This Week",AND($I20&lt;&gt;"",$I20&gt;=TODAY(),$I20&lt;=TODAY()+7,$E20&lt;&gt;"Done"),"Quick Wins (15 mins or less)",AND($M20&lt;=15,$E20&lt;&gt;"Done",$E20&lt;&gt;"Blocked"),"Deep Thinking",AND($G20="Deep Thinking",$E20&lt;&gt;"Done"),"Processing",AND($G20="Processing",$E20&lt;&gt;"Done"),"Blocked",$E20="Blocked","Waiting",$E20="Waiting","Recently Updated",AND($L20&lt;&gt;"",$L20&gt;=TODAY()-7),"Keyword",AND('Task Finder'!$C$7&lt;&gt;"",OR(ISNUMBER(SEARCH('Task Finder'!$C$7,$A20)),ISNUMBER(SEARCH('Task Finder'!$C$7,$B20)),ISNUMBER(SEARCH('Task Finder'!$C$7,$C20)),ISNUMBER(SEARCH('Task Finder'!$C$7,$D20)),ISNUMBER(SEARCH('Task Finder'!$C$7,$K20)))),TRUE))</f>
        <v/>
      </c>
    </row>
    <row r="21">
      <c r="A21" s="19" t="n"/>
      <c r="B21" s="19" t="n"/>
      <c r="C21" s="19" t="n"/>
      <c r="D21" s="19" t="n"/>
      <c r="E21" s="19" t="n"/>
      <c r="F21" s="19" t="n"/>
      <c r="G21" s="19" t="n"/>
      <c r="H21" s="19" t="n"/>
      <c r="I21" s="19" t="n"/>
      <c r="J21" s="19" t="n"/>
      <c r="K21" s="19" t="n"/>
      <c r="L21" s="35" t="n"/>
      <c r="M21" s="5">
        <f>IF($D21="","",IFERROR(VLOOKUP($H21,Lists!$N$2:$O$6,2,FALSE),0))</f>
        <v/>
      </c>
      <c r="N21" s="5">
        <f>IF($D21="","",IF(OR($E21="Blocked",$E21="Done",$E21="Archive"),-9999,IF(AND($E21="Waiting",SUMPRODUCT((($E$5:$E$500="Next")+($E$5:$E$500="In Progress")+($E$5:$E$500="Captured"))*($D$5:$D$500&lt;&gt;""))&gt;0),-500,VLOOKUP($F21,Lists!$L$2:$M$4,2,FALSE)+IF($E21="In Progress",10,0)+IF(AND($I21&lt;&gt;"",$I21&lt;TODAY()),25,0)+IF(AND($I21&lt;&gt;"",$I21&gt;=TODAY(),$I21&lt;=TODAY()+7),15,0)+IF($M21&lt;=VLOOKUP(Home!$C$7,Lists!$N$2:$O$6,2,FALSE),20,-10)+IF($G21=Home!$E$7,15,IF(Home!$E$7="",0,-5))-ROW()/100000)))</f>
        <v/>
      </c>
      <c r="O21" s="5">
        <f>IF($D21="","",IF($N21&lt;=-500,"Not recommended right now",IF($E21="Waiting","Nothing else actionable right now — Waiting on: "&amp;IF($K21="","this item",$K21),TEXTJOIN(" • ",TRUE,IF($F21="High","High Priority",""),IF(AND($I21&lt;&gt;"",$I21&lt;TODAY()),"Overdue",""),IF(AND($I21&lt;&gt;"",$I21&gt;=TODAY(),$I21&lt;=TODAY()+7),"Due This Week",""),IF($M21&lt;=VLOOKUP(Home!$C$7,Lists!$N$2:$O$6,2,FALSE),$H21&amp;" Task",""),IF($G21=Home!$E$7,"Fits Current Energy",""),"No Blockers"))))</f>
        <v/>
      </c>
      <c r="P21" s="5">
        <f>IF($D21="","",SWITCH('Task Finder'!$C$6,"High Priority",AND($F21="High",$E21&lt;&gt;"Done",$E21&lt;&gt;"Archive"),"Due This Week",AND($I21&lt;&gt;"",$I21&gt;=TODAY(),$I21&lt;=TODAY()+7,$E21&lt;&gt;"Done"),"Quick Wins (15 mins or less)",AND($M21&lt;=15,$E21&lt;&gt;"Done",$E21&lt;&gt;"Blocked"),"Deep Thinking",AND($G21="Deep Thinking",$E21&lt;&gt;"Done"),"Processing",AND($G21="Processing",$E21&lt;&gt;"Done"),"Blocked",$E21="Blocked","Waiting",$E21="Waiting","Recently Updated",AND($L21&lt;&gt;"",$L21&gt;=TODAY()-7),"Keyword",AND('Task Finder'!$C$7&lt;&gt;"",OR(ISNUMBER(SEARCH('Task Finder'!$C$7,$A21)),ISNUMBER(SEARCH('Task Finder'!$C$7,$B21)),ISNUMBER(SEARCH('Task Finder'!$C$7,$C21)),ISNUMBER(SEARCH('Task Finder'!$C$7,$D21)),ISNUMBER(SEARCH('Task Finder'!$C$7,$K21)))),TRUE))</f>
        <v/>
      </c>
    </row>
    <row r="22">
      <c r="A22" s="19" t="n"/>
      <c r="B22" s="19" t="n"/>
      <c r="C22" s="19" t="n"/>
      <c r="D22" s="19" t="n"/>
      <c r="E22" s="19" t="n"/>
      <c r="F22" s="19" t="n"/>
      <c r="G22" s="19" t="n"/>
      <c r="H22" s="19" t="n"/>
      <c r="I22" s="19" t="n"/>
      <c r="J22" s="19" t="n"/>
      <c r="K22" s="19" t="n"/>
      <c r="L22" s="35" t="n"/>
      <c r="M22" s="5">
        <f>IF($D22="","",IFERROR(VLOOKUP($H22,Lists!$N$2:$O$6,2,FALSE),0))</f>
        <v/>
      </c>
      <c r="N22" s="5">
        <f>IF($D22="","",IF(OR($E22="Blocked",$E22="Done",$E22="Archive"),-9999,IF(AND($E22="Waiting",SUMPRODUCT((($E$5:$E$500="Next")+($E$5:$E$500="In Progress")+($E$5:$E$500="Captured"))*($D$5:$D$500&lt;&gt;""))&gt;0),-500,VLOOKUP($F22,Lists!$L$2:$M$4,2,FALSE)+IF($E22="In Progress",10,0)+IF(AND($I22&lt;&gt;"",$I22&lt;TODAY()),25,0)+IF(AND($I22&lt;&gt;"",$I22&gt;=TODAY(),$I22&lt;=TODAY()+7),15,0)+IF($M22&lt;=VLOOKUP(Home!$C$7,Lists!$N$2:$O$6,2,FALSE),20,-10)+IF($G22=Home!$E$7,15,IF(Home!$E$7="",0,-5))-ROW()/100000)))</f>
        <v/>
      </c>
      <c r="O22" s="5">
        <f>IF($D22="","",IF($N22&lt;=-500,"Not recommended right now",IF($E22="Waiting","Nothing else actionable right now — Waiting on: "&amp;IF($K22="","this item",$K22),TEXTJOIN(" • ",TRUE,IF($F22="High","High Priority",""),IF(AND($I22&lt;&gt;"",$I22&lt;TODAY()),"Overdue",""),IF(AND($I22&lt;&gt;"",$I22&gt;=TODAY(),$I22&lt;=TODAY()+7),"Due This Week",""),IF($M22&lt;=VLOOKUP(Home!$C$7,Lists!$N$2:$O$6,2,FALSE),$H22&amp;" Task",""),IF($G22=Home!$E$7,"Fits Current Energy",""),"No Blockers"))))</f>
        <v/>
      </c>
      <c r="P22" s="5">
        <f>IF($D22="","",SWITCH('Task Finder'!$C$6,"High Priority",AND($F22="High",$E22&lt;&gt;"Done",$E22&lt;&gt;"Archive"),"Due This Week",AND($I22&lt;&gt;"",$I22&gt;=TODAY(),$I22&lt;=TODAY()+7,$E22&lt;&gt;"Done"),"Quick Wins (15 mins or less)",AND($M22&lt;=15,$E22&lt;&gt;"Done",$E22&lt;&gt;"Blocked"),"Deep Thinking",AND($G22="Deep Thinking",$E22&lt;&gt;"Done"),"Processing",AND($G22="Processing",$E22&lt;&gt;"Done"),"Blocked",$E22="Blocked","Waiting",$E22="Waiting","Recently Updated",AND($L22&lt;&gt;"",$L22&gt;=TODAY()-7),"Keyword",AND('Task Finder'!$C$7&lt;&gt;"",OR(ISNUMBER(SEARCH('Task Finder'!$C$7,$A22)),ISNUMBER(SEARCH('Task Finder'!$C$7,$B22)),ISNUMBER(SEARCH('Task Finder'!$C$7,$C22)),ISNUMBER(SEARCH('Task Finder'!$C$7,$D22)),ISNUMBER(SEARCH('Task Finder'!$C$7,$K22)))),TRUE))</f>
        <v/>
      </c>
    </row>
    <row r="23">
      <c r="A23" s="19" t="n"/>
      <c r="B23" s="19" t="n"/>
      <c r="C23" s="19" t="n"/>
      <c r="D23" s="19" t="n"/>
      <c r="E23" s="19" t="n"/>
      <c r="F23" s="19" t="n"/>
      <c r="G23" s="19" t="n"/>
      <c r="H23" s="19" t="n"/>
      <c r="I23" s="19" t="n"/>
      <c r="J23" s="19" t="n"/>
      <c r="K23" s="19" t="n"/>
      <c r="L23" s="35" t="n"/>
      <c r="M23" s="5">
        <f>IF($D23="","",IFERROR(VLOOKUP($H23,Lists!$N$2:$O$6,2,FALSE),0))</f>
        <v/>
      </c>
      <c r="N23" s="5">
        <f>IF($D23="","",IF(OR($E23="Blocked",$E23="Done",$E23="Archive"),-9999,IF(AND($E23="Waiting",SUMPRODUCT((($E$5:$E$500="Next")+($E$5:$E$500="In Progress")+($E$5:$E$500="Captured"))*($D$5:$D$500&lt;&gt;""))&gt;0),-500,VLOOKUP($F23,Lists!$L$2:$M$4,2,FALSE)+IF($E23="In Progress",10,0)+IF(AND($I23&lt;&gt;"",$I23&lt;TODAY()),25,0)+IF(AND($I23&lt;&gt;"",$I23&gt;=TODAY(),$I23&lt;=TODAY()+7),15,0)+IF($M23&lt;=VLOOKUP(Home!$C$7,Lists!$N$2:$O$6,2,FALSE),20,-10)+IF($G23=Home!$E$7,15,IF(Home!$E$7="",0,-5))-ROW()/100000)))</f>
        <v/>
      </c>
      <c r="O23" s="5">
        <f>IF($D23="","",IF($N23&lt;=-500,"Not recommended right now",IF($E23="Waiting","Nothing else actionable right now — Waiting on: "&amp;IF($K23="","this item",$K23),TEXTJOIN(" • ",TRUE,IF($F23="High","High Priority",""),IF(AND($I23&lt;&gt;"",$I23&lt;TODAY()),"Overdue",""),IF(AND($I23&lt;&gt;"",$I23&gt;=TODAY(),$I23&lt;=TODAY()+7),"Due This Week",""),IF($M23&lt;=VLOOKUP(Home!$C$7,Lists!$N$2:$O$6,2,FALSE),$H23&amp;" Task",""),IF($G23=Home!$E$7,"Fits Current Energy",""),"No Blockers"))))</f>
        <v/>
      </c>
      <c r="P23" s="5">
        <f>IF($D23="","",SWITCH('Task Finder'!$C$6,"High Priority",AND($F23="High",$E23&lt;&gt;"Done",$E23&lt;&gt;"Archive"),"Due This Week",AND($I23&lt;&gt;"",$I23&gt;=TODAY(),$I23&lt;=TODAY()+7,$E23&lt;&gt;"Done"),"Quick Wins (15 mins or less)",AND($M23&lt;=15,$E23&lt;&gt;"Done",$E23&lt;&gt;"Blocked"),"Deep Thinking",AND($G23="Deep Thinking",$E23&lt;&gt;"Done"),"Processing",AND($G23="Processing",$E23&lt;&gt;"Done"),"Blocked",$E23="Blocked","Waiting",$E23="Waiting","Recently Updated",AND($L23&lt;&gt;"",$L23&gt;=TODAY()-7),"Keyword",AND('Task Finder'!$C$7&lt;&gt;"",OR(ISNUMBER(SEARCH('Task Finder'!$C$7,$A23)),ISNUMBER(SEARCH('Task Finder'!$C$7,$B23)),ISNUMBER(SEARCH('Task Finder'!$C$7,$C23)),ISNUMBER(SEARCH('Task Finder'!$C$7,$D23)),ISNUMBER(SEARCH('Task Finder'!$C$7,$K23)))),TRUE))</f>
        <v/>
      </c>
    </row>
    <row r="24">
      <c r="A24" s="19" t="n"/>
      <c r="B24" s="19" t="n"/>
      <c r="C24" s="19" t="n"/>
      <c r="D24" s="19" t="n"/>
      <c r="E24" s="19" t="n"/>
      <c r="F24" s="19" t="n"/>
      <c r="G24" s="19" t="n"/>
      <c r="H24" s="19" t="n"/>
      <c r="I24" s="19" t="n"/>
      <c r="J24" s="19" t="n"/>
      <c r="K24" s="19" t="n"/>
      <c r="L24" s="35" t="n"/>
      <c r="M24" s="5">
        <f>IF($D24="","",IFERROR(VLOOKUP($H24,Lists!$N$2:$O$6,2,FALSE),0))</f>
        <v/>
      </c>
      <c r="N24" s="5">
        <f>IF($D24="","",IF(OR($E24="Blocked",$E24="Done",$E24="Archive"),-9999,IF(AND($E24="Waiting",SUMPRODUCT((($E$5:$E$500="Next")+($E$5:$E$500="In Progress")+($E$5:$E$500="Captured"))*($D$5:$D$500&lt;&gt;""))&gt;0),-500,VLOOKUP($F24,Lists!$L$2:$M$4,2,FALSE)+IF($E24="In Progress",10,0)+IF(AND($I24&lt;&gt;"",$I24&lt;TODAY()),25,0)+IF(AND($I24&lt;&gt;"",$I24&gt;=TODAY(),$I24&lt;=TODAY()+7),15,0)+IF($M24&lt;=VLOOKUP(Home!$C$7,Lists!$N$2:$O$6,2,FALSE),20,-10)+IF($G24=Home!$E$7,15,IF(Home!$E$7="",0,-5))-ROW()/100000)))</f>
        <v/>
      </c>
      <c r="O24" s="5">
        <f>IF($D24="","",IF($N24&lt;=-500,"Not recommended right now",IF($E24="Waiting","Nothing else actionable right now — Waiting on: "&amp;IF($K24="","this item",$K24),TEXTJOIN(" • ",TRUE,IF($F24="High","High Priority",""),IF(AND($I24&lt;&gt;"",$I24&lt;TODAY()),"Overdue",""),IF(AND($I24&lt;&gt;"",$I24&gt;=TODAY(),$I24&lt;=TODAY()+7),"Due This Week",""),IF($M24&lt;=VLOOKUP(Home!$C$7,Lists!$N$2:$O$6,2,FALSE),$H24&amp;" Task",""),IF($G24=Home!$E$7,"Fits Current Energy",""),"No Blockers"))))</f>
        <v/>
      </c>
      <c r="P24" s="5">
        <f>IF($D24="","",SWITCH('Task Finder'!$C$6,"High Priority",AND($F24="High",$E24&lt;&gt;"Done",$E24&lt;&gt;"Archive"),"Due This Week",AND($I24&lt;&gt;"",$I24&gt;=TODAY(),$I24&lt;=TODAY()+7,$E24&lt;&gt;"Done"),"Quick Wins (15 mins or less)",AND($M24&lt;=15,$E24&lt;&gt;"Done",$E24&lt;&gt;"Blocked"),"Deep Thinking",AND($G24="Deep Thinking",$E24&lt;&gt;"Done"),"Processing",AND($G24="Processing",$E24&lt;&gt;"Done"),"Blocked",$E24="Blocked","Waiting",$E24="Waiting","Recently Updated",AND($L24&lt;&gt;"",$L24&gt;=TODAY()-7),"Keyword",AND('Task Finder'!$C$7&lt;&gt;"",OR(ISNUMBER(SEARCH('Task Finder'!$C$7,$A24)),ISNUMBER(SEARCH('Task Finder'!$C$7,$B24)),ISNUMBER(SEARCH('Task Finder'!$C$7,$C24)),ISNUMBER(SEARCH('Task Finder'!$C$7,$D24)),ISNUMBER(SEARCH('Task Finder'!$C$7,$K24)))),TRUE))</f>
        <v/>
      </c>
    </row>
    <row r="25">
      <c r="A25" s="19" t="n"/>
      <c r="B25" s="19" t="n"/>
      <c r="C25" s="19" t="n"/>
      <c r="D25" s="19" t="n"/>
      <c r="E25" s="19" t="n"/>
      <c r="F25" s="19" t="n"/>
      <c r="G25" s="19" t="n"/>
      <c r="H25" s="19" t="n"/>
      <c r="I25" s="19" t="n"/>
      <c r="J25" s="19" t="n"/>
      <c r="K25" s="19" t="n"/>
      <c r="L25" s="35" t="n"/>
      <c r="M25" s="5">
        <f>IF($D25="","",IFERROR(VLOOKUP($H25,Lists!$N$2:$O$6,2,FALSE),0))</f>
        <v/>
      </c>
      <c r="N25" s="5">
        <f>IF($D25="","",IF(OR($E25="Blocked",$E25="Done",$E25="Archive"),-9999,IF(AND($E25="Waiting",SUMPRODUCT((($E$5:$E$500="Next")+($E$5:$E$500="In Progress")+($E$5:$E$500="Captured"))*($D$5:$D$500&lt;&gt;""))&gt;0),-500,VLOOKUP($F25,Lists!$L$2:$M$4,2,FALSE)+IF($E25="In Progress",10,0)+IF(AND($I25&lt;&gt;"",$I25&lt;TODAY()),25,0)+IF(AND($I25&lt;&gt;"",$I25&gt;=TODAY(),$I25&lt;=TODAY()+7),15,0)+IF($M25&lt;=VLOOKUP(Home!$C$7,Lists!$N$2:$O$6,2,FALSE),20,-10)+IF($G25=Home!$E$7,15,IF(Home!$E$7="",0,-5))-ROW()/100000)))</f>
        <v/>
      </c>
      <c r="O25" s="5">
        <f>IF($D25="","",IF($N25&lt;=-500,"Not recommended right now",IF($E25="Waiting","Nothing else actionable right now — Waiting on: "&amp;IF($K25="","this item",$K25),TEXTJOIN(" • ",TRUE,IF($F25="High","High Priority",""),IF(AND($I25&lt;&gt;"",$I25&lt;TODAY()),"Overdue",""),IF(AND($I25&lt;&gt;"",$I25&gt;=TODAY(),$I25&lt;=TODAY()+7),"Due This Week",""),IF($M25&lt;=VLOOKUP(Home!$C$7,Lists!$N$2:$O$6,2,FALSE),$H25&amp;" Task",""),IF($G25=Home!$E$7,"Fits Current Energy",""),"No Blockers"))))</f>
        <v/>
      </c>
      <c r="P25" s="5">
        <f>IF($D25="","",SWITCH('Task Finder'!$C$6,"High Priority",AND($F25="High",$E25&lt;&gt;"Done",$E25&lt;&gt;"Archive"),"Due This Week",AND($I25&lt;&gt;"",$I25&gt;=TODAY(),$I25&lt;=TODAY()+7,$E25&lt;&gt;"Done"),"Quick Wins (15 mins or less)",AND($M25&lt;=15,$E25&lt;&gt;"Done",$E25&lt;&gt;"Blocked"),"Deep Thinking",AND($G25="Deep Thinking",$E25&lt;&gt;"Done"),"Processing",AND($G25="Processing",$E25&lt;&gt;"Done"),"Blocked",$E25="Blocked","Waiting",$E25="Waiting","Recently Updated",AND($L25&lt;&gt;"",$L25&gt;=TODAY()-7),"Keyword",AND('Task Finder'!$C$7&lt;&gt;"",OR(ISNUMBER(SEARCH('Task Finder'!$C$7,$A25)),ISNUMBER(SEARCH('Task Finder'!$C$7,$B25)),ISNUMBER(SEARCH('Task Finder'!$C$7,$C25)),ISNUMBER(SEARCH('Task Finder'!$C$7,$D25)),ISNUMBER(SEARCH('Task Finder'!$C$7,$K25)))),TRUE))</f>
        <v/>
      </c>
    </row>
    <row r="26">
      <c r="A26" s="19" t="n"/>
      <c r="B26" s="19" t="n"/>
      <c r="C26" s="19" t="n"/>
      <c r="D26" s="19" t="n"/>
      <c r="E26" s="19" t="n"/>
      <c r="F26" s="19" t="n"/>
      <c r="G26" s="19" t="n"/>
      <c r="H26" s="19" t="n"/>
      <c r="I26" s="19" t="n"/>
      <c r="J26" s="19" t="n"/>
      <c r="K26" s="19" t="n"/>
      <c r="L26" s="35" t="n"/>
      <c r="M26" s="5">
        <f>IF($D26="","",IFERROR(VLOOKUP($H26,Lists!$N$2:$O$6,2,FALSE),0))</f>
        <v/>
      </c>
      <c r="N26" s="5">
        <f>IF($D26="","",IF(OR($E26="Blocked",$E26="Done",$E26="Archive"),-9999,IF(AND($E26="Waiting",SUMPRODUCT((($E$5:$E$500="Next")+($E$5:$E$500="In Progress")+($E$5:$E$500="Captured"))*($D$5:$D$500&lt;&gt;""))&gt;0),-500,VLOOKUP($F26,Lists!$L$2:$M$4,2,FALSE)+IF($E26="In Progress",10,0)+IF(AND($I26&lt;&gt;"",$I26&lt;TODAY()),25,0)+IF(AND($I26&lt;&gt;"",$I26&gt;=TODAY(),$I26&lt;=TODAY()+7),15,0)+IF($M26&lt;=VLOOKUP(Home!$C$7,Lists!$N$2:$O$6,2,FALSE),20,-10)+IF($G26=Home!$E$7,15,IF(Home!$E$7="",0,-5))-ROW()/100000)))</f>
        <v/>
      </c>
      <c r="O26" s="5">
        <f>IF($D26="","",IF($N26&lt;=-500,"Not recommended right now",IF($E26="Waiting","Nothing else actionable right now — Waiting on: "&amp;IF($K26="","this item",$K26),TEXTJOIN(" • ",TRUE,IF($F26="High","High Priority",""),IF(AND($I26&lt;&gt;"",$I26&lt;TODAY()),"Overdue",""),IF(AND($I26&lt;&gt;"",$I26&gt;=TODAY(),$I26&lt;=TODAY()+7),"Due This Week",""),IF($M26&lt;=VLOOKUP(Home!$C$7,Lists!$N$2:$O$6,2,FALSE),$H26&amp;" Task",""),IF($G26=Home!$E$7,"Fits Current Energy",""),"No Blockers"))))</f>
        <v/>
      </c>
      <c r="P26" s="5">
        <f>IF($D26="","",SWITCH('Task Finder'!$C$6,"High Priority",AND($F26="High",$E26&lt;&gt;"Done",$E26&lt;&gt;"Archive"),"Due This Week",AND($I26&lt;&gt;"",$I26&gt;=TODAY(),$I26&lt;=TODAY()+7,$E26&lt;&gt;"Done"),"Quick Wins (15 mins or less)",AND($M26&lt;=15,$E26&lt;&gt;"Done",$E26&lt;&gt;"Blocked"),"Deep Thinking",AND($G26="Deep Thinking",$E26&lt;&gt;"Done"),"Processing",AND($G26="Processing",$E26&lt;&gt;"Done"),"Blocked",$E26="Blocked","Waiting",$E26="Waiting","Recently Updated",AND($L26&lt;&gt;"",$L26&gt;=TODAY()-7),"Keyword",AND('Task Finder'!$C$7&lt;&gt;"",OR(ISNUMBER(SEARCH('Task Finder'!$C$7,$A26)),ISNUMBER(SEARCH('Task Finder'!$C$7,$B26)),ISNUMBER(SEARCH('Task Finder'!$C$7,$C26)),ISNUMBER(SEARCH('Task Finder'!$C$7,$D26)),ISNUMBER(SEARCH('Task Finder'!$C$7,$K26)))),TRUE))</f>
        <v/>
      </c>
    </row>
    <row r="27">
      <c r="A27" s="19" t="n"/>
      <c r="B27" s="19" t="n"/>
      <c r="C27" s="19" t="n"/>
      <c r="D27" s="19" t="n"/>
      <c r="E27" s="19" t="n"/>
      <c r="F27" s="19" t="n"/>
      <c r="G27" s="19" t="n"/>
      <c r="H27" s="19" t="n"/>
      <c r="I27" s="19" t="n"/>
      <c r="J27" s="19" t="n"/>
      <c r="K27" s="19" t="n"/>
      <c r="L27" s="35" t="n"/>
      <c r="M27" s="5">
        <f>IF($D27="","",IFERROR(VLOOKUP($H27,Lists!$N$2:$O$6,2,FALSE),0))</f>
        <v/>
      </c>
      <c r="N27" s="5">
        <f>IF($D27="","",IF(OR($E27="Blocked",$E27="Done",$E27="Archive"),-9999,IF(AND($E27="Waiting",SUMPRODUCT((($E$5:$E$500="Next")+($E$5:$E$500="In Progress")+($E$5:$E$500="Captured"))*($D$5:$D$500&lt;&gt;""))&gt;0),-500,VLOOKUP($F27,Lists!$L$2:$M$4,2,FALSE)+IF($E27="In Progress",10,0)+IF(AND($I27&lt;&gt;"",$I27&lt;TODAY()),25,0)+IF(AND($I27&lt;&gt;"",$I27&gt;=TODAY(),$I27&lt;=TODAY()+7),15,0)+IF($M27&lt;=VLOOKUP(Home!$C$7,Lists!$N$2:$O$6,2,FALSE),20,-10)+IF($G27=Home!$E$7,15,IF(Home!$E$7="",0,-5))-ROW()/100000)))</f>
        <v/>
      </c>
      <c r="O27" s="5">
        <f>IF($D27="","",IF($N27&lt;=-500,"Not recommended right now",IF($E27="Waiting","Nothing else actionable right now — Waiting on: "&amp;IF($K27="","this item",$K27),TEXTJOIN(" • ",TRUE,IF($F27="High","High Priority",""),IF(AND($I27&lt;&gt;"",$I27&lt;TODAY()),"Overdue",""),IF(AND($I27&lt;&gt;"",$I27&gt;=TODAY(),$I27&lt;=TODAY()+7),"Due This Week",""),IF($M27&lt;=VLOOKUP(Home!$C$7,Lists!$N$2:$O$6,2,FALSE),$H27&amp;" Task",""),IF($G27=Home!$E$7,"Fits Current Energy",""),"No Blockers"))))</f>
        <v/>
      </c>
      <c r="P27" s="5">
        <f>IF($D27="","",SWITCH('Task Finder'!$C$6,"High Priority",AND($F27="High",$E27&lt;&gt;"Done",$E27&lt;&gt;"Archive"),"Due This Week",AND($I27&lt;&gt;"",$I27&gt;=TODAY(),$I27&lt;=TODAY()+7,$E27&lt;&gt;"Done"),"Quick Wins (15 mins or less)",AND($M27&lt;=15,$E27&lt;&gt;"Done",$E27&lt;&gt;"Blocked"),"Deep Thinking",AND($G27="Deep Thinking",$E27&lt;&gt;"Done"),"Processing",AND($G27="Processing",$E27&lt;&gt;"Done"),"Blocked",$E27="Blocked","Waiting",$E27="Waiting","Recently Updated",AND($L27&lt;&gt;"",$L27&gt;=TODAY()-7),"Keyword",AND('Task Finder'!$C$7&lt;&gt;"",OR(ISNUMBER(SEARCH('Task Finder'!$C$7,$A27)),ISNUMBER(SEARCH('Task Finder'!$C$7,$B27)),ISNUMBER(SEARCH('Task Finder'!$C$7,$C27)),ISNUMBER(SEARCH('Task Finder'!$C$7,$D27)),ISNUMBER(SEARCH('Task Finder'!$C$7,$K27)))),TRUE))</f>
        <v/>
      </c>
    </row>
    <row r="28">
      <c r="A28" s="19" t="n"/>
      <c r="B28" s="19" t="n"/>
      <c r="C28" s="19" t="n"/>
      <c r="D28" s="19" t="n"/>
      <c r="E28" s="19" t="n"/>
      <c r="F28" s="19" t="n"/>
      <c r="G28" s="19" t="n"/>
      <c r="H28" s="19" t="n"/>
      <c r="I28" s="19" t="n"/>
      <c r="J28" s="19" t="n"/>
      <c r="K28" s="19" t="n"/>
      <c r="L28" s="35" t="n"/>
      <c r="M28" s="5">
        <f>IF($D28="","",IFERROR(VLOOKUP($H28,Lists!$N$2:$O$6,2,FALSE),0))</f>
        <v/>
      </c>
      <c r="N28" s="5">
        <f>IF($D28="","",IF(OR($E28="Blocked",$E28="Done",$E28="Archive"),-9999,IF(AND($E28="Waiting",SUMPRODUCT((($E$5:$E$500="Next")+($E$5:$E$500="In Progress")+($E$5:$E$500="Captured"))*($D$5:$D$500&lt;&gt;""))&gt;0),-500,VLOOKUP($F28,Lists!$L$2:$M$4,2,FALSE)+IF($E28="In Progress",10,0)+IF(AND($I28&lt;&gt;"",$I28&lt;TODAY()),25,0)+IF(AND($I28&lt;&gt;"",$I28&gt;=TODAY(),$I28&lt;=TODAY()+7),15,0)+IF($M28&lt;=VLOOKUP(Home!$C$7,Lists!$N$2:$O$6,2,FALSE),20,-10)+IF($G28=Home!$E$7,15,IF(Home!$E$7="",0,-5))-ROW()/100000)))</f>
        <v/>
      </c>
      <c r="O28" s="5">
        <f>IF($D28="","",IF($N28&lt;=-500,"Not recommended right now",IF($E28="Waiting","Nothing else actionable right now — Waiting on: "&amp;IF($K28="","this item",$K28),TEXTJOIN(" • ",TRUE,IF($F28="High","High Priority",""),IF(AND($I28&lt;&gt;"",$I28&lt;TODAY()),"Overdue",""),IF(AND($I28&lt;&gt;"",$I28&gt;=TODAY(),$I28&lt;=TODAY()+7),"Due This Week",""),IF($M28&lt;=VLOOKUP(Home!$C$7,Lists!$N$2:$O$6,2,FALSE),$H28&amp;" Task",""),IF($G28=Home!$E$7,"Fits Current Energy",""),"No Blockers"))))</f>
        <v/>
      </c>
      <c r="P28" s="5">
        <f>IF($D28="","",SWITCH('Task Finder'!$C$6,"High Priority",AND($F28="High",$E28&lt;&gt;"Done",$E28&lt;&gt;"Archive"),"Due This Week",AND($I28&lt;&gt;"",$I28&gt;=TODAY(),$I28&lt;=TODAY()+7,$E28&lt;&gt;"Done"),"Quick Wins (15 mins or less)",AND($M28&lt;=15,$E28&lt;&gt;"Done",$E28&lt;&gt;"Blocked"),"Deep Thinking",AND($G28="Deep Thinking",$E28&lt;&gt;"Done"),"Processing",AND($G28="Processing",$E28&lt;&gt;"Done"),"Blocked",$E28="Blocked","Waiting",$E28="Waiting","Recently Updated",AND($L28&lt;&gt;"",$L28&gt;=TODAY()-7),"Keyword",AND('Task Finder'!$C$7&lt;&gt;"",OR(ISNUMBER(SEARCH('Task Finder'!$C$7,$A28)),ISNUMBER(SEARCH('Task Finder'!$C$7,$B28)),ISNUMBER(SEARCH('Task Finder'!$C$7,$C28)),ISNUMBER(SEARCH('Task Finder'!$C$7,$D28)),ISNUMBER(SEARCH('Task Finder'!$C$7,$K28)))),TRUE))</f>
        <v/>
      </c>
    </row>
    <row r="29">
      <c r="A29" s="19" t="n"/>
      <c r="B29" s="19" t="n"/>
      <c r="C29" s="19" t="n"/>
      <c r="D29" s="19" t="n"/>
      <c r="E29" s="19" t="n"/>
      <c r="F29" s="19" t="n"/>
      <c r="G29" s="19" t="n"/>
      <c r="H29" s="19" t="n"/>
      <c r="I29" s="19" t="n"/>
      <c r="J29" s="19" t="n"/>
      <c r="K29" s="19" t="n"/>
      <c r="L29" s="35" t="n"/>
      <c r="M29" s="5">
        <f>IF($D29="","",IFERROR(VLOOKUP($H29,Lists!$N$2:$O$6,2,FALSE),0))</f>
        <v/>
      </c>
      <c r="N29" s="5">
        <f>IF($D29="","",IF(OR($E29="Blocked",$E29="Done",$E29="Archive"),-9999,IF(AND($E29="Waiting",SUMPRODUCT((($E$5:$E$500="Next")+($E$5:$E$500="In Progress")+($E$5:$E$500="Captured"))*($D$5:$D$500&lt;&gt;""))&gt;0),-500,VLOOKUP($F29,Lists!$L$2:$M$4,2,FALSE)+IF($E29="In Progress",10,0)+IF(AND($I29&lt;&gt;"",$I29&lt;TODAY()),25,0)+IF(AND($I29&lt;&gt;"",$I29&gt;=TODAY(),$I29&lt;=TODAY()+7),15,0)+IF($M29&lt;=VLOOKUP(Home!$C$7,Lists!$N$2:$O$6,2,FALSE),20,-10)+IF($G29=Home!$E$7,15,IF(Home!$E$7="",0,-5))-ROW()/100000)))</f>
        <v/>
      </c>
      <c r="O29" s="5">
        <f>IF($D29="","",IF($N29&lt;=-500,"Not recommended right now",IF($E29="Waiting","Nothing else actionable right now — Waiting on: "&amp;IF($K29="","this item",$K29),TEXTJOIN(" • ",TRUE,IF($F29="High","High Priority",""),IF(AND($I29&lt;&gt;"",$I29&lt;TODAY()),"Overdue",""),IF(AND($I29&lt;&gt;"",$I29&gt;=TODAY(),$I29&lt;=TODAY()+7),"Due This Week",""),IF($M29&lt;=VLOOKUP(Home!$C$7,Lists!$N$2:$O$6,2,FALSE),$H29&amp;" Task",""),IF($G29=Home!$E$7,"Fits Current Energy",""),"No Blockers"))))</f>
        <v/>
      </c>
      <c r="P29" s="5">
        <f>IF($D29="","",SWITCH('Task Finder'!$C$6,"High Priority",AND($F29="High",$E29&lt;&gt;"Done",$E29&lt;&gt;"Archive"),"Due This Week",AND($I29&lt;&gt;"",$I29&gt;=TODAY(),$I29&lt;=TODAY()+7,$E29&lt;&gt;"Done"),"Quick Wins (15 mins or less)",AND($M29&lt;=15,$E29&lt;&gt;"Done",$E29&lt;&gt;"Blocked"),"Deep Thinking",AND($G29="Deep Thinking",$E29&lt;&gt;"Done"),"Processing",AND($G29="Processing",$E29&lt;&gt;"Done"),"Blocked",$E29="Blocked","Waiting",$E29="Waiting","Recently Updated",AND($L29&lt;&gt;"",$L29&gt;=TODAY()-7),"Keyword",AND('Task Finder'!$C$7&lt;&gt;"",OR(ISNUMBER(SEARCH('Task Finder'!$C$7,$A29)),ISNUMBER(SEARCH('Task Finder'!$C$7,$B29)),ISNUMBER(SEARCH('Task Finder'!$C$7,$C29)),ISNUMBER(SEARCH('Task Finder'!$C$7,$D29)),ISNUMBER(SEARCH('Task Finder'!$C$7,$K29)))),TRUE))</f>
        <v/>
      </c>
    </row>
    <row r="30">
      <c r="A30" s="19" t="n"/>
      <c r="B30" s="19" t="n"/>
      <c r="C30" s="19" t="n"/>
      <c r="D30" s="19" t="n"/>
      <c r="E30" s="19" t="n"/>
      <c r="F30" s="19" t="n"/>
      <c r="G30" s="19" t="n"/>
      <c r="H30" s="19" t="n"/>
      <c r="I30" s="19" t="n"/>
      <c r="J30" s="19" t="n"/>
      <c r="K30" s="19" t="n"/>
      <c r="L30" s="35" t="n"/>
      <c r="M30" s="5">
        <f>IF($D30="","",IFERROR(VLOOKUP($H30,Lists!$N$2:$O$6,2,FALSE),0))</f>
        <v/>
      </c>
      <c r="N30" s="5">
        <f>IF($D30="","",IF(OR($E30="Blocked",$E30="Done",$E30="Archive"),-9999,IF(AND($E30="Waiting",SUMPRODUCT((($E$5:$E$500="Next")+($E$5:$E$500="In Progress")+($E$5:$E$500="Captured"))*($D$5:$D$500&lt;&gt;""))&gt;0),-500,VLOOKUP($F30,Lists!$L$2:$M$4,2,FALSE)+IF($E30="In Progress",10,0)+IF(AND($I30&lt;&gt;"",$I30&lt;TODAY()),25,0)+IF(AND($I30&lt;&gt;"",$I30&gt;=TODAY(),$I30&lt;=TODAY()+7),15,0)+IF($M30&lt;=VLOOKUP(Home!$C$7,Lists!$N$2:$O$6,2,FALSE),20,-10)+IF($G30=Home!$E$7,15,IF(Home!$E$7="",0,-5))-ROW()/100000)))</f>
        <v/>
      </c>
      <c r="O30" s="5">
        <f>IF($D30="","",IF($N30&lt;=-500,"Not recommended right now",IF($E30="Waiting","Nothing else actionable right now — Waiting on: "&amp;IF($K30="","this item",$K30),TEXTJOIN(" • ",TRUE,IF($F30="High","High Priority",""),IF(AND($I30&lt;&gt;"",$I30&lt;TODAY()),"Overdue",""),IF(AND($I30&lt;&gt;"",$I30&gt;=TODAY(),$I30&lt;=TODAY()+7),"Due This Week",""),IF($M30&lt;=VLOOKUP(Home!$C$7,Lists!$N$2:$O$6,2,FALSE),$H30&amp;" Task",""),IF($G30=Home!$E$7,"Fits Current Energy",""),"No Blockers"))))</f>
        <v/>
      </c>
      <c r="P30" s="5">
        <f>IF($D30="","",SWITCH('Task Finder'!$C$6,"High Priority",AND($F30="High",$E30&lt;&gt;"Done",$E30&lt;&gt;"Archive"),"Due This Week",AND($I30&lt;&gt;"",$I30&gt;=TODAY(),$I30&lt;=TODAY()+7,$E30&lt;&gt;"Done"),"Quick Wins (15 mins or less)",AND($M30&lt;=15,$E30&lt;&gt;"Done",$E30&lt;&gt;"Blocked"),"Deep Thinking",AND($G30="Deep Thinking",$E30&lt;&gt;"Done"),"Processing",AND($G30="Processing",$E30&lt;&gt;"Done"),"Blocked",$E30="Blocked","Waiting",$E30="Waiting","Recently Updated",AND($L30&lt;&gt;"",$L30&gt;=TODAY()-7),"Keyword",AND('Task Finder'!$C$7&lt;&gt;"",OR(ISNUMBER(SEARCH('Task Finder'!$C$7,$A30)),ISNUMBER(SEARCH('Task Finder'!$C$7,$B30)),ISNUMBER(SEARCH('Task Finder'!$C$7,$C30)),ISNUMBER(SEARCH('Task Finder'!$C$7,$D30)),ISNUMBER(SEARCH('Task Finder'!$C$7,$K30)))),TRUE))</f>
        <v/>
      </c>
    </row>
    <row r="31">
      <c r="A31" s="19" t="n"/>
      <c r="B31" s="19" t="n"/>
      <c r="C31" s="19" t="n"/>
      <c r="D31" s="19" t="n"/>
      <c r="E31" s="19" t="n"/>
      <c r="F31" s="19" t="n"/>
      <c r="G31" s="19" t="n"/>
      <c r="H31" s="19" t="n"/>
      <c r="I31" s="19" t="n"/>
      <c r="J31" s="19" t="n"/>
      <c r="K31" s="19" t="n"/>
      <c r="L31" s="35" t="n"/>
      <c r="M31" s="5">
        <f>IF($D31="","",IFERROR(VLOOKUP($H31,Lists!$N$2:$O$6,2,FALSE),0))</f>
        <v/>
      </c>
      <c r="N31" s="5">
        <f>IF($D31="","",IF(OR($E31="Blocked",$E31="Done",$E31="Archive"),-9999,IF(AND($E31="Waiting",SUMPRODUCT((($E$5:$E$500="Next")+($E$5:$E$500="In Progress")+($E$5:$E$500="Captured"))*($D$5:$D$500&lt;&gt;""))&gt;0),-500,VLOOKUP($F31,Lists!$L$2:$M$4,2,FALSE)+IF($E31="In Progress",10,0)+IF(AND($I31&lt;&gt;"",$I31&lt;TODAY()),25,0)+IF(AND($I31&lt;&gt;"",$I31&gt;=TODAY(),$I31&lt;=TODAY()+7),15,0)+IF($M31&lt;=VLOOKUP(Home!$C$7,Lists!$N$2:$O$6,2,FALSE),20,-10)+IF($G31=Home!$E$7,15,IF(Home!$E$7="",0,-5))-ROW()/100000)))</f>
        <v/>
      </c>
      <c r="O31" s="5">
        <f>IF($D31="","",IF($N31&lt;=-500,"Not recommended right now",IF($E31="Waiting","Nothing else actionable right now — Waiting on: "&amp;IF($K31="","this item",$K31),TEXTJOIN(" • ",TRUE,IF($F31="High","High Priority",""),IF(AND($I31&lt;&gt;"",$I31&lt;TODAY()),"Overdue",""),IF(AND($I31&lt;&gt;"",$I31&gt;=TODAY(),$I31&lt;=TODAY()+7),"Due This Week",""),IF($M31&lt;=VLOOKUP(Home!$C$7,Lists!$N$2:$O$6,2,FALSE),$H31&amp;" Task",""),IF($G31=Home!$E$7,"Fits Current Energy",""),"No Blockers"))))</f>
        <v/>
      </c>
      <c r="P31" s="5">
        <f>IF($D31="","",SWITCH('Task Finder'!$C$6,"High Priority",AND($F31="High",$E31&lt;&gt;"Done",$E31&lt;&gt;"Archive"),"Due This Week",AND($I31&lt;&gt;"",$I31&gt;=TODAY(),$I31&lt;=TODAY()+7,$E31&lt;&gt;"Done"),"Quick Wins (15 mins or less)",AND($M31&lt;=15,$E31&lt;&gt;"Done",$E31&lt;&gt;"Blocked"),"Deep Thinking",AND($G31="Deep Thinking",$E31&lt;&gt;"Done"),"Processing",AND($G31="Processing",$E31&lt;&gt;"Done"),"Blocked",$E31="Blocked","Waiting",$E31="Waiting","Recently Updated",AND($L31&lt;&gt;"",$L31&gt;=TODAY()-7),"Keyword",AND('Task Finder'!$C$7&lt;&gt;"",OR(ISNUMBER(SEARCH('Task Finder'!$C$7,$A31)),ISNUMBER(SEARCH('Task Finder'!$C$7,$B31)),ISNUMBER(SEARCH('Task Finder'!$C$7,$C31)),ISNUMBER(SEARCH('Task Finder'!$C$7,$D31)),ISNUMBER(SEARCH('Task Finder'!$C$7,$K31)))),TRUE))</f>
        <v/>
      </c>
    </row>
    <row r="32">
      <c r="A32" s="19" t="n"/>
      <c r="B32" s="19" t="n"/>
      <c r="C32" s="19" t="n"/>
      <c r="D32" s="19" t="n"/>
      <c r="E32" s="19" t="n"/>
      <c r="F32" s="19" t="n"/>
      <c r="G32" s="19" t="n"/>
      <c r="H32" s="19" t="n"/>
      <c r="I32" s="19" t="n"/>
      <c r="J32" s="19" t="n"/>
      <c r="K32" s="19" t="n"/>
      <c r="L32" s="35" t="n"/>
      <c r="M32" s="5">
        <f>IF($D32="","",IFERROR(VLOOKUP($H32,Lists!$N$2:$O$6,2,FALSE),0))</f>
        <v/>
      </c>
      <c r="N32" s="5">
        <f>IF($D32="","",IF(OR($E32="Blocked",$E32="Done",$E32="Archive"),-9999,IF(AND($E32="Waiting",SUMPRODUCT((($E$5:$E$500="Next")+($E$5:$E$500="In Progress")+($E$5:$E$500="Captured"))*($D$5:$D$500&lt;&gt;""))&gt;0),-500,VLOOKUP($F32,Lists!$L$2:$M$4,2,FALSE)+IF($E32="In Progress",10,0)+IF(AND($I32&lt;&gt;"",$I32&lt;TODAY()),25,0)+IF(AND($I32&lt;&gt;"",$I32&gt;=TODAY(),$I32&lt;=TODAY()+7),15,0)+IF($M32&lt;=VLOOKUP(Home!$C$7,Lists!$N$2:$O$6,2,FALSE),20,-10)+IF($G32=Home!$E$7,15,IF(Home!$E$7="",0,-5))-ROW()/100000)))</f>
        <v/>
      </c>
      <c r="O32" s="5">
        <f>IF($D32="","",IF($N32&lt;=-500,"Not recommended right now",IF($E32="Waiting","Nothing else actionable right now — Waiting on: "&amp;IF($K32="","this item",$K32),TEXTJOIN(" • ",TRUE,IF($F32="High","High Priority",""),IF(AND($I32&lt;&gt;"",$I32&lt;TODAY()),"Overdue",""),IF(AND($I32&lt;&gt;"",$I32&gt;=TODAY(),$I32&lt;=TODAY()+7),"Due This Week",""),IF($M32&lt;=VLOOKUP(Home!$C$7,Lists!$N$2:$O$6,2,FALSE),$H32&amp;" Task",""),IF($G32=Home!$E$7,"Fits Current Energy",""),"No Blockers"))))</f>
        <v/>
      </c>
      <c r="P32" s="5">
        <f>IF($D32="","",SWITCH('Task Finder'!$C$6,"High Priority",AND($F32="High",$E32&lt;&gt;"Done",$E32&lt;&gt;"Archive"),"Due This Week",AND($I32&lt;&gt;"",$I32&gt;=TODAY(),$I32&lt;=TODAY()+7,$E32&lt;&gt;"Done"),"Quick Wins (15 mins or less)",AND($M32&lt;=15,$E32&lt;&gt;"Done",$E32&lt;&gt;"Blocked"),"Deep Thinking",AND($G32="Deep Thinking",$E32&lt;&gt;"Done"),"Processing",AND($G32="Processing",$E32&lt;&gt;"Done"),"Blocked",$E32="Blocked","Waiting",$E32="Waiting","Recently Updated",AND($L32&lt;&gt;"",$L32&gt;=TODAY()-7),"Keyword",AND('Task Finder'!$C$7&lt;&gt;"",OR(ISNUMBER(SEARCH('Task Finder'!$C$7,$A32)),ISNUMBER(SEARCH('Task Finder'!$C$7,$B32)),ISNUMBER(SEARCH('Task Finder'!$C$7,$C32)),ISNUMBER(SEARCH('Task Finder'!$C$7,$D32)),ISNUMBER(SEARCH('Task Finder'!$C$7,$K32)))),TRUE))</f>
        <v/>
      </c>
    </row>
    <row r="33">
      <c r="A33" s="19" t="n"/>
      <c r="B33" s="19" t="n"/>
      <c r="C33" s="19" t="n"/>
      <c r="D33" s="19" t="n"/>
      <c r="E33" s="19" t="n"/>
      <c r="F33" s="19" t="n"/>
      <c r="G33" s="19" t="n"/>
      <c r="H33" s="19" t="n"/>
      <c r="I33" s="19" t="n"/>
      <c r="J33" s="19" t="n"/>
      <c r="K33" s="19" t="n"/>
      <c r="L33" s="35" t="n"/>
      <c r="M33" s="5">
        <f>IF($D33="","",IFERROR(VLOOKUP($H33,Lists!$N$2:$O$6,2,FALSE),0))</f>
        <v/>
      </c>
      <c r="N33" s="5">
        <f>IF($D33="","",IF(OR($E33="Blocked",$E33="Done",$E33="Archive"),-9999,IF(AND($E33="Waiting",SUMPRODUCT((($E$5:$E$500="Next")+($E$5:$E$500="In Progress")+($E$5:$E$500="Captured"))*($D$5:$D$500&lt;&gt;""))&gt;0),-500,VLOOKUP($F33,Lists!$L$2:$M$4,2,FALSE)+IF($E33="In Progress",10,0)+IF(AND($I33&lt;&gt;"",$I33&lt;TODAY()),25,0)+IF(AND($I33&lt;&gt;"",$I33&gt;=TODAY(),$I33&lt;=TODAY()+7),15,0)+IF($M33&lt;=VLOOKUP(Home!$C$7,Lists!$N$2:$O$6,2,FALSE),20,-10)+IF($G33=Home!$E$7,15,IF(Home!$E$7="",0,-5))-ROW()/100000)))</f>
        <v/>
      </c>
      <c r="O33" s="5">
        <f>IF($D33="","",IF($N33&lt;=-500,"Not recommended right now",IF($E33="Waiting","Nothing else actionable right now — Waiting on: "&amp;IF($K33="","this item",$K33),TEXTJOIN(" • ",TRUE,IF($F33="High","High Priority",""),IF(AND($I33&lt;&gt;"",$I33&lt;TODAY()),"Overdue",""),IF(AND($I33&lt;&gt;"",$I33&gt;=TODAY(),$I33&lt;=TODAY()+7),"Due This Week",""),IF($M33&lt;=VLOOKUP(Home!$C$7,Lists!$N$2:$O$6,2,FALSE),$H33&amp;" Task",""),IF($G33=Home!$E$7,"Fits Current Energy",""),"No Blockers"))))</f>
        <v/>
      </c>
      <c r="P33" s="5">
        <f>IF($D33="","",SWITCH('Task Finder'!$C$6,"High Priority",AND($F33="High",$E33&lt;&gt;"Done",$E33&lt;&gt;"Archive"),"Due This Week",AND($I33&lt;&gt;"",$I33&gt;=TODAY(),$I33&lt;=TODAY()+7,$E33&lt;&gt;"Done"),"Quick Wins (15 mins or less)",AND($M33&lt;=15,$E33&lt;&gt;"Done",$E33&lt;&gt;"Blocked"),"Deep Thinking",AND($G33="Deep Thinking",$E33&lt;&gt;"Done"),"Processing",AND($G33="Processing",$E33&lt;&gt;"Done"),"Blocked",$E33="Blocked","Waiting",$E33="Waiting","Recently Updated",AND($L33&lt;&gt;"",$L33&gt;=TODAY()-7),"Keyword",AND('Task Finder'!$C$7&lt;&gt;"",OR(ISNUMBER(SEARCH('Task Finder'!$C$7,$A33)),ISNUMBER(SEARCH('Task Finder'!$C$7,$B33)),ISNUMBER(SEARCH('Task Finder'!$C$7,$C33)),ISNUMBER(SEARCH('Task Finder'!$C$7,$D33)),ISNUMBER(SEARCH('Task Finder'!$C$7,$K33)))),TRUE))</f>
        <v/>
      </c>
    </row>
    <row r="34">
      <c r="A34" s="19" t="n"/>
      <c r="B34" s="19" t="n"/>
      <c r="C34" s="19" t="n"/>
      <c r="D34" s="19" t="n"/>
      <c r="E34" s="19" t="n"/>
      <c r="F34" s="19" t="n"/>
      <c r="G34" s="19" t="n"/>
      <c r="H34" s="19" t="n"/>
      <c r="I34" s="19" t="n"/>
      <c r="J34" s="19" t="n"/>
      <c r="K34" s="19" t="n"/>
      <c r="L34" s="35" t="n"/>
      <c r="M34" s="5">
        <f>IF($D34="","",IFERROR(VLOOKUP($H34,Lists!$N$2:$O$6,2,FALSE),0))</f>
        <v/>
      </c>
      <c r="N34" s="5">
        <f>IF($D34="","",IF(OR($E34="Blocked",$E34="Done",$E34="Archive"),-9999,IF(AND($E34="Waiting",SUMPRODUCT((($E$5:$E$500="Next")+($E$5:$E$500="In Progress")+($E$5:$E$500="Captured"))*($D$5:$D$500&lt;&gt;""))&gt;0),-500,VLOOKUP($F34,Lists!$L$2:$M$4,2,FALSE)+IF($E34="In Progress",10,0)+IF(AND($I34&lt;&gt;"",$I34&lt;TODAY()),25,0)+IF(AND($I34&lt;&gt;"",$I34&gt;=TODAY(),$I34&lt;=TODAY()+7),15,0)+IF($M34&lt;=VLOOKUP(Home!$C$7,Lists!$N$2:$O$6,2,FALSE),20,-10)+IF($G34=Home!$E$7,15,IF(Home!$E$7="",0,-5))-ROW()/100000)))</f>
        <v/>
      </c>
      <c r="O34" s="5">
        <f>IF($D34="","",IF($N34&lt;=-500,"Not recommended right now",IF($E34="Waiting","Nothing else actionable right now — Waiting on: "&amp;IF($K34="","this item",$K34),TEXTJOIN(" • ",TRUE,IF($F34="High","High Priority",""),IF(AND($I34&lt;&gt;"",$I34&lt;TODAY()),"Overdue",""),IF(AND($I34&lt;&gt;"",$I34&gt;=TODAY(),$I34&lt;=TODAY()+7),"Due This Week",""),IF($M34&lt;=VLOOKUP(Home!$C$7,Lists!$N$2:$O$6,2,FALSE),$H34&amp;" Task",""),IF($G34=Home!$E$7,"Fits Current Energy",""),"No Blockers"))))</f>
        <v/>
      </c>
      <c r="P34" s="5">
        <f>IF($D34="","",SWITCH('Task Finder'!$C$6,"High Priority",AND($F34="High",$E34&lt;&gt;"Done",$E34&lt;&gt;"Archive"),"Due This Week",AND($I34&lt;&gt;"",$I34&gt;=TODAY(),$I34&lt;=TODAY()+7,$E34&lt;&gt;"Done"),"Quick Wins (15 mins or less)",AND($M34&lt;=15,$E34&lt;&gt;"Done",$E34&lt;&gt;"Blocked"),"Deep Thinking",AND($G34="Deep Thinking",$E34&lt;&gt;"Done"),"Processing",AND($G34="Processing",$E34&lt;&gt;"Done"),"Blocked",$E34="Blocked","Waiting",$E34="Waiting","Recently Updated",AND($L34&lt;&gt;"",$L34&gt;=TODAY()-7),"Keyword",AND('Task Finder'!$C$7&lt;&gt;"",OR(ISNUMBER(SEARCH('Task Finder'!$C$7,$A34)),ISNUMBER(SEARCH('Task Finder'!$C$7,$B34)),ISNUMBER(SEARCH('Task Finder'!$C$7,$C34)),ISNUMBER(SEARCH('Task Finder'!$C$7,$D34)),ISNUMBER(SEARCH('Task Finder'!$C$7,$K34)))),TRUE))</f>
        <v/>
      </c>
    </row>
    <row r="35">
      <c r="A35" s="19" t="n"/>
      <c r="B35" s="19" t="n"/>
      <c r="C35" s="19" t="n"/>
      <c r="D35" s="19" t="n"/>
      <c r="E35" s="19" t="n"/>
      <c r="F35" s="19" t="n"/>
      <c r="G35" s="19" t="n"/>
      <c r="H35" s="19" t="n"/>
      <c r="I35" s="19" t="n"/>
      <c r="J35" s="19" t="n"/>
      <c r="K35" s="19" t="n"/>
      <c r="L35" s="35" t="n"/>
      <c r="M35" s="5">
        <f>IF($D35="","",IFERROR(VLOOKUP($H35,Lists!$N$2:$O$6,2,FALSE),0))</f>
        <v/>
      </c>
      <c r="N35" s="5">
        <f>IF($D35="","",IF(OR($E35="Blocked",$E35="Done",$E35="Archive"),-9999,IF(AND($E35="Waiting",SUMPRODUCT((($E$5:$E$500="Next")+($E$5:$E$500="In Progress")+($E$5:$E$500="Captured"))*($D$5:$D$500&lt;&gt;""))&gt;0),-500,VLOOKUP($F35,Lists!$L$2:$M$4,2,FALSE)+IF($E35="In Progress",10,0)+IF(AND($I35&lt;&gt;"",$I35&lt;TODAY()),25,0)+IF(AND($I35&lt;&gt;"",$I35&gt;=TODAY(),$I35&lt;=TODAY()+7),15,0)+IF($M35&lt;=VLOOKUP(Home!$C$7,Lists!$N$2:$O$6,2,FALSE),20,-10)+IF($G35=Home!$E$7,15,IF(Home!$E$7="",0,-5))-ROW()/100000)))</f>
        <v/>
      </c>
      <c r="O35" s="5">
        <f>IF($D35="","",IF($N35&lt;=-500,"Not recommended right now",IF($E35="Waiting","Nothing else actionable right now — Waiting on: "&amp;IF($K35="","this item",$K35),TEXTJOIN(" • ",TRUE,IF($F35="High","High Priority",""),IF(AND($I35&lt;&gt;"",$I35&lt;TODAY()),"Overdue",""),IF(AND($I35&lt;&gt;"",$I35&gt;=TODAY(),$I35&lt;=TODAY()+7),"Due This Week",""),IF($M35&lt;=VLOOKUP(Home!$C$7,Lists!$N$2:$O$6,2,FALSE),$H35&amp;" Task",""),IF($G35=Home!$E$7,"Fits Current Energy",""),"No Blockers"))))</f>
        <v/>
      </c>
      <c r="P35" s="5">
        <f>IF($D35="","",SWITCH('Task Finder'!$C$6,"High Priority",AND($F35="High",$E35&lt;&gt;"Done",$E35&lt;&gt;"Archive"),"Due This Week",AND($I35&lt;&gt;"",$I35&gt;=TODAY(),$I35&lt;=TODAY()+7,$E35&lt;&gt;"Done"),"Quick Wins (15 mins or less)",AND($M35&lt;=15,$E35&lt;&gt;"Done",$E35&lt;&gt;"Blocked"),"Deep Thinking",AND($G35="Deep Thinking",$E35&lt;&gt;"Done"),"Processing",AND($G35="Processing",$E35&lt;&gt;"Done"),"Blocked",$E35="Blocked","Waiting",$E35="Waiting","Recently Updated",AND($L35&lt;&gt;"",$L35&gt;=TODAY()-7),"Keyword",AND('Task Finder'!$C$7&lt;&gt;"",OR(ISNUMBER(SEARCH('Task Finder'!$C$7,$A35)),ISNUMBER(SEARCH('Task Finder'!$C$7,$B35)),ISNUMBER(SEARCH('Task Finder'!$C$7,$C35)),ISNUMBER(SEARCH('Task Finder'!$C$7,$D35)),ISNUMBER(SEARCH('Task Finder'!$C$7,$K35)))),TRUE))</f>
        <v/>
      </c>
    </row>
    <row r="36">
      <c r="A36" s="19" t="n"/>
      <c r="B36" s="19" t="n"/>
      <c r="C36" s="19" t="n"/>
      <c r="D36" s="19" t="n"/>
      <c r="E36" s="19" t="n"/>
      <c r="F36" s="19" t="n"/>
      <c r="G36" s="19" t="n"/>
      <c r="H36" s="19" t="n"/>
      <c r="I36" s="19" t="n"/>
      <c r="J36" s="19" t="n"/>
      <c r="K36" s="19" t="n"/>
      <c r="L36" s="35" t="n"/>
      <c r="M36" s="5">
        <f>IF($D36="","",IFERROR(VLOOKUP($H36,Lists!$N$2:$O$6,2,FALSE),0))</f>
        <v/>
      </c>
      <c r="N36" s="5">
        <f>IF($D36="","",IF(OR($E36="Blocked",$E36="Done",$E36="Archive"),-9999,IF(AND($E36="Waiting",SUMPRODUCT((($E$5:$E$500="Next")+($E$5:$E$500="In Progress")+($E$5:$E$500="Captured"))*($D$5:$D$500&lt;&gt;""))&gt;0),-500,VLOOKUP($F36,Lists!$L$2:$M$4,2,FALSE)+IF($E36="In Progress",10,0)+IF(AND($I36&lt;&gt;"",$I36&lt;TODAY()),25,0)+IF(AND($I36&lt;&gt;"",$I36&gt;=TODAY(),$I36&lt;=TODAY()+7),15,0)+IF($M36&lt;=VLOOKUP(Home!$C$7,Lists!$N$2:$O$6,2,FALSE),20,-10)+IF($G36=Home!$E$7,15,IF(Home!$E$7="",0,-5))-ROW()/100000)))</f>
        <v/>
      </c>
      <c r="O36" s="5">
        <f>IF($D36="","",IF($N36&lt;=-500,"Not recommended right now",IF($E36="Waiting","Nothing else actionable right now — Waiting on: "&amp;IF($K36="","this item",$K36),TEXTJOIN(" • ",TRUE,IF($F36="High","High Priority",""),IF(AND($I36&lt;&gt;"",$I36&lt;TODAY()),"Overdue",""),IF(AND($I36&lt;&gt;"",$I36&gt;=TODAY(),$I36&lt;=TODAY()+7),"Due This Week",""),IF($M36&lt;=VLOOKUP(Home!$C$7,Lists!$N$2:$O$6,2,FALSE),$H36&amp;" Task",""),IF($G36=Home!$E$7,"Fits Current Energy",""),"No Blockers"))))</f>
        <v/>
      </c>
      <c r="P36" s="5">
        <f>IF($D36="","",SWITCH('Task Finder'!$C$6,"High Priority",AND($F36="High",$E36&lt;&gt;"Done",$E36&lt;&gt;"Archive"),"Due This Week",AND($I36&lt;&gt;"",$I36&gt;=TODAY(),$I36&lt;=TODAY()+7,$E36&lt;&gt;"Done"),"Quick Wins (15 mins or less)",AND($M36&lt;=15,$E36&lt;&gt;"Done",$E36&lt;&gt;"Blocked"),"Deep Thinking",AND($G36="Deep Thinking",$E36&lt;&gt;"Done"),"Processing",AND($G36="Processing",$E36&lt;&gt;"Done"),"Blocked",$E36="Blocked","Waiting",$E36="Waiting","Recently Updated",AND($L36&lt;&gt;"",$L36&gt;=TODAY()-7),"Keyword",AND('Task Finder'!$C$7&lt;&gt;"",OR(ISNUMBER(SEARCH('Task Finder'!$C$7,$A36)),ISNUMBER(SEARCH('Task Finder'!$C$7,$B36)),ISNUMBER(SEARCH('Task Finder'!$C$7,$C36)),ISNUMBER(SEARCH('Task Finder'!$C$7,$D36)),ISNUMBER(SEARCH('Task Finder'!$C$7,$K36)))),TRUE))</f>
        <v/>
      </c>
    </row>
    <row r="37">
      <c r="A37" s="19" t="n"/>
      <c r="B37" s="19" t="n"/>
      <c r="C37" s="19" t="n"/>
      <c r="D37" s="19" t="n"/>
      <c r="E37" s="19" t="n"/>
      <c r="F37" s="19" t="n"/>
      <c r="G37" s="19" t="n"/>
      <c r="H37" s="19" t="n"/>
      <c r="I37" s="19" t="n"/>
      <c r="J37" s="19" t="n"/>
      <c r="K37" s="19" t="n"/>
      <c r="L37" s="35" t="n"/>
      <c r="M37" s="5">
        <f>IF($D37="","",IFERROR(VLOOKUP($H37,Lists!$N$2:$O$6,2,FALSE),0))</f>
        <v/>
      </c>
      <c r="N37" s="5">
        <f>IF($D37="","",IF(OR($E37="Blocked",$E37="Done",$E37="Archive"),-9999,IF(AND($E37="Waiting",SUMPRODUCT((($E$5:$E$500="Next")+($E$5:$E$500="In Progress")+($E$5:$E$500="Captured"))*($D$5:$D$500&lt;&gt;""))&gt;0),-500,VLOOKUP($F37,Lists!$L$2:$M$4,2,FALSE)+IF($E37="In Progress",10,0)+IF(AND($I37&lt;&gt;"",$I37&lt;TODAY()),25,0)+IF(AND($I37&lt;&gt;"",$I37&gt;=TODAY(),$I37&lt;=TODAY()+7),15,0)+IF($M37&lt;=VLOOKUP(Home!$C$7,Lists!$N$2:$O$6,2,FALSE),20,-10)+IF($G37=Home!$E$7,15,IF(Home!$E$7="",0,-5))-ROW()/100000)))</f>
        <v/>
      </c>
      <c r="O37" s="5">
        <f>IF($D37="","",IF($N37&lt;=-500,"Not recommended right now",IF($E37="Waiting","Nothing else actionable right now — Waiting on: "&amp;IF($K37="","this item",$K37),TEXTJOIN(" • ",TRUE,IF($F37="High","High Priority",""),IF(AND($I37&lt;&gt;"",$I37&lt;TODAY()),"Overdue",""),IF(AND($I37&lt;&gt;"",$I37&gt;=TODAY(),$I37&lt;=TODAY()+7),"Due This Week",""),IF($M37&lt;=VLOOKUP(Home!$C$7,Lists!$N$2:$O$6,2,FALSE),$H37&amp;" Task",""),IF($G37=Home!$E$7,"Fits Current Energy",""),"No Blockers"))))</f>
        <v/>
      </c>
      <c r="P37" s="5">
        <f>IF($D37="","",SWITCH('Task Finder'!$C$6,"High Priority",AND($F37="High",$E37&lt;&gt;"Done",$E37&lt;&gt;"Archive"),"Due This Week",AND($I37&lt;&gt;"",$I37&gt;=TODAY(),$I37&lt;=TODAY()+7,$E37&lt;&gt;"Done"),"Quick Wins (15 mins or less)",AND($M37&lt;=15,$E37&lt;&gt;"Done",$E37&lt;&gt;"Blocked"),"Deep Thinking",AND($G37="Deep Thinking",$E37&lt;&gt;"Done"),"Processing",AND($G37="Processing",$E37&lt;&gt;"Done"),"Blocked",$E37="Blocked","Waiting",$E37="Waiting","Recently Updated",AND($L37&lt;&gt;"",$L37&gt;=TODAY()-7),"Keyword",AND('Task Finder'!$C$7&lt;&gt;"",OR(ISNUMBER(SEARCH('Task Finder'!$C$7,$A37)),ISNUMBER(SEARCH('Task Finder'!$C$7,$B37)),ISNUMBER(SEARCH('Task Finder'!$C$7,$C37)),ISNUMBER(SEARCH('Task Finder'!$C$7,$D37)),ISNUMBER(SEARCH('Task Finder'!$C$7,$K37)))),TRUE))</f>
        <v/>
      </c>
    </row>
    <row r="38">
      <c r="A38" s="19" t="n"/>
      <c r="B38" s="19" t="n"/>
      <c r="C38" s="19" t="n"/>
      <c r="D38" s="19" t="n"/>
      <c r="E38" s="19" t="n"/>
      <c r="F38" s="19" t="n"/>
      <c r="G38" s="19" t="n"/>
      <c r="H38" s="19" t="n"/>
      <c r="I38" s="19" t="n"/>
      <c r="J38" s="19" t="n"/>
      <c r="K38" s="19" t="n"/>
      <c r="L38" s="35" t="n"/>
      <c r="M38" s="5">
        <f>IF($D38="","",IFERROR(VLOOKUP($H38,Lists!$N$2:$O$6,2,FALSE),0))</f>
        <v/>
      </c>
      <c r="N38" s="5">
        <f>IF($D38="","",IF(OR($E38="Blocked",$E38="Done",$E38="Archive"),-9999,IF(AND($E38="Waiting",SUMPRODUCT((($E$5:$E$500="Next")+($E$5:$E$500="In Progress")+($E$5:$E$500="Captured"))*($D$5:$D$500&lt;&gt;""))&gt;0),-500,VLOOKUP($F38,Lists!$L$2:$M$4,2,FALSE)+IF($E38="In Progress",10,0)+IF(AND($I38&lt;&gt;"",$I38&lt;TODAY()),25,0)+IF(AND($I38&lt;&gt;"",$I38&gt;=TODAY(),$I38&lt;=TODAY()+7),15,0)+IF($M38&lt;=VLOOKUP(Home!$C$7,Lists!$N$2:$O$6,2,FALSE),20,-10)+IF($G38=Home!$E$7,15,IF(Home!$E$7="",0,-5))-ROW()/100000)))</f>
        <v/>
      </c>
      <c r="O38" s="5">
        <f>IF($D38="","",IF($N38&lt;=-500,"Not recommended right now",IF($E38="Waiting","Nothing else actionable right now — Waiting on: "&amp;IF($K38="","this item",$K38),TEXTJOIN(" • ",TRUE,IF($F38="High","High Priority",""),IF(AND($I38&lt;&gt;"",$I38&lt;TODAY()),"Overdue",""),IF(AND($I38&lt;&gt;"",$I38&gt;=TODAY(),$I38&lt;=TODAY()+7),"Due This Week",""),IF($M38&lt;=VLOOKUP(Home!$C$7,Lists!$N$2:$O$6,2,FALSE),$H38&amp;" Task",""),IF($G38=Home!$E$7,"Fits Current Energy",""),"No Blockers"))))</f>
        <v/>
      </c>
      <c r="P38" s="5">
        <f>IF($D38="","",SWITCH('Task Finder'!$C$6,"High Priority",AND($F38="High",$E38&lt;&gt;"Done",$E38&lt;&gt;"Archive"),"Due This Week",AND($I38&lt;&gt;"",$I38&gt;=TODAY(),$I38&lt;=TODAY()+7,$E38&lt;&gt;"Done"),"Quick Wins (15 mins or less)",AND($M38&lt;=15,$E38&lt;&gt;"Done",$E38&lt;&gt;"Blocked"),"Deep Thinking",AND($G38="Deep Thinking",$E38&lt;&gt;"Done"),"Processing",AND($G38="Processing",$E38&lt;&gt;"Done"),"Blocked",$E38="Blocked","Waiting",$E38="Waiting","Recently Updated",AND($L38&lt;&gt;"",$L38&gt;=TODAY()-7),"Keyword",AND('Task Finder'!$C$7&lt;&gt;"",OR(ISNUMBER(SEARCH('Task Finder'!$C$7,$A38)),ISNUMBER(SEARCH('Task Finder'!$C$7,$B38)),ISNUMBER(SEARCH('Task Finder'!$C$7,$C38)),ISNUMBER(SEARCH('Task Finder'!$C$7,$D38)),ISNUMBER(SEARCH('Task Finder'!$C$7,$K38)))),TRUE))</f>
        <v/>
      </c>
    </row>
    <row r="39">
      <c r="A39" s="19" t="n"/>
      <c r="B39" s="19" t="n"/>
      <c r="C39" s="19" t="n"/>
      <c r="D39" s="19" t="n"/>
      <c r="E39" s="19" t="n"/>
      <c r="F39" s="19" t="n"/>
      <c r="G39" s="19" t="n"/>
      <c r="H39" s="19" t="n"/>
      <c r="I39" s="19" t="n"/>
      <c r="J39" s="19" t="n"/>
      <c r="K39" s="19" t="n"/>
      <c r="L39" s="35" t="n"/>
      <c r="M39" s="5">
        <f>IF($D39="","",IFERROR(VLOOKUP($H39,Lists!$N$2:$O$6,2,FALSE),0))</f>
        <v/>
      </c>
      <c r="N39" s="5">
        <f>IF($D39="","",IF(OR($E39="Blocked",$E39="Done",$E39="Archive"),-9999,IF(AND($E39="Waiting",SUMPRODUCT((($E$5:$E$500="Next")+($E$5:$E$500="In Progress")+($E$5:$E$500="Captured"))*($D$5:$D$500&lt;&gt;""))&gt;0),-500,VLOOKUP($F39,Lists!$L$2:$M$4,2,FALSE)+IF($E39="In Progress",10,0)+IF(AND($I39&lt;&gt;"",$I39&lt;TODAY()),25,0)+IF(AND($I39&lt;&gt;"",$I39&gt;=TODAY(),$I39&lt;=TODAY()+7),15,0)+IF($M39&lt;=VLOOKUP(Home!$C$7,Lists!$N$2:$O$6,2,FALSE),20,-10)+IF($G39=Home!$E$7,15,IF(Home!$E$7="",0,-5))-ROW()/100000)))</f>
        <v/>
      </c>
      <c r="O39" s="5">
        <f>IF($D39="","",IF($N39&lt;=-500,"Not recommended right now",IF($E39="Waiting","Nothing else actionable right now — Waiting on: "&amp;IF($K39="","this item",$K39),TEXTJOIN(" • ",TRUE,IF($F39="High","High Priority",""),IF(AND($I39&lt;&gt;"",$I39&lt;TODAY()),"Overdue",""),IF(AND($I39&lt;&gt;"",$I39&gt;=TODAY(),$I39&lt;=TODAY()+7),"Due This Week",""),IF($M39&lt;=VLOOKUP(Home!$C$7,Lists!$N$2:$O$6,2,FALSE),$H39&amp;" Task",""),IF($G39=Home!$E$7,"Fits Current Energy",""),"No Blockers"))))</f>
        <v/>
      </c>
      <c r="P39" s="5">
        <f>IF($D39="","",SWITCH('Task Finder'!$C$6,"High Priority",AND($F39="High",$E39&lt;&gt;"Done",$E39&lt;&gt;"Archive"),"Due This Week",AND($I39&lt;&gt;"",$I39&gt;=TODAY(),$I39&lt;=TODAY()+7,$E39&lt;&gt;"Done"),"Quick Wins (15 mins or less)",AND($M39&lt;=15,$E39&lt;&gt;"Done",$E39&lt;&gt;"Blocked"),"Deep Thinking",AND($G39="Deep Thinking",$E39&lt;&gt;"Done"),"Processing",AND($G39="Processing",$E39&lt;&gt;"Done"),"Blocked",$E39="Blocked","Waiting",$E39="Waiting","Recently Updated",AND($L39&lt;&gt;"",$L39&gt;=TODAY()-7),"Keyword",AND('Task Finder'!$C$7&lt;&gt;"",OR(ISNUMBER(SEARCH('Task Finder'!$C$7,$A39)),ISNUMBER(SEARCH('Task Finder'!$C$7,$B39)),ISNUMBER(SEARCH('Task Finder'!$C$7,$C39)),ISNUMBER(SEARCH('Task Finder'!$C$7,$D39)),ISNUMBER(SEARCH('Task Finder'!$C$7,$K39)))),TRUE))</f>
        <v/>
      </c>
    </row>
    <row r="40">
      <c r="A40" s="19" t="n"/>
      <c r="B40" s="19" t="n"/>
      <c r="C40" s="19" t="n"/>
      <c r="D40" s="19" t="n"/>
      <c r="E40" s="19" t="n"/>
      <c r="F40" s="19" t="n"/>
      <c r="G40" s="19" t="n"/>
      <c r="H40" s="19" t="n"/>
      <c r="I40" s="19" t="n"/>
      <c r="J40" s="19" t="n"/>
      <c r="K40" s="19" t="n"/>
      <c r="L40" s="35" t="n"/>
      <c r="M40" s="5">
        <f>IF($D40="","",IFERROR(VLOOKUP($H40,Lists!$N$2:$O$6,2,FALSE),0))</f>
        <v/>
      </c>
      <c r="N40" s="5">
        <f>IF($D40="","",IF(OR($E40="Blocked",$E40="Done",$E40="Archive"),-9999,IF(AND($E40="Waiting",SUMPRODUCT((($E$5:$E$500="Next")+($E$5:$E$500="In Progress")+($E$5:$E$500="Captured"))*($D$5:$D$500&lt;&gt;""))&gt;0),-500,VLOOKUP($F40,Lists!$L$2:$M$4,2,FALSE)+IF($E40="In Progress",10,0)+IF(AND($I40&lt;&gt;"",$I40&lt;TODAY()),25,0)+IF(AND($I40&lt;&gt;"",$I40&gt;=TODAY(),$I40&lt;=TODAY()+7),15,0)+IF($M40&lt;=VLOOKUP(Home!$C$7,Lists!$N$2:$O$6,2,FALSE),20,-10)+IF($G40=Home!$E$7,15,IF(Home!$E$7="",0,-5))-ROW()/100000)))</f>
        <v/>
      </c>
      <c r="O40" s="5">
        <f>IF($D40="","",IF($N40&lt;=-500,"Not recommended right now",IF($E40="Waiting","Nothing else actionable right now — Waiting on: "&amp;IF($K40="","this item",$K40),TEXTJOIN(" • ",TRUE,IF($F40="High","High Priority",""),IF(AND($I40&lt;&gt;"",$I40&lt;TODAY()),"Overdue",""),IF(AND($I40&lt;&gt;"",$I40&gt;=TODAY(),$I40&lt;=TODAY()+7),"Due This Week",""),IF($M40&lt;=VLOOKUP(Home!$C$7,Lists!$N$2:$O$6,2,FALSE),$H40&amp;" Task",""),IF($G40=Home!$E$7,"Fits Current Energy",""),"No Blockers"))))</f>
        <v/>
      </c>
      <c r="P40" s="5">
        <f>IF($D40="","",SWITCH('Task Finder'!$C$6,"High Priority",AND($F40="High",$E40&lt;&gt;"Done",$E40&lt;&gt;"Archive"),"Due This Week",AND($I40&lt;&gt;"",$I40&gt;=TODAY(),$I40&lt;=TODAY()+7,$E40&lt;&gt;"Done"),"Quick Wins (15 mins or less)",AND($M40&lt;=15,$E40&lt;&gt;"Done",$E40&lt;&gt;"Blocked"),"Deep Thinking",AND($G40="Deep Thinking",$E40&lt;&gt;"Done"),"Processing",AND($G40="Processing",$E40&lt;&gt;"Done"),"Blocked",$E40="Blocked","Waiting",$E40="Waiting","Recently Updated",AND($L40&lt;&gt;"",$L40&gt;=TODAY()-7),"Keyword",AND('Task Finder'!$C$7&lt;&gt;"",OR(ISNUMBER(SEARCH('Task Finder'!$C$7,$A40)),ISNUMBER(SEARCH('Task Finder'!$C$7,$B40)),ISNUMBER(SEARCH('Task Finder'!$C$7,$C40)),ISNUMBER(SEARCH('Task Finder'!$C$7,$D40)),ISNUMBER(SEARCH('Task Finder'!$C$7,$K40)))),TRUE))</f>
        <v/>
      </c>
    </row>
    <row r="41">
      <c r="A41" s="19" t="n"/>
      <c r="B41" s="19" t="n"/>
      <c r="C41" s="19" t="n"/>
      <c r="D41" s="19" t="n"/>
      <c r="E41" s="19" t="n"/>
      <c r="F41" s="19" t="n"/>
      <c r="G41" s="19" t="n"/>
      <c r="H41" s="19" t="n"/>
      <c r="I41" s="19" t="n"/>
      <c r="J41" s="19" t="n"/>
      <c r="K41" s="19" t="n"/>
      <c r="L41" s="35" t="n"/>
      <c r="M41" s="5">
        <f>IF($D41="","",IFERROR(VLOOKUP($H41,Lists!$N$2:$O$6,2,FALSE),0))</f>
        <v/>
      </c>
      <c r="N41" s="5">
        <f>IF($D41="","",IF(OR($E41="Blocked",$E41="Done",$E41="Archive"),-9999,IF(AND($E41="Waiting",SUMPRODUCT((($E$5:$E$500="Next")+($E$5:$E$500="In Progress")+($E$5:$E$500="Captured"))*($D$5:$D$500&lt;&gt;""))&gt;0),-500,VLOOKUP($F41,Lists!$L$2:$M$4,2,FALSE)+IF($E41="In Progress",10,0)+IF(AND($I41&lt;&gt;"",$I41&lt;TODAY()),25,0)+IF(AND($I41&lt;&gt;"",$I41&gt;=TODAY(),$I41&lt;=TODAY()+7),15,0)+IF($M41&lt;=VLOOKUP(Home!$C$7,Lists!$N$2:$O$6,2,FALSE),20,-10)+IF($G41=Home!$E$7,15,IF(Home!$E$7="",0,-5))-ROW()/100000)))</f>
        <v/>
      </c>
      <c r="O41" s="5">
        <f>IF($D41="","",IF($N41&lt;=-500,"Not recommended right now",IF($E41="Waiting","Nothing else actionable right now — Waiting on: "&amp;IF($K41="","this item",$K41),TEXTJOIN(" • ",TRUE,IF($F41="High","High Priority",""),IF(AND($I41&lt;&gt;"",$I41&lt;TODAY()),"Overdue",""),IF(AND($I41&lt;&gt;"",$I41&gt;=TODAY(),$I41&lt;=TODAY()+7),"Due This Week",""),IF($M41&lt;=VLOOKUP(Home!$C$7,Lists!$N$2:$O$6,2,FALSE),$H41&amp;" Task",""),IF($G41=Home!$E$7,"Fits Current Energy",""),"No Blockers"))))</f>
        <v/>
      </c>
      <c r="P41" s="5">
        <f>IF($D41="","",SWITCH('Task Finder'!$C$6,"High Priority",AND($F41="High",$E41&lt;&gt;"Done",$E41&lt;&gt;"Archive"),"Due This Week",AND($I41&lt;&gt;"",$I41&gt;=TODAY(),$I41&lt;=TODAY()+7,$E41&lt;&gt;"Done"),"Quick Wins (15 mins or less)",AND($M41&lt;=15,$E41&lt;&gt;"Done",$E41&lt;&gt;"Blocked"),"Deep Thinking",AND($G41="Deep Thinking",$E41&lt;&gt;"Done"),"Processing",AND($G41="Processing",$E41&lt;&gt;"Done"),"Blocked",$E41="Blocked","Waiting",$E41="Waiting","Recently Updated",AND($L41&lt;&gt;"",$L41&gt;=TODAY()-7),"Keyword",AND('Task Finder'!$C$7&lt;&gt;"",OR(ISNUMBER(SEARCH('Task Finder'!$C$7,$A41)),ISNUMBER(SEARCH('Task Finder'!$C$7,$B41)),ISNUMBER(SEARCH('Task Finder'!$C$7,$C41)),ISNUMBER(SEARCH('Task Finder'!$C$7,$D41)),ISNUMBER(SEARCH('Task Finder'!$C$7,$K41)))),TRUE))</f>
        <v/>
      </c>
    </row>
    <row r="42">
      <c r="A42" s="19" t="n"/>
      <c r="B42" s="19" t="n"/>
      <c r="C42" s="19" t="n"/>
      <c r="D42" s="19" t="n"/>
      <c r="E42" s="19" t="n"/>
      <c r="F42" s="19" t="n"/>
      <c r="G42" s="19" t="n"/>
      <c r="H42" s="19" t="n"/>
      <c r="I42" s="19" t="n"/>
      <c r="J42" s="19" t="n"/>
      <c r="K42" s="19" t="n"/>
      <c r="L42" s="35" t="n"/>
      <c r="M42" s="5">
        <f>IF($D42="","",IFERROR(VLOOKUP($H42,Lists!$N$2:$O$6,2,FALSE),0))</f>
        <v/>
      </c>
      <c r="N42" s="5">
        <f>IF($D42="","",IF(OR($E42="Blocked",$E42="Done",$E42="Archive"),-9999,IF(AND($E42="Waiting",SUMPRODUCT((($E$5:$E$500="Next")+($E$5:$E$500="In Progress")+($E$5:$E$500="Captured"))*($D$5:$D$500&lt;&gt;""))&gt;0),-500,VLOOKUP($F42,Lists!$L$2:$M$4,2,FALSE)+IF($E42="In Progress",10,0)+IF(AND($I42&lt;&gt;"",$I42&lt;TODAY()),25,0)+IF(AND($I42&lt;&gt;"",$I42&gt;=TODAY(),$I42&lt;=TODAY()+7),15,0)+IF($M42&lt;=VLOOKUP(Home!$C$7,Lists!$N$2:$O$6,2,FALSE),20,-10)+IF($G42=Home!$E$7,15,IF(Home!$E$7="",0,-5))-ROW()/100000)))</f>
        <v/>
      </c>
      <c r="O42" s="5">
        <f>IF($D42="","",IF($N42&lt;=-500,"Not recommended right now",IF($E42="Waiting","Nothing else actionable right now — Waiting on: "&amp;IF($K42="","this item",$K42),TEXTJOIN(" • ",TRUE,IF($F42="High","High Priority",""),IF(AND($I42&lt;&gt;"",$I42&lt;TODAY()),"Overdue",""),IF(AND($I42&lt;&gt;"",$I42&gt;=TODAY(),$I42&lt;=TODAY()+7),"Due This Week",""),IF($M42&lt;=VLOOKUP(Home!$C$7,Lists!$N$2:$O$6,2,FALSE),$H42&amp;" Task",""),IF($G42=Home!$E$7,"Fits Current Energy",""),"No Blockers"))))</f>
        <v/>
      </c>
      <c r="P42" s="5">
        <f>IF($D42="","",SWITCH('Task Finder'!$C$6,"High Priority",AND($F42="High",$E42&lt;&gt;"Done",$E42&lt;&gt;"Archive"),"Due This Week",AND($I42&lt;&gt;"",$I42&gt;=TODAY(),$I42&lt;=TODAY()+7,$E42&lt;&gt;"Done"),"Quick Wins (15 mins or less)",AND($M42&lt;=15,$E42&lt;&gt;"Done",$E42&lt;&gt;"Blocked"),"Deep Thinking",AND($G42="Deep Thinking",$E42&lt;&gt;"Done"),"Processing",AND($G42="Processing",$E42&lt;&gt;"Done"),"Blocked",$E42="Blocked","Waiting",$E42="Waiting","Recently Updated",AND($L42&lt;&gt;"",$L42&gt;=TODAY()-7),"Keyword",AND('Task Finder'!$C$7&lt;&gt;"",OR(ISNUMBER(SEARCH('Task Finder'!$C$7,$A42)),ISNUMBER(SEARCH('Task Finder'!$C$7,$B42)),ISNUMBER(SEARCH('Task Finder'!$C$7,$C42)),ISNUMBER(SEARCH('Task Finder'!$C$7,$D42)),ISNUMBER(SEARCH('Task Finder'!$C$7,$K42)))),TRUE))</f>
        <v/>
      </c>
    </row>
    <row r="43">
      <c r="A43" s="19" t="n"/>
      <c r="B43" s="19" t="n"/>
      <c r="C43" s="19" t="n"/>
      <c r="D43" s="19" t="n"/>
      <c r="E43" s="19" t="n"/>
      <c r="F43" s="19" t="n"/>
      <c r="G43" s="19" t="n"/>
      <c r="H43" s="19" t="n"/>
      <c r="I43" s="19" t="n"/>
      <c r="J43" s="19" t="n"/>
      <c r="K43" s="19" t="n"/>
      <c r="L43" s="35" t="n"/>
      <c r="M43" s="5">
        <f>IF($D43="","",IFERROR(VLOOKUP($H43,Lists!$N$2:$O$6,2,FALSE),0))</f>
        <v/>
      </c>
      <c r="N43" s="5">
        <f>IF($D43="","",IF(OR($E43="Blocked",$E43="Done",$E43="Archive"),-9999,IF(AND($E43="Waiting",SUMPRODUCT((($E$5:$E$500="Next")+($E$5:$E$500="In Progress")+($E$5:$E$500="Captured"))*($D$5:$D$500&lt;&gt;""))&gt;0),-500,VLOOKUP($F43,Lists!$L$2:$M$4,2,FALSE)+IF($E43="In Progress",10,0)+IF(AND($I43&lt;&gt;"",$I43&lt;TODAY()),25,0)+IF(AND($I43&lt;&gt;"",$I43&gt;=TODAY(),$I43&lt;=TODAY()+7),15,0)+IF($M43&lt;=VLOOKUP(Home!$C$7,Lists!$N$2:$O$6,2,FALSE),20,-10)+IF($G43=Home!$E$7,15,IF(Home!$E$7="",0,-5))-ROW()/100000)))</f>
        <v/>
      </c>
      <c r="O43" s="5">
        <f>IF($D43="","",IF($N43&lt;=-500,"Not recommended right now",IF($E43="Waiting","Nothing else actionable right now — Waiting on: "&amp;IF($K43="","this item",$K43),TEXTJOIN(" • ",TRUE,IF($F43="High","High Priority",""),IF(AND($I43&lt;&gt;"",$I43&lt;TODAY()),"Overdue",""),IF(AND($I43&lt;&gt;"",$I43&gt;=TODAY(),$I43&lt;=TODAY()+7),"Due This Week",""),IF($M43&lt;=VLOOKUP(Home!$C$7,Lists!$N$2:$O$6,2,FALSE),$H43&amp;" Task",""),IF($G43=Home!$E$7,"Fits Current Energy",""),"No Blockers"))))</f>
        <v/>
      </c>
      <c r="P43" s="5">
        <f>IF($D43="","",SWITCH('Task Finder'!$C$6,"High Priority",AND($F43="High",$E43&lt;&gt;"Done",$E43&lt;&gt;"Archive"),"Due This Week",AND($I43&lt;&gt;"",$I43&gt;=TODAY(),$I43&lt;=TODAY()+7,$E43&lt;&gt;"Done"),"Quick Wins (15 mins or less)",AND($M43&lt;=15,$E43&lt;&gt;"Done",$E43&lt;&gt;"Blocked"),"Deep Thinking",AND($G43="Deep Thinking",$E43&lt;&gt;"Done"),"Processing",AND($G43="Processing",$E43&lt;&gt;"Done"),"Blocked",$E43="Blocked","Waiting",$E43="Waiting","Recently Updated",AND($L43&lt;&gt;"",$L43&gt;=TODAY()-7),"Keyword",AND('Task Finder'!$C$7&lt;&gt;"",OR(ISNUMBER(SEARCH('Task Finder'!$C$7,$A43)),ISNUMBER(SEARCH('Task Finder'!$C$7,$B43)),ISNUMBER(SEARCH('Task Finder'!$C$7,$C43)),ISNUMBER(SEARCH('Task Finder'!$C$7,$D43)),ISNUMBER(SEARCH('Task Finder'!$C$7,$K43)))),TRUE))</f>
        <v/>
      </c>
    </row>
    <row r="44">
      <c r="A44" s="19" t="n"/>
      <c r="B44" s="19" t="n"/>
      <c r="C44" s="19" t="n"/>
      <c r="D44" s="19" t="n"/>
      <c r="E44" s="19" t="n"/>
      <c r="F44" s="19" t="n"/>
      <c r="G44" s="19" t="n"/>
      <c r="H44" s="19" t="n"/>
      <c r="I44" s="19" t="n"/>
      <c r="J44" s="19" t="n"/>
      <c r="K44" s="19" t="n"/>
      <c r="L44" s="35" t="n"/>
      <c r="M44" s="5">
        <f>IF($D44="","",IFERROR(VLOOKUP($H44,Lists!$N$2:$O$6,2,FALSE),0))</f>
        <v/>
      </c>
      <c r="N44" s="5">
        <f>IF($D44="","",IF(OR($E44="Blocked",$E44="Done",$E44="Archive"),-9999,IF(AND($E44="Waiting",SUMPRODUCT((($E$5:$E$500="Next")+($E$5:$E$500="In Progress")+($E$5:$E$500="Captured"))*($D$5:$D$500&lt;&gt;""))&gt;0),-500,VLOOKUP($F44,Lists!$L$2:$M$4,2,FALSE)+IF($E44="In Progress",10,0)+IF(AND($I44&lt;&gt;"",$I44&lt;TODAY()),25,0)+IF(AND($I44&lt;&gt;"",$I44&gt;=TODAY(),$I44&lt;=TODAY()+7),15,0)+IF($M44&lt;=VLOOKUP(Home!$C$7,Lists!$N$2:$O$6,2,FALSE),20,-10)+IF($G44=Home!$E$7,15,IF(Home!$E$7="",0,-5))-ROW()/100000)))</f>
        <v/>
      </c>
      <c r="O44" s="5">
        <f>IF($D44="","",IF($N44&lt;=-500,"Not recommended right now",IF($E44="Waiting","Nothing else actionable right now — Waiting on: "&amp;IF($K44="","this item",$K44),TEXTJOIN(" • ",TRUE,IF($F44="High","High Priority",""),IF(AND($I44&lt;&gt;"",$I44&lt;TODAY()),"Overdue",""),IF(AND($I44&lt;&gt;"",$I44&gt;=TODAY(),$I44&lt;=TODAY()+7),"Due This Week",""),IF($M44&lt;=VLOOKUP(Home!$C$7,Lists!$N$2:$O$6,2,FALSE),$H44&amp;" Task",""),IF($G44=Home!$E$7,"Fits Current Energy",""),"No Blockers"))))</f>
        <v/>
      </c>
      <c r="P44" s="5">
        <f>IF($D44="","",SWITCH('Task Finder'!$C$6,"High Priority",AND($F44="High",$E44&lt;&gt;"Done",$E44&lt;&gt;"Archive"),"Due This Week",AND($I44&lt;&gt;"",$I44&gt;=TODAY(),$I44&lt;=TODAY()+7,$E44&lt;&gt;"Done"),"Quick Wins (15 mins or less)",AND($M44&lt;=15,$E44&lt;&gt;"Done",$E44&lt;&gt;"Blocked"),"Deep Thinking",AND($G44="Deep Thinking",$E44&lt;&gt;"Done"),"Processing",AND($G44="Processing",$E44&lt;&gt;"Done"),"Blocked",$E44="Blocked","Waiting",$E44="Waiting","Recently Updated",AND($L44&lt;&gt;"",$L44&gt;=TODAY()-7),"Keyword",AND('Task Finder'!$C$7&lt;&gt;"",OR(ISNUMBER(SEARCH('Task Finder'!$C$7,$A44)),ISNUMBER(SEARCH('Task Finder'!$C$7,$B44)),ISNUMBER(SEARCH('Task Finder'!$C$7,$C44)),ISNUMBER(SEARCH('Task Finder'!$C$7,$D44)),ISNUMBER(SEARCH('Task Finder'!$C$7,$K44)))),TRUE))</f>
        <v/>
      </c>
    </row>
    <row r="45">
      <c r="A45" s="19" t="n"/>
      <c r="B45" s="19" t="n"/>
      <c r="C45" s="19" t="n"/>
      <c r="D45" s="19" t="n"/>
      <c r="E45" s="19" t="n"/>
      <c r="F45" s="19" t="n"/>
      <c r="G45" s="19" t="n"/>
      <c r="H45" s="19" t="n"/>
      <c r="I45" s="19" t="n"/>
      <c r="J45" s="19" t="n"/>
      <c r="K45" s="19" t="n"/>
      <c r="L45" s="35" t="n"/>
      <c r="M45" s="5">
        <f>IF($D45="","",IFERROR(VLOOKUP($H45,Lists!$N$2:$O$6,2,FALSE),0))</f>
        <v/>
      </c>
      <c r="N45" s="5">
        <f>IF($D45="","",IF(OR($E45="Blocked",$E45="Done",$E45="Archive"),-9999,IF(AND($E45="Waiting",SUMPRODUCT((($E$5:$E$500="Next")+($E$5:$E$500="In Progress")+($E$5:$E$500="Captured"))*($D$5:$D$500&lt;&gt;""))&gt;0),-500,VLOOKUP($F45,Lists!$L$2:$M$4,2,FALSE)+IF($E45="In Progress",10,0)+IF(AND($I45&lt;&gt;"",$I45&lt;TODAY()),25,0)+IF(AND($I45&lt;&gt;"",$I45&gt;=TODAY(),$I45&lt;=TODAY()+7),15,0)+IF($M45&lt;=VLOOKUP(Home!$C$7,Lists!$N$2:$O$6,2,FALSE),20,-10)+IF($G45=Home!$E$7,15,IF(Home!$E$7="",0,-5))-ROW()/100000)))</f>
        <v/>
      </c>
      <c r="O45" s="5">
        <f>IF($D45="","",IF($N45&lt;=-500,"Not recommended right now",IF($E45="Waiting","Nothing else actionable right now — Waiting on: "&amp;IF($K45="","this item",$K45),TEXTJOIN(" • ",TRUE,IF($F45="High","High Priority",""),IF(AND($I45&lt;&gt;"",$I45&lt;TODAY()),"Overdue",""),IF(AND($I45&lt;&gt;"",$I45&gt;=TODAY(),$I45&lt;=TODAY()+7),"Due This Week",""),IF($M45&lt;=VLOOKUP(Home!$C$7,Lists!$N$2:$O$6,2,FALSE),$H45&amp;" Task",""),IF($G45=Home!$E$7,"Fits Current Energy",""),"No Blockers"))))</f>
        <v/>
      </c>
      <c r="P45" s="5">
        <f>IF($D45="","",SWITCH('Task Finder'!$C$6,"High Priority",AND($F45="High",$E45&lt;&gt;"Done",$E45&lt;&gt;"Archive"),"Due This Week",AND($I45&lt;&gt;"",$I45&gt;=TODAY(),$I45&lt;=TODAY()+7,$E45&lt;&gt;"Done"),"Quick Wins (15 mins or less)",AND($M45&lt;=15,$E45&lt;&gt;"Done",$E45&lt;&gt;"Blocked"),"Deep Thinking",AND($G45="Deep Thinking",$E45&lt;&gt;"Done"),"Processing",AND($G45="Processing",$E45&lt;&gt;"Done"),"Blocked",$E45="Blocked","Waiting",$E45="Waiting","Recently Updated",AND($L45&lt;&gt;"",$L45&gt;=TODAY()-7),"Keyword",AND('Task Finder'!$C$7&lt;&gt;"",OR(ISNUMBER(SEARCH('Task Finder'!$C$7,$A45)),ISNUMBER(SEARCH('Task Finder'!$C$7,$B45)),ISNUMBER(SEARCH('Task Finder'!$C$7,$C45)),ISNUMBER(SEARCH('Task Finder'!$C$7,$D45)),ISNUMBER(SEARCH('Task Finder'!$C$7,$K45)))),TRUE))</f>
        <v/>
      </c>
    </row>
    <row r="46">
      <c r="A46" s="19" t="n"/>
      <c r="B46" s="19" t="n"/>
      <c r="C46" s="19" t="n"/>
      <c r="D46" s="19" t="n"/>
      <c r="E46" s="19" t="n"/>
      <c r="F46" s="19" t="n"/>
      <c r="G46" s="19" t="n"/>
      <c r="H46" s="19" t="n"/>
      <c r="I46" s="19" t="n"/>
      <c r="J46" s="19" t="n"/>
      <c r="K46" s="19" t="n"/>
      <c r="L46" s="35" t="n"/>
      <c r="M46" s="5">
        <f>IF($D46="","",IFERROR(VLOOKUP($H46,Lists!$N$2:$O$6,2,FALSE),0))</f>
        <v/>
      </c>
      <c r="N46" s="5">
        <f>IF($D46="","",IF(OR($E46="Blocked",$E46="Done",$E46="Archive"),-9999,IF(AND($E46="Waiting",SUMPRODUCT((($E$5:$E$500="Next")+($E$5:$E$500="In Progress")+($E$5:$E$500="Captured"))*($D$5:$D$500&lt;&gt;""))&gt;0),-500,VLOOKUP($F46,Lists!$L$2:$M$4,2,FALSE)+IF($E46="In Progress",10,0)+IF(AND($I46&lt;&gt;"",$I46&lt;TODAY()),25,0)+IF(AND($I46&lt;&gt;"",$I46&gt;=TODAY(),$I46&lt;=TODAY()+7),15,0)+IF($M46&lt;=VLOOKUP(Home!$C$7,Lists!$N$2:$O$6,2,FALSE),20,-10)+IF($G46=Home!$E$7,15,IF(Home!$E$7="",0,-5))-ROW()/100000)))</f>
        <v/>
      </c>
      <c r="O46" s="5">
        <f>IF($D46="","",IF($N46&lt;=-500,"Not recommended right now",IF($E46="Waiting","Nothing else actionable right now — Waiting on: "&amp;IF($K46="","this item",$K46),TEXTJOIN(" • ",TRUE,IF($F46="High","High Priority",""),IF(AND($I46&lt;&gt;"",$I46&lt;TODAY()),"Overdue",""),IF(AND($I46&lt;&gt;"",$I46&gt;=TODAY(),$I46&lt;=TODAY()+7),"Due This Week",""),IF($M46&lt;=VLOOKUP(Home!$C$7,Lists!$N$2:$O$6,2,FALSE),$H46&amp;" Task",""),IF($G46=Home!$E$7,"Fits Current Energy",""),"No Blockers"))))</f>
        <v/>
      </c>
      <c r="P46" s="5">
        <f>IF($D46="","",SWITCH('Task Finder'!$C$6,"High Priority",AND($F46="High",$E46&lt;&gt;"Done",$E46&lt;&gt;"Archive"),"Due This Week",AND($I46&lt;&gt;"",$I46&gt;=TODAY(),$I46&lt;=TODAY()+7,$E46&lt;&gt;"Done"),"Quick Wins (15 mins or less)",AND($M46&lt;=15,$E46&lt;&gt;"Done",$E46&lt;&gt;"Blocked"),"Deep Thinking",AND($G46="Deep Thinking",$E46&lt;&gt;"Done"),"Processing",AND($G46="Processing",$E46&lt;&gt;"Done"),"Blocked",$E46="Blocked","Waiting",$E46="Waiting","Recently Updated",AND($L46&lt;&gt;"",$L46&gt;=TODAY()-7),"Keyword",AND('Task Finder'!$C$7&lt;&gt;"",OR(ISNUMBER(SEARCH('Task Finder'!$C$7,$A46)),ISNUMBER(SEARCH('Task Finder'!$C$7,$B46)),ISNUMBER(SEARCH('Task Finder'!$C$7,$C46)),ISNUMBER(SEARCH('Task Finder'!$C$7,$D46)),ISNUMBER(SEARCH('Task Finder'!$C$7,$K46)))),TRUE))</f>
        <v/>
      </c>
    </row>
    <row r="47">
      <c r="A47" s="19" t="n"/>
      <c r="B47" s="19" t="n"/>
      <c r="C47" s="19" t="n"/>
      <c r="D47" s="19" t="n"/>
      <c r="E47" s="19" t="n"/>
      <c r="F47" s="19" t="n"/>
      <c r="G47" s="19" t="n"/>
      <c r="H47" s="19" t="n"/>
      <c r="I47" s="19" t="n"/>
      <c r="J47" s="19" t="n"/>
      <c r="K47" s="19" t="n"/>
      <c r="L47" s="35" t="n"/>
      <c r="M47" s="5">
        <f>IF($D47="","",IFERROR(VLOOKUP($H47,Lists!$N$2:$O$6,2,FALSE),0))</f>
        <v/>
      </c>
      <c r="N47" s="5">
        <f>IF($D47="","",IF(OR($E47="Blocked",$E47="Done",$E47="Archive"),-9999,IF(AND($E47="Waiting",SUMPRODUCT((($E$5:$E$500="Next")+($E$5:$E$500="In Progress")+($E$5:$E$500="Captured"))*($D$5:$D$500&lt;&gt;""))&gt;0),-500,VLOOKUP($F47,Lists!$L$2:$M$4,2,FALSE)+IF($E47="In Progress",10,0)+IF(AND($I47&lt;&gt;"",$I47&lt;TODAY()),25,0)+IF(AND($I47&lt;&gt;"",$I47&gt;=TODAY(),$I47&lt;=TODAY()+7),15,0)+IF($M47&lt;=VLOOKUP(Home!$C$7,Lists!$N$2:$O$6,2,FALSE),20,-10)+IF($G47=Home!$E$7,15,IF(Home!$E$7="",0,-5))-ROW()/100000)))</f>
        <v/>
      </c>
      <c r="O47" s="5">
        <f>IF($D47="","",IF($N47&lt;=-500,"Not recommended right now",IF($E47="Waiting","Nothing else actionable right now — Waiting on: "&amp;IF($K47="","this item",$K47),TEXTJOIN(" • ",TRUE,IF($F47="High","High Priority",""),IF(AND($I47&lt;&gt;"",$I47&lt;TODAY()),"Overdue",""),IF(AND($I47&lt;&gt;"",$I47&gt;=TODAY(),$I47&lt;=TODAY()+7),"Due This Week",""),IF($M47&lt;=VLOOKUP(Home!$C$7,Lists!$N$2:$O$6,2,FALSE),$H47&amp;" Task",""),IF($G47=Home!$E$7,"Fits Current Energy",""),"No Blockers"))))</f>
        <v/>
      </c>
      <c r="P47" s="5">
        <f>IF($D47="","",SWITCH('Task Finder'!$C$6,"High Priority",AND($F47="High",$E47&lt;&gt;"Done",$E47&lt;&gt;"Archive"),"Due This Week",AND($I47&lt;&gt;"",$I47&gt;=TODAY(),$I47&lt;=TODAY()+7,$E47&lt;&gt;"Done"),"Quick Wins (15 mins or less)",AND($M47&lt;=15,$E47&lt;&gt;"Done",$E47&lt;&gt;"Blocked"),"Deep Thinking",AND($G47="Deep Thinking",$E47&lt;&gt;"Done"),"Processing",AND($G47="Processing",$E47&lt;&gt;"Done"),"Blocked",$E47="Blocked","Waiting",$E47="Waiting","Recently Updated",AND($L47&lt;&gt;"",$L47&gt;=TODAY()-7),"Keyword",AND('Task Finder'!$C$7&lt;&gt;"",OR(ISNUMBER(SEARCH('Task Finder'!$C$7,$A47)),ISNUMBER(SEARCH('Task Finder'!$C$7,$B47)),ISNUMBER(SEARCH('Task Finder'!$C$7,$C47)),ISNUMBER(SEARCH('Task Finder'!$C$7,$D47)),ISNUMBER(SEARCH('Task Finder'!$C$7,$K47)))),TRUE))</f>
        <v/>
      </c>
    </row>
    <row r="48">
      <c r="A48" s="19" t="n"/>
      <c r="B48" s="19" t="n"/>
      <c r="C48" s="19" t="n"/>
      <c r="D48" s="19" t="n"/>
      <c r="E48" s="19" t="n"/>
      <c r="F48" s="19" t="n"/>
      <c r="G48" s="19" t="n"/>
      <c r="H48" s="19" t="n"/>
      <c r="I48" s="19" t="n"/>
      <c r="J48" s="19" t="n"/>
      <c r="K48" s="19" t="n"/>
      <c r="L48" s="35" t="n"/>
      <c r="M48" s="5">
        <f>IF($D48="","",IFERROR(VLOOKUP($H48,Lists!$N$2:$O$6,2,FALSE),0))</f>
        <v/>
      </c>
      <c r="N48" s="5">
        <f>IF($D48="","",IF(OR($E48="Blocked",$E48="Done",$E48="Archive"),-9999,IF(AND($E48="Waiting",SUMPRODUCT((($E$5:$E$500="Next")+($E$5:$E$500="In Progress")+($E$5:$E$500="Captured"))*($D$5:$D$500&lt;&gt;""))&gt;0),-500,VLOOKUP($F48,Lists!$L$2:$M$4,2,FALSE)+IF($E48="In Progress",10,0)+IF(AND($I48&lt;&gt;"",$I48&lt;TODAY()),25,0)+IF(AND($I48&lt;&gt;"",$I48&gt;=TODAY(),$I48&lt;=TODAY()+7),15,0)+IF($M48&lt;=VLOOKUP(Home!$C$7,Lists!$N$2:$O$6,2,FALSE),20,-10)+IF($G48=Home!$E$7,15,IF(Home!$E$7="",0,-5))-ROW()/100000)))</f>
        <v/>
      </c>
      <c r="O48" s="5">
        <f>IF($D48="","",IF($N48&lt;=-500,"Not recommended right now",IF($E48="Waiting","Nothing else actionable right now — Waiting on: "&amp;IF($K48="","this item",$K48),TEXTJOIN(" • ",TRUE,IF($F48="High","High Priority",""),IF(AND($I48&lt;&gt;"",$I48&lt;TODAY()),"Overdue",""),IF(AND($I48&lt;&gt;"",$I48&gt;=TODAY(),$I48&lt;=TODAY()+7),"Due This Week",""),IF($M48&lt;=VLOOKUP(Home!$C$7,Lists!$N$2:$O$6,2,FALSE),$H48&amp;" Task",""),IF($G48=Home!$E$7,"Fits Current Energy",""),"No Blockers"))))</f>
        <v/>
      </c>
      <c r="P48" s="5">
        <f>IF($D48="","",SWITCH('Task Finder'!$C$6,"High Priority",AND($F48="High",$E48&lt;&gt;"Done",$E48&lt;&gt;"Archive"),"Due This Week",AND($I48&lt;&gt;"",$I48&gt;=TODAY(),$I48&lt;=TODAY()+7,$E48&lt;&gt;"Done"),"Quick Wins (15 mins or less)",AND($M48&lt;=15,$E48&lt;&gt;"Done",$E48&lt;&gt;"Blocked"),"Deep Thinking",AND($G48="Deep Thinking",$E48&lt;&gt;"Done"),"Processing",AND($G48="Processing",$E48&lt;&gt;"Done"),"Blocked",$E48="Blocked","Waiting",$E48="Waiting","Recently Updated",AND($L48&lt;&gt;"",$L48&gt;=TODAY()-7),"Keyword",AND('Task Finder'!$C$7&lt;&gt;"",OR(ISNUMBER(SEARCH('Task Finder'!$C$7,$A48)),ISNUMBER(SEARCH('Task Finder'!$C$7,$B48)),ISNUMBER(SEARCH('Task Finder'!$C$7,$C48)),ISNUMBER(SEARCH('Task Finder'!$C$7,$D48)),ISNUMBER(SEARCH('Task Finder'!$C$7,$K48)))),TRUE))</f>
        <v/>
      </c>
    </row>
    <row r="49">
      <c r="A49" s="19" t="n"/>
      <c r="B49" s="19" t="n"/>
      <c r="C49" s="19" t="n"/>
      <c r="D49" s="19" t="n"/>
      <c r="E49" s="19" t="n"/>
      <c r="F49" s="19" t="n"/>
      <c r="G49" s="19" t="n"/>
      <c r="H49" s="19" t="n"/>
      <c r="I49" s="19" t="n"/>
      <c r="J49" s="19" t="n"/>
      <c r="K49" s="19" t="n"/>
      <c r="L49" s="35" t="n"/>
      <c r="M49" s="5">
        <f>IF($D49="","",IFERROR(VLOOKUP($H49,Lists!$N$2:$O$6,2,FALSE),0))</f>
        <v/>
      </c>
      <c r="N49" s="5">
        <f>IF($D49="","",IF(OR($E49="Blocked",$E49="Done",$E49="Archive"),-9999,IF(AND($E49="Waiting",SUMPRODUCT((($E$5:$E$500="Next")+($E$5:$E$500="In Progress")+($E$5:$E$500="Captured"))*($D$5:$D$500&lt;&gt;""))&gt;0),-500,VLOOKUP($F49,Lists!$L$2:$M$4,2,FALSE)+IF($E49="In Progress",10,0)+IF(AND($I49&lt;&gt;"",$I49&lt;TODAY()),25,0)+IF(AND($I49&lt;&gt;"",$I49&gt;=TODAY(),$I49&lt;=TODAY()+7),15,0)+IF($M49&lt;=VLOOKUP(Home!$C$7,Lists!$N$2:$O$6,2,FALSE),20,-10)+IF($G49=Home!$E$7,15,IF(Home!$E$7="",0,-5))-ROW()/100000)))</f>
        <v/>
      </c>
      <c r="O49" s="5">
        <f>IF($D49="","",IF($N49&lt;=-500,"Not recommended right now",IF($E49="Waiting","Nothing else actionable right now — Waiting on: "&amp;IF($K49="","this item",$K49),TEXTJOIN(" • ",TRUE,IF($F49="High","High Priority",""),IF(AND($I49&lt;&gt;"",$I49&lt;TODAY()),"Overdue",""),IF(AND($I49&lt;&gt;"",$I49&gt;=TODAY(),$I49&lt;=TODAY()+7),"Due This Week",""),IF($M49&lt;=VLOOKUP(Home!$C$7,Lists!$N$2:$O$6,2,FALSE),$H49&amp;" Task",""),IF($G49=Home!$E$7,"Fits Current Energy",""),"No Blockers"))))</f>
        <v/>
      </c>
      <c r="P49" s="5">
        <f>IF($D49="","",SWITCH('Task Finder'!$C$6,"High Priority",AND($F49="High",$E49&lt;&gt;"Done",$E49&lt;&gt;"Archive"),"Due This Week",AND($I49&lt;&gt;"",$I49&gt;=TODAY(),$I49&lt;=TODAY()+7,$E49&lt;&gt;"Done"),"Quick Wins (15 mins or less)",AND($M49&lt;=15,$E49&lt;&gt;"Done",$E49&lt;&gt;"Blocked"),"Deep Thinking",AND($G49="Deep Thinking",$E49&lt;&gt;"Done"),"Processing",AND($G49="Processing",$E49&lt;&gt;"Done"),"Blocked",$E49="Blocked","Waiting",$E49="Waiting","Recently Updated",AND($L49&lt;&gt;"",$L49&gt;=TODAY()-7),"Keyword",AND('Task Finder'!$C$7&lt;&gt;"",OR(ISNUMBER(SEARCH('Task Finder'!$C$7,$A49)),ISNUMBER(SEARCH('Task Finder'!$C$7,$B49)),ISNUMBER(SEARCH('Task Finder'!$C$7,$C49)),ISNUMBER(SEARCH('Task Finder'!$C$7,$D49)),ISNUMBER(SEARCH('Task Finder'!$C$7,$K49)))),TRUE))</f>
        <v/>
      </c>
    </row>
    <row r="50">
      <c r="A50" s="19" t="n"/>
      <c r="B50" s="19" t="n"/>
      <c r="C50" s="19" t="n"/>
      <c r="D50" s="19" t="n"/>
      <c r="E50" s="19" t="n"/>
      <c r="F50" s="19" t="n"/>
      <c r="G50" s="19" t="n"/>
      <c r="H50" s="19" t="n"/>
      <c r="I50" s="19" t="n"/>
      <c r="J50" s="19" t="n"/>
      <c r="K50" s="19" t="n"/>
      <c r="L50" s="35" t="n"/>
      <c r="M50" s="5">
        <f>IF($D50="","",IFERROR(VLOOKUP($H50,Lists!$N$2:$O$6,2,FALSE),0))</f>
        <v/>
      </c>
      <c r="N50" s="5">
        <f>IF($D50="","",IF(OR($E50="Blocked",$E50="Done",$E50="Archive"),-9999,IF(AND($E50="Waiting",SUMPRODUCT((($E$5:$E$500="Next")+($E$5:$E$500="In Progress")+($E$5:$E$500="Captured"))*($D$5:$D$500&lt;&gt;""))&gt;0),-500,VLOOKUP($F50,Lists!$L$2:$M$4,2,FALSE)+IF($E50="In Progress",10,0)+IF(AND($I50&lt;&gt;"",$I50&lt;TODAY()),25,0)+IF(AND($I50&lt;&gt;"",$I50&gt;=TODAY(),$I50&lt;=TODAY()+7),15,0)+IF($M50&lt;=VLOOKUP(Home!$C$7,Lists!$N$2:$O$6,2,FALSE),20,-10)+IF($G50=Home!$E$7,15,IF(Home!$E$7="",0,-5))-ROW()/100000)))</f>
        <v/>
      </c>
      <c r="O50" s="5">
        <f>IF($D50="","",IF($N50&lt;=-500,"Not recommended right now",IF($E50="Waiting","Nothing else actionable right now — Waiting on: "&amp;IF($K50="","this item",$K50),TEXTJOIN(" • ",TRUE,IF($F50="High","High Priority",""),IF(AND($I50&lt;&gt;"",$I50&lt;TODAY()),"Overdue",""),IF(AND($I50&lt;&gt;"",$I50&gt;=TODAY(),$I50&lt;=TODAY()+7),"Due This Week",""),IF($M50&lt;=VLOOKUP(Home!$C$7,Lists!$N$2:$O$6,2,FALSE),$H50&amp;" Task",""),IF($G50=Home!$E$7,"Fits Current Energy",""),"No Blockers"))))</f>
        <v/>
      </c>
      <c r="P50" s="5">
        <f>IF($D50="","",SWITCH('Task Finder'!$C$6,"High Priority",AND($F50="High",$E50&lt;&gt;"Done",$E50&lt;&gt;"Archive"),"Due This Week",AND($I50&lt;&gt;"",$I50&gt;=TODAY(),$I50&lt;=TODAY()+7,$E50&lt;&gt;"Done"),"Quick Wins (15 mins or less)",AND($M50&lt;=15,$E50&lt;&gt;"Done",$E50&lt;&gt;"Blocked"),"Deep Thinking",AND($G50="Deep Thinking",$E50&lt;&gt;"Done"),"Processing",AND($G50="Processing",$E50&lt;&gt;"Done"),"Blocked",$E50="Blocked","Waiting",$E50="Waiting","Recently Updated",AND($L50&lt;&gt;"",$L50&gt;=TODAY()-7),"Keyword",AND('Task Finder'!$C$7&lt;&gt;"",OR(ISNUMBER(SEARCH('Task Finder'!$C$7,$A50)),ISNUMBER(SEARCH('Task Finder'!$C$7,$B50)),ISNUMBER(SEARCH('Task Finder'!$C$7,$C50)),ISNUMBER(SEARCH('Task Finder'!$C$7,$D50)),ISNUMBER(SEARCH('Task Finder'!$C$7,$K50)))),TRUE))</f>
        <v/>
      </c>
    </row>
    <row r="51">
      <c r="A51" s="19" t="n"/>
      <c r="B51" s="19" t="n"/>
      <c r="C51" s="19" t="n"/>
      <c r="D51" s="19" t="n"/>
      <c r="E51" s="19" t="n"/>
      <c r="F51" s="19" t="n"/>
      <c r="G51" s="19" t="n"/>
      <c r="H51" s="19" t="n"/>
      <c r="I51" s="19" t="n"/>
      <c r="J51" s="19" t="n"/>
      <c r="K51" s="19" t="n"/>
      <c r="L51" s="35" t="n"/>
      <c r="M51" s="5">
        <f>IF($D51="","",IFERROR(VLOOKUP($H51,Lists!$N$2:$O$6,2,FALSE),0))</f>
        <v/>
      </c>
      <c r="N51" s="5">
        <f>IF($D51="","",IF(OR($E51="Blocked",$E51="Done",$E51="Archive"),-9999,IF(AND($E51="Waiting",SUMPRODUCT((($E$5:$E$500="Next")+($E$5:$E$500="In Progress")+($E$5:$E$500="Captured"))*($D$5:$D$500&lt;&gt;""))&gt;0),-500,VLOOKUP($F51,Lists!$L$2:$M$4,2,FALSE)+IF($E51="In Progress",10,0)+IF(AND($I51&lt;&gt;"",$I51&lt;TODAY()),25,0)+IF(AND($I51&lt;&gt;"",$I51&gt;=TODAY(),$I51&lt;=TODAY()+7),15,0)+IF($M51&lt;=VLOOKUP(Home!$C$7,Lists!$N$2:$O$6,2,FALSE),20,-10)+IF($G51=Home!$E$7,15,IF(Home!$E$7="",0,-5))-ROW()/100000)))</f>
        <v/>
      </c>
      <c r="O51" s="5">
        <f>IF($D51="","",IF($N51&lt;=-500,"Not recommended right now",IF($E51="Waiting","Nothing else actionable right now — Waiting on: "&amp;IF($K51="","this item",$K51),TEXTJOIN(" • ",TRUE,IF($F51="High","High Priority",""),IF(AND($I51&lt;&gt;"",$I51&lt;TODAY()),"Overdue",""),IF(AND($I51&lt;&gt;"",$I51&gt;=TODAY(),$I51&lt;=TODAY()+7),"Due This Week",""),IF($M51&lt;=VLOOKUP(Home!$C$7,Lists!$N$2:$O$6,2,FALSE),$H51&amp;" Task",""),IF($G51=Home!$E$7,"Fits Current Energy",""),"No Blockers"))))</f>
        <v/>
      </c>
      <c r="P51" s="5">
        <f>IF($D51="","",SWITCH('Task Finder'!$C$6,"High Priority",AND($F51="High",$E51&lt;&gt;"Done",$E51&lt;&gt;"Archive"),"Due This Week",AND($I51&lt;&gt;"",$I51&gt;=TODAY(),$I51&lt;=TODAY()+7,$E51&lt;&gt;"Done"),"Quick Wins (15 mins or less)",AND($M51&lt;=15,$E51&lt;&gt;"Done",$E51&lt;&gt;"Blocked"),"Deep Thinking",AND($G51="Deep Thinking",$E51&lt;&gt;"Done"),"Processing",AND($G51="Processing",$E51&lt;&gt;"Done"),"Blocked",$E51="Blocked","Waiting",$E51="Waiting","Recently Updated",AND($L51&lt;&gt;"",$L51&gt;=TODAY()-7),"Keyword",AND('Task Finder'!$C$7&lt;&gt;"",OR(ISNUMBER(SEARCH('Task Finder'!$C$7,$A51)),ISNUMBER(SEARCH('Task Finder'!$C$7,$B51)),ISNUMBER(SEARCH('Task Finder'!$C$7,$C51)),ISNUMBER(SEARCH('Task Finder'!$C$7,$D51)),ISNUMBER(SEARCH('Task Finder'!$C$7,$K51)))),TRUE))</f>
        <v/>
      </c>
    </row>
    <row r="52">
      <c r="A52" s="19" t="n"/>
      <c r="B52" s="19" t="n"/>
      <c r="C52" s="19" t="n"/>
      <c r="D52" s="19" t="n"/>
      <c r="E52" s="19" t="n"/>
      <c r="F52" s="19" t="n"/>
      <c r="G52" s="19" t="n"/>
      <c r="H52" s="19" t="n"/>
      <c r="I52" s="19" t="n"/>
      <c r="J52" s="19" t="n"/>
      <c r="K52" s="19" t="n"/>
      <c r="L52" s="35" t="n"/>
      <c r="M52" s="5">
        <f>IF($D52="","",IFERROR(VLOOKUP($H52,Lists!$N$2:$O$6,2,FALSE),0))</f>
        <v/>
      </c>
      <c r="N52" s="5">
        <f>IF($D52="","",IF(OR($E52="Blocked",$E52="Done",$E52="Archive"),-9999,IF(AND($E52="Waiting",SUMPRODUCT((($E$5:$E$500="Next")+($E$5:$E$500="In Progress")+($E$5:$E$500="Captured"))*($D$5:$D$500&lt;&gt;""))&gt;0),-500,VLOOKUP($F52,Lists!$L$2:$M$4,2,FALSE)+IF($E52="In Progress",10,0)+IF(AND($I52&lt;&gt;"",$I52&lt;TODAY()),25,0)+IF(AND($I52&lt;&gt;"",$I52&gt;=TODAY(),$I52&lt;=TODAY()+7),15,0)+IF($M52&lt;=VLOOKUP(Home!$C$7,Lists!$N$2:$O$6,2,FALSE),20,-10)+IF($G52=Home!$E$7,15,IF(Home!$E$7="",0,-5))-ROW()/100000)))</f>
        <v/>
      </c>
      <c r="O52" s="5">
        <f>IF($D52="","",IF($N52&lt;=-500,"Not recommended right now",IF($E52="Waiting","Nothing else actionable right now — Waiting on: "&amp;IF($K52="","this item",$K52),TEXTJOIN(" • ",TRUE,IF($F52="High","High Priority",""),IF(AND($I52&lt;&gt;"",$I52&lt;TODAY()),"Overdue",""),IF(AND($I52&lt;&gt;"",$I52&gt;=TODAY(),$I52&lt;=TODAY()+7),"Due This Week",""),IF($M52&lt;=VLOOKUP(Home!$C$7,Lists!$N$2:$O$6,2,FALSE),$H52&amp;" Task",""),IF($G52=Home!$E$7,"Fits Current Energy",""),"No Blockers"))))</f>
        <v/>
      </c>
      <c r="P52" s="5">
        <f>IF($D52="","",SWITCH('Task Finder'!$C$6,"High Priority",AND($F52="High",$E52&lt;&gt;"Done",$E52&lt;&gt;"Archive"),"Due This Week",AND($I52&lt;&gt;"",$I52&gt;=TODAY(),$I52&lt;=TODAY()+7,$E52&lt;&gt;"Done"),"Quick Wins (15 mins or less)",AND($M52&lt;=15,$E52&lt;&gt;"Done",$E52&lt;&gt;"Blocked"),"Deep Thinking",AND($G52="Deep Thinking",$E52&lt;&gt;"Done"),"Processing",AND($G52="Processing",$E52&lt;&gt;"Done"),"Blocked",$E52="Blocked","Waiting",$E52="Waiting","Recently Updated",AND($L52&lt;&gt;"",$L52&gt;=TODAY()-7),"Keyword",AND('Task Finder'!$C$7&lt;&gt;"",OR(ISNUMBER(SEARCH('Task Finder'!$C$7,$A52)),ISNUMBER(SEARCH('Task Finder'!$C$7,$B52)),ISNUMBER(SEARCH('Task Finder'!$C$7,$C52)),ISNUMBER(SEARCH('Task Finder'!$C$7,$D52)),ISNUMBER(SEARCH('Task Finder'!$C$7,$K52)))),TRUE))</f>
        <v/>
      </c>
    </row>
    <row r="53">
      <c r="A53" s="19" t="n"/>
      <c r="B53" s="19" t="n"/>
      <c r="C53" s="19" t="n"/>
      <c r="D53" s="19" t="n"/>
      <c r="E53" s="19" t="n"/>
      <c r="F53" s="19" t="n"/>
      <c r="G53" s="19" t="n"/>
      <c r="H53" s="19" t="n"/>
      <c r="I53" s="19" t="n"/>
      <c r="J53" s="19" t="n"/>
      <c r="K53" s="19" t="n"/>
      <c r="L53" s="35" t="n"/>
      <c r="M53" s="5">
        <f>IF($D53="","",IFERROR(VLOOKUP($H53,Lists!$N$2:$O$6,2,FALSE),0))</f>
        <v/>
      </c>
      <c r="N53" s="5">
        <f>IF($D53="","",IF(OR($E53="Blocked",$E53="Done",$E53="Archive"),-9999,IF(AND($E53="Waiting",SUMPRODUCT((($E$5:$E$500="Next")+($E$5:$E$500="In Progress")+($E$5:$E$500="Captured"))*($D$5:$D$500&lt;&gt;""))&gt;0),-500,VLOOKUP($F53,Lists!$L$2:$M$4,2,FALSE)+IF($E53="In Progress",10,0)+IF(AND($I53&lt;&gt;"",$I53&lt;TODAY()),25,0)+IF(AND($I53&lt;&gt;"",$I53&gt;=TODAY(),$I53&lt;=TODAY()+7),15,0)+IF($M53&lt;=VLOOKUP(Home!$C$7,Lists!$N$2:$O$6,2,FALSE),20,-10)+IF($G53=Home!$E$7,15,IF(Home!$E$7="",0,-5))-ROW()/100000)))</f>
        <v/>
      </c>
      <c r="O53" s="5">
        <f>IF($D53="","",IF($N53&lt;=-500,"Not recommended right now",IF($E53="Waiting","Nothing else actionable right now — Waiting on: "&amp;IF($K53="","this item",$K53),TEXTJOIN(" • ",TRUE,IF($F53="High","High Priority",""),IF(AND($I53&lt;&gt;"",$I53&lt;TODAY()),"Overdue",""),IF(AND($I53&lt;&gt;"",$I53&gt;=TODAY(),$I53&lt;=TODAY()+7),"Due This Week",""),IF($M53&lt;=VLOOKUP(Home!$C$7,Lists!$N$2:$O$6,2,FALSE),$H53&amp;" Task",""),IF($G53=Home!$E$7,"Fits Current Energy",""),"No Blockers"))))</f>
        <v/>
      </c>
      <c r="P53" s="5">
        <f>IF($D53="","",SWITCH('Task Finder'!$C$6,"High Priority",AND($F53="High",$E53&lt;&gt;"Done",$E53&lt;&gt;"Archive"),"Due This Week",AND($I53&lt;&gt;"",$I53&gt;=TODAY(),$I53&lt;=TODAY()+7,$E53&lt;&gt;"Done"),"Quick Wins (15 mins or less)",AND($M53&lt;=15,$E53&lt;&gt;"Done",$E53&lt;&gt;"Blocked"),"Deep Thinking",AND($G53="Deep Thinking",$E53&lt;&gt;"Done"),"Processing",AND($G53="Processing",$E53&lt;&gt;"Done"),"Blocked",$E53="Blocked","Waiting",$E53="Waiting","Recently Updated",AND($L53&lt;&gt;"",$L53&gt;=TODAY()-7),"Keyword",AND('Task Finder'!$C$7&lt;&gt;"",OR(ISNUMBER(SEARCH('Task Finder'!$C$7,$A53)),ISNUMBER(SEARCH('Task Finder'!$C$7,$B53)),ISNUMBER(SEARCH('Task Finder'!$C$7,$C53)),ISNUMBER(SEARCH('Task Finder'!$C$7,$D53)),ISNUMBER(SEARCH('Task Finder'!$C$7,$K53)))),TRUE))</f>
        <v/>
      </c>
    </row>
    <row r="54">
      <c r="A54" s="19" t="n"/>
      <c r="B54" s="19" t="n"/>
      <c r="C54" s="19" t="n"/>
      <c r="D54" s="19" t="n"/>
      <c r="E54" s="19" t="n"/>
      <c r="F54" s="19" t="n"/>
      <c r="G54" s="19" t="n"/>
      <c r="H54" s="19" t="n"/>
      <c r="I54" s="19" t="n"/>
      <c r="J54" s="19" t="n"/>
      <c r="K54" s="19" t="n"/>
      <c r="L54" s="35" t="n"/>
      <c r="M54" s="5">
        <f>IF($D54="","",IFERROR(VLOOKUP($H54,Lists!$N$2:$O$6,2,FALSE),0))</f>
        <v/>
      </c>
      <c r="N54" s="5">
        <f>IF($D54="","",IF(OR($E54="Blocked",$E54="Done",$E54="Archive"),-9999,IF(AND($E54="Waiting",SUMPRODUCT((($E$5:$E$500="Next")+($E$5:$E$500="In Progress")+($E$5:$E$500="Captured"))*($D$5:$D$500&lt;&gt;""))&gt;0),-500,VLOOKUP($F54,Lists!$L$2:$M$4,2,FALSE)+IF($E54="In Progress",10,0)+IF(AND($I54&lt;&gt;"",$I54&lt;TODAY()),25,0)+IF(AND($I54&lt;&gt;"",$I54&gt;=TODAY(),$I54&lt;=TODAY()+7),15,0)+IF($M54&lt;=VLOOKUP(Home!$C$7,Lists!$N$2:$O$6,2,FALSE),20,-10)+IF($G54=Home!$E$7,15,IF(Home!$E$7="",0,-5))-ROW()/100000)))</f>
        <v/>
      </c>
      <c r="O54" s="5">
        <f>IF($D54="","",IF($N54&lt;=-500,"Not recommended right now",IF($E54="Waiting","Nothing else actionable right now — Waiting on: "&amp;IF($K54="","this item",$K54),TEXTJOIN(" • ",TRUE,IF($F54="High","High Priority",""),IF(AND($I54&lt;&gt;"",$I54&lt;TODAY()),"Overdue",""),IF(AND($I54&lt;&gt;"",$I54&gt;=TODAY(),$I54&lt;=TODAY()+7),"Due This Week",""),IF($M54&lt;=VLOOKUP(Home!$C$7,Lists!$N$2:$O$6,2,FALSE),$H54&amp;" Task",""),IF($G54=Home!$E$7,"Fits Current Energy",""),"No Blockers"))))</f>
        <v/>
      </c>
      <c r="P54" s="5">
        <f>IF($D54="","",SWITCH('Task Finder'!$C$6,"High Priority",AND($F54="High",$E54&lt;&gt;"Done",$E54&lt;&gt;"Archive"),"Due This Week",AND($I54&lt;&gt;"",$I54&gt;=TODAY(),$I54&lt;=TODAY()+7,$E54&lt;&gt;"Done"),"Quick Wins (15 mins or less)",AND($M54&lt;=15,$E54&lt;&gt;"Done",$E54&lt;&gt;"Blocked"),"Deep Thinking",AND($G54="Deep Thinking",$E54&lt;&gt;"Done"),"Processing",AND($G54="Processing",$E54&lt;&gt;"Done"),"Blocked",$E54="Blocked","Waiting",$E54="Waiting","Recently Updated",AND($L54&lt;&gt;"",$L54&gt;=TODAY()-7),"Keyword",AND('Task Finder'!$C$7&lt;&gt;"",OR(ISNUMBER(SEARCH('Task Finder'!$C$7,$A54)),ISNUMBER(SEARCH('Task Finder'!$C$7,$B54)),ISNUMBER(SEARCH('Task Finder'!$C$7,$C54)),ISNUMBER(SEARCH('Task Finder'!$C$7,$D54)),ISNUMBER(SEARCH('Task Finder'!$C$7,$K54)))),TRUE))</f>
        <v/>
      </c>
    </row>
    <row r="55">
      <c r="A55" s="19" t="n"/>
      <c r="B55" s="19" t="n"/>
      <c r="C55" s="19" t="n"/>
      <c r="D55" s="19" t="n"/>
      <c r="E55" s="19" t="n"/>
      <c r="F55" s="19" t="n"/>
      <c r="G55" s="19" t="n"/>
      <c r="H55" s="19" t="n"/>
      <c r="I55" s="19" t="n"/>
      <c r="J55" s="19" t="n"/>
      <c r="K55" s="19" t="n"/>
      <c r="L55" s="35" t="n"/>
      <c r="M55" s="5">
        <f>IF($D55="","",IFERROR(VLOOKUP($H55,Lists!$N$2:$O$6,2,FALSE),0))</f>
        <v/>
      </c>
      <c r="N55" s="5">
        <f>IF($D55="","",IF(OR($E55="Blocked",$E55="Done",$E55="Archive"),-9999,IF(AND($E55="Waiting",SUMPRODUCT((($E$5:$E$500="Next")+($E$5:$E$500="In Progress")+($E$5:$E$500="Captured"))*($D$5:$D$500&lt;&gt;""))&gt;0),-500,VLOOKUP($F55,Lists!$L$2:$M$4,2,FALSE)+IF($E55="In Progress",10,0)+IF(AND($I55&lt;&gt;"",$I55&lt;TODAY()),25,0)+IF(AND($I55&lt;&gt;"",$I55&gt;=TODAY(),$I55&lt;=TODAY()+7),15,0)+IF($M55&lt;=VLOOKUP(Home!$C$7,Lists!$N$2:$O$6,2,FALSE),20,-10)+IF($G55=Home!$E$7,15,IF(Home!$E$7="",0,-5))-ROW()/100000)))</f>
        <v/>
      </c>
      <c r="O55" s="5">
        <f>IF($D55="","",IF($N55&lt;=-500,"Not recommended right now",IF($E55="Waiting","Nothing else actionable right now — Waiting on: "&amp;IF($K55="","this item",$K55),TEXTJOIN(" • ",TRUE,IF($F55="High","High Priority",""),IF(AND($I55&lt;&gt;"",$I55&lt;TODAY()),"Overdue",""),IF(AND($I55&lt;&gt;"",$I55&gt;=TODAY(),$I55&lt;=TODAY()+7),"Due This Week",""),IF($M55&lt;=VLOOKUP(Home!$C$7,Lists!$N$2:$O$6,2,FALSE),$H55&amp;" Task",""),IF($G55=Home!$E$7,"Fits Current Energy",""),"No Blockers"))))</f>
        <v/>
      </c>
      <c r="P55" s="5">
        <f>IF($D55="","",SWITCH('Task Finder'!$C$6,"High Priority",AND($F55="High",$E55&lt;&gt;"Done",$E55&lt;&gt;"Archive"),"Due This Week",AND($I55&lt;&gt;"",$I55&gt;=TODAY(),$I55&lt;=TODAY()+7,$E55&lt;&gt;"Done"),"Quick Wins (15 mins or less)",AND($M55&lt;=15,$E55&lt;&gt;"Done",$E55&lt;&gt;"Blocked"),"Deep Thinking",AND($G55="Deep Thinking",$E55&lt;&gt;"Done"),"Processing",AND($G55="Processing",$E55&lt;&gt;"Done"),"Blocked",$E55="Blocked","Waiting",$E55="Waiting","Recently Updated",AND($L55&lt;&gt;"",$L55&gt;=TODAY()-7),"Keyword",AND('Task Finder'!$C$7&lt;&gt;"",OR(ISNUMBER(SEARCH('Task Finder'!$C$7,$A55)),ISNUMBER(SEARCH('Task Finder'!$C$7,$B55)),ISNUMBER(SEARCH('Task Finder'!$C$7,$C55)),ISNUMBER(SEARCH('Task Finder'!$C$7,$D55)),ISNUMBER(SEARCH('Task Finder'!$C$7,$K55)))),TRUE))</f>
        <v/>
      </c>
    </row>
    <row r="56">
      <c r="A56" s="19" t="n"/>
      <c r="B56" s="19" t="n"/>
      <c r="C56" s="19" t="n"/>
      <c r="D56" s="19" t="n"/>
      <c r="E56" s="19" t="n"/>
      <c r="F56" s="19" t="n"/>
      <c r="G56" s="19" t="n"/>
      <c r="H56" s="19" t="n"/>
      <c r="I56" s="19" t="n"/>
      <c r="J56" s="19" t="n"/>
      <c r="K56" s="19" t="n"/>
      <c r="L56" s="35" t="n"/>
      <c r="M56" s="5">
        <f>IF($D56="","",IFERROR(VLOOKUP($H56,Lists!$N$2:$O$6,2,FALSE),0))</f>
        <v/>
      </c>
      <c r="N56" s="5">
        <f>IF($D56="","",IF(OR($E56="Blocked",$E56="Done",$E56="Archive"),-9999,IF(AND($E56="Waiting",SUMPRODUCT((($E$5:$E$500="Next")+($E$5:$E$500="In Progress")+($E$5:$E$500="Captured"))*($D$5:$D$500&lt;&gt;""))&gt;0),-500,VLOOKUP($F56,Lists!$L$2:$M$4,2,FALSE)+IF($E56="In Progress",10,0)+IF(AND($I56&lt;&gt;"",$I56&lt;TODAY()),25,0)+IF(AND($I56&lt;&gt;"",$I56&gt;=TODAY(),$I56&lt;=TODAY()+7),15,0)+IF($M56&lt;=VLOOKUP(Home!$C$7,Lists!$N$2:$O$6,2,FALSE),20,-10)+IF($G56=Home!$E$7,15,IF(Home!$E$7="",0,-5))-ROW()/100000)))</f>
        <v/>
      </c>
      <c r="O56" s="5">
        <f>IF($D56="","",IF($N56&lt;=-500,"Not recommended right now",IF($E56="Waiting","Nothing else actionable right now — Waiting on: "&amp;IF($K56="","this item",$K56),TEXTJOIN(" • ",TRUE,IF($F56="High","High Priority",""),IF(AND($I56&lt;&gt;"",$I56&lt;TODAY()),"Overdue",""),IF(AND($I56&lt;&gt;"",$I56&gt;=TODAY(),$I56&lt;=TODAY()+7),"Due This Week",""),IF($M56&lt;=VLOOKUP(Home!$C$7,Lists!$N$2:$O$6,2,FALSE),$H56&amp;" Task",""),IF($G56=Home!$E$7,"Fits Current Energy",""),"No Blockers"))))</f>
        <v/>
      </c>
      <c r="P56" s="5">
        <f>IF($D56="","",SWITCH('Task Finder'!$C$6,"High Priority",AND($F56="High",$E56&lt;&gt;"Done",$E56&lt;&gt;"Archive"),"Due This Week",AND($I56&lt;&gt;"",$I56&gt;=TODAY(),$I56&lt;=TODAY()+7,$E56&lt;&gt;"Done"),"Quick Wins (15 mins or less)",AND($M56&lt;=15,$E56&lt;&gt;"Done",$E56&lt;&gt;"Blocked"),"Deep Thinking",AND($G56="Deep Thinking",$E56&lt;&gt;"Done"),"Processing",AND($G56="Processing",$E56&lt;&gt;"Done"),"Blocked",$E56="Blocked","Waiting",$E56="Waiting","Recently Updated",AND($L56&lt;&gt;"",$L56&gt;=TODAY()-7),"Keyword",AND('Task Finder'!$C$7&lt;&gt;"",OR(ISNUMBER(SEARCH('Task Finder'!$C$7,$A56)),ISNUMBER(SEARCH('Task Finder'!$C$7,$B56)),ISNUMBER(SEARCH('Task Finder'!$C$7,$C56)),ISNUMBER(SEARCH('Task Finder'!$C$7,$D56)),ISNUMBER(SEARCH('Task Finder'!$C$7,$K56)))),TRUE))</f>
        <v/>
      </c>
    </row>
    <row r="57">
      <c r="A57" s="19" t="n"/>
      <c r="B57" s="19" t="n"/>
      <c r="C57" s="19" t="n"/>
      <c r="D57" s="19" t="n"/>
      <c r="E57" s="19" t="n"/>
      <c r="F57" s="19" t="n"/>
      <c r="G57" s="19" t="n"/>
      <c r="H57" s="19" t="n"/>
      <c r="I57" s="19" t="n"/>
      <c r="J57" s="19" t="n"/>
      <c r="K57" s="19" t="n"/>
      <c r="L57" s="35" t="n"/>
      <c r="M57" s="5">
        <f>IF($D57="","",IFERROR(VLOOKUP($H57,Lists!$N$2:$O$6,2,FALSE),0))</f>
        <v/>
      </c>
      <c r="N57" s="5">
        <f>IF($D57="","",IF(OR($E57="Blocked",$E57="Done",$E57="Archive"),-9999,IF(AND($E57="Waiting",SUMPRODUCT((($E$5:$E$500="Next")+($E$5:$E$500="In Progress")+($E$5:$E$500="Captured"))*($D$5:$D$500&lt;&gt;""))&gt;0),-500,VLOOKUP($F57,Lists!$L$2:$M$4,2,FALSE)+IF($E57="In Progress",10,0)+IF(AND($I57&lt;&gt;"",$I57&lt;TODAY()),25,0)+IF(AND($I57&lt;&gt;"",$I57&gt;=TODAY(),$I57&lt;=TODAY()+7),15,0)+IF($M57&lt;=VLOOKUP(Home!$C$7,Lists!$N$2:$O$6,2,FALSE),20,-10)+IF($G57=Home!$E$7,15,IF(Home!$E$7="",0,-5))-ROW()/100000)))</f>
        <v/>
      </c>
      <c r="O57" s="5">
        <f>IF($D57="","",IF($N57&lt;=-500,"Not recommended right now",IF($E57="Waiting","Nothing else actionable right now — Waiting on: "&amp;IF($K57="","this item",$K57),TEXTJOIN(" • ",TRUE,IF($F57="High","High Priority",""),IF(AND($I57&lt;&gt;"",$I57&lt;TODAY()),"Overdue",""),IF(AND($I57&lt;&gt;"",$I57&gt;=TODAY(),$I57&lt;=TODAY()+7),"Due This Week",""),IF($M57&lt;=VLOOKUP(Home!$C$7,Lists!$N$2:$O$6,2,FALSE),$H57&amp;" Task",""),IF($G57=Home!$E$7,"Fits Current Energy",""),"No Blockers"))))</f>
        <v/>
      </c>
      <c r="P57" s="5">
        <f>IF($D57="","",SWITCH('Task Finder'!$C$6,"High Priority",AND($F57="High",$E57&lt;&gt;"Done",$E57&lt;&gt;"Archive"),"Due This Week",AND($I57&lt;&gt;"",$I57&gt;=TODAY(),$I57&lt;=TODAY()+7,$E57&lt;&gt;"Done"),"Quick Wins (15 mins or less)",AND($M57&lt;=15,$E57&lt;&gt;"Done",$E57&lt;&gt;"Blocked"),"Deep Thinking",AND($G57="Deep Thinking",$E57&lt;&gt;"Done"),"Processing",AND($G57="Processing",$E57&lt;&gt;"Done"),"Blocked",$E57="Blocked","Waiting",$E57="Waiting","Recently Updated",AND($L57&lt;&gt;"",$L57&gt;=TODAY()-7),"Keyword",AND('Task Finder'!$C$7&lt;&gt;"",OR(ISNUMBER(SEARCH('Task Finder'!$C$7,$A57)),ISNUMBER(SEARCH('Task Finder'!$C$7,$B57)),ISNUMBER(SEARCH('Task Finder'!$C$7,$C57)),ISNUMBER(SEARCH('Task Finder'!$C$7,$D57)),ISNUMBER(SEARCH('Task Finder'!$C$7,$K57)))),TRUE))</f>
        <v/>
      </c>
    </row>
    <row r="58">
      <c r="A58" s="19" t="n"/>
      <c r="B58" s="19" t="n"/>
      <c r="C58" s="19" t="n"/>
      <c r="D58" s="19" t="n"/>
      <c r="E58" s="19" t="n"/>
      <c r="F58" s="19" t="n"/>
      <c r="G58" s="19" t="n"/>
      <c r="H58" s="19" t="n"/>
      <c r="I58" s="19" t="n"/>
      <c r="J58" s="19" t="n"/>
      <c r="K58" s="19" t="n"/>
      <c r="L58" s="35" t="n"/>
      <c r="M58" s="5">
        <f>IF($D58="","",IFERROR(VLOOKUP($H58,Lists!$N$2:$O$6,2,FALSE),0))</f>
        <v/>
      </c>
      <c r="N58" s="5">
        <f>IF($D58="","",IF(OR($E58="Blocked",$E58="Done",$E58="Archive"),-9999,IF(AND($E58="Waiting",SUMPRODUCT((($E$5:$E$500="Next")+($E$5:$E$500="In Progress")+($E$5:$E$500="Captured"))*($D$5:$D$500&lt;&gt;""))&gt;0),-500,VLOOKUP($F58,Lists!$L$2:$M$4,2,FALSE)+IF($E58="In Progress",10,0)+IF(AND($I58&lt;&gt;"",$I58&lt;TODAY()),25,0)+IF(AND($I58&lt;&gt;"",$I58&gt;=TODAY(),$I58&lt;=TODAY()+7),15,0)+IF($M58&lt;=VLOOKUP(Home!$C$7,Lists!$N$2:$O$6,2,FALSE),20,-10)+IF($G58=Home!$E$7,15,IF(Home!$E$7="",0,-5))-ROW()/100000)))</f>
        <v/>
      </c>
      <c r="O58" s="5">
        <f>IF($D58="","",IF($N58&lt;=-500,"Not recommended right now",IF($E58="Waiting","Nothing else actionable right now — Waiting on: "&amp;IF($K58="","this item",$K58),TEXTJOIN(" • ",TRUE,IF($F58="High","High Priority",""),IF(AND($I58&lt;&gt;"",$I58&lt;TODAY()),"Overdue",""),IF(AND($I58&lt;&gt;"",$I58&gt;=TODAY(),$I58&lt;=TODAY()+7),"Due This Week",""),IF($M58&lt;=VLOOKUP(Home!$C$7,Lists!$N$2:$O$6,2,FALSE),$H58&amp;" Task",""),IF($G58=Home!$E$7,"Fits Current Energy",""),"No Blockers"))))</f>
        <v/>
      </c>
      <c r="P58" s="5">
        <f>IF($D58="","",SWITCH('Task Finder'!$C$6,"High Priority",AND($F58="High",$E58&lt;&gt;"Done",$E58&lt;&gt;"Archive"),"Due This Week",AND($I58&lt;&gt;"",$I58&gt;=TODAY(),$I58&lt;=TODAY()+7,$E58&lt;&gt;"Done"),"Quick Wins (15 mins or less)",AND($M58&lt;=15,$E58&lt;&gt;"Done",$E58&lt;&gt;"Blocked"),"Deep Thinking",AND($G58="Deep Thinking",$E58&lt;&gt;"Done"),"Processing",AND($G58="Processing",$E58&lt;&gt;"Done"),"Blocked",$E58="Blocked","Waiting",$E58="Waiting","Recently Updated",AND($L58&lt;&gt;"",$L58&gt;=TODAY()-7),"Keyword",AND('Task Finder'!$C$7&lt;&gt;"",OR(ISNUMBER(SEARCH('Task Finder'!$C$7,$A58)),ISNUMBER(SEARCH('Task Finder'!$C$7,$B58)),ISNUMBER(SEARCH('Task Finder'!$C$7,$C58)),ISNUMBER(SEARCH('Task Finder'!$C$7,$D58)),ISNUMBER(SEARCH('Task Finder'!$C$7,$K58)))),TRUE))</f>
        <v/>
      </c>
    </row>
    <row r="59">
      <c r="A59" s="19" t="n"/>
      <c r="B59" s="19" t="n"/>
      <c r="C59" s="19" t="n"/>
      <c r="D59" s="19" t="n"/>
      <c r="E59" s="19" t="n"/>
      <c r="F59" s="19" t="n"/>
      <c r="G59" s="19" t="n"/>
      <c r="H59" s="19" t="n"/>
      <c r="I59" s="19" t="n"/>
      <c r="J59" s="19" t="n"/>
      <c r="K59" s="19" t="n"/>
      <c r="L59" s="35" t="n"/>
      <c r="M59" s="5">
        <f>IF($D59="","",IFERROR(VLOOKUP($H59,Lists!$N$2:$O$6,2,FALSE),0))</f>
        <v/>
      </c>
      <c r="N59" s="5">
        <f>IF($D59="","",IF(OR($E59="Blocked",$E59="Done",$E59="Archive"),-9999,IF(AND($E59="Waiting",SUMPRODUCT((($E$5:$E$500="Next")+($E$5:$E$500="In Progress")+($E$5:$E$500="Captured"))*($D$5:$D$500&lt;&gt;""))&gt;0),-500,VLOOKUP($F59,Lists!$L$2:$M$4,2,FALSE)+IF($E59="In Progress",10,0)+IF(AND($I59&lt;&gt;"",$I59&lt;TODAY()),25,0)+IF(AND($I59&lt;&gt;"",$I59&gt;=TODAY(),$I59&lt;=TODAY()+7),15,0)+IF($M59&lt;=VLOOKUP(Home!$C$7,Lists!$N$2:$O$6,2,FALSE),20,-10)+IF($G59=Home!$E$7,15,IF(Home!$E$7="",0,-5))-ROW()/100000)))</f>
        <v/>
      </c>
      <c r="O59" s="5">
        <f>IF($D59="","",IF($N59&lt;=-500,"Not recommended right now",IF($E59="Waiting","Nothing else actionable right now — Waiting on: "&amp;IF($K59="","this item",$K59),TEXTJOIN(" • ",TRUE,IF($F59="High","High Priority",""),IF(AND($I59&lt;&gt;"",$I59&lt;TODAY()),"Overdue",""),IF(AND($I59&lt;&gt;"",$I59&gt;=TODAY(),$I59&lt;=TODAY()+7),"Due This Week",""),IF($M59&lt;=VLOOKUP(Home!$C$7,Lists!$N$2:$O$6,2,FALSE),$H59&amp;" Task",""),IF($G59=Home!$E$7,"Fits Current Energy",""),"No Blockers"))))</f>
        <v/>
      </c>
      <c r="P59" s="5">
        <f>IF($D59="","",SWITCH('Task Finder'!$C$6,"High Priority",AND($F59="High",$E59&lt;&gt;"Done",$E59&lt;&gt;"Archive"),"Due This Week",AND($I59&lt;&gt;"",$I59&gt;=TODAY(),$I59&lt;=TODAY()+7,$E59&lt;&gt;"Done"),"Quick Wins (15 mins or less)",AND($M59&lt;=15,$E59&lt;&gt;"Done",$E59&lt;&gt;"Blocked"),"Deep Thinking",AND($G59="Deep Thinking",$E59&lt;&gt;"Done"),"Processing",AND($G59="Processing",$E59&lt;&gt;"Done"),"Blocked",$E59="Blocked","Waiting",$E59="Waiting","Recently Updated",AND($L59&lt;&gt;"",$L59&gt;=TODAY()-7),"Keyword",AND('Task Finder'!$C$7&lt;&gt;"",OR(ISNUMBER(SEARCH('Task Finder'!$C$7,$A59)),ISNUMBER(SEARCH('Task Finder'!$C$7,$B59)),ISNUMBER(SEARCH('Task Finder'!$C$7,$C59)),ISNUMBER(SEARCH('Task Finder'!$C$7,$D59)),ISNUMBER(SEARCH('Task Finder'!$C$7,$K59)))),TRUE))</f>
        <v/>
      </c>
    </row>
    <row r="60">
      <c r="A60" s="19" t="n"/>
      <c r="B60" s="19" t="n"/>
      <c r="C60" s="19" t="n"/>
      <c r="D60" s="19" t="n"/>
      <c r="E60" s="19" t="n"/>
      <c r="F60" s="19" t="n"/>
      <c r="G60" s="19" t="n"/>
      <c r="H60" s="19" t="n"/>
      <c r="I60" s="19" t="n"/>
      <c r="J60" s="19" t="n"/>
      <c r="K60" s="19" t="n"/>
      <c r="L60" s="35" t="n"/>
      <c r="M60" s="5">
        <f>IF($D60="","",IFERROR(VLOOKUP($H60,Lists!$N$2:$O$6,2,FALSE),0))</f>
        <v/>
      </c>
      <c r="N60" s="5">
        <f>IF($D60="","",IF(OR($E60="Blocked",$E60="Done",$E60="Archive"),-9999,IF(AND($E60="Waiting",SUMPRODUCT((($E$5:$E$500="Next")+($E$5:$E$500="In Progress")+($E$5:$E$500="Captured"))*($D$5:$D$500&lt;&gt;""))&gt;0),-500,VLOOKUP($F60,Lists!$L$2:$M$4,2,FALSE)+IF($E60="In Progress",10,0)+IF(AND($I60&lt;&gt;"",$I60&lt;TODAY()),25,0)+IF(AND($I60&lt;&gt;"",$I60&gt;=TODAY(),$I60&lt;=TODAY()+7),15,0)+IF($M60&lt;=VLOOKUP(Home!$C$7,Lists!$N$2:$O$6,2,FALSE),20,-10)+IF($G60=Home!$E$7,15,IF(Home!$E$7="",0,-5))-ROW()/100000)))</f>
        <v/>
      </c>
      <c r="O60" s="5">
        <f>IF($D60="","",IF($N60&lt;=-500,"Not recommended right now",IF($E60="Waiting","Nothing else actionable right now — Waiting on: "&amp;IF($K60="","this item",$K60),TEXTJOIN(" • ",TRUE,IF($F60="High","High Priority",""),IF(AND($I60&lt;&gt;"",$I60&lt;TODAY()),"Overdue",""),IF(AND($I60&lt;&gt;"",$I60&gt;=TODAY(),$I60&lt;=TODAY()+7),"Due This Week",""),IF($M60&lt;=VLOOKUP(Home!$C$7,Lists!$N$2:$O$6,2,FALSE),$H60&amp;" Task",""),IF($G60=Home!$E$7,"Fits Current Energy",""),"No Blockers"))))</f>
        <v/>
      </c>
      <c r="P60" s="5">
        <f>IF($D60="","",SWITCH('Task Finder'!$C$6,"High Priority",AND($F60="High",$E60&lt;&gt;"Done",$E60&lt;&gt;"Archive"),"Due This Week",AND($I60&lt;&gt;"",$I60&gt;=TODAY(),$I60&lt;=TODAY()+7,$E60&lt;&gt;"Done"),"Quick Wins (15 mins or less)",AND($M60&lt;=15,$E60&lt;&gt;"Done",$E60&lt;&gt;"Blocked"),"Deep Thinking",AND($G60="Deep Thinking",$E60&lt;&gt;"Done"),"Processing",AND($G60="Processing",$E60&lt;&gt;"Done"),"Blocked",$E60="Blocked","Waiting",$E60="Waiting","Recently Updated",AND($L60&lt;&gt;"",$L60&gt;=TODAY()-7),"Keyword",AND('Task Finder'!$C$7&lt;&gt;"",OR(ISNUMBER(SEARCH('Task Finder'!$C$7,$A60)),ISNUMBER(SEARCH('Task Finder'!$C$7,$B60)),ISNUMBER(SEARCH('Task Finder'!$C$7,$C60)),ISNUMBER(SEARCH('Task Finder'!$C$7,$D60)),ISNUMBER(SEARCH('Task Finder'!$C$7,$K60)))),TRUE))</f>
        <v/>
      </c>
    </row>
    <row r="61">
      <c r="A61" s="19" t="n"/>
      <c r="B61" s="19" t="n"/>
      <c r="C61" s="19" t="n"/>
      <c r="D61" s="19" t="n"/>
      <c r="E61" s="19" t="n"/>
      <c r="F61" s="19" t="n"/>
      <c r="G61" s="19" t="n"/>
      <c r="H61" s="19" t="n"/>
      <c r="I61" s="19" t="n"/>
      <c r="J61" s="19" t="n"/>
      <c r="K61" s="19" t="n"/>
      <c r="L61" s="35" t="n"/>
      <c r="M61" s="5">
        <f>IF($D61="","",IFERROR(VLOOKUP($H61,Lists!$N$2:$O$6,2,FALSE),0))</f>
        <v/>
      </c>
      <c r="N61" s="5">
        <f>IF($D61="","",IF(OR($E61="Blocked",$E61="Done",$E61="Archive"),-9999,IF(AND($E61="Waiting",SUMPRODUCT((($E$5:$E$500="Next")+($E$5:$E$500="In Progress")+($E$5:$E$500="Captured"))*($D$5:$D$500&lt;&gt;""))&gt;0),-500,VLOOKUP($F61,Lists!$L$2:$M$4,2,FALSE)+IF($E61="In Progress",10,0)+IF(AND($I61&lt;&gt;"",$I61&lt;TODAY()),25,0)+IF(AND($I61&lt;&gt;"",$I61&gt;=TODAY(),$I61&lt;=TODAY()+7),15,0)+IF($M61&lt;=VLOOKUP(Home!$C$7,Lists!$N$2:$O$6,2,FALSE),20,-10)+IF($G61=Home!$E$7,15,IF(Home!$E$7="",0,-5))-ROW()/100000)))</f>
        <v/>
      </c>
      <c r="O61" s="5">
        <f>IF($D61="","",IF($N61&lt;=-500,"Not recommended right now",IF($E61="Waiting","Nothing else actionable right now — Waiting on: "&amp;IF($K61="","this item",$K61),TEXTJOIN(" • ",TRUE,IF($F61="High","High Priority",""),IF(AND($I61&lt;&gt;"",$I61&lt;TODAY()),"Overdue",""),IF(AND($I61&lt;&gt;"",$I61&gt;=TODAY(),$I61&lt;=TODAY()+7),"Due This Week",""),IF($M61&lt;=VLOOKUP(Home!$C$7,Lists!$N$2:$O$6,2,FALSE),$H61&amp;" Task",""),IF($G61=Home!$E$7,"Fits Current Energy",""),"No Blockers"))))</f>
        <v/>
      </c>
      <c r="P61" s="5">
        <f>IF($D61="","",SWITCH('Task Finder'!$C$6,"High Priority",AND($F61="High",$E61&lt;&gt;"Done",$E61&lt;&gt;"Archive"),"Due This Week",AND($I61&lt;&gt;"",$I61&gt;=TODAY(),$I61&lt;=TODAY()+7,$E61&lt;&gt;"Done"),"Quick Wins (15 mins or less)",AND($M61&lt;=15,$E61&lt;&gt;"Done",$E61&lt;&gt;"Blocked"),"Deep Thinking",AND($G61="Deep Thinking",$E61&lt;&gt;"Done"),"Processing",AND($G61="Processing",$E61&lt;&gt;"Done"),"Blocked",$E61="Blocked","Waiting",$E61="Waiting","Recently Updated",AND($L61&lt;&gt;"",$L61&gt;=TODAY()-7),"Keyword",AND('Task Finder'!$C$7&lt;&gt;"",OR(ISNUMBER(SEARCH('Task Finder'!$C$7,$A61)),ISNUMBER(SEARCH('Task Finder'!$C$7,$B61)),ISNUMBER(SEARCH('Task Finder'!$C$7,$C61)),ISNUMBER(SEARCH('Task Finder'!$C$7,$D61)),ISNUMBER(SEARCH('Task Finder'!$C$7,$K61)))),TRUE))</f>
        <v/>
      </c>
    </row>
    <row r="62">
      <c r="A62" s="19" t="n"/>
      <c r="B62" s="19" t="n"/>
      <c r="C62" s="19" t="n"/>
      <c r="D62" s="19" t="n"/>
      <c r="E62" s="19" t="n"/>
      <c r="F62" s="19" t="n"/>
      <c r="G62" s="19" t="n"/>
      <c r="H62" s="19" t="n"/>
      <c r="I62" s="19" t="n"/>
      <c r="J62" s="19" t="n"/>
      <c r="K62" s="19" t="n"/>
      <c r="L62" s="35" t="n"/>
      <c r="M62" s="5">
        <f>IF($D62="","",IFERROR(VLOOKUP($H62,Lists!$N$2:$O$6,2,FALSE),0))</f>
        <v/>
      </c>
      <c r="N62" s="5">
        <f>IF($D62="","",IF(OR($E62="Blocked",$E62="Done",$E62="Archive"),-9999,IF(AND($E62="Waiting",SUMPRODUCT((($E$5:$E$500="Next")+($E$5:$E$500="In Progress")+($E$5:$E$500="Captured"))*($D$5:$D$500&lt;&gt;""))&gt;0),-500,VLOOKUP($F62,Lists!$L$2:$M$4,2,FALSE)+IF($E62="In Progress",10,0)+IF(AND($I62&lt;&gt;"",$I62&lt;TODAY()),25,0)+IF(AND($I62&lt;&gt;"",$I62&gt;=TODAY(),$I62&lt;=TODAY()+7),15,0)+IF($M62&lt;=VLOOKUP(Home!$C$7,Lists!$N$2:$O$6,2,FALSE),20,-10)+IF($G62=Home!$E$7,15,IF(Home!$E$7="",0,-5))-ROW()/100000)))</f>
        <v/>
      </c>
      <c r="O62" s="5">
        <f>IF($D62="","",IF($N62&lt;=-500,"Not recommended right now",IF($E62="Waiting","Nothing else actionable right now — Waiting on: "&amp;IF($K62="","this item",$K62),TEXTJOIN(" • ",TRUE,IF($F62="High","High Priority",""),IF(AND($I62&lt;&gt;"",$I62&lt;TODAY()),"Overdue",""),IF(AND($I62&lt;&gt;"",$I62&gt;=TODAY(),$I62&lt;=TODAY()+7),"Due This Week",""),IF($M62&lt;=VLOOKUP(Home!$C$7,Lists!$N$2:$O$6,2,FALSE),$H62&amp;" Task",""),IF($G62=Home!$E$7,"Fits Current Energy",""),"No Blockers"))))</f>
        <v/>
      </c>
      <c r="P62" s="5">
        <f>IF($D62="","",SWITCH('Task Finder'!$C$6,"High Priority",AND($F62="High",$E62&lt;&gt;"Done",$E62&lt;&gt;"Archive"),"Due This Week",AND($I62&lt;&gt;"",$I62&gt;=TODAY(),$I62&lt;=TODAY()+7,$E62&lt;&gt;"Done"),"Quick Wins (15 mins or less)",AND($M62&lt;=15,$E62&lt;&gt;"Done",$E62&lt;&gt;"Blocked"),"Deep Thinking",AND($G62="Deep Thinking",$E62&lt;&gt;"Done"),"Processing",AND($G62="Processing",$E62&lt;&gt;"Done"),"Blocked",$E62="Blocked","Waiting",$E62="Waiting","Recently Updated",AND($L62&lt;&gt;"",$L62&gt;=TODAY()-7),"Keyword",AND('Task Finder'!$C$7&lt;&gt;"",OR(ISNUMBER(SEARCH('Task Finder'!$C$7,$A62)),ISNUMBER(SEARCH('Task Finder'!$C$7,$B62)),ISNUMBER(SEARCH('Task Finder'!$C$7,$C62)),ISNUMBER(SEARCH('Task Finder'!$C$7,$D62)),ISNUMBER(SEARCH('Task Finder'!$C$7,$K62)))),TRUE))</f>
        <v/>
      </c>
    </row>
    <row r="63">
      <c r="A63" s="19" t="n"/>
      <c r="B63" s="19" t="n"/>
      <c r="C63" s="19" t="n"/>
      <c r="D63" s="19" t="n"/>
      <c r="E63" s="19" t="n"/>
      <c r="F63" s="19" t="n"/>
      <c r="G63" s="19" t="n"/>
      <c r="H63" s="19" t="n"/>
      <c r="I63" s="19" t="n"/>
      <c r="J63" s="19" t="n"/>
      <c r="K63" s="19" t="n"/>
      <c r="L63" s="35" t="n"/>
      <c r="M63" s="5">
        <f>IF($D63="","",IFERROR(VLOOKUP($H63,Lists!$N$2:$O$6,2,FALSE),0))</f>
        <v/>
      </c>
      <c r="N63" s="5">
        <f>IF($D63="","",IF(OR($E63="Blocked",$E63="Done",$E63="Archive"),-9999,IF(AND($E63="Waiting",SUMPRODUCT((($E$5:$E$500="Next")+($E$5:$E$500="In Progress")+($E$5:$E$500="Captured"))*($D$5:$D$500&lt;&gt;""))&gt;0),-500,VLOOKUP($F63,Lists!$L$2:$M$4,2,FALSE)+IF($E63="In Progress",10,0)+IF(AND($I63&lt;&gt;"",$I63&lt;TODAY()),25,0)+IF(AND($I63&lt;&gt;"",$I63&gt;=TODAY(),$I63&lt;=TODAY()+7),15,0)+IF($M63&lt;=VLOOKUP(Home!$C$7,Lists!$N$2:$O$6,2,FALSE),20,-10)+IF($G63=Home!$E$7,15,IF(Home!$E$7="",0,-5))-ROW()/100000)))</f>
        <v/>
      </c>
      <c r="O63" s="5">
        <f>IF($D63="","",IF($N63&lt;=-500,"Not recommended right now",IF($E63="Waiting","Nothing else actionable right now — Waiting on: "&amp;IF($K63="","this item",$K63),TEXTJOIN(" • ",TRUE,IF($F63="High","High Priority",""),IF(AND($I63&lt;&gt;"",$I63&lt;TODAY()),"Overdue",""),IF(AND($I63&lt;&gt;"",$I63&gt;=TODAY(),$I63&lt;=TODAY()+7),"Due This Week",""),IF($M63&lt;=VLOOKUP(Home!$C$7,Lists!$N$2:$O$6,2,FALSE),$H63&amp;" Task",""),IF($G63=Home!$E$7,"Fits Current Energy",""),"No Blockers"))))</f>
        <v/>
      </c>
      <c r="P63" s="5">
        <f>IF($D63="","",SWITCH('Task Finder'!$C$6,"High Priority",AND($F63="High",$E63&lt;&gt;"Done",$E63&lt;&gt;"Archive"),"Due This Week",AND($I63&lt;&gt;"",$I63&gt;=TODAY(),$I63&lt;=TODAY()+7,$E63&lt;&gt;"Done"),"Quick Wins (15 mins or less)",AND($M63&lt;=15,$E63&lt;&gt;"Done",$E63&lt;&gt;"Blocked"),"Deep Thinking",AND($G63="Deep Thinking",$E63&lt;&gt;"Done"),"Processing",AND($G63="Processing",$E63&lt;&gt;"Done"),"Blocked",$E63="Blocked","Waiting",$E63="Waiting","Recently Updated",AND($L63&lt;&gt;"",$L63&gt;=TODAY()-7),"Keyword",AND('Task Finder'!$C$7&lt;&gt;"",OR(ISNUMBER(SEARCH('Task Finder'!$C$7,$A63)),ISNUMBER(SEARCH('Task Finder'!$C$7,$B63)),ISNUMBER(SEARCH('Task Finder'!$C$7,$C63)),ISNUMBER(SEARCH('Task Finder'!$C$7,$D63)),ISNUMBER(SEARCH('Task Finder'!$C$7,$K63)))),TRUE))</f>
        <v/>
      </c>
    </row>
    <row r="64">
      <c r="A64" s="19" t="n"/>
      <c r="B64" s="19" t="n"/>
      <c r="C64" s="19" t="n"/>
      <c r="D64" s="19" t="n"/>
      <c r="E64" s="19" t="n"/>
      <c r="F64" s="19" t="n"/>
      <c r="G64" s="19" t="n"/>
      <c r="H64" s="19" t="n"/>
      <c r="I64" s="19" t="n"/>
      <c r="J64" s="19" t="n"/>
      <c r="K64" s="19" t="n"/>
      <c r="L64" s="35" t="n"/>
      <c r="M64" s="5">
        <f>IF($D64="","",IFERROR(VLOOKUP($H64,Lists!$N$2:$O$6,2,FALSE),0))</f>
        <v/>
      </c>
      <c r="N64" s="5">
        <f>IF($D64="","",IF(OR($E64="Blocked",$E64="Done",$E64="Archive"),-9999,IF(AND($E64="Waiting",SUMPRODUCT((($E$5:$E$500="Next")+($E$5:$E$500="In Progress")+($E$5:$E$500="Captured"))*($D$5:$D$500&lt;&gt;""))&gt;0),-500,VLOOKUP($F64,Lists!$L$2:$M$4,2,FALSE)+IF($E64="In Progress",10,0)+IF(AND($I64&lt;&gt;"",$I64&lt;TODAY()),25,0)+IF(AND($I64&lt;&gt;"",$I64&gt;=TODAY(),$I64&lt;=TODAY()+7),15,0)+IF($M64&lt;=VLOOKUP(Home!$C$7,Lists!$N$2:$O$6,2,FALSE),20,-10)+IF($G64=Home!$E$7,15,IF(Home!$E$7="",0,-5))-ROW()/100000)))</f>
        <v/>
      </c>
      <c r="O64" s="5">
        <f>IF($D64="","",IF($N64&lt;=-500,"Not recommended right now",IF($E64="Waiting","Nothing else actionable right now — Waiting on: "&amp;IF($K64="","this item",$K64),TEXTJOIN(" • ",TRUE,IF($F64="High","High Priority",""),IF(AND($I64&lt;&gt;"",$I64&lt;TODAY()),"Overdue",""),IF(AND($I64&lt;&gt;"",$I64&gt;=TODAY(),$I64&lt;=TODAY()+7),"Due This Week",""),IF($M64&lt;=VLOOKUP(Home!$C$7,Lists!$N$2:$O$6,2,FALSE),$H64&amp;" Task",""),IF($G64=Home!$E$7,"Fits Current Energy",""),"No Blockers"))))</f>
        <v/>
      </c>
      <c r="P64" s="5">
        <f>IF($D64="","",SWITCH('Task Finder'!$C$6,"High Priority",AND($F64="High",$E64&lt;&gt;"Done",$E64&lt;&gt;"Archive"),"Due This Week",AND($I64&lt;&gt;"",$I64&gt;=TODAY(),$I64&lt;=TODAY()+7,$E64&lt;&gt;"Done"),"Quick Wins (15 mins or less)",AND($M64&lt;=15,$E64&lt;&gt;"Done",$E64&lt;&gt;"Blocked"),"Deep Thinking",AND($G64="Deep Thinking",$E64&lt;&gt;"Done"),"Processing",AND($G64="Processing",$E64&lt;&gt;"Done"),"Blocked",$E64="Blocked","Waiting",$E64="Waiting","Recently Updated",AND($L64&lt;&gt;"",$L64&gt;=TODAY()-7),"Keyword",AND('Task Finder'!$C$7&lt;&gt;"",OR(ISNUMBER(SEARCH('Task Finder'!$C$7,$A64)),ISNUMBER(SEARCH('Task Finder'!$C$7,$B64)),ISNUMBER(SEARCH('Task Finder'!$C$7,$C64)),ISNUMBER(SEARCH('Task Finder'!$C$7,$D64)),ISNUMBER(SEARCH('Task Finder'!$C$7,$K64)))),TRUE))</f>
        <v/>
      </c>
    </row>
    <row r="65">
      <c r="A65" s="19" t="n"/>
      <c r="B65" s="19" t="n"/>
      <c r="C65" s="19" t="n"/>
      <c r="D65" s="19" t="n"/>
      <c r="E65" s="19" t="n"/>
      <c r="F65" s="19" t="n"/>
      <c r="G65" s="19" t="n"/>
      <c r="H65" s="19" t="n"/>
      <c r="I65" s="19" t="n"/>
      <c r="J65" s="19" t="n"/>
      <c r="K65" s="19" t="n"/>
      <c r="L65" s="35" t="n"/>
      <c r="M65" s="5">
        <f>IF($D65="","",IFERROR(VLOOKUP($H65,Lists!$N$2:$O$6,2,FALSE),0))</f>
        <v/>
      </c>
      <c r="N65" s="5">
        <f>IF($D65="","",IF(OR($E65="Blocked",$E65="Done",$E65="Archive"),-9999,IF(AND($E65="Waiting",SUMPRODUCT((($E$5:$E$500="Next")+($E$5:$E$500="In Progress")+($E$5:$E$500="Captured"))*($D$5:$D$500&lt;&gt;""))&gt;0),-500,VLOOKUP($F65,Lists!$L$2:$M$4,2,FALSE)+IF($E65="In Progress",10,0)+IF(AND($I65&lt;&gt;"",$I65&lt;TODAY()),25,0)+IF(AND($I65&lt;&gt;"",$I65&gt;=TODAY(),$I65&lt;=TODAY()+7),15,0)+IF($M65&lt;=VLOOKUP(Home!$C$7,Lists!$N$2:$O$6,2,FALSE),20,-10)+IF($G65=Home!$E$7,15,IF(Home!$E$7="",0,-5))-ROW()/100000)))</f>
        <v/>
      </c>
      <c r="O65" s="5">
        <f>IF($D65="","",IF($N65&lt;=-500,"Not recommended right now",IF($E65="Waiting","Nothing else actionable right now — Waiting on: "&amp;IF($K65="","this item",$K65),TEXTJOIN(" • ",TRUE,IF($F65="High","High Priority",""),IF(AND($I65&lt;&gt;"",$I65&lt;TODAY()),"Overdue",""),IF(AND($I65&lt;&gt;"",$I65&gt;=TODAY(),$I65&lt;=TODAY()+7),"Due This Week",""),IF($M65&lt;=VLOOKUP(Home!$C$7,Lists!$N$2:$O$6,2,FALSE),$H65&amp;" Task",""),IF($G65=Home!$E$7,"Fits Current Energy",""),"No Blockers"))))</f>
        <v/>
      </c>
      <c r="P65" s="5">
        <f>IF($D65="","",SWITCH('Task Finder'!$C$6,"High Priority",AND($F65="High",$E65&lt;&gt;"Done",$E65&lt;&gt;"Archive"),"Due This Week",AND($I65&lt;&gt;"",$I65&gt;=TODAY(),$I65&lt;=TODAY()+7,$E65&lt;&gt;"Done"),"Quick Wins (15 mins or less)",AND($M65&lt;=15,$E65&lt;&gt;"Done",$E65&lt;&gt;"Blocked"),"Deep Thinking",AND($G65="Deep Thinking",$E65&lt;&gt;"Done"),"Processing",AND($G65="Processing",$E65&lt;&gt;"Done"),"Blocked",$E65="Blocked","Waiting",$E65="Waiting","Recently Updated",AND($L65&lt;&gt;"",$L65&gt;=TODAY()-7),"Keyword",AND('Task Finder'!$C$7&lt;&gt;"",OR(ISNUMBER(SEARCH('Task Finder'!$C$7,$A65)),ISNUMBER(SEARCH('Task Finder'!$C$7,$B65)),ISNUMBER(SEARCH('Task Finder'!$C$7,$C65)),ISNUMBER(SEARCH('Task Finder'!$C$7,$D65)),ISNUMBER(SEARCH('Task Finder'!$C$7,$K65)))),TRUE))</f>
        <v/>
      </c>
    </row>
    <row r="66">
      <c r="A66" s="19" t="n"/>
      <c r="B66" s="19" t="n"/>
      <c r="C66" s="19" t="n"/>
      <c r="D66" s="19" t="n"/>
      <c r="E66" s="19" t="n"/>
      <c r="F66" s="19" t="n"/>
      <c r="G66" s="19" t="n"/>
      <c r="H66" s="19" t="n"/>
      <c r="I66" s="19" t="n"/>
      <c r="J66" s="19" t="n"/>
      <c r="K66" s="19" t="n"/>
      <c r="L66" s="35" t="n"/>
      <c r="M66" s="5">
        <f>IF($D66="","",IFERROR(VLOOKUP($H66,Lists!$N$2:$O$6,2,FALSE),0))</f>
        <v/>
      </c>
      <c r="N66" s="5">
        <f>IF($D66="","",IF(OR($E66="Blocked",$E66="Done",$E66="Archive"),-9999,IF(AND($E66="Waiting",SUMPRODUCT((($E$5:$E$500="Next")+($E$5:$E$500="In Progress")+($E$5:$E$500="Captured"))*($D$5:$D$500&lt;&gt;""))&gt;0),-500,VLOOKUP($F66,Lists!$L$2:$M$4,2,FALSE)+IF($E66="In Progress",10,0)+IF(AND($I66&lt;&gt;"",$I66&lt;TODAY()),25,0)+IF(AND($I66&lt;&gt;"",$I66&gt;=TODAY(),$I66&lt;=TODAY()+7),15,0)+IF($M66&lt;=VLOOKUP(Home!$C$7,Lists!$N$2:$O$6,2,FALSE),20,-10)+IF($G66=Home!$E$7,15,IF(Home!$E$7="",0,-5))-ROW()/100000)))</f>
        <v/>
      </c>
      <c r="O66" s="5">
        <f>IF($D66="","",IF($N66&lt;=-500,"Not recommended right now",IF($E66="Waiting","Nothing else actionable right now — Waiting on: "&amp;IF($K66="","this item",$K66),TEXTJOIN(" • ",TRUE,IF($F66="High","High Priority",""),IF(AND($I66&lt;&gt;"",$I66&lt;TODAY()),"Overdue",""),IF(AND($I66&lt;&gt;"",$I66&gt;=TODAY(),$I66&lt;=TODAY()+7),"Due This Week",""),IF($M66&lt;=VLOOKUP(Home!$C$7,Lists!$N$2:$O$6,2,FALSE),$H66&amp;" Task",""),IF($G66=Home!$E$7,"Fits Current Energy",""),"No Blockers"))))</f>
        <v/>
      </c>
      <c r="P66" s="5">
        <f>IF($D66="","",SWITCH('Task Finder'!$C$6,"High Priority",AND($F66="High",$E66&lt;&gt;"Done",$E66&lt;&gt;"Archive"),"Due This Week",AND($I66&lt;&gt;"",$I66&gt;=TODAY(),$I66&lt;=TODAY()+7,$E66&lt;&gt;"Done"),"Quick Wins (15 mins or less)",AND($M66&lt;=15,$E66&lt;&gt;"Done",$E66&lt;&gt;"Blocked"),"Deep Thinking",AND($G66="Deep Thinking",$E66&lt;&gt;"Done"),"Processing",AND($G66="Processing",$E66&lt;&gt;"Done"),"Blocked",$E66="Blocked","Waiting",$E66="Waiting","Recently Updated",AND($L66&lt;&gt;"",$L66&gt;=TODAY()-7),"Keyword",AND('Task Finder'!$C$7&lt;&gt;"",OR(ISNUMBER(SEARCH('Task Finder'!$C$7,$A66)),ISNUMBER(SEARCH('Task Finder'!$C$7,$B66)),ISNUMBER(SEARCH('Task Finder'!$C$7,$C66)),ISNUMBER(SEARCH('Task Finder'!$C$7,$D66)),ISNUMBER(SEARCH('Task Finder'!$C$7,$K66)))),TRUE))</f>
        <v/>
      </c>
    </row>
    <row r="67">
      <c r="A67" s="19" t="n"/>
      <c r="B67" s="19" t="n"/>
      <c r="C67" s="19" t="n"/>
      <c r="D67" s="19" t="n"/>
      <c r="E67" s="19" t="n"/>
      <c r="F67" s="19" t="n"/>
      <c r="G67" s="19" t="n"/>
      <c r="H67" s="19" t="n"/>
      <c r="I67" s="19" t="n"/>
      <c r="J67" s="19" t="n"/>
      <c r="K67" s="19" t="n"/>
      <c r="L67" s="35" t="n"/>
      <c r="M67" s="5">
        <f>IF($D67="","",IFERROR(VLOOKUP($H67,Lists!$N$2:$O$6,2,FALSE),0))</f>
        <v/>
      </c>
      <c r="N67" s="5">
        <f>IF($D67="","",IF(OR($E67="Blocked",$E67="Done",$E67="Archive"),-9999,IF(AND($E67="Waiting",SUMPRODUCT((($E$5:$E$500="Next")+($E$5:$E$500="In Progress")+($E$5:$E$500="Captured"))*($D$5:$D$500&lt;&gt;""))&gt;0),-500,VLOOKUP($F67,Lists!$L$2:$M$4,2,FALSE)+IF($E67="In Progress",10,0)+IF(AND($I67&lt;&gt;"",$I67&lt;TODAY()),25,0)+IF(AND($I67&lt;&gt;"",$I67&gt;=TODAY(),$I67&lt;=TODAY()+7),15,0)+IF($M67&lt;=VLOOKUP(Home!$C$7,Lists!$N$2:$O$6,2,FALSE),20,-10)+IF($G67=Home!$E$7,15,IF(Home!$E$7="",0,-5))-ROW()/100000)))</f>
        <v/>
      </c>
      <c r="O67" s="5">
        <f>IF($D67="","",IF($N67&lt;=-500,"Not recommended right now",IF($E67="Waiting","Nothing else actionable right now — Waiting on: "&amp;IF($K67="","this item",$K67),TEXTJOIN(" • ",TRUE,IF($F67="High","High Priority",""),IF(AND($I67&lt;&gt;"",$I67&lt;TODAY()),"Overdue",""),IF(AND($I67&lt;&gt;"",$I67&gt;=TODAY(),$I67&lt;=TODAY()+7),"Due This Week",""),IF($M67&lt;=VLOOKUP(Home!$C$7,Lists!$N$2:$O$6,2,FALSE),$H67&amp;" Task",""),IF($G67=Home!$E$7,"Fits Current Energy",""),"No Blockers"))))</f>
        <v/>
      </c>
      <c r="P67" s="5">
        <f>IF($D67="","",SWITCH('Task Finder'!$C$6,"High Priority",AND($F67="High",$E67&lt;&gt;"Done",$E67&lt;&gt;"Archive"),"Due This Week",AND($I67&lt;&gt;"",$I67&gt;=TODAY(),$I67&lt;=TODAY()+7,$E67&lt;&gt;"Done"),"Quick Wins (15 mins or less)",AND($M67&lt;=15,$E67&lt;&gt;"Done",$E67&lt;&gt;"Blocked"),"Deep Thinking",AND($G67="Deep Thinking",$E67&lt;&gt;"Done"),"Processing",AND($G67="Processing",$E67&lt;&gt;"Done"),"Blocked",$E67="Blocked","Waiting",$E67="Waiting","Recently Updated",AND($L67&lt;&gt;"",$L67&gt;=TODAY()-7),"Keyword",AND('Task Finder'!$C$7&lt;&gt;"",OR(ISNUMBER(SEARCH('Task Finder'!$C$7,$A67)),ISNUMBER(SEARCH('Task Finder'!$C$7,$B67)),ISNUMBER(SEARCH('Task Finder'!$C$7,$C67)),ISNUMBER(SEARCH('Task Finder'!$C$7,$D67)),ISNUMBER(SEARCH('Task Finder'!$C$7,$K67)))),TRUE))</f>
        <v/>
      </c>
    </row>
    <row r="68">
      <c r="A68" s="19" t="n"/>
      <c r="B68" s="19" t="n"/>
      <c r="C68" s="19" t="n"/>
      <c r="D68" s="19" t="n"/>
      <c r="E68" s="19" t="n"/>
      <c r="F68" s="19" t="n"/>
      <c r="G68" s="19" t="n"/>
      <c r="H68" s="19" t="n"/>
      <c r="I68" s="19" t="n"/>
      <c r="J68" s="19" t="n"/>
      <c r="K68" s="19" t="n"/>
      <c r="L68" s="35" t="n"/>
      <c r="M68" s="5">
        <f>IF($D68="","",IFERROR(VLOOKUP($H68,Lists!$N$2:$O$6,2,FALSE),0))</f>
        <v/>
      </c>
      <c r="N68" s="5">
        <f>IF($D68="","",IF(OR($E68="Blocked",$E68="Done",$E68="Archive"),-9999,IF(AND($E68="Waiting",SUMPRODUCT((($E$5:$E$500="Next")+($E$5:$E$500="In Progress")+($E$5:$E$500="Captured"))*($D$5:$D$500&lt;&gt;""))&gt;0),-500,VLOOKUP($F68,Lists!$L$2:$M$4,2,FALSE)+IF($E68="In Progress",10,0)+IF(AND($I68&lt;&gt;"",$I68&lt;TODAY()),25,0)+IF(AND($I68&lt;&gt;"",$I68&gt;=TODAY(),$I68&lt;=TODAY()+7),15,0)+IF($M68&lt;=VLOOKUP(Home!$C$7,Lists!$N$2:$O$6,2,FALSE),20,-10)+IF($G68=Home!$E$7,15,IF(Home!$E$7="",0,-5))-ROW()/100000)))</f>
        <v/>
      </c>
      <c r="O68" s="5">
        <f>IF($D68="","",IF($N68&lt;=-500,"Not recommended right now",IF($E68="Waiting","Nothing else actionable right now — Waiting on: "&amp;IF($K68="","this item",$K68),TEXTJOIN(" • ",TRUE,IF($F68="High","High Priority",""),IF(AND($I68&lt;&gt;"",$I68&lt;TODAY()),"Overdue",""),IF(AND($I68&lt;&gt;"",$I68&gt;=TODAY(),$I68&lt;=TODAY()+7),"Due This Week",""),IF($M68&lt;=VLOOKUP(Home!$C$7,Lists!$N$2:$O$6,2,FALSE),$H68&amp;" Task",""),IF($G68=Home!$E$7,"Fits Current Energy",""),"No Blockers"))))</f>
        <v/>
      </c>
      <c r="P68" s="5">
        <f>IF($D68="","",SWITCH('Task Finder'!$C$6,"High Priority",AND($F68="High",$E68&lt;&gt;"Done",$E68&lt;&gt;"Archive"),"Due This Week",AND($I68&lt;&gt;"",$I68&gt;=TODAY(),$I68&lt;=TODAY()+7,$E68&lt;&gt;"Done"),"Quick Wins (15 mins or less)",AND($M68&lt;=15,$E68&lt;&gt;"Done",$E68&lt;&gt;"Blocked"),"Deep Thinking",AND($G68="Deep Thinking",$E68&lt;&gt;"Done"),"Processing",AND($G68="Processing",$E68&lt;&gt;"Done"),"Blocked",$E68="Blocked","Waiting",$E68="Waiting","Recently Updated",AND($L68&lt;&gt;"",$L68&gt;=TODAY()-7),"Keyword",AND('Task Finder'!$C$7&lt;&gt;"",OR(ISNUMBER(SEARCH('Task Finder'!$C$7,$A68)),ISNUMBER(SEARCH('Task Finder'!$C$7,$B68)),ISNUMBER(SEARCH('Task Finder'!$C$7,$C68)),ISNUMBER(SEARCH('Task Finder'!$C$7,$D68)),ISNUMBER(SEARCH('Task Finder'!$C$7,$K68)))),TRUE))</f>
        <v/>
      </c>
    </row>
    <row r="69">
      <c r="A69" s="19" t="n"/>
      <c r="B69" s="19" t="n"/>
      <c r="C69" s="19" t="n"/>
      <c r="D69" s="19" t="n"/>
      <c r="E69" s="19" t="n"/>
      <c r="F69" s="19" t="n"/>
      <c r="G69" s="19" t="n"/>
      <c r="H69" s="19" t="n"/>
      <c r="I69" s="19" t="n"/>
      <c r="J69" s="19" t="n"/>
      <c r="K69" s="19" t="n"/>
      <c r="L69" s="35" t="n"/>
      <c r="M69" s="5">
        <f>IF($D69="","",IFERROR(VLOOKUP($H69,Lists!$N$2:$O$6,2,FALSE),0))</f>
        <v/>
      </c>
      <c r="N69" s="5">
        <f>IF($D69="","",IF(OR($E69="Blocked",$E69="Done",$E69="Archive"),-9999,IF(AND($E69="Waiting",SUMPRODUCT((($E$5:$E$500="Next")+($E$5:$E$500="In Progress")+($E$5:$E$500="Captured"))*($D$5:$D$500&lt;&gt;""))&gt;0),-500,VLOOKUP($F69,Lists!$L$2:$M$4,2,FALSE)+IF($E69="In Progress",10,0)+IF(AND($I69&lt;&gt;"",$I69&lt;TODAY()),25,0)+IF(AND($I69&lt;&gt;"",$I69&gt;=TODAY(),$I69&lt;=TODAY()+7),15,0)+IF($M69&lt;=VLOOKUP(Home!$C$7,Lists!$N$2:$O$6,2,FALSE),20,-10)+IF($G69=Home!$E$7,15,IF(Home!$E$7="",0,-5))-ROW()/100000)))</f>
        <v/>
      </c>
      <c r="O69" s="5">
        <f>IF($D69="","",IF($N69&lt;=-500,"Not recommended right now",IF($E69="Waiting","Nothing else actionable right now — Waiting on: "&amp;IF($K69="","this item",$K69),TEXTJOIN(" • ",TRUE,IF($F69="High","High Priority",""),IF(AND($I69&lt;&gt;"",$I69&lt;TODAY()),"Overdue",""),IF(AND($I69&lt;&gt;"",$I69&gt;=TODAY(),$I69&lt;=TODAY()+7),"Due This Week",""),IF($M69&lt;=VLOOKUP(Home!$C$7,Lists!$N$2:$O$6,2,FALSE),$H69&amp;" Task",""),IF($G69=Home!$E$7,"Fits Current Energy",""),"No Blockers"))))</f>
        <v/>
      </c>
      <c r="P69" s="5">
        <f>IF($D69="","",SWITCH('Task Finder'!$C$6,"High Priority",AND($F69="High",$E69&lt;&gt;"Done",$E69&lt;&gt;"Archive"),"Due This Week",AND($I69&lt;&gt;"",$I69&gt;=TODAY(),$I69&lt;=TODAY()+7,$E69&lt;&gt;"Done"),"Quick Wins (15 mins or less)",AND($M69&lt;=15,$E69&lt;&gt;"Done",$E69&lt;&gt;"Blocked"),"Deep Thinking",AND($G69="Deep Thinking",$E69&lt;&gt;"Done"),"Processing",AND($G69="Processing",$E69&lt;&gt;"Done"),"Blocked",$E69="Blocked","Waiting",$E69="Waiting","Recently Updated",AND($L69&lt;&gt;"",$L69&gt;=TODAY()-7),"Keyword",AND('Task Finder'!$C$7&lt;&gt;"",OR(ISNUMBER(SEARCH('Task Finder'!$C$7,$A69)),ISNUMBER(SEARCH('Task Finder'!$C$7,$B69)),ISNUMBER(SEARCH('Task Finder'!$C$7,$C69)),ISNUMBER(SEARCH('Task Finder'!$C$7,$D69)),ISNUMBER(SEARCH('Task Finder'!$C$7,$K69)))),TRUE))</f>
        <v/>
      </c>
    </row>
    <row r="70">
      <c r="A70" s="19" t="n"/>
      <c r="B70" s="19" t="n"/>
      <c r="C70" s="19" t="n"/>
      <c r="D70" s="19" t="n"/>
      <c r="E70" s="19" t="n"/>
      <c r="F70" s="19" t="n"/>
      <c r="G70" s="19" t="n"/>
      <c r="H70" s="19" t="n"/>
      <c r="I70" s="19" t="n"/>
      <c r="J70" s="19" t="n"/>
      <c r="K70" s="19" t="n"/>
      <c r="L70" s="35" t="n"/>
      <c r="M70" s="5">
        <f>IF($D70="","",IFERROR(VLOOKUP($H70,Lists!$N$2:$O$6,2,FALSE),0))</f>
        <v/>
      </c>
      <c r="N70" s="5">
        <f>IF($D70="","",IF(OR($E70="Blocked",$E70="Done",$E70="Archive"),-9999,IF(AND($E70="Waiting",SUMPRODUCT((($E$5:$E$500="Next")+($E$5:$E$500="In Progress")+($E$5:$E$500="Captured"))*($D$5:$D$500&lt;&gt;""))&gt;0),-500,VLOOKUP($F70,Lists!$L$2:$M$4,2,FALSE)+IF($E70="In Progress",10,0)+IF(AND($I70&lt;&gt;"",$I70&lt;TODAY()),25,0)+IF(AND($I70&lt;&gt;"",$I70&gt;=TODAY(),$I70&lt;=TODAY()+7),15,0)+IF($M70&lt;=VLOOKUP(Home!$C$7,Lists!$N$2:$O$6,2,FALSE),20,-10)+IF($G70=Home!$E$7,15,IF(Home!$E$7="",0,-5))-ROW()/100000)))</f>
        <v/>
      </c>
      <c r="O70" s="5">
        <f>IF($D70="","",IF($N70&lt;=-500,"Not recommended right now",IF($E70="Waiting","Nothing else actionable right now — Waiting on: "&amp;IF($K70="","this item",$K70),TEXTJOIN(" • ",TRUE,IF($F70="High","High Priority",""),IF(AND($I70&lt;&gt;"",$I70&lt;TODAY()),"Overdue",""),IF(AND($I70&lt;&gt;"",$I70&gt;=TODAY(),$I70&lt;=TODAY()+7),"Due This Week",""),IF($M70&lt;=VLOOKUP(Home!$C$7,Lists!$N$2:$O$6,2,FALSE),$H70&amp;" Task",""),IF($G70=Home!$E$7,"Fits Current Energy",""),"No Blockers"))))</f>
        <v/>
      </c>
      <c r="P70" s="5">
        <f>IF($D70="","",SWITCH('Task Finder'!$C$6,"High Priority",AND($F70="High",$E70&lt;&gt;"Done",$E70&lt;&gt;"Archive"),"Due This Week",AND($I70&lt;&gt;"",$I70&gt;=TODAY(),$I70&lt;=TODAY()+7,$E70&lt;&gt;"Done"),"Quick Wins (15 mins or less)",AND($M70&lt;=15,$E70&lt;&gt;"Done",$E70&lt;&gt;"Blocked"),"Deep Thinking",AND($G70="Deep Thinking",$E70&lt;&gt;"Done"),"Processing",AND($G70="Processing",$E70&lt;&gt;"Done"),"Blocked",$E70="Blocked","Waiting",$E70="Waiting","Recently Updated",AND($L70&lt;&gt;"",$L70&gt;=TODAY()-7),"Keyword",AND('Task Finder'!$C$7&lt;&gt;"",OR(ISNUMBER(SEARCH('Task Finder'!$C$7,$A70)),ISNUMBER(SEARCH('Task Finder'!$C$7,$B70)),ISNUMBER(SEARCH('Task Finder'!$C$7,$C70)),ISNUMBER(SEARCH('Task Finder'!$C$7,$D70)),ISNUMBER(SEARCH('Task Finder'!$C$7,$K70)))),TRUE))</f>
        <v/>
      </c>
    </row>
    <row r="71">
      <c r="A71" s="19" t="n"/>
      <c r="B71" s="19" t="n"/>
      <c r="C71" s="19" t="n"/>
      <c r="D71" s="19" t="n"/>
      <c r="E71" s="19" t="n"/>
      <c r="F71" s="19" t="n"/>
      <c r="G71" s="19" t="n"/>
      <c r="H71" s="19" t="n"/>
      <c r="I71" s="19" t="n"/>
      <c r="J71" s="19" t="n"/>
      <c r="K71" s="19" t="n"/>
      <c r="L71" s="35" t="n"/>
      <c r="M71" s="5">
        <f>IF($D71="","",IFERROR(VLOOKUP($H71,Lists!$N$2:$O$6,2,FALSE),0))</f>
        <v/>
      </c>
      <c r="N71" s="5">
        <f>IF($D71="","",IF(OR($E71="Blocked",$E71="Done",$E71="Archive"),-9999,IF(AND($E71="Waiting",SUMPRODUCT((($E$5:$E$500="Next")+($E$5:$E$500="In Progress")+($E$5:$E$500="Captured"))*($D$5:$D$500&lt;&gt;""))&gt;0),-500,VLOOKUP($F71,Lists!$L$2:$M$4,2,FALSE)+IF($E71="In Progress",10,0)+IF(AND($I71&lt;&gt;"",$I71&lt;TODAY()),25,0)+IF(AND($I71&lt;&gt;"",$I71&gt;=TODAY(),$I71&lt;=TODAY()+7),15,0)+IF($M71&lt;=VLOOKUP(Home!$C$7,Lists!$N$2:$O$6,2,FALSE),20,-10)+IF($G71=Home!$E$7,15,IF(Home!$E$7="",0,-5))-ROW()/100000)))</f>
        <v/>
      </c>
      <c r="O71" s="5">
        <f>IF($D71="","",IF($N71&lt;=-500,"Not recommended right now",IF($E71="Waiting","Nothing else actionable right now — Waiting on: "&amp;IF($K71="","this item",$K71),TEXTJOIN(" • ",TRUE,IF($F71="High","High Priority",""),IF(AND($I71&lt;&gt;"",$I71&lt;TODAY()),"Overdue",""),IF(AND($I71&lt;&gt;"",$I71&gt;=TODAY(),$I71&lt;=TODAY()+7),"Due This Week",""),IF($M71&lt;=VLOOKUP(Home!$C$7,Lists!$N$2:$O$6,2,FALSE),$H71&amp;" Task",""),IF($G71=Home!$E$7,"Fits Current Energy",""),"No Blockers"))))</f>
        <v/>
      </c>
      <c r="P71" s="5">
        <f>IF($D71="","",SWITCH('Task Finder'!$C$6,"High Priority",AND($F71="High",$E71&lt;&gt;"Done",$E71&lt;&gt;"Archive"),"Due This Week",AND($I71&lt;&gt;"",$I71&gt;=TODAY(),$I71&lt;=TODAY()+7,$E71&lt;&gt;"Done"),"Quick Wins (15 mins or less)",AND($M71&lt;=15,$E71&lt;&gt;"Done",$E71&lt;&gt;"Blocked"),"Deep Thinking",AND($G71="Deep Thinking",$E71&lt;&gt;"Done"),"Processing",AND($G71="Processing",$E71&lt;&gt;"Done"),"Blocked",$E71="Blocked","Waiting",$E71="Waiting","Recently Updated",AND($L71&lt;&gt;"",$L71&gt;=TODAY()-7),"Keyword",AND('Task Finder'!$C$7&lt;&gt;"",OR(ISNUMBER(SEARCH('Task Finder'!$C$7,$A71)),ISNUMBER(SEARCH('Task Finder'!$C$7,$B71)),ISNUMBER(SEARCH('Task Finder'!$C$7,$C71)),ISNUMBER(SEARCH('Task Finder'!$C$7,$D71)),ISNUMBER(SEARCH('Task Finder'!$C$7,$K71)))),TRUE))</f>
        <v/>
      </c>
    </row>
    <row r="72">
      <c r="A72" s="19" t="n"/>
      <c r="B72" s="19" t="n"/>
      <c r="C72" s="19" t="n"/>
      <c r="D72" s="19" t="n"/>
      <c r="E72" s="19" t="n"/>
      <c r="F72" s="19" t="n"/>
      <c r="G72" s="19" t="n"/>
      <c r="H72" s="19" t="n"/>
      <c r="I72" s="19" t="n"/>
      <c r="J72" s="19" t="n"/>
      <c r="K72" s="19" t="n"/>
      <c r="L72" s="35" t="n"/>
      <c r="M72" s="5">
        <f>IF($D72="","",IFERROR(VLOOKUP($H72,Lists!$N$2:$O$6,2,FALSE),0))</f>
        <v/>
      </c>
      <c r="N72" s="5">
        <f>IF($D72="","",IF(OR($E72="Blocked",$E72="Done",$E72="Archive"),-9999,IF(AND($E72="Waiting",SUMPRODUCT((($E$5:$E$500="Next")+($E$5:$E$500="In Progress")+($E$5:$E$500="Captured"))*($D$5:$D$500&lt;&gt;""))&gt;0),-500,VLOOKUP($F72,Lists!$L$2:$M$4,2,FALSE)+IF($E72="In Progress",10,0)+IF(AND($I72&lt;&gt;"",$I72&lt;TODAY()),25,0)+IF(AND($I72&lt;&gt;"",$I72&gt;=TODAY(),$I72&lt;=TODAY()+7),15,0)+IF($M72&lt;=VLOOKUP(Home!$C$7,Lists!$N$2:$O$6,2,FALSE),20,-10)+IF($G72=Home!$E$7,15,IF(Home!$E$7="",0,-5))-ROW()/100000)))</f>
        <v/>
      </c>
      <c r="O72" s="5">
        <f>IF($D72="","",IF($N72&lt;=-500,"Not recommended right now",IF($E72="Waiting","Nothing else actionable right now — Waiting on: "&amp;IF($K72="","this item",$K72),TEXTJOIN(" • ",TRUE,IF($F72="High","High Priority",""),IF(AND($I72&lt;&gt;"",$I72&lt;TODAY()),"Overdue",""),IF(AND($I72&lt;&gt;"",$I72&gt;=TODAY(),$I72&lt;=TODAY()+7),"Due This Week",""),IF($M72&lt;=VLOOKUP(Home!$C$7,Lists!$N$2:$O$6,2,FALSE),$H72&amp;" Task",""),IF($G72=Home!$E$7,"Fits Current Energy",""),"No Blockers"))))</f>
        <v/>
      </c>
      <c r="P72" s="5">
        <f>IF($D72="","",SWITCH('Task Finder'!$C$6,"High Priority",AND($F72="High",$E72&lt;&gt;"Done",$E72&lt;&gt;"Archive"),"Due This Week",AND($I72&lt;&gt;"",$I72&gt;=TODAY(),$I72&lt;=TODAY()+7,$E72&lt;&gt;"Done"),"Quick Wins (15 mins or less)",AND($M72&lt;=15,$E72&lt;&gt;"Done",$E72&lt;&gt;"Blocked"),"Deep Thinking",AND($G72="Deep Thinking",$E72&lt;&gt;"Done"),"Processing",AND($G72="Processing",$E72&lt;&gt;"Done"),"Blocked",$E72="Blocked","Waiting",$E72="Waiting","Recently Updated",AND($L72&lt;&gt;"",$L72&gt;=TODAY()-7),"Keyword",AND('Task Finder'!$C$7&lt;&gt;"",OR(ISNUMBER(SEARCH('Task Finder'!$C$7,$A72)),ISNUMBER(SEARCH('Task Finder'!$C$7,$B72)),ISNUMBER(SEARCH('Task Finder'!$C$7,$C72)),ISNUMBER(SEARCH('Task Finder'!$C$7,$D72)),ISNUMBER(SEARCH('Task Finder'!$C$7,$K72)))),TRUE))</f>
        <v/>
      </c>
    </row>
    <row r="73">
      <c r="A73" s="19" t="n"/>
      <c r="B73" s="19" t="n"/>
      <c r="C73" s="19" t="n"/>
      <c r="D73" s="19" t="n"/>
      <c r="E73" s="19" t="n"/>
      <c r="F73" s="19" t="n"/>
      <c r="G73" s="19" t="n"/>
      <c r="H73" s="19" t="n"/>
      <c r="I73" s="19" t="n"/>
      <c r="J73" s="19" t="n"/>
      <c r="K73" s="19" t="n"/>
      <c r="L73" s="35" t="n"/>
      <c r="M73" s="5">
        <f>IF($D73="","",IFERROR(VLOOKUP($H73,Lists!$N$2:$O$6,2,FALSE),0))</f>
        <v/>
      </c>
      <c r="N73" s="5">
        <f>IF($D73="","",IF(OR($E73="Blocked",$E73="Done",$E73="Archive"),-9999,IF(AND($E73="Waiting",SUMPRODUCT((($E$5:$E$500="Next")+($E$5:$E$500="In Progress")+($E$5:$E$500="Captured"))*($D$5:$D$500&lt;&gt;""))&gt;0),-500,VLOOKUP($F73,Lists!$L$2:$M$4,2,FALSE)+IF($E73="In Progress",10,0)+IF(AND($I73&lt;&gt;"",$I73&lt;TODAY()),25,0)+IF(AND($I73&lt;&gt;"",$I73&gt;=TODAY(),$I73&lt;=TODAY()+7),15,0)+IF($M73&lt;=VLOOKUP(Home!$C$7,Lists!$N$2:$O$6,2,FALSE),20,-10)+IF($G73=Home!$E$7,15,IF(Home!$E$7="",0,-5))-ROW()/100000)))</f>
        <v/>
      </c>
      <c r="O73" s="5">
        <f>IF($D73="","",IF($N73&lt;=-500,"Not recommended right now",IF($E73="Waiting","Nothing else actionable right now — Waiting on: "&amp;IF($K73="","this item",$K73),TEXTJOIN(" • ",TRUE,IF($F73="High","High Priority",""),IF(AND($I73&lt;&gt;"",$I73&lt;TODAY()),"Overdue",""),IF(AND($I73&lt;&gt;"",$I73&gt;=TODAY(),$I73&lt;=TODAY()+7),"Due This Week",""),IF($M73&lt;=VLOOKUP(Home!$C$7,Lists!$N$2:$O$6,2,FALSE),$H73&amp;" Task",""),IF($G73=Home!$E$7,"Fits Current Energy",""),"No Blockers"))))</f>
        <v/>
      </c>
      <c r="P73" s="5">
        <f>IF($D73="","",SWITCH('Task Finder'!$C$6,"High Priority",AND($F73="High",$E73&lt;&gt;"Done",$E73&lt;&gt;"Archive"),"Due This Week",AND($I73&lt;&gt;"",$I73&gt;=TODAY(),$I73&lt;=TODAY()+7,$E73&lt;&gt;"Done"),"Quick Wins (15 mins or less)",AND($M73&lt;=15,$E73&lt;&gt;"Done",$E73&lt;&gt;"Blocked"),"Deep Thinking",AND($G73="Deep Thinking",$E73&lt;&gt;"Done"),"Processing",AND($G73="Processing",$E73&lt;&gt;"Done"),"Blocked",$E73="Blocked","Waiting",$E73="Waiting","Recently Updated",AND($L73&lt;&gt;"",$L73&gt;=TODAY()-7),"Keyword",AND('Task Finder'!$C$7&lt;&gt;"",OR(ISNUMBER(SEARCH('Task Finder'!$C$7,$A73)),ISNUMBER(SEARCH('Task Finder'!$C$7,$B73)),ISNUMBER(SEARCH('Task Finder'!$C$7,$C73)),ISNUMBER(SEARCH('Task Finder'!$C$7,$D73)),ISNUMBER(SEARCH('Task Finder'!$C$7,$K73)))),TRUE))</f>
        <v/>
      </c>
    </row>
    <row r="74">
      <c r="A74" s="19" t="n"/>
      <c r="B74" s="19" t="n"/>
      <c r="C74" s="19" t="n"/>
      <c r="D74" s="19" t="n"/>
      <c r="E74" s="19" t="n"/>
      <c r="F74" s="19" t="n"/>
      <c r="G74" s="19" t="n"/>
      <c r="H74" s="19" t="n"/>
      <c r="I74" s="19" t="n"/>
      <c r="J74" s="19" t="n"/>
      <c r="K74" s="19" t="n"/>
      <c r="L74" s="35" t="n"/>
      <c r="M74" s="5">
        <f>IF($D74="","",IFERROR(VLOOKUP($H74,Lists!$N$2:$O$6,2,FALSE),0))</f>
        <v/>
      </c>
      <c r="N74" s="5">
        <f>IF($D74="","",IF(OR($E74="Blocked",$E74="Done",$E74="Archive"),-9999,IF(AND($E74="Waiting",SUMPRODUCT((($E$5:$E$500="Next")+($E$5:$E$500="In Progress")+($E$5:$E$500="Captured"))*($D$5:$D$500&lt;&gt;""))&gt;0),-500,VLOOKUP($F74,Lists!$L$2:$M$4,2,FALSE)+IF($E74="In Progress",10,0)+IF(AND($I74&lt;&gt;"",$I74&lt;TODAY()),25,0)+IF(AND($I74&lt;&gt;"",$I74&gt;=TODAY(),$I74&lt;=TODAY()+7),15,0)+IF($M74&lt;=VLOOKUP(Home!$C$7,Lists!$N$2:$O$6,2,FALSE),20,-10)+IF($G74=Home!$E$7,15,IF(Home!$E$7="",0,-5))-ROW()/100000)))</f>
        <v/>
      </c>
      <c r="O74" s="5">
        <f>IF($D74="","",IF($N74&lt;=-500,"Not recommended right now",IF($E74="Waiting","Nothing else actionable right now — Waiting on: "&amp;IF($K74="","this item",$K74),TEXTJOIN(" • ",TRUE,IF($F74="High","High Priority",""),IF(AND($I74&lt;&gt;"",$I74&lt;TODAY()),"Overdue",""),IF(AND($I74&lt;&gt;"",$I74&gt;=TODAY(),$I74&lt;=TODAY()+7),"Due This Week",""),IF($M74&lt;=VLOOKUP(Home!$C$7,Lists!$N$2:$O$6,2,FALSE),$H74&amp;" Task",""),IF($G74=Home!$E$7,"Fits Current Energy",""),"No Blockers"))))</f>
        <v/>
      </c>
      <c r="P74" s="5">
        <f>IF($D74="","",SWITCH('Task Finder'!$C$6,"High Priority",AND($F74="High",$E74&lt;&gt;"Done",$E74&lt;&gt;"Archive"),"Due This Week",AND($I74&lt;&gt;"",$I74&gt;=TODAY(),$I74&lt;=TODAY()+7,$E74&lt;&gt;"Done"),"Quick Wins (15 mins or less)",AND($M74&lt;=15,$E74&lt;&gt;"Done",$E74&lt;&gt;"Blocked"),"Deep Thinking",AND($G74="Deep Thinking",$E74&lt;&gt;"Done"),"Processing",AND($G74="Processing",$E74&lt;&gt;"Done"),"Blocked",$E74="Blocked","Waiting",$E74="Waiting","Recently Updated",AND($L74&lt;&gt;"",$L74&gt;=TODAY()-7),"Keyword",AND('Task Finder'!$C$7&lt;&gt;"",OR(ISNUMBER(SEARCH('Task Finder'!$C$7,$A74)),ISNUMBER(SEARCH('Task Finder'!$C$7,$B74)),ISNUMBER(SEARCH('Task Finder'!$C$7,$C74)),ISNUMBER(SEARCH('Task Finder'!$C$7,$D74)),ISNUMBER(SEARCH('Task Finder'!$C$7,$K74)))),TRUE))</f>
        <v/>
      </c>
    </row>
    <row r="75">
      <c r="A75" s="19" t="n"/>
      <c r="B75" s="19" t="n"/>
      <c r="C75" s="19" t="n"/>
      <c r="D75" s="19" t="n"/>
      <c r="E75" s="19" t="n"/>
      <c r="F75" s="19" t="n"/>
      <c r="G75" s="19" t="n"/>
      <c r="H75" s="19" t="n"/>
      <c r="I75" s="19" t="n"/>
      <c r="J75" s="19" t="n"/>
      <c r="K75" s="19" t="n"/>
      <c r="L75" s="35" t="n"/>
      <c r="M75" s="5">
        <f>IF($D75="","",IFERROR(VLOOKUP($H75,Lists!$N$2:$O$6,2,FALSE),0))</f>
        <v/>
      </c>
      <c r="N75" s="5">
        <f>IF($D75="","",IF(OR($E75="Blocked",$E75="Done",$E75="Archive"),-9999,IF(AND($E75="Waiting",SUMPRODUCT((($E$5:$E$500="Next")+($E$5:$E$500="In Progress")+($E$5:$E$500="Captured"))*($D$5:$D$500&lt;&gt;""))&gt;0),-500,VLOOKUP($F75,Lists!$L$2:$M$4,2,FALSE)+IF($E75="In Progress",10,0)+IF(AND($I75&lt;&gt;"",$I75&lt;TODAY()),25,0)+IF(AND($I75&lt;&gt;"",$I75&gt;=TODAY(),$I75&lt;=TODAY()+7),15,0)+IF($M75&lt;=VLOOKUP(Home!$C$7,Lists!$N$2:$O$6,2,FALSE),20,-10)+IF($G75=Home!$E$7,15,IF(Home!$E$7="",0,-5))-ROW()/100000)))</f>
        <v/>
      </c>
      <c r="O75" s="5">
        <f>IF($D75="","",IF($N75&lt;=-500,"Not recommended right now",IF($E75="Waiting","Nothing else actionable right now — Waiting on: "&amp;IF($K75="","this item",$K75),TEXTJOIN(" • ",TRUE,IF($F75="High","High Priority",""),IF(AND($I75&lt;&gt;"",$I75&lt;TODAY()),"Overdue",""),IF(AND($I75&lt;&gt;"",$I75&gt;=TODAY(),$I75&lt;=TODAY()+7),"Due This Week",""),IF($M75&lt;=VLOOKUP(Home!$C$7,Lists!$N$2:$O$6,2,FALSE),$H75&amp;" Task",""),IF($G75=Home!$E$7,"Fits Current Energy",""),"No Blockers"))))</f>
        <v/>
      </c>
      <c r="P75" s="5">
        <f>IF($D75="","",SWITCH('Task Finder'!$C$6,"High Priority",AND($F75="High",$E75&lt;&gt;"Done",$E75&lt;&gt;"Archive"),"Due This Week",AND($I75&lt;&gt;"",$I75&gt;=TODAY(),$I75&lt;=TODAY()+7,$E75&lt;&gt;"Done"),"Quick Wins (15 mins or less)",AND($M75&lt;=15,$E75&lt;&gt;"Done",$E75&lt;&gt;"Blocked"),"Deep Thinking",AND($G75="Deep Thinking",$E75&lt;&gt;"Done"),"Processing",AND($G75="Processing",$E75&lt;&gt;"Done"),"Blocked",$E75="Blocked","Waiting",$E75="Waiting","Recently Updated",AND($L75&lt;&gt;"",$L75&gt;=TODAY()-7),"Keyword",AND('Task Finder'!$C$7&lt;&gt;"",OR(ISNUMBER(SEARCH('Task Finder'!$C$7,$A75)),ISNUMBER(SEARCH('Task Finder'!$C$7,$B75)),ISNUMBER(SEARCH('Task Finder'!$C$7,$C75)),ISNUMBER(SEARCH('Task Finder'!$C$7,$D75)),ISNUMBER(SEARCH('Task Finder'!$C$7,$K75)))),TRUE))</f>
        <v/>
      </c>
    </row>
    <row r="76">
      <c r="A76" s="19" t="n"/>
      <c r="B76" s="19" t="n"/>
      <c r="C76" s="19" t="n"/>
      <c r="D76" s="19" t="n"/>
      <c r="E76" s="19" t="n"/>
      <c r="F76" s="19" t="n"/>
      <c r="G76" s="19" t="n"/>
      <c r="H76" s="19" t="n"/>
      <c r="I76" s="19" t="n"/>
      <c r="J76" s="19" t="n"/>
      <c r="K76" s="19" t="n"/>
      <c r="L76" s="35" t="n"/>
      <c r="M76" s="5">
        <f>IF($D76="","",IFERROR(VLOOKUP($H76,Lists!$N$2:$O$6,2,FALSE),0))</f>
        <v/>
      </c>
      <c r="N76" s="5">
        <f>IF($D76="","",IF(OR($E76="Blocked",$E76="Done",$E76="Archive"),-9999,IF(AND($E76="Waiting",SUMPRODUCT((($E$5:$E$500="Next")+($E$5:$E$500="In Progress")+($E$5:$E$500="Captured"))*($D$5:$D$500&lt;&gt;""))&gt;0),-500,VLOOKUP($F76,Lists!$L$2:$M$4,2,FALSE)+IF($E76="In Progress",10,0)+IF(AND($I76&lt;&gt;"",$I76&lt;TODAY()),25,0)+IF(AND($I76&lt;&gt;"",$I76&gt;=TODAY(),$I76&lt;=TODAY()+7),15,0)+IF($M76&lt;=VLOOKUP(Home!$C$7,Lists!$N$2:$O$6,2,FALSE),20,-10)+IF($G76=Home!$E$7,15,IF(Home!$E$7="",0,-5))-ROW()/100000)))</f>
        <v/>
      </c>
      <c r="O76" s="5">
        <f>IF($D76="","",IF($N76&lt;=-500,"Not recommended right now",IF($E76="Waiting","Nothing else actionable right now — Waiting on: "&amp;IF($K76="","this item",$K76),TEXTJOIN(" • ",TRUE,IF($F76="High","High Priority",""),IF(AND($I76&lt;&gt;"",$I76&lt;TODAY()),"Overdue",""),IF(AND($I76&lt;&gt;"",$I76&gt;=TODAY(),$I76&lt;=TODAY()+7),"Due This Week",""),IF($M76&lt;=VLOOKUP(Home!$C$7,Lists!$N$2:$O$6,2,FALSE),$H76&amp;" Task",""),IF($G76=Home!$E$7,"Fits Current Energy",""),"No Blockers"))))</f>
        <v/>
      </c>
      <c r="P76" s="5">
        <f>IF($D76="","",SWITCH('Task Finder'!$C$6,"High Priority",AND($F76="High",$E76&lt;&gt;"Done",$E76&lt;&gt;"Archive"),"Due This Week",AND($I76&lt;&gt;"",$I76&gt;=TODAY(),$I76&lt;=TODAY()+7,$E76&lt;&gt;"Done"),"Quick Wins (15 mins or less)",AND($M76&lt;=15,$E76&lt;&gt;"Done",$E76&lt;&gt;"Blocked"),"Deep Thinking",AND($G76="Deep Thinking",$E76&lt;&gt;"Done"),"Processing",AND($G76="Processing",$E76&lt;&gt;"Done"),"Blocked",$E76="Blocked","Waiting",$E76="Waiting","Recently Updated",AND($L76&lt;&gt;"",$L76&gt;=TODAY()-7),"Keyword",AND('Task Finder'!$C$7&lt;&gt;"",OR(ISNUMBER(SEARCH('Task Finder'!$C$7,$A76)),ISNUMBER(SEARCH('Task Finder'!$C$7,$B76)),ISNUMBER(SEARCH('Task Finder'!$C$7,$C76)),ISNUMBER(SEARCH('Task Finder'!$C$7,$D76)),ISNUMBER(SEARCH('Task Finder'!$C$7,$K76)))),TRUE))</f>
        <v/>
      </c>
    </row>
    <row r="77">
      <c r="A77" s="19" t="n"/>
      <c r="B77" s="19" t="n"/>
      <c r="C77" s="19" t="n"/>
      <c r="D77" s="19" t="n"/>
      <c r="E77" s="19" t="n"/>
      <c r="F77" s="19" t="n"/>
      <c r="G77" s="19" t="n"/>
      <c r="H77" s="19" t="n"/>
      <c r="I77" s="19" t="n"/>
      <c r="J77" s="19" t="n"/>
      <c r="K77" s="19" t="n"/>
      <c r="L77" s="35" t="n"/>
      <c r="M77" s="5">
        <f>IF($D77="","",IFERROR(VLOOKUP($H77,Lists!$N$2:$O$6,2,FALSE),0))</f>
        <v/>
      </c>
      <c r="N77" s="5">
        <f>IF($D77="","",IF(OR($E77="Blocked",$E77="Done",$E77="Archive"),-9999,IF(AND($E77="Waiting",SUMPRODUCT((($E$5:$E$500="Next")+($E$5:$E$500="In Progress")+($E$5:$E$500="Captured"))*($D$5:$D$500&lt;&gt;""))&gt;0),-500,VLOOKUP($F77,Lists!$L$2:$M$4,2,FALSE)+IF($E77="In Progress",10,0)+IF(AND($I77&lt;&gt;"",$I77&lt;TODAY()),25,0)+IF(AND($I77&lt;&gt;"",$I77&gt;=TODAY(),$I77&lt;=TODAY()+7),15,0)+IF($M77&lt;=VLOOKUP(Home!$C$7,Lists!$N$2:$O$6,2,FALSE),20,-10)+IF($G77=Home!$E$7,15,IF(Home!$E$7="",0,-5))-ROW()/100000)))</f>
        <v/>
      </c>
      <c r="O77" s="5">
        <f>IF($D77="","",IF($N77&lt;=-500,"Not recommended right now",IF($E77="Waiting","Nothing else actionable right now — Waiting on: "&amp;IF($K77="","this item",$K77),TEXTJOIN(" • ",TRUE,IF($F77="High","High Priority",""),IF(AND($I77&lt;&gt;"",$I77&lt;TODAY()),"Overdue",""),IF(AND($I77&lt;&gt;"",$I77&gt;=TODAY(),$I77&lt;=TODAY()+7),"Due This Week",""),IF($M77&lt;=VLOOKUP(Home!$C$7,Lists!$N$2:$O$6,2,FALSE),$H77&amp;" Task",""),IF($G77=Home!$E$7,"Fits Current Energy",""),"No Blockers"))))</f>
        <v/>
      </c>
      <c r="P77" s="5">
        <f>IF($D77="","",SWITCH('Task Finder'!$C$6,"High Priority",AND($F77="High",$E77&lt;&gt;"Done",$E77&lt;&gt;"Archive"),"Due This Week",AND($I77&lt;&gt;"",$I77&gt;=TODAY(),$I77&lt;=TODAY()+7,$E77&lt;&gt;"Done"),"Quick Wins (15 mins or less)",AND($M77&lt;=15,$E77&lt;&gt;"Done",$E77&lt;&gt;"Blocked"),"Deep Thinking",AND($G77="Deep Thinking",$E77&lt;&gt;"Done"),"Processing",AND($G77="Processing",$E77&lt;&gt;"Done"),"Blocked",$E77="Blocked","Waiting",$E77="Waiting","Recently Updated",AND($L77&lt;&gt;"",$L77&gt;=TODAY()-7),"Keyword",AND('Task Finder'!$C$7&lt;&gt;"",OR(ISNUMBER(SEARCH('Task Finder'!$C$7,$A77)),ISNUMBER(SEARCH('Task Finder'!$C$7,$B77)),ISNUMBER(SEARCH('Task Finder'!$C$7,$C77)),ISNUMBER(SEARCH('Task Finder'!$C$7,$D77)),ISNUMBER(SEARCH('Task Finder'!$C$7,$K77)))),TRUE))</f>
        <v/>
      </c>
    </row>
    <row r="78">
      <c r="A78" s="19" t="n"/>
      <c r="B78" s="19" t="n"/>
      <c r="C78" s="19" t="n"/>
      <c r="D78" s="19" t="n"/>
      <c r="E78" s="19" t="n"/>
      <c r="F78" s="19" t="n"/>
      <c r="G78" s="19" t="n"/>
      <c r="H78" s="19" t="n"/>
      <c r="I78" s="19" t="n"/>
      <c r="J78" s="19" t="n"/>
      <c r="K78" s="19" t="n"/>
      <c r="L78" s="35" t="n"/>
      <c r="M78" s="5">
        <f>IF($D78="","",IFERROR(VLOOKUP($H78,Lists!$N$2:$O$6,2,FALSE),0))</f>
        <v/>
      </c>
      <c r="N78" s="5">
        <f>IF($D78="","",IF(OR($E78="Blocked",$E78="Done",$E78="Archive"),-9999,IF(AND($E78="Waiting",SUMPRODUCT((($E$5:$E$500="Next")+($E$5:$E$500="In Progress")+($E$5:$E$500="Captured"))*($D$5:$D$500&lt;&gt;""))&gt;0),-500,VLOOKUP($F78,Lists!$L$2:$M$4,2,FALSE)+IF($E78="In Progress",10,0)+IF(AND($I78&lt;&gt;"",$I78&lt;TODAY()),25,0)+IF(AND($I78&lt;&gt;"",$I78&gt;=TODAY(),$I78&lt;=TODAY()+7),15,0)+IF($M78&lt;=VLOOKUP(Home!$C$7,Lists!$N$2:$O$6,2,FALSE),20,-10)+IF($G78=Home!$E$7,15,IF(Home!$E$7="",0,-5))-ROW()/100000)))</f>
        <v/>
      </c>
      <c r="O78" s="5">
        <f>IF($D78="","",IF($N78&lt;=-500,"Not recommended right now",IF($E78="Waiting","Nothing else actionable right now — Waiting on: "&amp;IF($K78="","this item",$K78),TEXTJOIN(" • ",TRUE,IF($F78="High","High Priority",""),IF(AND($I78&lt;&gt;"",$I78&lt;TODAY()),"Overdue",""),IF(AND($I78&lt;&gt;"",$I78&gt;=TODAY(),$I78&lt;=TODAY()+7),"Due This Week",""),IF($M78&lt;=VLOOKUP(Home!$C$7,Lists!$N$2:$O$6,2,FALSE),$H78&amp;" Task",""),IF($G78=Home!$E$7,"Fits Current Energy",""),"No Blockers"))))</f>
        <v/>
      </c>
      <c r="P78" s="5">
        <f>IF($D78="","",SWITCH('Task Finder'!$C$6,"High Priority",AND($F78="High",$E78&lt;&gt;"Done",$E78&lt;&gt;"Archive"),"Due This Week",AND($I78&lt;&gt;"",$I78&gt;=TODAY(),$I78&lt;=TODAY()+7,$E78&lt;&gt;"Done"),"Quick Wins (15 mins or less)",AND($M78&lt;=15,$E78&lt;&gt;"Done",$E78&lt;&gt;"Blocked"),"Deep Thinking",AND($G78="Deep Thinking",$E78&lt;&gt;"Done"),"Processing",AND($G78="Processing",$E78&lt;&gt;"Done"),"Blocked",$E78="Blocked","Waiting",$E78="Waiting","Recently Updated",AND($L78&lt;&gt;"",$L78&gt;=TODAY()-7),"Keyword",AND('Task Finder'!$C$7&lt;&gt;"",OR(ISNUMBER(SEARCH('Task Finder'!$C$7,$A78)),ISNUMBER(SEARCH('Task Finder'!$C$7,$B78)),ISNUMBER(SEARCH('Task Finder'!$C$7,$C78)),ISNUMBER(SEARCH('Task Finder'!$C$7,$D78)),ISNUMBER(SEARCH('Task Finder'!$C$7,$K78)))),TRUE))</f>
        <v/>
      </c>
    </row>
    <row r="79">
      <c r="A79" s="19" t="n"/>
      <c r="B79" s="19" t="n"/>
      <c r="C79" s="19" t="n"/>
      <c r="D79" s="19" t="n"/>
      <c r="E79" s="19" t="n"/>
      <c r="F79" s="19" t="n"/>
      <c r="G79" s="19" t="n"/>
      <c r="H79" s="19" t="n"/>
      <c r="I79" s="19" t="n"/>
      <c r="J79" s="19" t="n"/>
      <c r="K79" s="19" t="n"/>
      <c r="L79" s="35" t="n"/>
      <c r="M79" s="5">
        <f>IF($D79="","",IFERROR(VLOOKUP($H79,Lists!$N$2:$O$6,2,FALSE),0))</f>
        <v/>
      </c>
      <c r="N79" s="5">
        <f>IF($D79="","",IF(OR($E79="Blocked",$E79="Done",$E79="Archive"),-9999,IF(AND($E79="Waiting",SUMPRODUCT((($E$5:$E$500="Next")+($E$5:$E$500="In Progress")+($E$5:$E$500="Captured"))*($D$5:$D$500&lt;&gt;""))&gt;0),-500,VLOOKUP($F79,Lists!$L$2:$M$4,2,FALSE)+IF($E79="In Progress",10,0)+IF(AND($I79&lt;&gt;"",$I79&lt;TODAY()),25,0)+IF(AND($I79&lt;&gt;"",$I79&gt;=TODAY(),$I79&lt;=TODAY()+7),15,0)+IF($M79&lt;=VLOOKUP(Home!$C$7,Lists!$N$2:$O$6,2,FALSE),20,-10)+IF($G79=Home!$E$7,15,IF(Home!$E$7="",0,-5))-ROW()/100000)))</f>
        <v/>
      </c>
      <c r="O79" s="5">
        <f>IF($D79="","",IF($N79&lt;=-500,"Not recommended right now",IF($E79="Waiting","Nothing else actionable right now — Waiting on: "&amp;IF($K79="","this item",$K79),TEXTJOIN(" • ",TRUE,IF($F79="High","High Priority",""),IF(AND($I79&lt;&gt;"",$I79&lt;TODAY()),"Overdue",""),IF(AND($I79&lt;&gt;"",$I79&gt;=TODAY(),$I79&lt;=TODAY()+7),"Due This Week",""),IF($M79&lt;=VLOOKUP(Home!$C$7,Lists!$N$2:$O$6,2,FALSE),$H79&amp;" Task",""),IF($G79=Home!$E$7,"Fits Current Energy",""),"No Blockers"))))</f>
        <v/>
      </c>
      <c r="P79" s="5">
        <f>IF($D79="","",SWITCH('Task Finder'!$C$6,"High Priority",AND($F79="High",$E79&lt;&gt;"Done",$E79&lt;&gt;"Archive"),"Due This Week",AND($I79&lt;&gt;"",$I79&gt;=TODAY(),$I79&lt;=TODAY()+7,$E79&lt;&gt;"Done"),"Quick Wins (15 mins or less)",AND($M79&lt;=15,$E79&lt;&gt;"Done",$E79&lt;&gt;"Blocked"),"Deep Thinking",AND($G79="Deep Thinking",$E79&lt;&gt;"Done"),"Processing",AND($G79="Processing",$E79&lt;&gt;"Done"),"Blocked",$E79="Blocked","Waiting",$E79="Waiting","Recently Updated",AND($L79&lt;&gt;"",$L79&gt;=TODAY()-7),"Keyword",AND('Task Finder'!$C$7&lt;&gt;"",OR(ISNUMBER(SEARCH('Task Finder'!$C$7,$A79)),ISNUMBER(SEARCH('Task Finder'!$C$7,$B79)),ISNUMBER(SEARCH('Task Finder'!$C$7,$C79)),ISNUMBER(SEARCH('Task Finder'!$C$7,$D79)),ISNUMBER(SEARCH('Task Finder'!$C$7,$K79)))),TRUE))</f>
        <v/>
      </c>
    </row>
    <row r="80">
      <c r="A80" s="19" t="n"/>
      <c r="B80" s="19" t="n"/>
      <c r="C80" s="19" t="n"/>
      <c r="D80" s="19" t="n"/>
      <c r="E80" s="19" t="n"/>
      <c r="F80" s="19" t="n"/>
      <c r="G80" s="19" t="n"/>
      <c r="H80" s="19" t="n"/>
      <c r="I80" s="19" t="n"/>
      <c r="J80" s="19" t="n"/>
      <c r="K80" s="19" t="n"/>
      <c r="L80" s="35" t="n"/>
      <c r="M80" s="5">
        <f>IF($D80="","",IFERROR(VLOOKUP($H80,Lists!$N$2:$O$6,2,FALSE),0))</f>
        <v/>
      </c>
      <c r="N80" s="5">
        <f>IF($D80="","",IF(OR($E80="Blocked",$E80="Done",$E80="Archive"),-9999,IF(AND($E80="Waiting",SUMPRODUCT((($E$5:$E$500="Next")+($E$5:$E$500="In Progress")+($E$5:$E$500="Captured"))*($D$5:$D$500&lt;&gt;""))&gt;0),-500,VLOOKUP($F80,Lists!$L$2:$M$4,2,FALSE)+IF($E80="In Progress",10,0)+IF(AND($I80&lt;&gt;"",$I80&lt;TODAY()),25,0)+IF(AND($I80&lt;&gt;"",$I80&gt;=TODAY(),$I80&lt;=TODAY()+7),15,0)+IF($M80&lt;=VLOOKUP(Home!$C$7,Lists!$N$2:$O$6,2,FALSE),20,-10)+IF($G80=Home!$E$7,15,IF(Home!$E$7="",0,-5))-ROW()/100000)))</f>
        <v/>
      </c>
      <c r="O80" s="5">
        <f>IF($D80="","",IF($N80&lt;=-500,"Not recommended right now",IF($E80="Waiting","Nothing else actionable right now — Waiting on: "&amp;IF($K80="","this item",$K80),TEXTJOIN(" • ",TRUE,IF($F80="High","High Priority",""),IF(AND($I80&lt;&gt;"",$I80&lt;TODAY()),"Overdue",""),IF(AND($I80&lt;&gt;"",$I80&gt;=TODAY(),$I80&lt;=TODAY()+7),"Due This Week",""),IF($M80&lt;=VLOOKUP(Home!$C$7,Lists!$N$2:$O$6,2,FALSE),$H80&amp;" Task",""),IF($G80=Home!$E$7,"Fits Current Energy",""),"No Blockers"))))</f>
        <v/>
      </c>
      <c r="P80" s="5">
        <f>IF($D80="","",SWITCH('Task Finder'!$C$6,"High Priority",AND($F80="High",$E80&lt;&gt;"Done",$E80&lt;&gt;"Archive"),"Due This Week",AND($I80&lt;&gt;"",$I80&gt;=TODAY(),$I80&lt;=TODAY()+7,$E80&lt;&gt;"Done"),"Quick Wins (15 mins or less)",AND($M80&lt;=15,$E80&lt;&gt;"Done",$E80&lt;&gt;"Blocked"),"Deep Thinking",AND($G80="Deep Thinking",$E80&lt;&gt;"Done"),"Processing",AND($G80="Processing",$E80&lt;&gt;"Done"),"Blocked",$E80="Blocked","Waiting",$E80="Waiting","Recently Updated",AND($L80&lt;&gt;"",$L80&gt;=TODAY()-7),"Keyword",AND('Task Finder'!$C$7&lt;&gt;"",OR(ISNUMBER(SEARCH('Task Finder'!$C$7,$A80)),ISNUMBER(SEARCH('Task Finder'!$C$7,$B80)),ISNUMBER(SEARCH('Task Finder'!$C$7,$C80)),ISNUMBER(SEARCH('Task Finder'!$C$7,$D80)),ISNUMBER(SEARCH('Task Finder'!$C$7,$K80)))),TRUE))</f>
        <v/>
      </c>
    </row>
    <row r="81">
      <c r="A81" s="19" t="n"/>
      <c r="B81" s="19" t="n"/>
      <c r="C81" s="19" t="n"/>
      <c r="D81" s="19" t="n"/>
      <c r="E81" s="19" t="n"/>
      <c r="F81" s="19" t="n"/>
      <c r="G81" s="19" t="n"/>
      <c r="H81" s="19" t="n"/>
      <c r="I81" s="19" t="n"/>
      <c r="J81" s="19" t="n"/>
      <c r="K81" s="19" t="n"/>
      <c r="L81" s="35" t="n"/>
      <c r="M81" s="5">
        <f>IF($D81="","",IFERROR(VLOOKUP($H81,Lists!$N$2:$O$6,2,FALSE),0))</f>
        <v/>
      </c>
      <c r="N81" s="5">
        <f>IF($D81="","",IF(OR($E81="Blocked",$E81="Done",$E81="Archive"),-9999,IF(AND($E81="Waiting",SUMPRODUCT((($E$5:$E$500="Next")+($E$5:$E$500="In Progress")+($E$5:$E$500="Captured"))*($D$5:$D$500&lt;&gt;""))&gt;0),-500,VLOOKUP($F81,Lists!$L$2:$M$4,2,FALSE)+IF($E81="In Progress",10,0)+IF(AND($I81&lt;&gt;"",$I81&lt;TODAY()),25,0)+IF(AND($I81&lt;&gt;"",$I81&gt;=TODAY(),$I81&lt;=TODAY()+7),15,0)+IF($M81&lt;=VLOOKUP(Home!$C$7,Lists!$N$2:$O$6,2,FALSE),20,-10)+IF($G81=Home!$E$7,15,IF(Home!$E$7="",0,-5))-ROW()/100000)))</f>
        <v/>
      </c>
      <c r="O81" s="5">
        <f>IF($D81="","",IF($N81&lt;=-500,"Not recommended right now",IF($E81="Waiting","Nothing else actionable right now — Waiting on: "&amp;IF($K81="","this item",$K81),TEXTJOIN(" • ",TRUE,IF($F81="High","High Priority",""),IF(AND($I81&lt;&gt;"",$I81&lt;TODAY()),"Overdue",""),IF(AND($I81&lt;&gt;"",$I81&gt;=TODAY(),$I81&lt;=TODAY()+7),"Due This Week",""),IF($M81&lt;=VLOOKUP(Home!$C$7,Lists!$N$2:$O$6,2,FALSE),$H81&amp;" Task",""),IF($G81=Home!$E$7,"Fits Current Energy",""),"No Blockers"))))</f>
        <v/>
      </c>
      <c r="P81" s="5">
        <f>IF($D81="","",SWITCH('Task Finder'!$C$6,"High Priority",AND($F81="High",$E81&lt;&gt;"Done",$E81&lt;&gt;"Archive"),"Due This Week",AND($I81&lt;&gt;"",$I81&gt;=TODAY(),$I81&lt;=TODAY()+7,$E81&lt;&gt;"Done"),"Quick Wins (15 mins or less)",AND($M81&lt;=15,$E81&lt;&gt;"Done",$E81&lt;&gt;"Blocked"),"Deep Thinking",AND($G81="Deep Thinking",$E81&lt;&gt;"Done"),"Processing",AND($G81="Processing",$E81&lt;&gt;"Done"),"Blocked",$E81="Blocked","Waiting",$E81="Waiting","Recently Updated",AND($L81&lt;&gt;"",$L81&gt;=TODAY()-7),"Keyword",AND('Task Finder'!$C$7&lt;&gt;"",OR(ISNUMBER(SEARCH('Task Finder'!$C$7,$A81)),ISNUMBER(SEARCH('Task Finder'!$C$7,$B81)),ISNUMBER(SEARCH('Task Finder'!$C$7,$C81)),ISNUMBER(SEARCH('Task Finder'!$C$7,$D81)),ISNUMBER(SEARCH('Task Finder'!$C$7,$K81)))),TRUE))</f>
        <v/>
      </c>
    </row>
    <row r="82">
      <c r="A82" s="19" t="n"/>
      <c r="B82" s="19" t="n"/>
      <c r="C82" s="19" t="n"/>
      <c r="D82" s="19" t="n"/>
      <c r="E82" s="19" t="n"/>
      <c r="F82" s="19" t="n"/>
      <c r="G82" s="19" t="n"/>
      <c r="H82" s="19" t="n"/>
      <c r="I82" s="19" t="n"/>
      <c r="J82" s="19" t="n"/>
      <c r="K82" s="19" t="n"/>
      <c r="L82" s="35" t="n"/>
      <c r="M82" s="5">
        <f>IF($D82="","",IFERROR(VLOOKUP($H82,Lists!$N$2:$O$6,2,FALSE),0))</f>
        <v/>
      </c>
      <c r="N82" s="5">
        <f>IF($D82="","",IF(OR($E82="Blocked",$E82="Done",$E82="Archive"),-9999,IF(AND($E82="Waiting",SUMPRODUCT((($E$5:$E$500="Next")+($E$5:$E$500="In Progress")+($E$5:$E$500="Captured"))*($D$5:$D$500&lt;&gt;""))&gt;0),-500,VLOOKUP($F82,Lists!$L$2:$M$4,2,FALSE)+IF($E82="In Progress",10,0)+IF(AND($I82&lt;&gt;"",$I82&lt;TODAY()),25,0)+IF(AND($I82&lt;&gt;"",$I82&gt;=TODAY(),$I82&lt;=TODAY()+7),15,0)+IF($M82&lt;=VLOOKUP(Home!$C$7,Lists!$N$2:$O$6,2,FALSE),20,-10)+IF($G82=Home!$E$7,15,IF(Home!$E$7="",0,-5))-ROW()/100000)))</f>
        <v/>
      </c>
      <c r="O82" s="5">
        <f>IF($D82="","",IF($N82&lt;=-500,"Not recommended right now",IF($E82="Waiting","Nothing else actionable right now — Waiting on: "&amp;IF($K82="","this item",$K82),TEXTJOIN(" • ",TRUE,IF($F82="High","High Priority",""),IF(AND($I82&lt;&gt;"",$I82&lt;TODAY()),"Overdue",""),IF(AND($I82&lt;&gt;"",$I82&gt;=TODAY(),$I82&lt;=TODAY()+7),"Due This Week",""),IF($M82&lt;=VLOOKUP(Home!$C$7,Lists!$N$2:$O$6,2,FALSE),$H82&amp;" Task",""),IF($G82=Home!$E$7,"Fits Current Energy",""),"No Blockers"))))</f>
        <v/>
      </c>
      <c r="P82" s="5">
        <f>IF($D82="","",SWITCH('Task Finder'!$C$6,"High Priority",AND($F82="High",$E82&lt;&gt;"Done",$E82&lt;&gt;"Archive"),"Due This Week",AND($I82&lt;&gt;"",$I82&gt;=TODAY(),$I82&lt;=TODAY()+7,$E82&lt;&gt;"Done"),"Quick Wins (15 mins or less)",AND($M82&lt;=15,$E82&lt;&gt;"Done",$E82&lt;&gt;"Blocked"),"Deep Thinking",AND($G82="Deep Thinking",$E82&lt;&gt;"Done"),"Processing",AND($G82="Processing",$E82&lt;&gt;"Done"),"Blocked",$E82="Blocked","Waiting",$E82="Waiting","Recently Updated",AND($L82&lt;&gt;"",$L82&gt;=TODAY()-7),"Keyword",AND('Task Finder'!$C$7&lt;&gt;"",OR(ISNUMBER(SEARCH('Task Finder'!$C$7,$A82)),ISNUMBER(SEARCH('Task Finder'!$C$7,$B82)),ISNUMBER(SEARCH('Task Finder'!$C$7,$C82)),ISNUMBER(SEARCH('Task Finder'!$C$7,$D82)),ISNUMBER(SEARCH('Task Finder'!$C$7,$K82)))),TRUE))</f>
        <v/>
      </c>
    </row>
    <row r="83">
      <c r="A83" s="19" t="n"/>
      <c r="B83" s="19" t="n"/>
      <c r="C83" s="19" t="n"/>
      <c r="D83" s="19" t="n"/>
      <c r="E83" s="19" t="n"/>
      <c r="F83" s="19" t="n"/>
      <c r="G83" s="19" t="n"/>
      <c r="H83" s="19" t="n"/>
      <c r="I83" s="19" t="n"/>
      <c r="J83" s="19" t="n"/>
      <c r="K83" s="19" t="n"/>
      <c r="L83" s="35" t="n"/>
      <c r="M83" s="5">
        <f>IF($D83="","",IFERROR(VLOOKUP($H83,Lists!$N$2:$O$6,2,FALSE),0))</f>
        <v/>
      </c>
      <c r="N83" s="5">
        <f>IF($D83="","",IF(OR($E83="Blocked",$E83="Done",$E83="Archive"),-9999,IF(AND($E83="Waiting",SUMPRODUCT((($E$5:$E$500="Next")+($E$5:$E$500="In Progress")+($E$5:$E$500="Captured"))*($D$5:$D$500&lt;&gt;""))&gt;0),-500,VLOOKUP($F83,Lists!$L$2:$M$4,2,FALSE)+IF($E83="In Progress",10,0)+IF(AND($I83&lt;&gt;"",$I83&lt;TODAY()),25,0)+IF(AND($I83&lt;&gt;"",$I83&gt;=TODAY(),$I83&lt;=TODAY()+7),15,0)+IF($M83&lt;=VLOOKUP(Home!$C$7,Lists!$N$2:$O$6,2,FALSE),20,-10)+IF($G83=Home!$E$7,15,IF(Home!$E$7="",0,-5))-ROW()/100000)))</f>
        <v/>
      </c>
      <c r="O83" s="5">
        <f>IF($D83="","",IF($N83&lt;=-500,"Not recommended right now",IF($E83="Waiting","Nothing else actionable right now — Waiting on: "&amp;IF($K83="","this item",$K83),TEXTJOIN(" • ",TRUE,IF($F83="High","High Priority",""),IF(AND($I83&lt;&gt;"",$I83&lt;TODAY()),"Overdue",""),IF(AND($I83&lt;&gt;"",$I83&gt;=TODAY(),$I83&lt;=TODAY()+7),"Due This Week",""),IF($M83&lt;=VLOOKUP(Home!$C$7,Lists!$N$2:$O$6,2,FALSE),$H83&amp;" Task",""),IF($G83=Home!$E$7,"Fits Current Energy",""),"No Blockers"))))</f>
        <v/>
      </c>
      <c r="P83" s="5">
        <f>IF($D83="","",SWITCH('Task Finder'!$C$6,"High Priority",AND($F83="High",$E83&lt;&gt;"Done",$E83&lt;&gt;"Archive"),"Due This Week",AND($I83&lt;&gt;"",$I83&gt;=TODAY(),$I83&lt;=TODAY()+7,$E83&lt;&gt;"Done"),"Quick Wins (15 mins or less)",AND($M83&lt;=15,$E83&lt;&gt;"Done",$E83&lt;&gt;"Blocked"),"Deep Thinking",AND($G83="Deep Thinking",$E83&lt;&gt;"Done"),"Processing",AND($G83="Processing",$E83&lt;&gt;"Done"),"Blocked",$E83="Blocked","Waiting",$E83="Waiting","Recently Updated",AND($L83&lt;&gt;"",$L83&gt;=TODAY()-7),"Keyword",AND('Task Finder'!$C$7&lt;&gt;"",OR(ISNUMBER(SEARCH('Task Finder'!$C$7,$A83)),ISNUMBER(SEARCH('Task Finder'!$C$7,$B83)),ISNUMBER(SEARCH('Task Finder'!$C$7,$C83)),ISNUMBER(SEARCH('Task Finder'!$C$7,$D83)),ISNUMBER(SEARCH('Task Finder'!$C$7,$K83)))),TRUE))</f>
        <v/>
      </c>
    </row>
    <row r="84">
      <c r="A84" s="19" t="n"/>
      <c r="B84" s="19" t="n"/>
      <c r="C84" s="19" t="n"/>
      <c r="D84" s="19" t="n"/>
      <c r="E84" s="19" t="n"/>
      <c r="F84" s="19" t="n"/>
      <c r="G84" s="19" t="n"/>
      <c r="H84" s="19" t="n"/>
      <c r="I84" s="19" t="n"/>
      <c r="J84" s="19" t="n"/>
      <c r="K84" s="19" t="n"/>
      <c r="L84" s="35" t="n"/>
      <c r="M84" s="5">
        <f>IF($D84="","",IFERROR(VLOOKUP($H84,Lists!$N$2:$O$6,2,FALSE),0))</f>
        <v/>
      </c>
      <c r="N84" s="5">
        <f>IF($D84="","",IF(OR($E84="Blocked",$E84="Done",$E84="Archive"),-9999,IF(AND($E84="Waiting",SUMPRODUCT((($E$5:$E$500="Next")+($E$5:$E$500="In Progress")+($E$5:$E$500="Captured"))*($D$5:$D$500&lt;&gt;""))&gt;0),-500,VLOOKUP($F84,Lists!$L$2:$M$4,2,FALSE)+IF($E84="In Progress",10,0)+IF(AND($I84&lt;&gt;"",$I84&lt;TODAY()),25,0)+IF(AND($I84&lt;&gt;"",$I84&gt;=TODAY(),$I84&lt;=TODAY()+7),15,0)+IF($M84&lt;=VLOOKUP(Home!$C$7,Lists!$N$2:$O$6,2,FALSE),20,-10)+IF($G84=Home!$E$7,15,IF(Home!$E$7="",0,-5))-ROW()/100000)))</f>
        <v/>
      </c>
      <c r="O84" s="5">
        <f>IF($D84="","",IF($N84&lt;=-500,"Not recommended right now",IF($E84="Waiting","Nothing else actionable right now — Waiting on: "&amp;IF($K84="","this item",$K84),TEXTJOIN(" • ",TRUE,IF($F84="High","High Priority",""),IF(AND($I84&lt;&gt;"",$I84&lt;TODAY()),"Overdue",""),IF(AND($I84&lt;&gt;"",$I84&gt;=TODAY(),$I84&lt;=TODAY()+7),"Due This Week",""),IF($M84&lt;=VLOOKUP(Home!$C$7,Lists!$N$2:$O$6,2,FALSE),$H84&amp;" Task",""),IF($G84=Home!$E$7,"Fits Current Energy",""),"No Blockers"))))</f>
        <v/>
      </c>
      <c r="P84" s="5">
        <f>IF($D84="","",SWITCH('Task Finder'!$C$6,"High Priority",AND($F84="High",$E84&lt;&gt;"Done",$E84&lt;&gt;"Archive"),"Due This Week",AND($I84&lt;&gt;"",$I84&gt;=TODAY(),$I84&lt;=TODAY()+7,$E84&lt;&gt;"Done"),"Quick Wins (15 mins or less)",AND($M84&lt;=15,$E84&lt;&gt;"Done",$E84&lt;&gt;"Blocked"),"Deep Thinking",AND($G84="Deep Thinking",$E84&lt;&gt;"Done"),"Processing",AND($G84="Processing",$E84&lt;&gt;"Done"),"Blocked",$E84="Blocked","Waiting",$E84="Waiting","Recently Updated",AND($L84&lt;&gt;"",$L84&gt;=TODAY()-7),"Keyword",AND('Task Finder'!$C$7&lt;&gt;"",OR(ISNUMBER(SEARCH('Task Finder'!$C$7,$A84)),ISNUMBER(SEARCH('Task Finder'!$C$7,$B84)),ISNUMBER(SEARCH('Task Finder'!$C$7,$C84)),ISNUMBER(SEARCH('Task Finder'!$C$7,$D84)),ISNUMBER(SEARCH('Task Finder'!$C$7,$K84)))),TRUE))</f>
        <v/>
      </c>
    </row>
    <row r="85">
      <c r="A85" s="19" t="n"/>
      <c r="B85" s="19" t="n"/>
      <c r="C85" s="19" t="n"/>
      <c r="D85" s="19" t="n"/>
      <c r="E85" s="19" t="n"/>
      <c r="F85" s="19" t="n"/>
      <c r="G85" s="19" t="n"/>
      <c r="H85" s="19" t="n"/>
      <c r="I85" s="19" t="n"/>
      <c r="J85" s="19" t="n"/>
      <c r="K85" s="19" t="n"/>
      <c r="L85" s="35" t="n"/>
      <c r="M85" s="5">
        <f>IF($D85="","",IFERROR(VLOOKUP($H85,Lists!$N$2:$O$6,2,FALSE),0))</f>
        <v/>
      </c>
      <c r="N85" s="5">
        <f>IF($D85="","",IF(OR($E85="Blocked",$E85="Done",$E85="Archive"),-9999,IF(AND($E85="Waiting",SUMPRODUCT((($E$5:$E$500="Next")+($E$5:$E$500="In Progress")+($E$5:$E$500="Captured"))*($D$5:$D$500&lt;&gt;""))&gt;0),-500,VLOOKUP($F85,Lists!$L$2:$M$4,2,FALSE)+IF($E85="In Progress",10,0)+IF(AND($I85&lt;&gt;"",$I85&lt;TODAY()),25,0)+IF(AND($I85&lt;&gt;"",$I85&gt;=TODAY(),$I85&lt;=TODAY()+7),15,0)+IF($M85&lt;=VLOOKUP(Home!$C$7,Lists!$N$2:$O$6,2,FALSE),20,-10)+IF($G85=Home!$E$7,15,IF(Home!$E$7="",0,-5))-ROW()/100000)))</f>
        <v/>
      </c>
      <c r="O85" s="5">
        <f>IF($D85="","",IF($N85&lt;=-500,"Not recommended right now",IF($E85="Waiting","Nothing else actionable right now — Waiting on: "&amp;IF($K85="","this item",$K85),TEXTJOIN(" • ",TRUE,IF($F85="High","High Priority",""),IF(AND($I85&lt;&gt;"",$I85&lt;TODAY()),"Overdue",""),IF(AND($I85&lt;&gt;"",$I85&gt;=TODAY(),$I85&lt;=TODAY()+7),"Due This Week",""),IF($M85&lt;=VLOOKUP(Home!$C$7,Lists!$N$2:$O$6,2,FALSE),$H85&amp;" Task",""),IF($G85=Home!$E$7,"Fits Current Energy",""),"No Blockers"))))</f>
        <v/>
      </c>
      <c r="P85" s="5">
        <f>IF($D85="","",SWITCH('Task Finder'!$C$6,"High Priority",AND($F85="High",$E85&lt;&gt;"Done",$E85&lt;&gt;"Archive"),"Due This Week",AND($I85&lt;&gt;"",$I85&gt;=TODAY(),$I85&lt;=TODAY()+7,$E85&lt;&gt;"Done"),"Quick Wins (15 mins or less)",AND($M85&lt;=15,$E85&lt;&gt;"Done",$E85&lt;&gt;"Blocked"),"Deep Thinking",AND($G85="Deep Thinking",$E85&lt;&gt;"Done"),"Processing",AND($G85="Processing",$E85&lt;&gt;"Done"),"Blocked",$E85="Blocked","Waiting",$E85="Waiting","Recently Updated",AND($L85&lt;&gt;"",$L85&gt;=TODAY()-7),"Keyword",AND('Task Finder'!$C$7&lt;&gt;"",OR(ISNUMBER(SEARCH('Task Finder'!$C$7,$A85)),ISNUMBER(SEARCH('Task Finder'!$C$7,$B85)),ISNUMBER(SEARCH('Task Finder'!$C$7,$C85)),ISNUMBER(SEARCH('Task Finder'!$C$7,$D85)),ISNUMBER(SEARCH('Task Finder'!$C$7,$K85)))),TRUE))</f>
        <v/>
      </c>
    </row>
    <row r="86">
      <c r="A86" s="19" t="n"/>
      <c r="B86" s="19" t="n"/>
      <c r="C86" s="19" t="n"/>
      <c r="D86" s="19" t="n"/>
      <c r="E86" s="19" t="n"/>
      <c r="F86" s="19" t="n"/>
      <c r="G86" s="19" t="n"/>
      <c r="H86" s="19" t="n"/>
      <c r="I86" s="19" t="n"/>
      <c r="J86" s="19" t="n"/>
      <c r="K86" s="19" t="n"/>
      <c r="L86" s="35" t="n"/>
      <c r="M86" s="5">
        <f>IF($D86="","",IFERROR(VLOOKUP($H86,Lists!$N$2:$O$6,2,FALSE),0))</f>
        <v/>
      </c>
      <c r="N86" s="5">
        <f>IF($D86="","",IF(OR($E86="Blocked",$E86="Done",$E86="Archive"),-9999,IF(AND($E86="Waiting",SUMPRODUCT((($E$5:$E$500="Next")+($E$5:$E$500="In Progress")+($E$5:$E$500="Captured"))*($D$5:$D$500&lt;&gt;""))&gt;0),-500,VLOOKUP($F86,Lists!$L$2:$M$4,2,FALSE)+IF($E86="In Progress",10,0)+IF(AND($I86&lt;&gt;"",$I86&lt;TODAY()),25,0)+IF(AND($I86&lt;&gt;"",$I86&gt;=TODAY(),$I86&lt;=TODAY()+7),15,0)+IF($M86&lt;=VLOOKUP(Home!$C$7,Lists!$N$2:$O$6,2,FALSE),20,-10)+IF($G86=Home!$E$7,15,IF(Home!$E$7="",0,-5))-ROW()/100000)))</f>
        <v/>
      </c>
      <c r="O86" s="5">
        <f>IF($D86="","",IF($N86&lt;=-500,"Not recommended right now",IF($E86="Waiting","Nothing else actionable right now — Waiting on: "&amp;IF($K86="","this item",$K86),TEXTJOIN(" • ",TRUE,IF($F86="High","High Priority",""),IF(AND($I86&lt;&gt;"",$I86&lt;TODAY()),"Overdue",""),IF(AND($I86&lt;&gt;"",$I86&gt;=TODAY(),$I86&lt;=TODAY()+7),"Due This Week",""),IF($M86&lt;=VLOOKUP(Home!$C$7,Lists!$N$2:$O$6,2,FALSE),$H86&amp;" Task",""),IF($G86=Home!$E$7,"Fits Current Energy",""),"No Blockers"))))</f>
        <v/>
      </c>
      <c r="P86" s="5">
        <f>IF($D86="","",SWITCH('Task Finder'!$C$6,"High Priority",AND($F86="High",$E86&lt;&gt;"Done",$E86&lt;&gt;"Archive"),"Due This Week",AND($I86&lt;&gt;"",$I86&gt;=TODAY(),$I86&lt;=TODAY()+7,$E86&lt;&gt;"Done"),"Quick Wins (15 mins or less)",AND($M86&lt;=15,$E86&lt;&gt;"Done",$E86&lt;&gt;"Blocked"),"Deep Thinking",AND($G86="Deep Thinking",$E86&lt;&gt;"Done"),"Processing",AND($G86="Processing",$E86&lt;&gt;"Done"),"Blocked",$E86="Blocked","Waiting",$E86="Waiting","Recently Updated",AND($L86&lt;&gt;"",$L86&gt;=TODAY()-7),"Keyword",AND('Task Finder'!$C$7&lt;&gt;"",OR(ISNUMBER(SEARCH('Task Finder'!$C$7,$A86)),ISNUMBER(SEARCH('Task Finder'!$C$7,$B86)),ISNUMBER(SEARCH('Task Finder'!$C$7,$C86)),ISNUMBER(SEARCH('Task Finder'!$C$7,$D86)),ISNUMBER(SEARCH('Task Finder'!$C$7,$K86)))),TRUE))</f>
        <v/>
      </c>
    </row>
    <row r="87">
      <c r="A87" s="19" t="n"/>
      <c r="B87" s="19" t="n"/>
      <c r="C87" s="19" t="n"/>
      <c r="D87" s="19" t="n"/>
      <c r="E87" s="19" t="n"/>
      <c r="F87" s="19" t="n"/>
      <c r="G87" s="19" t="n"/>
      <c r="H87" s="19" t="n"/>
      <c r="I87" s="19" t="n"/>
      <c r="J87" s="19" t="n"/>
      <c r="K87" s="19" t="n"/>
      <c r="L87" s="35" t="n"/>
      <c r="M87" s="5">
        <f>IF($D87="","",IFERROR(VLOOKUP($H87,Lists!$N$2:$O$6,2,FALSE),0))</f>
        <v/>
      </c>
      <c r="N87" s="5">
        <f>IF($D87="","",IF(OR($E87="Blocked",$E87="Done",$E87="Archive"),-9999,IF(AND($E87="Waiting",SUMPRODUCT((($E$5:$E$500="Next")+($E$5:$E$500="In Progress")+($E$5:$E$500="Captured"))*($D$5:$D$500&lt;&gt;""))&gt;0),-500,VLOOKUP($F87,Lists!$L$2:$M$4,2,FALSE)+IF($E87="In Progress",10,0)+IF(AND($I87&lt;&gt;"",$I87&lt;TODAY()),25,0)+IF(AND($I87&lt;&gt;"",$I87&gt;=TODAY(),$I87&lt;=TODAY()+7),15,0)+IF($M87&lt;=VLOOKUP(Home!$C$7,Lists!$N$2:$O$6,2,FALSE),20,-10)+IF($G87=Home!$E$7,15,IF(Home!$E$7="",0,-5))-ROW()/100000)))</f>
        <v/>
      </c>
      <c r="O87" s="5">
        <f>IF($D87="","",IF($N87&lt;=-500,"Not recommended right now",IF($E87="Waiting","Nothing else actionable right now — Waiting on: "&amp;IF($K87="","this item",$K87),TEXTJOIN(" • ",TRUE,IF($F87="High","High Priority",""),IF(AND($I87&lt;&gt;"",$I87&lt;TODAY()),"Overdue",""),IF(AND($I87&lt;&gt;"",$I87&gt;=TODAY(),$I87&lt;=TODAY()+7),"Due This Week",""),IF($M87&lt;=VLOOKUP(Home!$C$7,Lists!$N$2:$O$6,2,FALSE),$H87&amp;" Task",""),IF($G87=Home!$E$7,"Fits Current Energy",""),"No Blockers"))))</f>
        <v/>
      </c>
      <c r="P87" s="5">
        <f>IF($D87="","",SWITCH('Task Finder'!$C$6,"High Priority",AND($F87="High",$E87&lt;&gt;"Done",$E87&lt;&gt;"Archive"),"Due This Week",AND($I87&lt;&gt;"",$I87&gt;=TODAY(),$I87&lt;=TODAY()+7,$E87&lt;&gt;"Done"),"Quick Wins (15 mins or less)",AND($M87&lt;=15,$E87&lt;&gt;"Done",$E87&lt;&gt;"Blocked"),"Deep Thinking",AND($G87="Deep Thinking",$E87&lt;&gt;"Done"),"Processing",AND($G87="Processing",$E87&lt;&gt;"Done"),"Blocked",$E87="Blocked","Waiting",$E87="Waiting","Recently Updated",AND($L87&lt;&gt;"",$L87&gt;=TODAY()-7),"Keyword",AND('Task Finder'!$C$7&lt;&gt;"",OR(ISNUMBER(SEARCH('Task Finder'!$C$7,$A87)),ISNUMBER(SEARCH('Task Finder'!$C$7,$B87)),ISNUMBER(SEARCH('Task Finder'!$C$7,$C87)),ISNUMBER(SEARCH('Task Finder'!$C$7,$D87)),ISNUMBER(SEARCH('Task Finder'!$C$7,$K87)))),TRUE))</f>
        <v/>
      </c>
    </row>
    <row r="88">
      <c r="A88" s="19" t="n"/>
      <c r="B88" s="19" t="n"/>
      <c r="C88" s="19" t="n"/>
      <c r="D88" s="19" t="n"/>
      <c r="E88" s="19" t="n"/>
      <c r="F88" s="19" t="n"/>
      <c r="G88" s="19" t="n"/>
      <c r="H88" s="19" t="n"/>
      <c r="I88" s="19" t="n"/>
      <c r="J88" s="19" t="n"/>
      <c r="K88" s="19" t="n"/>
      <c r="L88" s="35" t="n"/>
      <c r="M88" s="5">
        <f>IF($D88="","",IFERROR(VLOOKUP($H88,Lists!$N$2:$O$6,2,FALSE),0))</f>
        <v/>
      </c>
      <c r="N88" s="5">
        <f>IF($D88="","",IF(OR($E88="Blocked",$E88="Done",$E88="Archive"),-9999,IF(AND($E88="Waiting",SUMPRODUCT((($E$5:$E$500="Next")+($E$5:$E$500="In Progress")+($E$5:$E$500="Captured"))*($D$5:$D$500&lt;&gt;""))&gt;0),-500,VLOOKUP($F88,Lists!$L$2:$M$4,2,FALSE)+IF($E88="In Progress",10,0)+IF(AND($I88&lt;&gt;"",$I88&lt;TODAY()),25,0)+IF(AND($I88&lt;&gt;"",$I88&gt;=TODAY(),$I88&lt;=TODAY()+7),15,0)+IF($M88&lt;=VLOOKUP(Home!$C$7,Lists!$N$2:$O$6,2,FALSE),20,-10)+IF($G88=Home!$E$7,15,IF(Home!$E$7="",0,-5))-ROW()/100000)))</f>
        <v/>
      </c>
      <c r="O88" s="5">
        <f>IF($D88="","",IF($N88&lt;=-500,"Not recommended right now",IF($E88="Waiting","Nothing else actionable right now — Waiting on: "&amp;IF($K88="","this item",$K88),TEXTJOIN(" • ",TRUE,IF($F88="High","High Priority",""),IF(AND($I88&lt;&gt;"",$I88&lt;TODAY()),"Overdue",""),IF(AND($I88&lt;&gt;"",$I88&gt;=TODAY(),$I88&lt;=TODAY()+7),"Due This Week",""),IF($M88&lt;=VLOOKUP(Home!$C$7,Lists!$N$2:$O$6,2,FALSE),$H88&amp;" Task",""),IF($G88=Home!$E$7,"Fits Current Energy",""),"No Blockers"))))</f>
        <v/>
      </c>
      <c r="P88" s="5">
        <f>IF($D88="","",SWITCH('Task Finder'!$C$6,"High Priority",AND($F88="High",$E88&lt;&gt;"Done",$E88&lt;&gt;"Archive"),"Due This Week",AND($I88&lt;&gt;"",$I88&gt;=TODAY(),$I88&lt;=TODAY()+7,$E88&lt;&gt;"Done"),"Quick Wins (15 mins or less)",AND($M88&lt;=15,$E88&lt;&gt;"Done",$E88&lt;&gt;"Blocked"),"Deep Thinking",AND($G88="Deep Thinking",$E88&lt;&gt;"Done"),"Processing",AND($G88="Processing",$E88&lt;&gt;"Done"),"Blocked",$E88="Blocked","Waiting",$E88="Waiting","Recently Updated",AND($L88&lt;&gt;"",$L88&gt;=TODAY()-7),"Keyword",AND('Task Finder'!$C$7&lt;&gt;"",OR(ISNUMBER(SEARCH('Task Finder'!$C$7,$A88)),ISNUMBER(SEARCH('Task Finder'!$C$7,$B88)),ISNUMBER(SEARCH('Task Finder'!$C$7,$C88)),ISNUMBER(SEARCH('Task Finder'!$C$7,$D88)),ISNUMBER(SEARCH('Task Finder'!$C$7,$K88)))),TRUE))</f>
        <v/>
      </c>
    </row>
    <row r="89">
      <c r="A89" s="19" t="n"/>
      <c r="B89" s="19" t="n"/>
      <c r="C89" s="19" t="n"/>
      <c r="D89" s="19" t="n"/>
      <c r="E89" s="19" t="n"/>
      <c r="F89" s="19" t="n"/>
      <c r="G89" s="19" t="n"/>
      <c r="H89" s="19" t="n"/>
      <c r="I89" s="19" t="n"/>
      <c r="J89" s="19" t="n"/>
      <c r="K89" s="19" t="n"/>
      <c r="L89" s="35" t="n"/>
      <c r="M89" s="5">
        <f>IF($D89="","",IFERROR(VLOOKUP($H89,Lists!$N$2:$O$6,2,FALSE),0))</f>
        <v/>
      </c>
      <c r="N89" s="5">
        <f>IF($D89="","",IF(OR($E89="Blocked",$E89="Done",$E89="Archive"),-9999,IF(AND($E89="Waiting",SUMPRODUCT((($E$5:$E$500="Next")+($E$5:$E$500="In Progress")+($E$5:$E$500="Captured"))*($D$5:$D$500&lt;&gt;""))&gt;0),-500,VLOOKUP($F89,Lists!$L$2:$M$4,2,FALSE)+IF($E89="In Progress",10,0)+IF(AND($I89&lt;&gt;"",$I89&lt;TODAY()),25,0)+IF(AND($I89&lt;&gt;"",$I89&gt;=TODAY(),$I89&lt;=TODAY()+7),15,0)+IF($M89&lt;=VLOOKUP(Home!$C$7,Lists!$N$2:$O$6,2,FALSE),20,-10)+IF($G89=Home!$E$7,15,IF(Home!$E$7="",0,-5))-ROW()/100000)))</f>
        <v/>
      </c>
      <c r="O89" s="5">
        <f>IF($D89="","",IF($N89&lt;=-500,"Not recommended right now",IF($E89="Waiting","Nothing else actionable right now — Waiting on: "&amp;IF($K89="","this item",$K89),TEXTJOIN(" • ",TRUE,IF($F89="High","High Priority",""),IF(AND($I89&lt;&gt;"",$I89&lt;TODAY()),"Overdue",""),IF(AND($I89&lt;&gt;"",$I89&gt;=TODAY(),$I89&lt;=TODAY()+7),"Due This Week",""),IF($M89&lt;=VLOOKUP(Home!$C$7,Lists!$N$2:$O$6,2,FALSE),$H89&amp;" Task",""),IF($G89=Home!$E$7,"Fits Current Energy",""),"No Blockers"))))</f>
        <v/>
      </c>
      <c r="P89" s="5">
        <f>IF($D89="","",SWITCH('Task Finder'!$C$6,"High Priority",AND($F89="High",$E89&lt;&gt;"Done",$E89&lt;&gt;"Archive"),"Due This Week",AND($I89&lt;&gt;"",$I89&gt;=TODAY(),$I89&lt;=TODAY()+7,$E89&lt;&gt;"Done"),"Quick Wins (15 mins or less)",AND($M89&lt;=15,$E89&lt;&gt;"Done",$E89&lt;&gt;"Blocked"),"Deep Thinking",AND($G89="Deep Thinking",$E89&lt;&gt;"Done"),"Processing",AND($G89="Processing",$E89&lt;&gt;"Done"),"Blocked",$E89="Blocked","Waiting",$E89="Waiting","Recently Updated",AND($L89&lt;&gt;"",$L89&gt;=TODAY()-7),"Keyword",AND('Task Finder'!$C$7&lt;&gt;"",OR(ISNUMBER(SEARCH('Task Finder'!$C$7,$A89)),ISNUMBER(SEARCH('Task Finder'!$C$7,$B89)),ISNUMBER(SEARCH('Task Finder'!$C$7,$C89)),ISNUMBER(SEARCH('Task Finder'!$C$7,$D89)),ISNUMBER(SEARCH('Task Finder'!$C$7,$K89)))),TRUE))</f>
        <v/>
      </c>
    </row>
    <row r="90">
      <c r="A90" s="19" t="n"/>
      <c r="B90" s="19" t="n"/>
      <c r="C90" s="19" t="n"/>
      <c r="D90" s="19" t="n"/>
      <c r="E90" s="19" t="n"/>
      <c r="F90" s="19" t="n"/>
      <c r="G90" s="19" t="n"/>
      <c r="H90" s="19" t="n"/>
      <c r="I90" s="19" t="n"/>
      <c r="J90" s="19" t="n"/>
      <c r="K90" s="19" t="n"/>
      <c r="L90" s="35" t="n"/>
      <c r="M90" s="5">
        <f>IF($D90="","",IFERROR(VLOOKUP($H90,Lists!$N$2:$O$6,2,FALSE),0))</f>
        <v/>
      </c>
      <c r="N90" s="5">
        <f>IF($D90="","",IF(OR($E90="Blocked",$E90="Done",$E90="Archive"),-9999,IF(AND($E90="Waiting",SUMPRODUCT((($E$5:$E$500="Next")+($E$5:$E$500="In Progress")+($E$5:$E$500="Captured"))*($D$5:$D$500&lt;&gt;""))&gt;0),-500,VLOOKUP($F90,Lists!$L$2:$M$4,2,FALSE)+IF($E90="In Progress",10,0)+IF(AND($I90&lt;&gt;"",$I90&lt;TODAY()),25,0)+IF(AND($I90&lt;&gt;"",$I90&gt;=TODAY(),$I90&lt;=TODAY()+7),15,0)+IF($M90&lt;=VLOOKUP(Home!$C$7,Lists!$N$2:$O$6,2,FALSE),20,-10)+IF($G90=Home!$E$7,15,IF(Home!$E$7="",0,-5))-ROW()/100000)))</f>
        <v/>
      </c>
      <c r="O90" s="5">
        <f>IF($D90="","",IF($N90&lt;=-500,"Not recommended right now",IF($E90="Waiting","Nothing else actionable right now — Waiting on: "&amp;IF($K90="","this item",$K90),TEXTJOIN(" • ",TRUE,IF($F90="High","High Priority",""),IF(AND($I90&lt;&gt;"",$I90&lt;TODAY()),"Overdue",""),IF(AND($I90&lt;&gt;"",$I90&gt;=TODAY(),$I90&lt;=TODAY()+7),"Due This Week",""),IF($M90&lt;=VLOOKUP(Home!$C$7,Lists!$N$2:$O$6,2,FALSE),$H90&amp;" Task",""),IF($G90=Home!$E$7,"Fits Current Energy",""),"No Blockers"))))</f>
        <v/>
      </c>
      <c r="P90" s="5">
        <f>IF($D90="","",SWITCH('Task Finder'!$C$6,"High Priority",AND($F90="High",$E90&lt;&gt;"Done",$E90&lt;&gt;"Archive"),"Due This Week",AND($I90&lt;&gt;"",$I90&gt;=TODAY(),$I90&lt;=TODAY()+7,$E90&lt;&gt;"Done"),"Quick Wins (15 mins or less)",AND($M90&lt;=15,$E90&lt;&gt;"Done",$E90&lt;&gt;"Blocked"),"Deep Thinking",AND($G90="Deep Thinking",$E90&lt;&gt;"Done"),"Processing",AND($G90="Processing",$E90&lt;&gt;"Done"),"Blocked",$E90="Blocked","Waiting",$E90="Waiting","Recently Updated",AND($L90&lt;&gt;"",$L90&gt;=TODAY()-7),"Keyword",AND('Task Finder'!$C$7&lt;&gt;"",OR(ISNUMBER(SEARCH('Task Finder'!$C$7,$A90)),ISNUMBER(SEARCH('Task Finder'!$C$7,$B90)),ISNUMBER(SEARCH('Task Finder'!$C$7,$C90)),ISNUMBER(SEARCH('Task Finder'!$C$7,$D90)),ISNUMBER(SEARCH('Task Finder'!$C$7,$K90)))),TRUE))</f>
        <v/>
      </c>
    </row>
    <row r="91">
      <c r="A91" s="19" t="n"/>
      <c r="B91" s="19" t="n"/>
      <c r="C91" s="19" t="n"/>
      <c r="D91" s="19" t="n"/>
      <c r="E91" s="19" t="n"/>
      <c r="F91" s="19" t="n"/>
      <c r="G91" s="19" t="n"/>
      <c r="H91" s="19" t="n"/>
      <c r="I91" s="19" t="n"/>
      <c r="J91" s="19" t="n"/>
      <c r="K91" s="19" t="n"/>
      <c r="L91" s="35" t="n"/>
      <c r="M91" s="5">
        <f>IF($D91="","",IFERROR(VLOOKUP($H91,Lists!$N$2:$O$6,2,FALSE),0))</f>
        <v/>
      </c>
      <c r="N91" s="5">
        <f>IF($D91="","",IF(OR($E91="Blocked",$E91="Done",$E91="Archive"),-9999,IF(AND($E91="Waiting",SUMPRODUCT((($E$5:$E$500="Next")+($E$5:$E$500="In Progress")+($E$5:$E$500="Captured"))*($D$5:$D$500&lt;&gt;""))&gt;0),-500,VLOOKUP($F91,Lists!$L$2:$M$4,2,FALSE)+IF($E91="In Progress",10,0)+IF(AND($I91&lt;&gt;"",$I91&lt;TODAY()),25,0)+IF(AND($I91&lt;&gt;"",$I91&gt;=TODAY(),$I91&lt;=TODAY()+7),15,0)+IF($M91&lt;=VLOOKUP(Home!$C$7,Lists!$N$2:$O$6,2,FALSE),20,-10)+IF($G91=Home!$E$7,15,IF(Home!$E$7="",0,-5))-ROW()/100000)))</f>
        <v/>
      </c>
      <c r="O91" s="5">
        <f>IF($D91="","",IF($N91&lt;=-500,"Not recommended right now",IF($E91="Waiting","Nothing else actionable right now — Waiting on: "&amp;IF($K91="","this item",$K91),TEXTJOIN(" • ",TRUE,IF($F91="High","High Priority",""),IF(AND($I91&lt;&gt;"",$I91&lt;TODAY()),"Overdue",""),IF(AND($I91&lt;&gt;"",$I91&gt;=TODAY(),$I91&lt;=TODAY()+7),"Due This Week",""),IF($M91&lt;=VLOOKUP(Home!$C$7,Lists!$N$2:$O$6,2,FALSE),$H91&amp;" Task",""),IF($G91=Home!$E$7,"Fits Current Energy",""),"No Blockers"))))</f>
        <v/>
      </c>
      <c r="P91" s="5">
        <f>IF($D91="","",SWITCH('Task Finder'!$C$6,"High Priority",AND($F91="High",$E91&lt;&gt;"Done",$E91&lt;&gt;"Archive"),"Due This Week",AND($I91&lt;&gt;"",$I91&gt;=TODAY(),$I91&lt;=TODAY()+7,$E91&lt;&gt;"Done"),"Quick Wins (15 mins or less)",AND($M91&lt;=15,$E91&lt;&gt;"Done",$E91&lt;&gt;"Blocked"),"Deep Thinking",AND($G91="Deep Thinking",$E91&lt;&gt;"Done"),"Processing",AND($G91="Processing",$E91&lt;&gt;"Done"),"Blocked",$E91="Blocked","Waiting",$E91="Waiting","Recently Updated",AND($L91&lt;&gt;"",$L91&gt;=TODAY()-7),"Keyword",AND('Task Finder'!$C$7&lt;&gt;"",OR(ISNUMBER(SEARCH('Task Finder'!$C$7,$A91)),ISNUMBER(SEARCH('Task Finder'!$C$7,$B91)),ISNUMBER(SEARCH('Task Finder'!$C$7,$C91)),ISNUMBER(SEARCH('Task Finder'!$C$7,$D91)),ISNUMBER(SEARCH('Task Finder'!$C$7,$K91)))),TRUE))</f>
        <v/>
      </c>
    </row>
    <row r="92">
      <c r="A92" s="19" t="n"/>
      <c r="B92" s="19" t="n"/>
      <c r="C92" s="19" t="n"/>
      <c r="D92" s="19" t="n"/>
      <c r="E92" s="19" t="n"/>
      <c r="F92" s="19" t="n"/>
      <c r="G92" s="19" t="n"/>
      <c r="H92" s="19" t="n"/>
      <c r="I92" s="19" t="n"/>
      <c r="J92" s="19" t="n"/>
      <c r="K92" s="19" t="n"/>
      <c r="L92" s="35" t="n"/>
      <c r="M92" s="5">
        <f>IF($D92="","",IFERROR(VLOOKUP($H92,Lists!$N$2:$O$6,2,FALSE),0))</f>
        <v/>
      </c>
      <c r="N92" s="5">
        <f>IF($D92="","",IF(OR($E92="Blocked",$E92="Done",$E92="Archive"),-9999,IF(AND($E92="Waiting",SUMPRODUCT((($E$5:$E$500="Next")+($E$5:$E$500="In Progress")+($E$5:$E$500="Captured"))*($D$5:$D$500&lt;&gt;""))&gt;0),-500,VLOOKUP($F92,Lists!$L$2:$M$4,2,FALSE)+IF($E92="In Progress",10,0)+IF(AND($I92&lt;&gt;"",$I92&lt;TODAY()),25,0)+IF(AND($I92&lt;&gt;"",$I92&gt;=TODAY(),$I92&lt;=TODAY()+7),15,0)+IF($M92&lt;=VLOOKUP(Home!$C$7,Lists!$N$2:$O$6,2,FALSE),20,-10)+IF($G92=Home!$E$7,15,IF(Home!$E$7="",0,-5))-ROW()/100000)))</f>
        <v/>
      </c>
      <c r="O92" s="5">
        <f>IF($D92="","",IF($N92&lt;=-500,"Not recommended right now",IF($E92="Waiting","Nothing else actionable right now — Waiting on: "&amp;IF($K92="","this item",$K92),TEXTJOIN(" • ",TRUE,IF($F92="High","High Priority",""),IF(AND($I92&lt;&gt;"",$I92&lt;TODAY()),"Overdue",""),IF(AND($I92&lt;&gt;"",$I92&gt;=TODAY(),$I92&lt;=TODAY()+7),"Due This Week",""),IF($M92&lt;=VLOOKUP(Home!$C$7,Lists!$N$2:$O$6,2,FALSE),$H92&amp;" Task",""),IF($G92=Home!$E$7,"Fits Current Energy",""),"No Blockers"))))</f>
        <v/>
      </c>
      <c r="P92" s="5">
        <f>IF($D92="","",SWITCH('Task Finder'!$C$6,"High Priority",AND($F92="High",$E92&lt;&gt;"Done",$E92&lt;&gt;"Archive"),"Due This Week",AND($I92&lt;&gt;"",$I92&gt;=TODAY(),$I92&lt;=TODAY()+7,$E92&lt;&gt;"Done"),"Quick Wins (15 mins or less)",AND($M92&lt;=15,$E92&lt;&gt;"Done",$E92&lt;&gt;"Blocked"),"Deep Thinking",AND($G92="Deep Thinking",$E92&lt;&gt;"Done"),"Processing",AND($G92="Processing",$E92&lt;&gt;"Done"),"Blocked",$E92="Blocked","Waiting",$E92="Waiting","Recently Updated",AND($L92&lt;&gt;"",$L92&gt;=TODAY()-7),"Keyword",AND('Task Finder'!$C$7&lt;&gt;"",OR(ISNUMBER(SEARCH('Task Finder'!$C$7,$A92)),ISNUMBER(SEARCH('Task Finder'!$C$7,$B92)),ISNUMBER(SEARCH('Task Finder'!$C$7,$C92)),ISNUMBER(SEARCH('Task Finder'!$C$7,$D92)),ISNUMBER(SEARCH('Task Finder'!$C$7,$K92)))),TRUE))</f>
        <v/>
      </c>
    </row>
    <row r="93">
      <c r="A93" s="19" t="n"/>
      <c r="B93" s="19" t="n"/>
      <c r="C93" s="19" t="n"/>
      <c r="D93" s="19" t="n"/>
      <c r="E93" s="19" t="n"/>
      <c r="F93" s="19" t="n"/>
      <c r="G93" s="19" t="n"/>
      <c r="H93" s="19" t="n"/>
      <c r="I93" s="19" t="n"/>
      <c r="J93" s="19" t="n"/>
      <c r="K93" s="19" t="n"/>
      <c r="L93" s="35" t="n"/>
      <c r="M93" s="5">
        <f>IF($D93="","",IFERROR(VLOOKUP($H93,Lists!$N$2:$O$6,2,FALSE),0))</f>
        <v/>
      </c>
      <c r="N93" s="5">
        <f>IF($D93="","",IF(OR($E93="Blocked",$E93="Done",$E93="Archive"),-9999,IF(AND($E93="Waiting",SUMPRODUCT((($E$5:$E$500="Next")+($E$5:$E$500="In Progress")+($E$5:$E$500="Captured"))*($D$5:$D$500&lt;&gt;""))&gt;0),-500,VLOOKUP($F93,Lists!$L$2:$M$4,2,FALSE)+IF($E93="In Progress",10,0)+IF(AND($I93&lt;&gt;"",$I93&lt;TODAY()),25,0)+IF(AND($I93&lt;&gt;"",$I93&gt;=TODAY(),$I93&lt;=TODAY()+7),15,0)+IF($M93&lt;=VLOOKUP(Home!$C$7,Lists!$N$2:$O$6,2,FALSE),20,-10)+IF($G93=Home!$E$7,15,IF(Home!$E$7="",0,-5))-ROW()/100000)))</f>
        <v/>
      </c>
      <c r="O93" s="5">
        <f>IF($D93="","",IF($N93&lt;=-500,"Not recommended right now",IF($E93="Waiting","Nothing else actionable right now — Waiting on: "&amp;IF($K93="","this item",$K93),TEXTJOIN(" • ",TRUE,IF($F93="High","High Priority",""),IF(AND($I93&lt;&gt;"",$I93&lt;TODAY()),"Overdue",""),IF(AND($I93&lt;&gt;"",$I93&gt;=TODAY(),$I93&lt;=TODAY()+7),"Due This Week",""),IF($M93&lt;=VLOOKUP(Home!$C$7,Lists!$N$2:$O$6,2,FALSE),$H93&amp;" Task",""),IF($G93=Home!$E$7,"Fits Current Energy",""),"No Blockers"))))</f>
        <v/>
      </c>
      <c r="P93" s="5">
        <f>IF($D93="","",SWITCH('Task Finder'!$C$6,"High Priority",AND($F93="High",$E93&lt;&gt;"Done",$E93&lt;&gt;"Archive"),"Due This Week",AND($I93&lt;&gt;"",$I93&gt;=TODAY(),$I93&lt;=TODAY()+7,$E93&lt;&gt;"Done"),"Quick Wins (15 mins or less)",AND($M93&lt;=15,$E93&lt;&gt;"Done",$E93&lt;&gt;"Blocked"),"Deep Thinking",AND($G93="Deep Thinking",$E93&lt;&gt;"Done"),"Processing",AND($G93="Processing",$E93&lt;&gt;"Done"),"Blocked",$E93="Blocked","Waiting",$E93="Waiting","Recently Updated",AND($L93&lt;&gt;"",$L93&gt;=TODAY()-7),"Keyword",AND('Task Finder'!$C$7&lt;&gt;"",OR(ISNUMBER(SEARCH('Task Finder'!$C$7,$A93)),ISNUMBER(SEARCH('Task Finder'!$C$7,$B93)),ISNUMBER(SEARCH('Task Finder'!$C$7,$C93)),ISNUMBER(SEARCH('Task Finder'!$C$7,$D93)),ISNUMBER(SEARCH('Task Finder'!$C$7,$K93)))),TRUE))</f>
        <v/>
      </c>
    </row>
    <row r="94">
      <c r="A94" s="19" t="n"/>
      <c r="B94" s="19" t="n"/>
      <c r="C94" s="19" t="n"/>
      <c r="D94" s="19" t="n"/>
      <c r="E94" s="19" t="n"/>
      <c r="F94" s="19" t="n"/>
      <c r="G94" s="19" t="n"/>
      <c r="H94" s="19" t="n"/>
      <c r="I94" s="19" t="n"/>
      <c r="J94" s="19" t="n"/>
      <c r="K94" s="19" t="n"/>
      <c r="L94" s="35" t="n"/>
      <c r="M94" s="5">
        <f>IF($D94="","",IFERROR(VLOOKUP($H94,Lists!$N$2:$O$6,2,FALSE),0))</f>
        <v/>
      </c>
      <c r="N94" s="5">
        <f>IF($D94="","",IF(OR($E94="Blocked",$E94="Done",$E94="Archive"),-9999,IF(AND($E94="Waiting",SUMPRODUCT((($E$5:$E$500="Next")+($E$5:$E$500="In Progress")+($E$5:$E$500="Captured"))*($D$5:$D$500&lt;&gt;""))&gt;0),-500,VLOOKUP($F94,Lists!$L$2:$M$4,2,FALSE)+IF($E94="In Progress",10,0)+IF(AND($I94&lt;&gt;"",$I94&lt;TODAY()),25,0)+IF(AND($I94&lt;&gt;"",$I94&gt;=TODAY(),$I94&lt;=TODAY()+7),15,0)+IF($M94&lt;=VLOOKUP(Home!$C$7,Lists!$N$2:$O$6,2,FALSE),20,-10)+IF($G94=Home!$E$7,15,IF(Home!$E$7="",0,-5))-ROW()/100000)))</f>
        <v/>
      </c>
      <c r="O94" s="5">
        <f>IF($D94="","",IF($N94&lt;=-500,"Not recommended right now",IF($E94="Waiting","Nothing else actionable right now — Waiting on: "&amp;IF($K94="","this item",$K94),TEXTJOIN(" • ",TRUE,IF($F94="High","High Priority",""),IF(AND($I94&lt;&gt;"",$I94&lt;TODAY()),"Overdue",""),IF(AND($I94&lt;&gt;"",$I94&gt;=TODAY(),$I94&lt;=TODAY()+7),"Due This Week",""),IF($M94&lt;=VLOOKUP(Home!$C$7,Lists!$N$2:$O$6,2,FALSE),$H94&amp;" Task",""),IF($G94=Home!$E$7,"Fits Current Energy",""),"No Blockers"))))</f>
        <v/>
      </c>
      <c r="P94" s="5">
        <f>IF($D94="","",SWITCH('Task Finder'!$C$6,"High Priority",AND($F94="High",$E94&lt;&gt;"Done",$E94&lt;&gt;"Archive"),"Due This Week",AND($I94&lt;&gt;"",$I94&gt;=TODAY(),$I94&lt;=TODAY()+7,$E94&lt;&gt;"Done"),"Quick Wins (15 mins or less)",AND($M94&lt;=15,$E94&lt;&gt;"Done",$E94&lt;&gt;"Blocked"),"Deep Thinking",AND($G94="Deep Thinking",$E94&lt;&gt;"Done"),"Processing",AND($G94="Processing",$E94&lt;&gt;"Done"),"Blocked",$E94="Blocked","Waiting",$E94="Waiting","Recently Updated",AND($L94&lt;&gt;"",$L94&gt;=TODAY()-7),"Keyword",AND('Task Finder'!$C$7&lt;&gt;"",OR(ISNUMBER(SEARCH('Task Finder'!$C$7,$A94)),ISNUMBER(SEARCH('Task Finder'!$C$7,$B94)),ISNUMBER(SEARCH('Task Finder'!$C$7,$C94)),ISNUMBER(SEARCH('Task Finder'!$C$7,$D94)),ISNUMBER(SEARCH('Task Finder'!$C$7,$K94)))),TRUE))</f>
        <v/>
      </c>
    </row>
    <row r="95">
      <c r="A95" s="19" t="n"/>
      <c r="B95" s="19" t="n"/>
      <c r="C95" s="19" t="n"/>
      <c r="D95" s="19" t="n"/>
      <c r="E95" s="19" t="n"/>
      <c r="F95" s="19" t="n"/>
      <c r="G95" s="19" t="n"/>
      <c r="H95" s="19" t="n"/>
      <c r="I95" s="19" t="n"/>
      <c r="J95" s="19" t="n"/>
      <c r="K95" s="19" t="n"/>
      <c r="L95" s="35" t="n"/>
      <c r="M95" s="5">
        <f>IF($D95="","",IFERROR(VLOOKUP($H95,Lists!$N$2:$O$6,2,FALSE),0))</f>
        <v/>
      </c>
      <c r="N95" s="5">
        <f>IF($D95="","",IF(OR($E95="Blocked",$E95="Done",$E95="Archive"),-9999,IF(AND($E95="Waiting",SUMPRODUCT((($E$5:$E$500="Next")+($E$5:$E$500="In Progress")+($E$5:$E$500="Captured"))*($D$5:$D$500&lt;&gt;""))&gt;0),-500,VLOOKUP($F95,Lists!$L$2:$M$4,2,FALSE)+IF($E95="In Progress",10,0)+IF(AND($I95&lt;&gt;"",$I95&lt;TODAY()),25,0)+IF(AND($I95&lt;&gt;"",$I95&gt;=TODAY(),$I95&lt;=TODAY()+7),15,0)+IF($M95&lt;=VLOOKUP(Home!$C$7,Lists!$N$2:$O$6,2,FALSE),20,-10)+IF($G95=Home!$E$7,15,IF(Home!$E$7="",0,-5))-ROW()/100000)))</f>
        <v/>
      </c>
      <c r="O95" s="5">
        <f>IF($D95="","",IF($N95&lt;=-500,"Not recommended right now",IF($E95="Waiting","Nothing else actionable right now — Waiting on: "&amp;IF($K95="","this item",$K95),TEXTJOIN(" • ",TRUE,IF($F95="High","High Priority",""),IF(AND($I95&lt;&gt;"",$I95&lt;TODAY()),"Overdue",""),IF(AND($I95&lt;&gt;"",$I95&gt;=TODAY(),$I95&lt;=TODAY()+7),"Due This Week",""),IF($M95&lt;=VLOOKUP(Home!$C$7,Lists!$N$2:$O$6,2,FALSE),$H95&amp;" Task",""),IF($G95=Home!$E$7,"Fits Current Energy",""),"No Blockers"))))</f>
        <v/>
      </c>
      <c r="P95" s="5">
        <f>IF($D95="","",SWITCH('Task Finder'!$C$6,"High Priority",AND($F95="High",$E95&lt;&gt;"Done",$E95&lt;&gt;"Archive"),"Due This Week",AND($I95&lt;&gt;"",$I95&gt;=TODAY(),$I95&lt;=TODAY()+7,$E95&lt;&gt;"Done"),"Quick Wins (15 mins or less)",AND($M95&lt;=15,$E95&lt;&gt;"Done",$E95&lt;&gt;"Blocked"),"Deep Thinking",AND($G95="Deep Thinking",$E95&lt;&gt;"Done"),"Processing",AND($G95="Processing",$E95&lt;&gt;"Done"),"Blocked",$E95="Blocked","Waiting",$E95="Waiting","Recently Updated",AND($L95&lt;&gt;"",$L95&gt;=TODAY()-7),"Keyword",AND('Task Finder'!$C$7&lt;&gt;"",OR(ISNUMBER(SEARCH('Task Finder'!$C$7,$A95)),ISNUMBER(SEARCH('Task Finder'!$C$7,$B95)),ISNUMBER(SEARCH('Task Finder'!$C$7,$C95)),ISNUMBER(SEARCH('Task Finder'!$C$7,$D95)),ISNUMBER(SEARCH('Task Finder'!$C$7,$K95)))),TRUE))</f>
        <v/>
      </c>
    </row>
    <row r="96">
      <c r="A96" s="19" t="n"/>
      <c r="B96" s="19" t="n"/>
      <c r="C96" s="19" t="n"/>
      <c r="D96" s="19" t="n"/>
      <c r="E96" s="19" t="n"/>
      <c r="F96" s="19" t="n"/>
      <c r="G96" s="19" t="n"/>
      <c r="H96" s="19" t="n"/>
      <c r="I96" s="19" t="n"/>
      <c r="J96" s="19" t="n"/>
      <c r="K96" s="19" t="n"/>
      <c r="L96" s="35" t="n"/>
      <c r="M96" s="5">
        <f>IF($D96="","",IFERROR(VLOOKUP($H96,Lists!$N$2:$O$6,2,FALSE),0))</f>
        <v/>
      </c>
      <c r="N96" s="5">
        <f>IF($D96="","",IF(OR($E96="Blocked",$E96="Done",$E96="Archive"),-9999,IF(AND($E96="Waiting",SUMPRODUCT((($E$5:$E$500="Next")+($E$5:$E$500="In Progress")+($E$5:$E$500="Captured"))*($D$5:$D$500&lt;&gt;""))&gt;0),-500,VLOOKUP($F96,Lists!$L$2:$M$4,2,FALSE)+IF($E96="In Progress",10,0)+IF(AND($I96&lt;&gt;"",$I96&lt;TODAY()),25,0)+IF(AND($I96&lt;&gt;"",$I96&gt;=TODAY(),$I96&lt;=TODAY()+7),15,0)+IF($M96&lt;=VLOOKUP(Home!$C$7,Lists!$N$2:$O$6,2,FALSE),20,-10)+IF($G96=Home!$E$7,15,IF(Home!$E$7="",0,-5))-ROW()/100000)))</f>
        <v/>
      </c>
      <c r="O96" s="5">
        <f>IF($D96="","",IF($N96&lt;=-500,"Not recommended right now",IF($E96="Waiting","Nothing else actionable right now — Waiting on: "&amp;IF($K96="","this item",$K96),TEXTJOIN(" • ",TRUE,IF($F96="High","High Priority",""),IF(AND($I96&lt;&gt;"",$I96&lt;TODAY()),"Overdue",""),IF(AND($I96&lt;&gt;"",$I96&gt;=TODAY(),$I96&lt;=TODAY()+7),"Due This Week",""),IF($M96&lt;=VLOOKUP(Home!$C$7,Lists!$N$2:$O$6,2,FALSE),$H96&amp;" Task",""),IF($G96=Home!$E$7,"Fits Current Energy",""),"No Blockers"))))</f>
        <v/>
      </c>
      <c r="P96" s="5">
        <f>IF($D96="","",SWITCH('Task Finder'!$C$6,"High Priority",AND($F96="High",$E96&lt;&gt;"Done",$E96&lt;&gt;"Archive"),"Due This Week",AND($I96&lt;&gt;"",$I96&gt;=TODAY(),$I96&lt;=TODAY()+7,$E96&lt;&gt;"Done"),"Quick Wins (15 mins or less)",AND($M96&lt;=15,$E96&lt;&gt;"Done",$E96&lt;&gt;"Blocked"),"Deep Thinking",AND($G96="Deep Thinking",$E96&lt;&gt;"Done"),"Processing",AND($G96="Processing",$E96&lt;&gt;"Done"),"Blocked",$E96="Blocked","Waiting",$E96="Waiting","Recently Updated",AND($L96&lt;&gt;"",$L96&gt;=TODAY()-7),"Keyword",AND('Task Finder'!$C$7&lt;&gt;"",OR(ISNUMBER(SEARCH('Task Finder'!$C$7,$A96)),ISNUMBER(SEARCH('Task Finder'!$C$7,$B96)),ISNUMBER(SEARCH('Task Finder'!$C$7,$C96)),ISNUMBER(SEARCH('Task Finder'!$C$7,$D96)),ISNUMBER(SEARCH('Task Finder'!$C$7,$K96)))),TRUE))</f>
        <v/>
      </c>
    </row>
    <row r="97">
      <c r="A97" s="19" t="n"/>
      <c r="B97" s="19" t="n"/>
      <c r="C97" s="19" t="n"/>
      <c r="D97" s="19" t="n"/>
      <c r="E97" s="19" t="n"/>
      <c r="F97" s="19" t="n"/>
      <c r="G97" s="19" t="n"/>
      <c r="H97" s="19" t="n"/>
      <c r="I97" s="19" t="n"/>
      <c r="J97" s="19" t="n"/>
      <c r="K97" s="19" t="n"/>
      <c r="L97" s="35" t="n"/>
      <c r="M97" s="5">
        <f>IF($D97="","",IFERROR(VLOOKUP($H97,Lists!$N$2:$O$6,2,FALSE),0))</f>
        <v/>
      </c>
      <c r="N97" s="5">
        <f>IF($D97="","",IF(OR($E97="Blocked",$E97="Done",$E97="Archive"),-9999,IF(AND($E97="Waiting",SUMPRODUCT((($E$5:$E$500="Next")+($E$5:$E$500="In Progress")+($E$5:$E$500="Captured"))*($D$5:$D$500&lt;&gt;""))&gt;0),-500,VLOOKUP($F97,Lists!$L$2:$M$4,2,FALSE)+IF($E97="In Progress",10,0)+IF(AND($I97&lt;&gt;"",$I97&lt;TODAY()),25,0)+IF(AND($I97&lt;&gt;"",$I97&gt;=TODAY(),$I97&lt;=TODAY()+7),15,0)+IF($M97&lt;=VLOOKUP(Home!$C$7,Lists!$N$2:$O$6,2,FALSE),20,-10)+IF($G97=Home!$E$7,15,IF(Home!$E$7="",0,-5))-ROW()/100000)))</f>
        <v/>
      </c>
      <c r="O97" s="5">
        <f>IF($D97="","",IF($N97&lt;=-500,"Not recommended right now",IF($E97="Waiting","Nothing else actionable right now — Waiting on: "&amp;IF($K97="","this item",$K97),TEXTJOIN(" • ",TRUE,IF($F97="High","High Priority",""),IF(AND($I97&lt;&gt;"",$I97&lt;TODAY()),"Overdue",""),IF(AND($I97&lt;&gt;"",$I97&gt;=TODAY(),$I97&lt;=TODAY()+7),"Due This Week",""),IF($M97&lt;=VLOOKUP(Home!$C$7,Lists!$N$2:$O$6,2,FALSE),$H97&amp;" Task",""),IF($G97=Home!$E$7,"Fits Current Energy",""),"No Blockers"))))</f>
        <v/>
      </c>
      <c r="P97" s="5">
        <f>IF($D97="","",SWITCH('Task Finder'!$C$6,"High Priority",AND($F97="High",$E97&lt;&gt;"Done",$E97&lt;&gt;"Archive"),"Due This Week",AND($I97&lt;&gt;"",$I97&gt;=TODAY(),$I97&lt;=TODAY()+7,$E97&lt;&gt;"Done"),"Quick Wins (15 mins or less)",AND($M97&lt;=15,$E97&lt;&gt;"Done",$E97&lt;&gt;"Blocked"),"Deep Thinking",AND($G97="Deep Thinking",$E97&lt;&gt;"Done"),"Processing",AND($G97="Processing",$E97&lt;&gt;"Done"),"Blocked",$E97="Blocked","Waiting",$E97="Waiting","Recently Updated",AND($L97&lt;&gt;"",$L97&gt;=TODAY()-7),"Keyword",AND('Task Finder'!$C$7&lt;&gt;"",OR(ISNUMBER(SEARCH('Task Finder'!$C$7,$A97)),ISNUMBER(SEARCH('Task Finder'!$C$7,$B97)),ISNUMBER(SEARCH('Task Finder'!$C$7,$C97)),ISNUMBER(SEARCH('Task Finder'!$C$7,$D97)),ISNUMBER(SEARCH('Task Finder'!$C$7,$K97)))),TRUE))</f>
        <v/>
      </c>
    </row>
    <row r="98">
      <c r="A98" s="19" t="n"/>
      <c r="B98" s="19" t="n"/>
      <c r="C98" s="19" t="n"/>
      <c r="D98" s="19" t="n"/>
      <c r="E98" s="19" t="n"/>
      <c r="F98" s="19" t="n"/>
      <c r="G98" s="19" t="n"/>
      <c r="H98" s="19" t="n"/>
      <c r="I98" s="19" t="n"/>
      <c r="J98" s="19" t="n"/>
      <c r="K98" s="19" t="n"/>
      <c r="L98" s="35" t="n"/>
      <c r="M98" s="5">
        <f>IF($D98="","",IFERROR(VLOOKUP($H98,Lists!$N$2:$O$6,2,FALSE),0))</f>
        <v/>
      </c>
      <c r="N98" s="5">
        <f>IF($D98="","",IF(OR($E98="Blocked",$E98="Done",$E98="Archive"),-9999,IF(AND($E98="Waiting",SUMPRODUCT((($E$5:$E$500="Next")+($E$5:$E$500="In Progress")+($E$5:$E$500="Captured"))*($D$5:$D$500&lt;&gt;""))&gt;0),-500,VLOOKUP($F98,Lists!$L$2:$M$4,2,FALSE)+IF($E98="In Progress",10,0)+IF(AND($I98&lt;&gt;"",$I98&lt;TODAY()),25,0)+IF(AND($I98&lt;&gt;"",$I98&gt;=TODAY(),$I98&lt;=TODAY()+7),15,0)+IF($M98&lt;=VLOOKUP(Home!$C$7,Lists!$N$2:$O$6,2,FALSE),20,-10)+IF($G98=Home!$E$7,15,IF(Home!$E$7="",0,-5))-ROW()/100000)))</f>
        <v/>
      </c>
      <c r="O98" s="5">
        <f>IF($D98="","",IF($N98&lt;=-500,"Not recommended right now",IF($E98="Waiting","Nothing else actionable right now — Waiting on: "&amp;IF($K98="","this item",$K98),TEXTJOIN(" • ",TRUE,IF($F98="High","High Priority",""),IF(AND($I98&lt;&gt;"",$I98&lt;TODAY()),"Overdue",""),IF(AND($I98&lt;&gt;"",$I98&gt;=TODAY(),$I98&lt;=TODAY()+7),"Due This Week",""),IF($M98&lt;=VLOOKUP(Home!$C$7,Lists!$N$2:$O$6,2,FALSE),$H98&amp;" Task",""),IF($G98=Home!$E$7,"Fits Current Energy",""),"No Blockers"))))</f>
        <v/>
      </c>
      <c r="P98" s="5">
        <f>IF($D98="","",SWITCH('Task Finder'!$C$6,"High Priority",AND($F98="High",$E98&lt;&gt;"Done",$E98&lt;&gt;"Archive"),"Due This Week",AND($I98&lt;&gt;"",$I98&gt;=TODAY(),$I98&lt;=TODAY()+7,$E98&lt;&gt;"Done"),"Quick Wins (15 mins or less)",AND($M98&lt;=15,$E98&lt;&gt;"Done",$E98&lt;&gt;"Blocked"),"Deep Thinking",AND($G98="Deep Thinking",$E98&lt;&gt;"Done"),"Processing",AND($G98="Processing",$E98&lt;&gt;"Done"),"Blocked",$E98="Blocked","Waiting",$E98="Waiting","Recently Updated",AND($L98&lt;&gt;"",$L98&gt;=TODAY()-7),"Keyword",AND('Task Finder'!$C$7&lt;&gt;"",OR(ISNUMBER(SEARCH('Task Finder'!$C$7,$A98)),ISNUMBER(SEARCH('Task Finder'!$C$7,$B98)),ISNUMBER(SEARCH('Task Finder'!$C$7,$C98)),ISNUMBER(SEARCH('Task Finder'!$C$7,$D98)),ISNUMBER(SEARCH('Task Finder'!$C$7,$K98)))),TRUE))</f>
        <v/>
      </c>
    </row>
    <row r="99">
      <c r="A99" s="19" t="n"/>
      <c r="B99" s="19" t="n"/>
      <c r="C99" s="19" t="n"/>
      <c r="D99" s="19" t="n"/>
      <c r="E99" s="19" t="n"/>
      <c r="F99" s="19" t="n"/>
      <c r="G99" s="19" t="n"/>
      <c r="H99" s="19" t="n"/>
      <c r="I99" s="19" t="n"/>
      <c r="J99" s="19" t="n"/>
      <c r="K99" s="19" t="n"/>
      <c r="L99" s="35" t="n"/>
      <c r="M99" s="5">
        <f>IF($D99="","",IFERROR(VLOOKUP($H99,Lists!$N$2:$O$6,2,FALSE),0))</f>
        <v/>
      </c>
      <c r="N99" s="5">
        <f>IF($D99="","",IF(OR($E99="Blocked",$E99="Done",$E99="Archive"),-9999,IF(AND($E99="Waiting",SUMPRODUCT((($E$5:$E$500="Next")+($E$5:$E$500="In Progress")+($E$5:$E$500="Captured"))*($D$5:$D$500&lt;&gt;""))&gt;0),-500,VLOOKUP($F99,Lists!$L$2:$M$4,2,FALSE)+IF($E99="In Progress",10,0)+IF(AND($I99&lt;&gt;"",$I99&lt;TODAY()),25,0)+IF(AND($I99&lt;&gt;"",$I99&gt;=TODAY(),$I99&lt;=TODAY()+7),15,0)+IF($M99&lt;=VLOOKUP(Home!$C$7,Lists!$N$2:$O$6,2,FALSE),20,-10)+IF($G99=Home!$E$7,15,IF(Home!$E$7="",0,-5))-ROW()/100000)))</f>
        <v/>
      </c>
      <c r="O99" s="5">
        <f>IF($D99="","",IF($N99&lt;=-500,"Not recommended right now",IF($E99="Waiting","Nothing else actionable right now — Waiting on: "&amp;IF($K99="","this item",$K99),TEXTJOIN(" • ",TRUE,IF($F99="High","High Priority",""),IF(AND($I99&lt;&gt;"",$I99&lt;TODAY()),"Overdue",""),IF(AND($I99&lt;&gt;"",$I99&gt;=TODAY(),$I99&lt;=TODAY()+7),"Due This Week",""),IF($M99&lt;=VLOOKUP(Home!$C$7,Lists!$N$2:$O$6,2,FALSE),$H99&amp;" Task",""),IF($G99=Home!$E$7,"Fits Current Energy",""),"No Blockers"))))</f>
        <v/>
      </c>
      <c r="P99" s="5">
        <f>IF($D99="","",SWITCH('Task Finder'!$C$6,"High Priority",AND($F99="High",$E99&lt;&gt;"Done",$E99&lt;&gt;"Archive"),"Due This Week",AND($I99&lt;&gt;"",$I99&gt;=TODAY(),$I99&lt;=TODAY()+7,$E99&lt;&gt;"Done"),"Quick Wins (15 mins or less)",AND($M99&lt;=15,$E99&lt;&gt;"Done",$E99&lt;&gt;"Blocked"),"Deep Thinking",AND($G99="Deep Thinking",$E99&lt;&gt;"Done"),"Processing",AND($G99="Processing",$E99&lt;&gt;"Done"),"Blocked",$E99="Blocked","Waiting",$E99="Waiting","Recently Updated",AND($L99&lt;&gt;"",$L99&gt;=TODAY()-7),"Keyword",AND('Task Finder'!$C$7&lt;&gt;"",OR(ISNUMBER(SEARCH('Task Finder'!$C$7,$A99)),ISNUMBER(SEARCH('Task Finder'!$C$7,$B99)),ISNUMBER(SEARCH('Task Finder'!$C$7,$C99)),ISNUMBER(SEARCH('Task Finder'!$C$7,$D99)),ISNUMBER(SEARCH('Task Finder'!$C$7,$K99)))),TRUE))</f>
        <v/>
      </c>
    </row>
    <row r="100">
      <c r="A100" s="19" t="n"/>
      <c r="B100" s="19" t="n"/>
      <c r="C100" s="19" t="n"/>
      <c r="D100" s="19" t="n"/>
      <c r="E100" s="19" t="n"/>
      <c r="F100" s="19" t="n"/>
      <c r="G100" s="19" t="n"/>
      <c r="H100" s="19" t="n"/>
      <c r="I100" s="19" t="n"/>
      <c r="J100" s="19" t="n"/>
      <c r="K100" s="19" t="n"/>
      <c r="L100" s="35" t="n"/>
      <c r="M100" s="5">
        <f>IF($D100="","",IFERROR(VLOOKUP($H100,Lists!$N$2:$O$6,2,FALSE),0))</f>
        <v/>
      </c>
      <c r="N100" s="5">
        <f>IF($D100="","",IF(OR($E100="Blocked",$E100="Done",$E100="Archive"),-9999,IF(AND($E100="Waiting",SUMPRODUCT((($E$5:$E$500="Next")+($E$5:$E$500="In Progress")+($E$5:$E$500="Captured"))*($D$5:$D$500&lt;&gt;""))&gt;0),-500,VLOOKUP($F100,Lists!$L$2:$M$4,2,FALSE)+IF($E100="In Progress",10,0)+IF(AND($I100&lt;&gt;"",$I100&lt;TODAY()),25,0)+IF(AND($I100&lt;&gt;"",$I100&gt;=TODAY(),$I100&lt;=TODAY()+7),15,0)+IF($M100&lt;=VLOOKUP(Home!$C$7,Lists!$N$2:$O$6,2,FALSE),20,-10)+IF($G100=Home!$E$7,15,IF(Home!$E$7="",0,-5))-ROW()/100000)))</f>
        <v/>
      </c>
      <c r="O100" s="5">
        <f>IF($D100="","",IF($N100&lt;=-500,"Not recommended right now",IF($E100="Waiting","Nothing else actionable right now — Waiting on: "&amp;IF($K100="","this item",$K100),TEXTJOIN(" • ",TRUE,IF($F100="High","High Priority",""),IF(AND($I100&lt;&gt;"",$I100&lt;TODAY()),"Overdue",""),IF(AND($I100&lt;&gt;"",$I100&gt;=TODAY(),$I100&lt;=TODAY()+7),"Due This Week",""),IF($M100&lt;=VLOOKUP(Home!$C$7,Lists!$N$2:$O$6,2,FALSE),$H100&amp;" Task",""),IF($G100=Home!$E$7,"Fits Current Energy",""),"No Blockers"))))</f>
        <v/>
      </c>
      <c r="P100" s="5">
        <f>IF($D100="","",SWITCH('Task Finder'!$C$6,"High Priority",AND($F100="High",$E100&lt;&gt;"Done",$E100&lt;&gt;"Archive"),"Due This Week",AND($I100&lt;&gt;"",$I100&gt;=TODAY(),$I100&lt;=TODAY()+7,$E100&lt;&gt;"Done"),"Quick Wins (15 mins or less)",AND($M100&lt;=15,$E100&lt;&gt;"Done",$E100&lt;&gt;"Blocked"),"Deep Thinking",AND($G100="Deep Thinking",$E100&lt;&gt;"Done"),"Processing",AND($G100="Processing",$E100&lt;&gt;"Done"),"Blocked",$E100="Blocked","Waiting",$E100="Waiting","Recently Updated",AND($L100&lt;&gt;"",$L100&gt;=TODAY()-7),"Keyword",AND('Task Finder'!$C$7&lt;&gt;"",OR(ISNUMBER(SEARCH('Task Finder'!$C$7,$A100)),ISNUMBER(SEARCH('Task Finder'!$C$7,$B100)),ISNUMBER(SEARCH('Task Finder'!$C$7,$C100)),ISNUMBER(SEARCH('Task Finder'!$C$7,$D100)),ISNUMBER(SEARCH('Task Finder'!$C$7,$K100)))),TRUE))</f>
        <v/>
      </c>
    </row>
    <row r="101">
      <c r="A101" s="19" t="n"/>
      <c r="B101" s="19" t="n"/>
      <c r="C101" s="19" t="n"/>
      <c r="D101" s="19" t="n"/>
      <c r="E101" s="19" t="n"/>
      <c r="F101" s="19" t="n"/>
      <c r="G101" s="19" t="n"/>
      <c r="H101" s="19" t="n"/>
      <c r="I101" s="19" t="n"/>
      <c r="J101" s="19" t="n"/>
      <c r="K101" s="19" t="n"/>
      <c r="L101" s="35" t="n"/>
      <c r="M101" s="5">
        <f>IF($D101="","",IFERROR(VLOOKUP($H101,Lists!$N$2:$O$6,2,FALSE),0))</f>
        <v/>
      </c>
      <c r="N101" s="5">
        <f>IF($D101="","",IF(OR($E101="Blocked",$E101="Done",$E101="Archive"),-9999,IF(AND($E101="Waiting",SUMPRODUCT((($E$5:$E$500="Next")+($E$5:$E$500="In Progress")+($E$5:$E$500="Captured"))*($D$5:$D$500&lt;&gt;""))&gt;0),-500,VLOOKUP($F101,Lists!$L$2:$M$4,2,FALSE)+IF($E101="In Progress",10,0)+IF(AND($I101&lt;&gt;"",$I101&lt;TODAY()),25,0)+IF(AND($I101&lt;&gt;"",$I101&gt;=TODAY(),$I101&lt;=TODAY()+7),15,0)+IF($M101&lt;=VLOOKUP(Home!$C$7,Lists!$N$2:$O$6,2,FALSE),20,-10)+IF($G101=Home!$E$7,15,IF(Home!$E$7="",0,-5))-ROW()/100000)))</f>
        <v/>
      </c>
      <c r="O101" s="5">
        <f>IF($D101="","",IF($N101&lt;=-500,"Not recommended right now",IF($E101="Waiting","Nothing else actionable right now — Waiting on: "&amp;IF($K101="","this item",$K101),TEXTJOIN(" • ",TRUE,IF($F101="High","High Priority",""),IF(AND($I101&lt;&gt;"",$I101&lt;TODAY()),"Overdue",""),IF(AND($I101&lt;&gt;"",$I101&gt;=TODAY(),$I101&lt;=TODAY()+7),"Due This Week",""),IF($M101&lt;=VLOOKUP(Home!$C$7,Lists!$N$2:$O$6,2,FALSE),$H101&amp;" Task",""),IF($G101=Home!$E$7,"Fits Current Energy",""),"No Blockers"))))</f>
        <v/>
      </c>
      <c r="P101" s="5">
        <f>IF($D101="","",SWITCH('Task Finder'!$C$6,"High Priority",AND($F101="High",$E101&lt;&gt;"Done",$E101&lt;&gt;"Archive"),"Due This Week",AND($I101&lt;&gt;"",$I101&gt;=TODAY(),$I101&lt;=TODAY()+7,$E101&lt;&gt;"Done"),"Quick Wins (15 mins or less)",AND($M101&lt;=15,$E101&lt;&gt;"Done",$E101&lt;&gt;"Blocked"),"Deep Thinking",AND($G101="Deep Thinking",$E101&lt;&gt;"Done"),"Processing",AND($G101="Processing",$E101&lt;&gt;"Done"),"Blocked",$E101="Blocked","Waiting",$E101="Waiting","Recently Updated",AND($L101&lt;&gt;"",$L101&gt;=TODAY()-7),"Keyword",AND('Task Finder'!$C$7&lt;&gt;"",OR(ISNUMBER(SEARCH('Task Finder'!$C$7,$A101)),ISNUMBER(SEARCH('Task Finder'!$C$7,$B101)),ISNUMBER(SEARCH('Task Finder'!$C$7,$C101)),ISNUMBER(SEARCH('Task Finder'!$C$7,$D101)),ISNUMBER(SEARCH('Task Finder'!$C$7,$K101)))),TRUE))</f>
        <v/>
      </c>
    </row>
    <row r="102">
      <c r="A102" s="19" t="n"/>
      <c r="B102" s="19" t="n"/>
      <c r="C102" s="19" t="n"/>
      <c r="D102" s="19" t="n"/>
      <c r="E102" s="19" t="n"/>
      <c r="F102" s="19" t="n"/>
      <c r="G102" s="19" t="n"/>
      <c r="H102" s="19" t="n"/>
      <c r="I102" s="19" t="n"/>
      <c r="J102" s="19" t="n"/>
      <c r="K102" s="19" t="n"/>
      <c r="L102" s="35" t="n"/>
      <c r="M102" s="5">
        <f>IF($D102="","",IFERROR(VLOOKUP($H102,Lists!$N$2:$O$6,2,FALSE),0))</f>
        <v/>
      </c>
      <c r="N102" s="5">
        <f>IF($D102="","",IF(OR($E102="Blocked",$E102="Done",$E102="Archive"),-9999,IF(AND($E102="Waiting",SUMPRODUCT((($E$5:$E$500="Next")+($E$5:$E$500="In Progress")+($E$5:$E$500="Captured"))*($D$5:$D$500&lt;&gt;""))&gt;0),-500,VLOOKUP($F102,Lists!$L$2:$M$4,2,FALSE)+IF($E102="In Progress",10,0)+IF(AND($I102&lt;&gt;"",$I102&lt;TODAY()),25,0)+IF(AND($I102&lt;&gt;"",$I102&gt;=TODAY(),$I102&lt;=TODAY()+7),15,0)+IF($M102&lt;=VLOOKUP(Home!$C$7,Lists!$N$2:$O$6,2,FALSE),20,-10)+IF($G102=Home!$E$7,15,IF(Home!$E$7="",0,-5))-ROW()/100000)))</f>
        <v/>
      </c>
      <c r="O102" s="5">
        <f>IF($D102="","",IF($N102&lt;=-500,"Not recommended right now",IF($E102="Waiting","Nothing else actionable right now — Waiting on: "&amp;IF($K102="","this item",$K102),TEXTJOIN(" • ",TRUE,IF($F102="High","High Priority",""),IF(AND($I102&lt;&gt;"",$I102&lt;TODAY()),"Overdue",""),IF(AND($I102&lt;&gt;"",$I102&gt;=TODAY(),$I102&lt;=TODAY()+7),"Due This Week",""),IF($M102&lt;=VLOOKUP(Home!$C$7,Lists!$N$2:$O$6,2,FALSE),$H102&amp;" Task",""),IF($G102=Home!$E$7,"Fits Current Energy",""),"No Blockers"))))</f>
        <v/>
      </c>
      <c r="P102" s="5">
        <f>IF($D102="","",SWITCH('Task Finder'!$C$6,"High Priority",AND($F102="High",$E102&lt;&gt;"Done",$E102&lt;&gt;"Archive"),"Due This Week",AND($I102&lt;&gt;"",$I102&gt;=TODAY(),$I102&lt;=TODAY()+7,$E102&lt;&gt;"Done"),"Quick Wins (15 mins or less)",AND($M102&lt;=15,$E102&lt;&gt;"Done",$E102&lt;&gt;"Blocked"),"Deep Thinking",AND($G102="Deep Thinking",$E102&lt;&gt;"Done"),"Processing",AND($G102="Processing",$E102&lt;&gt;"Done"),"Blocked",$E102="Blocked","Waiting",$E102="Waiting","Recently Updated",AND($L102&lt;&gt;"",$L102&gt;=TODAY()-7),"Keyword",AND('Task Finder'!$C$7&lt;&gt;"",OR(ISNUMBER(SEARCH('Task Finder'!$C$7,$A102)),ISNUMBER(SEARCH('Task Finder'!$C$7,$B102)),ISNUMBER(SEARCH('Task Finder'!$C$7,$C102)),ISNUMBER(SEARCH('Task Finder'!$C$7,$D102)),ISNUMBER(SEARCH('Task Finder'!$C$7,$K102)))),TRUE))</f>
        <v/>
      </c>
    </row>
    <row r="103">
      <c r="A103" s="19" t="n"/>
      <c r="B103" s="19" t="n"/>
      <c r="C103" s="19" t="n"/>
      <c r="D103" s="19" t="n"/>
      <c r="E103" s="19" t="n"/>
      <c r="F103" s="19" t="n"/>
      <c r="G103" s="19" t="n"/>
      <c r="H103" s="19" t="n"/>
      <c r="I103" s="19" t="n"/>
      <c r="J103" s="19" t="n"/>
      <c r="K103" s="19" t="n"/>
      <c r="L103" s="35" t="n"/>
      <c r="M103" s="5">
        <f>IF($D103="","",IFERROR(VLOOKUP($H103,Lists!$N$2:$O$6,2,FALSE),0))</f>
        <v/>
      </c>
      <c r="N103" s="5">
        <f>IF($D103="","",IF(OR($E103="Blocked",$E103="Done",$E103="Archive"),-9999,IF(AND($E103="Waiting",SUMPRODUCT((($E$5:$E$500="Next")+($E$5:$E$500="In Progress")+($E$5:$E$500="Captured"))*($D$5:$D$500&lt;&gt;""))&gt;0),-500,VLOOKUP($F103,Lists!$L$2:$M$4,2,FALSE)+IF($E103="In Progress",10,0)+IF(AND($I103&lt;&gt;"",$I103&lt;TODAY()),25,0)+IF(AND($I103&lt;&gt;"",$I103&gt;=TODAY(),$I103&lt;=TODAY()+7),15,0)+IF($M103&lt;=VLOOKUP(Home!$C$7,Lists!$N$2:$O$6,2,FALSE),20,-10)+IF($G103=Home!$E$7,15,IF(Home!$E$7="",0,-5))-ROW()/100000)))</f>
        <v/>
      </c>
      <c r="O103" s="5">
        <f>IF($D103="","",IF($N103&lt;=-500,"Not recommended right now",IF($E103="Waiting","Nothing else actionable right now — Waiting on: "&amp;IF($K103="","this item",$K103),TEXTJOIN(" • ",TRUE,IF($F103="High","High Priority",""),IF(AND($I103&lt;&gt;"",$I103&lt;TODAY()),"Overdue",""),IF(AND($I103&lt;&gt;"",$I103&gt;=TODAY(),$I103&lt;=TODAY()+7),"Due This Week",""),IF($M103&lt;=VLOOKUP(Home!$C$7,Lists!$N$2:$O$6,2,FALSE),$H103&amp;" Task",""),IF($G103=Home!$E$7,"Fits Current Energy",""),"No Blockers"))))</f>
        <v/>
      </c>
      <c r="P103" s="5">
        <f>IF($D103="","",SWITCH('Task Finder'!$C$6,"High Priority",AND($F103="High",$E103&lt;&gt;"Done",$E103&lt;&gt;"Archive"),"Due This Week",AND($I103&lt;&gt;"",$I103&gt;=TODAY(),$I103&lt;=TODAY()+7,$E103&lt;&gt;"Done"),"Quick Wins (15 mins or less)",AND($M103&lt;=15,$E103&lt;&gt;"Done",$E103&lt;&gt;"Blocked"),"Deep Thinking",AND($G103="Deep Thinking",$E103&lt;&gt;"Done"),"Processing",AND($G103="Processing",$E103&lt;&gt;"Done"),"Blocked",$E103="Blocked","Waiting",$E103="Waiting","Recently Updated",AND($L103&lt;&gt;"",$L103&gt;=TODAY()-7),"Keyword",AND('Task Finder'!$C$7&lt;&gt;"",OR(ISNUMBER(SEARCH('Task Finder'!$C$7,$A103)),ISNUMBER(SEARCH('Task Finder'!$C$7,$B103)),ISNUMBER(SEARCH('Task Finder'!$C$7,$C103)),ISNUMBER(SEARCH('Task Finder'!$C$7,$D103)),ISNUMBER(SEARCH('Task Finder'!$C$7,$K103)))),TRUE))</f>
        <v/>
      </c>
    </row>
    <row r="104">
      <c r="A104" s="19" t="n"/>
      <c r="B104" s="19" t="n"/>
      <c r="C104" s="19" t="n"/>
      <c r="D104" s="19" t="n"/>
      <c r="E104" s="19" t="n"/>
      <c r="F104" s="19" t="n"/>
      <c r="G104" s="19" t="n"/>
      <c r="H104" s="19" t="n"/>
      <c r="I104" s="19" t="n"/>
      <c r="J104" s="19" t="n"/>
      <c r="K104" s="19" t="n"/>
      <c r="L104" s="35" t="n"/>
      <c r="M104" s="5">
        <f>IF($D104="","",IFERROR(VLOOKUP($H104,Lists!$N$2:$O$6,2,FALSE),0))</f>
        <v/>
      </c>
      <c r="N104" s="5">
        <f>IF($D104="","",IF(OR($E104="Blocked",$E104="Done",$E104="Archive"),-9999,IF(AND($E104="Waiting",SUMPRODUCT((($E$5:$E$500="Next")+($E$5:$E$500="In Progress")+($E$5:$E$500="Captured"))*($D$5:$D$500&lt;&gt;""))&gt;0),-500,VLOOKUP($F104,Lists!$L$2:$M$4,2,FALSE)+IF($E104="In Progress",10,0)+IF(AND($I104&lt;&gt;"",$I104&lt;TODAY()),25,0)+IF(AND($I104&lt;&gt;"",$I104&gt;=TODAY(),$I104&lt;=TODAY()+7),15,0)+IF($M104&lt;=VLOOKUP(Home!$C$7,Lists!$N$2:$O$6,2,FALSE),20,-10)+IF($G104=Home!$E$7,15,IF(Home!$E$7="",0,-5))-ROW()/100000)))</f>
        <v/>
      </c>
      <c r="O104" s="5">
        <f>IF($D104="","",IF($N104&lt;=-500,"Not recommended right now",IF($E104="Waiting","Nothing else actionable right now — Waiting on: "&amp;IF($K104="","this item",$K104),TEXTJOIN(" • ",TRUE,IF($F104="High","High Priority",""),IF(AND($I104&lt;&gt;"",$I104&lt;TODAY()),"Overdue",""),IF(AND($I104&lt;&gt;"",$I104&gt;=TODAY(),$I104&lt;=TODAY()+7),"Due This Week",""),IF($M104&lt;=VLOOKUP(Home!$C$7,Lists!$N$2:$O$6,2,FALSE),$H104&amp;" Task",""),IF($G104=Home!$E$7,"Fits Current Energy",""),"No Blockers"))))</f>
        <v/>
      </c>
      <c r="P104" s="5">
        <f>IF($D104="","",SWITCH('Task Finder'!$C$6,"High Priority",AND($F104="High",$E104&lt;&gt;"Done",$E104&lt;&gt;"Archive"),"Due This Week",AND($I104&lt;&gt;"",$I104&gt;=TODAY(),$I104&lt;=TODAY()+7,$E104&lt;&gt;"Done"),"Quick Wins (15 mins or less)",AND($M104&lt;=15,$E104&lt;&gt;"Done",$E104&lt;&gt;"Blocked"),"Deep Thinking",AND($G104="Deep Thinking",$E104&lt;&gt;"Done"),"Processing",AND($G104="Processing",$E104&lt;&gt;"Done"),"Blocked",$E104="Blocked","Waiting",$E104="Waiting","Recently Updated",AND($L104&lt;&gt;"",$L104&gt;=TODAY()-7),"Keyword",AND('Task Finder'!$C$7&lt;&gt;"",OR(ISNUMBER(SEARCH('Task Finder'!$C$7,$A104)),ISNUMBER(SEARCH('Task Finder'!$C$7,$B104)),ISNUMBER(SEARCH('Task Finder'!$C$7,$C104)),ISNUMBER(SEARCH('Task Finder'!$C$7,$D104)),ISNUMBER(SEARCH('Task Finder'!$C$7,$K104)))),TRUE))</f>
        <v/>
      </c>
    </row>
    <row r="105">
      <c r="A105" s="19" t="n"/>
      <c r="B105" s="19" t="n"/>
      <c r="C105" s="19" t="n"/>
      <c r="D105" s="19" t="n"/>
      <c r="E105" s="19" t="n"/>
      <c r="F105" s="19" t="n"/>
      <c r="G105" s="19" t="n"/>
      <c r="H105" s="19" t="n"/>
      <c r="I105" s="19" t="n"/>
      <c r="J105" s="19" t="n"/>
      <c r="K105" s="19" t="n"/>
      <c r="L105" s="35" t="n"/>
      <c r="M105" s="5">
        <f>IF($D105="","",IFERROR(VLOOKUP($H105,Lists!$N$2:$O$6,2,FALSE),0))</f>
        <v/>
      </c>
      <c r="N105" s="5">
        <f>IF($D105="","",IF(OR($E105="Blocked",$E105="Done",$E105="Archive"),-9999,IF(AND($E105="Waiting",SUMPRODUCT((($E$5:$E$500="Next")+($E$5:$E$500="In Progress")+($E$5:$E$500="Captured"))*($D$5:$D$500&lt;&gt;""))&gt;0),-500,VLOOKUP($F105,Lists!$L$2:$M$4,2,FALSE)+IF($E105="In Progress",10,0)+IF(AND($I105&lt;&gt;"",$I105&lt;TODAY()),25,0)+IF(AND($I105&lt;&gt;"",$I105&gt;=TODAY(),$I105&lt;=TODAY()+7),15,0)+IF($M105&lt;=VLOOKUP(Home!$C$7,Lists!$N$2:$O$6,2,FALSE),20,-10)+IF($G105=Home!$E$7,15,IF(Home!$E$7="",0,-5))-ROW()/100000)))</f>
        <v/>
      </c>
      <c r="O105" s="5">
        <f>IF($D105="","",IF($N105&lt;=-500,"Not recommended right now",IF($E105="Waiting","Nothing else actionable right now — Waiting on: "&amp;IF($K105="","this item",$K105),TEXTJOIN(" • ",TRUE,IF($F105="High","High Priority",""),IF(AND($I105&lt;&gt;"",$I105&lt;TODAY()),"Overdue",""),IF(AND($I105&lt;&gt;"",$I105&gt;=TODAY(),$I105&lt;=TODAY()+7),"Due This Week",""),IF($M105&lt;=VLOOKUP(Home!$C$7,Lists!$N$2:$O$6,2,FALSE),$H105&amp;" Task",""),IF($G105=Home!$E$7,"Fits Current Energy",""),"No Blockers"))))</f>
        <v/>
      </c>
      <c r="P105" s="5">
        <f>IF($D105="","",SWITCH('Task Finder'!$C$6,"High Priority",AND($F105="High",$E105&lt;&gt;"Done",$E105&lt;&gt;"Archive"),"Due This Week",AND($I105&lt;&gt;"",$I105&gt;=TODAY(),$I105&lt;=TODAY()+7,$E105&lt;&gt;"Done"),"Quick Wins (15 mins or less)",AND($M105&lt;=15,$E105&lt;&gt;"Done",$E105&lt;&gt;"Blocked"),"Deep Thinking",AND($G105="Deep Thinking",$E105&lt;&gt;"Done"),"Processing",AND($G105="Processing",$E105&lt;&gt;"Done"),"Blocked",$E105="Blocked","Waiting",$E105="Waiting","Recently Updated",AND($L105&lt;&gt;"",$L105&gt;=TODAY()-7),"Keyword",AND('Task Finder'!$C$7&lt;&gt;"",OR(ISNUMBER(SEARCH('Task Finder'!$C$7,$A105)),ISNUMBER(SEARCH('Task Finder'!$C$7,$B105)),ISNUMBER(SEARCH('Task Finder'!$C$7,$C105)),ISNUMBER(SEARCH('Task Finder'!$C$7,$D105)),ISNUMBER(SEARCH('Task Finder'!$C$7,$K105)))),TRUE))</f>
        <v/>
      </c>
    </row>
    <row r="106">
      <c r="A106" s="19" t="n"/>
      <c r="B106" s="19" t="n"/>
      <c r="C106" s="19" t="n"/>
      <c r="D106" s="19" t="n"/>
      <c r="E106" s="19" t="n"/>
      <c r="F106" s="19" t="n"/>
      <c r="G106" s="19" t="n"/>
      <c r="H106" s="19" t="n"/>
      <c r="I106" s="19" t="n"/>
      <c r="J106" s="19" t="n"/>
      <c r="K106" s="19" t="n"/>
      <c r="L106" s="35" t="n"/>
      <c r="M106" s="5">
        <f>IF($D106="","",IFERROR(VLOOKUP($H106,Lists!$N$2:$O$6,2,FALSE),0))</f>
        <v/>
      </c>
      <c r="N106" s="5">
        <f>IF($D106="","",IF(OR($E106="Blocked",$E106="Done",$E106="Archive"),-9999,IF(AND($E106="Waiting",SUMPRODUCT((($E$5:$E$500="Next")+($E$5:$E$500="In Progress")+($E$5:$E$500="Captured"))*($D$5:$D$500&lt;&gt;""))&gt;0),-500,VLOOKUP($F106,Lists!$L$2:$M$4,2,FALSE)+IF($E106="In Progress",10,0)+IF(AND($I106&lt;&gt;"",$I106&lt;TODAY()),25,0)+IF(AND($I106&lt;&gt;"",$I106&gt;=TODAY(),$I106&lt;=TODAY()+7),15,0)+IF($M106&lt;=VLOOKUP(Home!$C$7,Lists!$N$2:$O$6,2,FALSE),20,-10)+IF($G106=Home!$E$7,15,IF(Home!$E$7="",0,-5))-ROW()/100000)))</f>
        <v/>
      </c>
      <c r="O106" s="5">
        <f>IF($D106="","",IF($N106&lt;=-500,"Not recommended right now",IF($E106="Waiting","Nothing else actionable right now — Waiting on: "&amp;IF($K106="","this item",$K106),TEXTJOIN(" • ",TRUE,IF($F106="High","High Priority",""),IF(AND($I106&lt;&gt;"",$I106&lt;TODAY()),"Overdue",""),IF(AND($I106&lt;&gt;"",$I106&gt;=TODAY(),$I106&lt;=TODAY()+7),"Due This Week",""),IF($M106&lt;=VLOOKUP(Home!$C$7,Lists!$N$2:$O$6,2,FALSE),$H106&amp;" Task",""),IF($G106=Home!$E$7,"Fits Current Energy",""),"No Blockers"))))</f>
        <v/>
      </c>
      <c r="P106" s="5">
        <f>IF($D106="","",SWITCH('Task Finder'!$C$6,"High Priority",AND($F106="High",$E106&lt;&gt;"Done",$E106&lt;&gt;"Archive"),"Due This Week",AND($I106&lt;&gt;"",$I106&gt;=TODAY(),$I106&lt;=TODAY()+7,$E106&lt;&gt;"Done"),"Quick Wins (15 mins or less)",AND($M106&lt;=15,$E106&lt;&gt;"Done",$E106&lt;&gt;"Blocked"),"Deep Thinking",AND($G106="Deep Thinking",$E106&lt;&gt;"Done"),"Processing",AND($G106="Processing",$E106&lt;&gt;"Done"),"Blocked",$E106="Blocked","Waiting",$E106="Waiting","Recently Updated",AND($L106&lt;&gt;"",$L106&gt;=TODAY()-7),"Keyword",AND('Task Finder'!$C$7&lt;&gt;"",OR(ISNUMBER(SEARCH('Task Finder'!$C$7,$A106)),ISNUMBER(SEARCH('Task Finder'!$C$7,$B106)),ISNUMBER(SEARCH('Task Finder'!$C$7,$C106)),ISNUMBER(SEARCH('Task Finder'!$C$7,$D106)),ISNUMBER(SEARCH('Task Finder'!$C$7,$K106)))),TRUE))</f>
        <v/>
      </c>
    </row>
    <row r="107">
      <c r="A107" s="19" t="n"/>
      <c r="B107" s="19" t="n"/>
      <c r="C107" s="19" t="n"/>
      <c r="D107" s="19" t="n"/>
      <c r="E107" s="19" t="n"/>
      <c r="F107" s="19" t="n"/>
      <c r="G107" s="19" t="n"/>
      <c r="H107" s="19" t="n"/>
      <c r="I107" s="19" t="n"/>
      <c r="J107" s="19" t="n"/>
      <c r="K107" s="19" t="n"/>
      <c r="L107" s="35" t="n"/>
      <c r="M107" s="5">
        <f>IF($D107="","",IFERROR(VLOOKUP($H107,Lists!$N$2:$O$6,2,FALSE),0))</f>
        <v/>
      </c>
      <c r="N107" s="5">
        <f>IF($D107="","",IF(OR($E107="Blocked",$E107="Done",$E107="Archive"),-9999,IF(AND($E107="Waiting",SUMPRODUCT((($E$5:$E$500="Next")+($E$5:$E$500="In Progress")+($E$5:$E$500="Captured"))*($D$5:$D$500&lt;&gt;""))&gt;0),-500,VLOOKUP($F107,Lists!$L$2:$M$4,2,FALSE)+IF($E107="In Progress",10,0)+IF(AND($I107&lt;&gt;"",$I107&lt;TODAY()),25,0)+IF(AND($I107&lt;&gt;"",$I107&gt;=TODAY(),$I107&lt;=TODAY()+7),15,0)+IF($M107&lt;=VLOOKUP(Home!$C$7,Lists!$N$2:$O$6,2,FALSE),20,-10)+IF($G107=Home!$E$7,15,IF(Home!$E$7="",0,-5))-ROW()/100000)))</f>
        <v/>
      </c>
      <c r="O107" s="5">
        <f>IF($D107="","",IF($N107&lt;=-500,"Not recommended right now",IF($E107="Waiting","Nothing else actionable right now — Waiting on: "&amp;IF($K107="","this item",$K107),TEXTJOIN(" • ",TRUE,IF($F107="High","High Priority",""),IF(AND($I107&lt;&gt;"",$I107&lt;TODAY()),"Overdue",""),IF(AND($I107&lt;&gt;"",$I107&gt;=TODAY(),$I107&lt;=TODAY()+7),"Due This Week",""),IF($M107&lt;=VLOOKUP(Home!$C$7,Lists!$N$2:$O$6,2,FALSE),$H107&amp;" Task",""),IF($G107=Home!$E$7,"Fits Current Energy",""),"No Blockers"))))</f>
        <v/>
      </c>
      <c r="P107" s="5">
        <f>IF($D107="","",SWITCH('Task Finder'!$C$6,"High Priority",AND($F107="High",$E107&lt;&gt;"Done",$E107&lt;&gt;"Archive"),"Due This Week",AND($I107&lt;&gt;"",$I107&gt;=TODAY(),$I107&lt;=TODAY()+7,$E107&lt;&gt;"Done"),"Quick Wins (15 mins or less)",AND($M107&lt;=15,$E107&lt;&gt;"Done",$E107&lt;&gt;"Blocked"),"Deep Thinking",AND($G107="Deep Thinking",$E107&lt;&gt;"Done"),"Processing",AND($G107="Processing",$E107&lt;&gt;"Done"),"Blocked",$E107="Blocked","Waiting",$E107="Waiting","Recently Updated",AND($L107&lt;&gt;"",$L107&gt;=TODAY()-7),"Keyword",AND('Task Finder'!$C$7&lt;&gt;"",OR(ISNUMBER(SEARCH('Task Finder'!$C$7,$A107)),ISNUMBER(SEARCH('Task Finder'!$C$7,$B107)),ISNUMBER(SEARCH('Task Finder'!$C$7,$C107)),ISNUMBER(SEARCH('Task Finder'!$C$7,$D107)),ISNUMBER(SEARCH('Task Finder'!$C$7,$K107)))),TRUE))</f>
        <v/>
      </c>
    </row>
    <row r="108">
      <c r="A108" s="19" t="n"/>
      <c r="B108" s="19" t="n"/>
      <c r="C108" s="19" t="n"/>
      <c r="D108" s="19" t="n"/>
      <c r="E108" s="19" t="n"/>
      <c r="F108" s="19" t="n"/>
      <c r="G108" s="19" t="n"/>
      <c r="H108" s="19" t="n"/>
      <c r="I108" s="19" t="n"/>
      <c r="J108" s="19" t="n"/>
      <c r="K108" s="19" t="n"/>
      <c r="L108" s="35" t="n"/>
      <c r="M108" s="5">
        <f>IF($D108="","",IFERROR(VLOOKUP($H108,Lists!$N$2:$O$6,2,FALSE),0))</f>
        <v/>
      </c>
      <c r="N108" s="5">
        <f>IF($D108="","",IF(OR($E108="Blocked",$E108="Done",$E108="Archive"),-9999,IF(AND($E108="Waiting",SUMPRODUCT((($E$5:$E$500="Next")+($E$5:$E$500="In Progress")+($E$5:$E$500="Captured"))*($D$5:$D$500&lt;&gt;""))&gt;0),-500,VLOOKUP($F108,Lists!$L$2:$M$4,2,FALSE)+IF($E108="In Progress",10,0)+IF(AND($I108&lt;&gt;"",$I108&lt;TODAY()),25,0)+IF(AND($I108&lt;&gt;"",$I108&gt;=TODAY(),$I108&lt;=TODAY()+7),15,0)+IF($M108&lt;=VLOOKUP(Home!$C$7,Lists!$N$2:$O$6,2,FALSE),20,-10)+IF($G108=Home!$E$7,15,IF(Home!$E$7="",0,-5))-ROW()/100000)))</f>
        <v/>
      </c>
      <c r="O108" s="5">
        <f>IF($D108="","",IF($N108&lt;=-500,"Not recommended right now",IF($E108="Waiting","Nothing else actionable right now — Waiting on: "&amp;IF($K108="","this item",$K108),TEXTJOIN(" • ",TRUE,IF($F108="High","High Priority",""),IF(AND($I108&lt;&gt;"",$I108&lt;TODAY()),"Overdue",""),IF(AND($I108&lt;&gt;"",$I108&gt;=TODAY(),$I108&lt;=TODAY()+7),"Due This Week",""),IF($M108&lt;=VLOOKUP(Home!$C$7,Lists!$N$2:$O$6,2,FALSE),$H108&amp;" Task",""),IF($G108=Home!$E$7,"Fits Current Energy",""),"No Blockers"))))</f>
        <v/>
      </c>
      <c r="P108" s="5">
        <f>IF($D108="","",SWITCH('Task Finder'!$C$6,"High Priority",AND($F108="High",$E108&lt;&gt;"Done",$E108&lt;&gt;"Archive"),"Due This Week",AND($I108&lt;&gt;"",$I108&gt;=TODAY(),$I108&lt;=TODAY()+7,$E108&lt;&gt;"Done"),"Quick Wins (15 mins or less)",AND($M108&lt;=15,$E108&lt;&gt;"Done",$E108&lt;&gt;"Blocked"),"Deep Thinking",AND($G108="Deep Thinking",$E108&lt;&gt;"Done"),"Processing",AND($G108="Processing",$E108&lt;&gt;"Done"),"Blocked",$E108="Blocked","Waiting",$E108="Waiting","Recently Updated",AND($L108&lt;&gt;"",$L108&gt;=TODAY()-7),"Keyword",AND('Task Finder'!$C$7&lt;&gt;"",OR(ISNUMBER(SEARCH('Task Finder'!$C$7,$A108)),ISNUMBER(SEARCH('Task Finder'!$C$7,$B108)),ISNUMBER(SEARCH('Task Finder'!$C$7,$C108)),ISNUMBER(SEARCH('Task Finder'!$C$7,$D108)),ISNUMBER(SEARCH('Task Finder'!$C$7,$K108)))),TRUE))</f>
        <v/>
      </c>
    </row>
    <row r="109">
      <c r="A109" s="19" t="n"/>
      <c r="B109" s="19" t="n"/>
      <c r="C109" s="19" t="n"/>
      <c r="D109" s="19" t="n"/>
      <c r="E109" s="19" t="n"/>
      <c r="F109" s="19" t="n"/>
      <c r="G109" s="19" t="n"/>
      <c r="H109" s="19" t="n"/>
      <c r="I109" s="19" t="n"/>
      <c r="J109" s="19" t="n"/>
      <c r="K109" s="19" t="n"/>
      <c r="L109" s="35" t="n"/>
      <c r="M109" s="5">
        <f>IF($D109="","",IFERROR(VLOOKUP($H109,Lists!$N$2:$O$6,2,FALSE),0))</f>
        <v/>
      </c>
      <c r="N109" s="5">
        <f>IF($D109="","",IF(OR($E109="Blocked",$E109="Done",$E109="Archive"),-9999,IF(AND($E109="Waiting",SUMPRODUCT((($E$5:$E$500="Next")+($E$5:$E$500="In Progress")+($E$5:$E$500="Captured"))*($D$5:$D$500&lt;&gt;""))&gt;0),-500,VLOOKUP($F109,Lists!$L$2:$M$4,2,FALSE)+IF($E109="In Progress",10,0)+IF(AND($I109&lt;&gt;"",$I109&lt;TODAY()),25,0)+IF(AND($I109&lt;&gt;"",$I109&gt;=TODAY(),$I109&lt;=TODAY()+7),15,0)+IF($M109&lt;=VLOOKUP(Home!$C$7,Lists!$N$2:$O$6,2,FALSE),20,-10)+IF($G109=Home!$E$7,15,IF(Home!$E$7="",0,-5))-ROW()/100000)))</f>
        <v/>
      </c>
      <c r="O109" s="5">
        <f>IF($D109="","",IF($N109&lt;=-500,"Not recommended right now",IF($E109="Waiting","Nothing else actionable right now — Waiting on: "&amp;IF($K109="","this item",$K109),TEXTJOIN(" • ",TRUE,IF($F109="High","High Priority",""),IF(AND($I109&lt;&gt;"",$I109&lt;TODAY()),"Overdue",""),IF(AND($I109&lt;&gt;"",$I109&gt;=TODAY(),$I109&lt;=TODAY()+7),"Due This Week",""),IF($M109&lt;=VLOOKUP(Home!$C$7,Lists!$N$2:$O$6,2,FALSE),$H109&amp;" Task",""),IF($G109=Home!$E$7,"Fits Current Energy",""),"No Blockers"))))</f>
        <v/>
      </c>
      <c r="P109" s="5">
        <f>IF($D109="","",SWITCH('Task Finder'!$C$6,"High Priority",AND($F109="High",$E109&lt;&gt;"Done",$E109&lt;&gt;"Archive"),"Due This Week",AND($I109&lt;&gt;"",$I109&gt;=TODAY(),$I109&lt;=TODAY()+7,$E109&lt;&gt;"Done"),"Quick Wins (15 mins or less)",AND($M109&lt;=15,$E109&lt;&gt;"Done",$E109&lt;&gt;"Blocked"),"Deep Thinking",AND($G109="Deep Thinking",$E109&lt;&gt;"Done"),"Processing",AND($G109="Processing",$E109&lt;&gt;"Done"),"Blocked",$E109="Blocked","Waiting",$E109="Waiting","Recently Updated",AND($L109&lt;&gt;"",$L109&gt;=TODAY()-7),"Keyword",AND('Task Finder'!$C$7&lt;&gt;"",OR(ISNUMBER(SEARCH('Task Finder'!$C$7,$A109)),ISNUMBER(SEARCH('Task Finder'!$C$7,$B109)),ISNUMBER(SEARCH('Task Finder'!$C$7,$C109)),ISNUMBER(SEARCH('Task Finder'!$C$7,$D109)),ISNUMBER(SEARCH('Task Finder'!$C$7,$K109)))),TRUE))</f>
        <v/>
      </c>
    </row>
    <row r="110">
      <c r="A110" s="19" t="n"/>
      <c r="B110" s="19" t="n"/>
      <c r="C110" s="19" t="n"/>
      <c r="D110" s="19" t="n"/>
      <c r="E110" s="19" t="n"/>
      <c r="F110" s="19" t="n"/>
      <c r="G110" s="19" t="n"/>
      <c r="H110" s="19" t="n"/>
      <c r="I110" s="19" t="n"/>
      <c r="J110" s="19" t="n"/>
      <c r="K110" s="19" t="n"/>
      <c r="L110" s="35" t="n"/>
      <c r="M110" s="5">
        <f>IF($D110="","",IFERROR(VLOOKUP($H110,Lists!$N$2:$O$6,2,FALSE),0))</f>
        <v/>
      </c>
      <c r="N110" s="5">
        <f>IF($D110="","",IF(OR($E110="Blocked",$E110="Done",$E110="Archive"),-9999,IF(AND($E110="Waiting",SUMPRODUCT((($E$5:$E$500="Next")+($E$5:$E$500="In Progress")+($E$5:$E$500="Captured"))*($D$5:$D$500&lt;&gt;""))&gt;0),-500,VLOOKUP($F110,Lists!$L$2:$M$4,2,FALSE)+IF($E110="In Progress",10,0)+IF(AND($I110&lt;&gt;"",$I110&lt;TODAY()),25,0)+IF(AND($I110&lt;&gt;"",$I110&gt;=TODAY(),$I110&lt;=TODAY()+7),15,0)+IF($M110&lt;=VLOOKUP(Home!$C$7,Lists!$N$2:$O$6,2,FALSE),20,-10)+IF($G110=Home!$E$7,15,IF(Home!$E$7="",0,-5))-ROW()/100000)))</f>
        <v/>
      </c>
      <c r="O110" s="5">
        <f>IF($D110="","",IF($N110&lt;=-500,"Not recommended right now",IF($E110="Waiting","Nothing else actionable right now — Waiting on: "&amp;IF($K110="","this item",$K110),TEXTJOIN(" • ",TRUE,IF($F110="High","High Priority",""),IF(AND($I110&lt;&gt;"",$I110&lt;TODAY()),"Overdue",""),IF(AND($I110&lt;&gt;"",$I110&gt;=TODAY(),$I110&lt;=TODAY()+7),"Due This Week",""),IF($M110&lt;=VLOOKUP(Home!$C$7,Lists!$N$2:$O$6,2,FALSE),$H110&amp;" Task",""),IF($G110=Home!$E$7,"Fits Current Energy",""),"No Blockers"))))</f>
        <v/>
      </c>
      <c r="P110" s="5">
        <f>IF($D110="","",SWITCH('Task Finder'!$C$6,"High Priority",AND($F110="High",$E110&lt;&gt;"Done",$E110&lt;&gt;"Archive"),"Due This Week",AND($I110&lt;&gt;"",$I110&gt;=TODAY(),$I110&lt;=TODAY()+7,$E110&lt;&gt;"Done"),"Quick Wins (15 mins or less)",AND($M110&lt;=15,$E110&lt;&gt;"Done",$E110&lt;&gt;"Blocked"),"Deep Thinking",AND($G110="Deep Thinking",$E110&lt;&gt;"Done"),"Processing",AND($G110="Processing",$E110&lt;&gt;"Done"),"Blocked",$E110="Blocked","Waiting",$E110="Waiting","Recently Updated",AND($L110&lt;&gt;"",$L110&gt;=TODAY()-7),"Keyword",AND('Task Finder'!$C$7&lt;&gt;"",OR(ISNUMBER(SEARCH('Task Finder'!$C$7,$A110)),ISNUMBER(SEARCH('Task Finder'!$C$7,$B110)),ISNUMBER(SEARCH('Task Finder'!$C$7,$C110)),ISNUMBER(SEARCH('Task Finder'!$C$7,$D110)),ISNUMBER(SEARCH('Task Finder'!$C$7,$K110)))),TRUE))</f>
        <v/>
      </c>
    </row>
    <row r="111">
      <c r="A111" s="19" t="n"/>
      <c r="B111" s="19" t="n"/>
      <c r="C111" s="19" t="n"/>
      <c r="D111" s="19" t="n"/>
      <c r="E111" s="19" t="n"/>
      <c r="F111" s="19" t="n"/>
      <c r="G111" s="19" t="n"/>
      <c r="H111" s="19" t="n"/>
      <c r="I111" s="19" t="n"/>
      <c r="J111" s="19" t="n"/>
      <c r="K111" s="19" t="n"/>
      <c r="L111" s="35" t="n"/>
      <c r="M111" s="5">
        <f>IF($D111="","",IFERROR(VLOOKUP($H111,Lists!$N$2:$O$6,2,FALSE),0))</f>
        <v/>
      </c>
      <c r="N111" s="5">
        <f>IF($D111="","",IF(OR($E111="Blocked",$E111="Done",$E111="Archive"),-9999,IF(AND($E111="Waiting",SUMPRODUCT((($E$5:$E$500="Next")+($E$5:$E$500="In Progress")+($E$5:$E$500="Captured"))*($D$5:$D$500&lt;&gt;""))&gt;0),-500,VLOOKUP($F111,Lists!$L$2:$M$4,2,FALSE)+IF($E111="In Progress",10,0)+IF(AND($I111&lt;&gt;"",$I111&lt;TODAY()),25,0)+IF(AND($I111&lt;&gt;"",$I111&gt;=TODAY(),$I111&lt;=TODAY()+7),15,0)+IF($M111&lt;=VLOOKUP(Home!$C$7,Lists!$N$2:$O$6,2,FALSE),20,-10)+IF($G111=Home!$E$7,15,IF(Home!$E$7="",0,-5))-ROW()/100000)))</f>
        <v/>
      </c>
      <c r="O111" s="5">
        <f>IF($D111="","",IF($N111&lt;=-500,"Not recommended right now",IF($E111="Waiting","Nothing else actionable right now — Waiting on: "&amp;IF($K111="","this item",$K111),TEXTJOIN(" • ",TRUE,IF($F111="High","High Priority",""),IF(AND($I111&lt;&gt;"",$I111&lt;TODAY()),"Overdue",""),IF(AND($I111&lt;&gt;"",$I111&gt;=TODAY(),$I111&lt;=TODAY()+7),"Due This Week",""),IF($M111&lt;=VLOOKUP(Home!$C$7,Lists!$N$2:$O$6,2,FALSE),$H111&amp;" Task",""),IF($G111=Home!$E$7,"Fits Current Energy",""),"No Blockers"))))</f>
        <v/>
      </c>
      <c r="P111" s="5">
        <f>IF($D111="","",SWITCH('Task Finder'!$C$6,"High Priority",AND($F111="High",$E111&lt;&gt;"Done",$E111&lt;&gt;"Archive"),"Due This Week",AND($I111&lt;&gt;"",$I111&gt;=TODAY(),$I111&lt;=TODAY()+7,$E111&lt;&gt;"Done"),"Quick Wins (15 mins or less)",AND($M111&lt;=15,$E111&lt;&gt;"Done",$E111&lt;&gt;"Blocked"),"Deep Thinking",AND($G111="Deep Thinking",$E111&lt;&gt;"Done"),"Processing",AND($G111="Processing",$E111&lt;&gt;"Done"),"Blocked",$E111="Blocked","Waiting",$E111="Waiting","Recently Updated",AND($L111&lt;&gt;"",$L111&gt;=TODAY()-7),"Keyword",AND('Task Finder'!$C$7&lt;&gt;"",OR(ISNUMBER(SEARCH('Task Finder'!$C$7,$A111)),ISNUMBER(SEARCH('Task Finder'!$C$7,$B111)),ISNUMBER(SEARCH('Task Finder'!$C$7,$C111)),ISNUMBER(SEARCH('Task Finder'!$C$7,$D111)),ISNUMBER(SEARCH('Task Finder'!$C$7,$K111)))),TRUE))</f>
        <v/>
      </c>
    </row>
    <row r="112">
      <c r="A112" s="19" t="n"/>
      <c r="B112" s="19" t="n"/>
      <c r="C112" s="19" t="n"/>
      <c r="D112" s="19" t="n"/>
      <c r="E112" s="19" t="n"/>
      <c r="F112" s="19" t="n"/>
      <c r="G112" s="19" t="n"/>
      <c r="H112" s="19" t="n"/>
      <c r="I112" s="19" t="n"/>
      <c r="J112" s="19" t="n"/>
      <c r="K112" s="19" t="n"/>
      <c r="L112" s="35" t="n"/>
      <c r="M112" s="5">
        <f>IF($D112="","",IFERROR(VLOOKUP($H112,Lists!$N$2:$O$6,2,FALSE),0))</f>
        <v/>
      </c>
      <c r="N112" s="5">
        <f>IF($D112="","",IF(OR($E112="Blocked",$E112="Done",$E112="Archive"),-9999,IF(AND($E112="Waiting",SUMPRODUCT((($E$5:$E$500="Next")+($E$5:$E$500="In Progress")+($E$5:$E$500="Captured"))*($D$5:$D$500&lt;&gt;""))&gt;0),-500,VLOOKUP($F112,Lists!$L$2:$M$4,2,FALSE)+IF($E112="In Progress",10,0)+IF(AND($I112&lt;&gt;"",$I112&lt;TODAY()),25,0)+IF(AND($I112&lt;&gt;"",$I112&gt;=TODAY(),$I112&lt;=TODAY()+7),15,0)+IF($M112&lt;=VLOOKUP(Home!$C$7,Lists!$N$2:$O$6,2,FALSE),20,-10)+IF($G112=Home!$E$7,15,IF(Home!$E$7="",0,-5))-ROW()/100000)))</f>
        <v/>
      </c>
      <c r="O112" s="5">
        <f>IF($D112="","",IF($N112&lt;=-500,"Not recommended right now",IF($E112="Waiting","Nothing else actionable right now — Waiting on: "&amp;IF($K112="","this item",$K112),TEXTJOIN(" • ",TRUE,IF($F112="High","High Priority",""),IF(AND($I112&lt;&gt;"",$I112&lt;TODAY()),"Overdue",""),IF(AND($I112&lt;&gt;"",$I112&gt;=TODAY(),$I112&lt;=TODAY()+7),"Due This Week",""),IF($M112&lt;=VLOOKUP(Home!$C$7,Lists!$N$2:$O$6,2,FALSE),$H112&amp;" Task",""),IF($G112=Home!$E$7,"Fits Current Energy",""),"No Blockers"))))</f>
        <v/>
      </c>
      <c r="P112" s="5">
        <f>IF($D112="","",SWITCH('Task Finder'!$C$6,"High Priority",AND($F112="High",$E112&lt;&gt;"Done",$E112&lt;&gt;"Archive"),"Due This Week",AND($I112&lt;&gt;"",$I112&gt;=TODAY(),$I112&lt;=TODAY()+7,$E112&lt;&gt;"Done"),"Quick Wins (15 mins or less)",AND($M112&lt;=15,$E112&lt;&gt;"Done",$E112&lt;&gt;"Blocked"),"Deep Thinking",AND($G112="Deep Thinking",$E112&lt;&gt;"Done"),"Processing",AND($G112="Processing",$E112&lt;&gt;"Done"),"Blocked",$E112="Blocked","Waiting",$E112="Waiting","Recently Updated",AND($L112&lt;&gt;"",$L112&gt;=TODAY()-7),"Keyword",AND('Task Finder'!$C$7&lt;&gt;"",OR(ISNUMBER(SEARCH('Task Finder'!$C$7,$A112)),ISNUMBER(SEARCH('Task Finder'!$C$7,$B112)),ISNUMBER(SEARCH('Task Finder'!$C$7,$C112)),ISNUMBER(SEARCH('Task Finder'!$C$7,$D112)),ISNUMBER(SEARCH('Task Finder'!$C$7,$K112)))),TRUE))</f>
        <v/>
      </c>
    </row>
    <row r="113">
      <c r="A113" s="19" t="n"/>
      <c r="B113" s="19" t="n"/>
      <c r="C113" s="19" t="n"/>
      <c r="D113" s="19" t="n"/>
      <c r="E113" s="19" t="n"/>
      <c r="F113" s="19" t="n"/>
      <c r="G113" s="19" t="n"/>
      <c r="H113" s="19" t="n"/>
      <c r="I113" s="19" t="n"/>
      <c r="J113" s="19" t="n"/>
      <c r="K113" s="19" t="n"/>
      <c r="L113" s="35" t="n"/>
      <c r="M113" s="5">
        <f>IF($D113="","",IFERROR(VLOOKUP($H113,Lists!$N$2:$O$6,2,FALSE),0))</f>
        <v/>
      </c>
      <c r="N113" s="5">
        <f>IF($D113="","",IF(OR($E113="Blocked",$E113="Done",$E113="Archive"),-9999,IF(AND($E113="Waiting",SUMPRODUCT((($E$5:$E$500="Next")+($E$5:$E$500="In Progress")+($E$5:$E$500="Captured"))*($D$5:$D$500&lt;&gt;""))&gt;0),-500,VLOOKUP($F113,Lists!$L$2:$M$4,2,FALSE)+IF($E113="In Progress",10,0)+IF(AND($I113&lt;&gt;"",$I113&lt;TODAY()),25,0)+IF(AND($I113&lt;&gt;"",$I113&gt;=TODAY(),$I113&lt;=TODAY()+7),15,0)+IF($M113&lt;=VLOOKUP(Home!$C$7,Lists!$N$2:$O$6,2,FALSE),20,-10)+IF($G113=Home!$E$7,15,IF(Home!$E$7="",0,-5))-ROW()/100000)))</f>
        <v/>
      </c>
      <c r="O113" s="5">
        <f>IF($D113="","",IF($N113&lt;=-500,"Not recommended right now",IF($E113="Waiting","Nothing else actionable right now — Waiting on: "&amp;IF($K113="","this item",$K113),TEXTJOIN(" • ",TRUE,IF($F113="High","High Priority",""),IF(AND($I113&lt;&gt;"",$I113&lt;TODAY()),"Overdue",""),IF(AND($I113&lt;&gt;"",$I113&gt;=TODAY(),$I113&lt;=TODAY()+7),"Due This Week",""),IF($M113&lt;=VLOOKUP(Home!$C$7,Lists!$N$2:$O$6,2,FALSE),$H113&amp;" Task",""),IF($G113=Home!$E$7,"Fits Current Energy",""),"No Blockers"))))</f>
        <v/>
      </c>
      <c r="P113" s="5">
        <f>IF($D113="","",SWITCH('Task Finder'!$C$6,"High Priority",AND($F113="High",$E113&lt;&gt;"Done",$E113&lt;&gt;"Archive"),"Due This Week",AND($I113&lt;&gt;"",$I113&gt;=TODAY(),$I113&lt;=TODAY()+7,$E113&lt;&gt;"Done"),"Quick Wins (15 mins or less)",AND($M113&lt;=15,$E113&lt;&gt;"Done",$E113&lt;&gt;"Blocked"),"Deep Thinking",AND($G113="Deep Thinking",$E113&lt;&gt;"Done"),"Processing",AND($G113="Processing",$E113&lt;&gt;"Done"),"Blocked",$E113="Blocked","Waiting",$E113="Waiting","Recently Updated",AND($L113&lt;&gt;"",$L113&gt;=TODAY()-7),"Keyword",AND('Task Finder'!$C$7&lt;&gt;"",OR(ISNUMBER(SEARCH('Task Finder'!$C$7,$A113)),ISNUMBER(SEARCH('Task Finder'!$C$7,$B113)),ISNUMBER(SEARCH('Task Finder'!$C$7,$C113)),ISNUMBER(SEARCH('Task Finder'!$C$7,$D113)),ISNUMBER(SEARCH('Task Finder'!$C$7,$K113)))),TRUE))</f>
        <v/>
      </c>
    </row>
    <row r="114">
      <c r="A114" s="19" t="n"/>
      <c r="B114" s="19" t="n"/>
      <c r="C114" s="19" t="n"/>
      <c r="D114" s="19" t="n"/>
      <c r="E114" s="19" t="n"/>
      <c r="F114" s="19" t="n"/>
      <c r="G114" s="19" t="n"/>
      <c r="H114" s="19" t="n"/>
      <c r="I114" s="19" t="n"/>
      <c r="J114" s="19" t="n"/>
      <c r="K114" s="19" t="n"/>
      <c r="L114" s="35" t="n"/>
      <c r="M114" s="5">
        <f>IF($D114="","",IFERROR(VLOOKUP($H114,Lists!$N$2:$O$6,2,FALSE),0))</f>
        <v/>
      </c>
      <c r="N114" s="5">
        <f>IF($D114="","",IF(OR($E114="Blocked",$E114="Done",$E114="Archive"),-9999,IF(AND($E114="Waiting",SUMPRODUCT((($E$5:$E$500="Next")+($E$5:$E$500="In Progress")+($E$5:$E$500="Captured"))*($D$5:$D$500&lt;&gt;""))&gt;0),-500,VLOOKUP($F114,Lists!$L$2:$M$4,2,FALSE)+IF($E114="In Progress",10,0)+IF(AND($I114&lt;&gt;"",$I114&lt;TODAY()),25,0)+IF(AND($I114&lt;&gt;"",$I114&gt;=TODAY(),$I114&lt;=TODAY()+7),15,0)+IF($M114&lt;=VLOOKUP(Home!$C$7,Lists!$N$2:$O$6,2,FALSE),20,-10)+IF($G114=Home!$E$7,15,IF(Home!$E$7="",0,-5))-ROW()/100000)))</f>
        <v/>
      </c>
      <c r="O114" s="5">
        <f>IF($D114="","",IF($N114&lt;=-500,"Not recommended right now",IF($E114="Waiting","Nothing else actionable right now — Waiting on: "&amp;IF($K114="","this item",$K114),TEXTJOIN(" • ",TRUE,IF($F114="High","High Priority",""),IF(AND($I114&lt;&gt;"",$I114&lt;TODAY()),"Overdue",""),IF(AND($I114&lt;&gt;"",$I114&gt;=TODAY(),$I114&lt;=TODAY()+7),"Due This Week",""),IF($M114&lt;=VLOOKUP(Home!$C$7,Lists!$N$2:$O$6,2,FALSE),$H114&amp;" Task",""),IF($G114=Home!$E$7,"Fits Current Energy",""),"No Blockers"))))</f>
        <v/>
      </c>
      <c r="P114" s="5">
        <f>IF($D114="","",SWITCH('Task Finder'!$C$6,"High Priority",AND($F114="High",$E114&lt;&gt;"Done",$E114&lt;&gt;"Archive"),"Due This Week",AND($I114&lt;&gt;"",$I114&gt;=TODAY(),$I114&lt;=TODAY()+7,$E114&lt;&gt;"Done"),"Quick Wins (15 mins or less)",AND($M114&lt;=15,$E114&lt;&gt;"Done",$E114&lt;&gt;"Blocked"),"Deep Thinking",AND($G114="Deep Thinking",$E114&lt;&gt;"Done"),"Processing",AND($G114="Processing",$E114&lt;&gt;"Done"),"Blocked",$E114="Blocked","Waiting",$E114="Waiting","Recently Updated",AND($L114&lt;&gt;"",$L114&gt;=TODAY()-7),"Keyword",AND('Task Finder'!$C$7&lt;&gt;"",OR(ISNUMBER(SEARCH('Task Finder'!$C$7,$A114)),ISNUMBER(SEARCH('Task Finder'!$C$7,$B114)),ISNUMBER(SEARCH('Task Finder'!$C$7,$C114)),ISNUMBER(SEARCH('Task Finder'!$C$7,$D114)),ISNUMBER(SEARCH('Task Finder'!$C$7,$K114)))),TRUE))</f>
        <v/>
      </c>
    </row>
    <row r="115">
      <c r="A115" s="19" t="n"/>
      <c r="B115" s="19" t="n"/>
      <c r="C115" s="19" t="n"/>
      <c r="D115" s="19" t="n"/>
      <c r="E115" s="19" t="n"/>
      <c r="F115" s="19" t="n"/>
      <c r="G115" s="19" t="n"/>
      <c r="H115" s="19" t="n"/>
      <c r="I115" s="19" t="n"/>
      <c r="J115" s="19" t="n"/>
      <c r="K115" s="19" t="n"/>
      <c r="L115" s="35" t="n"/>
      <c r="M115" s="5">
        <f>IF($D115="","",IFERROR(VLOOKUP($H115,Lists!$N$2:$O$6,2,FALSE),0))</f>
        <v/>
      </c>
      <c r="N115" s="5">
        <f>IF($D115="","",IF(OR($E115="Blocked",$E115="Done",$E115="Archive"),-9999,IF(AND($E115="Waiting",SUMPRODUCT((($E$5:$E$500="Next")+($E$5:$E$500="In Progress")+($E$5:$E$500="Captured"))*($D$5:$D$500&lt;&gt;""))&gt;0),-500,VLOOKUP($F115,Lists!$L$2:$M$4,2,FALSE)+IF($E115="In Progress",10,0)+IF(AND($I115&lt;&gt;"",$I115&lt;TODAY()),25,0)+IF(AND($I115&lt;&gt;"",$I115&gt;=TODAY(),$I115&lt;=TODAY()+7),15,0)+IF($M115&lt;=VLOOKUP(Home!$C$7,Lists!$N$2:$O$6,2,FALSE),20,-10)+IF($G115=Home!$E$7,15,IF(Home!$E$7="",0,-5))-ROW()/100000)))</f>
        <v/>
      </c>
      <c r="O115" s="5">
        <f>IF($D115="","",IF($N115&lt;=-500,"Not recommended right now",IF($E115="Waiting","Nothing else actionable right now — Waiting on: "&amp;IF($K115="","this item",$K115),TEXTJOIN(" • ",TRUE,IF($F115="High","High Priority",""),IF(AND($I115&lt;&gt;"",$I115&lt;TODAY()),"Overdue",""),IF(AND($I115&lt;&gt;"",$I115&gt;=TODAY(),$I115&lt;=TODAY()+7),"Due This Week",""),IF($M115&lt;=VLOOKUP(Home!$C$7,Lists!$N$2:$O$6,2,FALSE),$H115&amp;" Task",""),IF($G115=Home!$E$7,"Fits Current Energy",""),"No Blockers"))))</f>
        <v/>
      </c>
      <c r="P115" s="5">
        <f>IF($D115="","",SWITCH('Task Finder'!$C$6,"High Priority",AND($F115="High",$E115&lt;&gt;"Done",$E115&lt;&gt;"Archive"),"Due This Week",AND($I115&lt;&gt;"",$I115&gt;=TODAY(),$I115&lt;=TODAY()+7,$E115&lt;&gt;"Done"),"Quick Wins (15 mins or less)",AND($M115&lt;=15,$E115&lt;&gt;"Done",$E115&lt;&gt;"Blocked"),"Deep Thinking",AND($G115="Deep Thinking",$E115&lt;&gt;"Done"),"Processing",AND($G115="Processing",$E115&lt;&gt;"Done"),"Blocked",$E115="Blocked","Waiting",$E115="Waiting","Recently Updated",AND($L115&lt;&gt;"",$L115&gt;=TODAY()-7),"Keyword",AND('Task Finder'!$C$7&lt;&gt;"",OR(ISNUMBER(SEARCH('Task Finder'!$C$7,$A115)),ISNUMBER(SEARCH('Task Finder'!$C$7,$B115)),ISNUMBER(SEARCH('Task Finder'!$C$7,$C115)),ISNUMBER(SEARCH('Task Finder'!$C$7,$D115)),ISNUMBER(SEARCH('Task Finder'!$C$7,$K115)))),TRUE))</f>
        <v/>
      </c>
    </row>
    <row r="116">
      <c r="A116" s="19" t="n"/>
      <c r="B116" s="19" t="n"/>
      <c r="C116" s="19" t="n"/>
      <c r="D116" s="19" t="n"/>
      <c r="E116" s="19" t="n"/>
      <c r="F116" s="19" t="n"/>
      <c r="G116" s="19" t="n"/>
      <c r="H116" s="19" t="n"/>
      <c r="I116" s="19" t="n"/>
      <c r="J116" s="19" t="n"/>
      <c r="K116" s="19" t="n"/>
      <c r="L116" s="35" t="n"/>
      <c r="M116" s="5">
        <f>IF($D116="","",IFERROR(VLOOKUP($H116,Lists!$N$2:$O$6,2,FALSE),0))</f>
        <v/>
      </c>
      <c r="N116" s="5">
        <f>IF($D116="","",IF(OR($E116="Blocked",$E116="Done",$E116="Archive"),-9999,IF(AND($E116="Waiting",SUMPRODUCT((($E$5:$E$500="Next")+($E$5:$E$500="In Progress")+($E$5:$E$500="Captured"))*($D$5:$D$500&lt;&gt;""))&gt;0),-500,VLOOKUP($F116,Lists!$L$2:$M$4,2,FALSE)+IF($E116="In Progress",10,0)+IF(AND($I116&lt;&gt;"",$I116&lt;TODAY()),25,0)+IF(AND($I116&lt;&gt;"",$I116&gt;=TODAY(),$I116&lt;=TODAY()+7),15,0)+IF($M116&lt;=VLOOKUP(Home!$C$7,Lists!$N$2:$O$6,2,FALSE),20,-10)+IF($G116=Home!$E$7,15,IF(Home!$E$7="",0,-5))-ROW()/100000)))</f>
        <v/>
      </c>
      <c r="O116" s="5">
        <f>IF($D116="","",IF($N116&lt;=-500,"Not recommended right now",IF($E116="Waiting","Nothing else actionable right now — Waiting on: "&amp;IF($K116="","this item",$K116),TEXTJOIN(" • ",TRUE,IF($F116="High","High Priority",""),IF(AND($I116&lt;&gt;"",$I116&lt;TODAY()),"Overdue",""),IF(AND($I116&lt;&gt;"",$I116&gt;=TODAY(),$I116&lt;=TODAY()+7),"Due This Week",""),IF($M116&lt;=VLOOKUP(Home!$C$7,Lists!$N$2:$O$6,2,FALSE),$H116&amp;" Task",""),IF($G116=Home!$E$7,"Fits Current Energy",""),"No Blockers"))))</f>
        <v/>
      </c>
      <c r="P116" s="5">
        <f>IF($D116="","",SWITCH('Task Finder'!$C$6,"High Priority",AND($F116="High",$E116&lt;&gt;"Done",$E116&lt;&gt;"Archive"),"Due This Week",AND($I116&lt;&gt;"",$I116&gt;=TODAY(),$I116&lt;=TODAY()+7,$E116&lt;&gt;"Done"),"Quick Wins (15 mins or less)",AND($M116&lt;=15,$E116&lt;&gt;"Done",$E116&lt;&gt;"Blocked"),"Deep Thinking",AND($G116="Deep Thinking",$E116&lt;&gt;"Done"),"Processing",AND($G116="Processing",$E116&lt;&gt;"Done"),"Blocked",$E116="Blocked","Waiting",$E116="Waiting","Recently Updated",AND($L116&lt;&gt;"",$L116&gt;=TODAY()-7),"Keyword",AND('Task Finder'!$C$7&lt;&gt;"",OR(ISNUMBER(SEARCH('Task Finder'!$C$7,$A116)),ISNUMBER(SEARCH('Task Finder'!$C$7,$B116)),ISNUMBER(SEARCH('Task Finder'!$C$7,$C116)),ISNUMBER(SEARCH('Task Finder'!$C$7,$D116)),ISNUMBER(SEARCH('Task Finder'!$C$7,$K116)))),TRUE))</f>
        <v/>
      </c>
    </row>
    <row r="117">
      <c r="A117" s="19" t="n"/>
      <c r="B117" s="19" t="n"/>
      <c r="C117" s="19" t="n"/>
      <c r="D117" s="19" t="n"/>
      <c r="E117" s="19" t="n"/>
      <c r="F117" s="19" t="n"/>
      <c r="G117" s="19" t="n"/>
      <c r="H117" s="19" t="n"/>
      <c r="I117" s="19" t="n"/>
      <c r="J117" s="19" t="n"/>
      <c r="K117" s="19" t="n"/>
      <c r="L117" s="35" t="n"/>
      <c r="M117" s="5">
        <f>IF($D117="","",IFERROR(VLOOKUP($H117,Lists!$N$2:$O$6,2,FALSE),0))</f>
        <v/>
      </c>
      <c r="N117" s="5">
        <f>IF($D117="","",IF(OR($E117="Blocked",$E117="Done",$E117="Archive"),-9999,IF(AND($E117="Waiting",SUMPRODUCT((($E$5:$E$500="Next")+($E$5:$E$500="In Progress")+($E$5:$E$500="Captured"))*($D$5:$D$500&lt;&gt;""))&gt;0),-500,VLOOKUP($F117,Lists!$L$2:$M$4,2,FALSE)+IF($E117="In Progress",10,0)+IF(AND($I117&lt;&gt;"",$I117&lt;TODAY()),25,0)+IF(AND($I117&lt;&gt;"",$I117&gt;=TODAY(),$I117&lt;=TODAY()+7),15,0)+IF($M117&lt;=VLOOKUP(Home!$C$7,Lists!$N$2:$O$6,2,FALSE),20,-10)+IF($G117=Home!$E$7,15,IF(Home!$E$7="",0,-5))-ROW()/100000)))</f>
        <v/>
      </c>
      <c r="O117" s="5">
        <f>IF($D117="","",IF($N117&lt;=-500,"Not recommended right now",IF($E117="Waiting","Nothing else actionable right now — Waiting on: "&amp;IF($K117="","this item",$K117),TEXTJOIN(" • ",TRUE,IF($F117="High","High Priority",""),IF(AND($I117&lt;&gt;"",$I117&lt;TODAY()),"Overdue",""),IF(AND($I117&lt;&gt;"",$I117&gt;=TODAY(),$I117&lt;=TODAY()+7),"Due This Week",""),IF($M117&lt;=VLOOKUP(Home!$C$7,Lists!$N$2:$O$6,2,FALSE),$H117&amp;" Task",""),IF($G117=Home!$E$7,"Fits Current Energy",""),"No Blockers"))))</f>
        <v/>
      </c>
      <c r="P117" s="5">
        <f>IF($D117="","",SWITCH('Task Finder'!$C$6,"High Priority",AND($F117="High",$E117&lt;&gt;"Done",$E117&lt;&gt;"Archive"),"Due This Week",AND($I117&lt;&gt;"",$I117&gt;=TODAY(),$I117&lt;=TODAY()+7,$E117&lt;&gt;"Done"),"Quick Wins (15 mins or less)",AND($M117&lt;=15,$E117&lt;&gt;"Done",$E117&lt;&gt;"Blocked"),"Deep Thinking",AND($G117="Deep Thinking",$E117&lt;&gt;"Done"),"Processing",AND($G117="Processing",$E117&lt;&gt;"Done"),"Blocked",$E117="Blocked","Waiting",$E117="Waiting","Recently Updated",AND($L117&lt;&gt;"",$L117&gt;=TODAY()-7),"Keyword",AND('Task Finder'!$C$7&lt;&gt;"",OR(ISNUMBER(SEARCH('Task Finder'!$C$7,$A117)),ISNUMBER(SEARCH('Task Finder'!$C$7,$B117)),ISNUMBER(SEARCH('Task Finder'!$C$7,$C117)),ISNUMBER(SEARCH('Task Finder'!$C$7,$D117)),ISNUMBER(SEARCH('Task Finder'!$C$7,$K117)))),TRUE))</f>
        <v/>
      </c>
    </row>
    <row r="118">
      <c r="A118" s="19" t="n"/>
      <c r="B118" s="19" t="n"/>
      <c r="C118" s="19" t="n"/>
      <c r="D118" s="19" t="n"/>
      <c r="E118" s="19" t="n"/>
      <c r="F118" s="19" t="n"/>
      <c r="G118" s="19" t="n"/>
      <c r="H118" s="19" t="n"/>
      <c r="I118" s="19" t="n"/>
      <c r="J118" s="19" t="n"/>
      <c r="K118" s="19" t="n"/>
      <c r="L118" s="35" t="n"/>
      <c r="M118" s="5">
        <f>IF($D118="","",IFERROR(VLOOKUP($H118,Lists!$N$2:$O$6,2,FALSE),0))</f>
        <v/>
      </c>
      <c r="N118" s="5">
        <f>IF($D118="","",IF(OR($E118="Blocked",$E118="Done",$E118="Archive"),-9999,IF(AND($E118="Waiting",SUMPRODUCT((($E$5:$E$500="Next")+($E$5:$E$500="In Progress")+($E$5:$E$500="Captured"))*($D$5:$D$500&lt;&gt;""))&gt;0),-500,VLOOKUP($F118,Lists!$L$2:$M$4,2,FALSE)+IF($E118="In Progress",10,0)+IF(AND($I118&lt;&gt;"",$I118&lt;TODAY()),25,0)+IF(AND($I118&lt;&gt;"",$I118&gt;=TODAY(),$I118&lt;=TODAY()+7),15,0)+IF($M118&lt;=VLOOKUP(Home!$C$7,Lists!$N$2:$O$6,2,FALSE),20,-10)+IF($G118=Home!$E$7,15,IF(Home!$E$7="",0,-5))-ROW()/100000)))</f>
        <v/>
      </c>
      <c r="O118" s="5">
        <f>IF($D118="","",IF($N118&lt;=-500,"Not recommended right now",IF($E118="Waiting","Nothing else actionable right now — Waiting on: "&amp;IF($K118="","this item",$K118),TEXTJOIN(" • ",TRUE,IF($F118="High","High Priority",""),IF(AND($I118&lt;&gt;"",$I118&lt;TODAY()),"Overdue",""),IF(AND($I118&lt;&gt;"",$I118&gt;=TODAY(),$I118&lt;=TODAY()+7),"Due This Week",""),IF($M118&lt;=VLOOKUP(Home!$C$7,Lists!$N$2:$O$6,2,FALSE),$H118&amp;" Task",""),IF($G118=Home!$E$7,"Fits Current Energy",""),"No Blockers"))))</f>
        <v/>
      </c>
      <c r="P118" s="5">
        <f>IF($D118="","",SWITCH('Task Finder'!$C$6,"High Priority",AND($F118="High",$E118&lt;&gt;"Done",$E118&lt;&gt;"Archive"),"Due This Week",AND($I118&lt;&gt;"",$I118&gt;=TODAY(),$I118&lt;=TODAY()+7,$E118&lt;&gt;"Done"),"Quick Wins (15 mins or less)",AND($M118&lt;=15,$E118&lt;&gt;"Done",$E118&lt;&gt;"Blocked"),"Deep Thinking",AND($G118="Deep Thinking",$E118&lt;&gt;"Done"),"Processing",AND($G118="Processing",$E118&lt;&gt;"Done"),"Blocked",$E118="Blocked","Waiting",$E118="Waiting","Recently Updated",AND($L118&lt;&gt;"",$L118&gt;=TODAY()-7),"Keyword",AND('Task Finder'!$C$7&lt;&gt;"",OR(ISNUMBER(SEARCH('Task Finder'!$C$7,$A118)),ISNUMBER(SEARCH('Task Finder'!$C$7,$B118)),ISNUMBER(SEARCH('Task Finder'!$C$7,$C118)),ISNUMBER(SEARCH('Task Finder'!$C$7,$D118)),ISNUMBER(SEARCH('Task Finder'!$C$7,$K118)))),TRUE))</f>
        <v/>
      </c>
    </row>
    <row r="119">
      <c r="A119" s="19" t="n"/>
      <c r="B119" s="19" t="n"/>
      <c r="C119" s="19" t="n"/>
      <c r="D119" s="19" t="n"/>
      <c r="E119" s="19" t="n"/>
      <c r="F119" s="19" t="n"/>
      <c r="G119" s="19" t="n"/>
      <c r="H119" s="19" t="n"/>
      <c r="I119" s="19" t="n"/>
      <c r="J119" s="19" t="n"/>
      <c r="K119" s="19" t="n"/>
      <c r="L119" s="35" t="n"/>
      <c r="M119" s="5">
        <f>IF($D119="","",IFERROR(VLOOKUP($H119,Lists!$N$2:$O$6,2,FALSE),0))</f>
        <v/>
      </c>
      <c r="N119" s="5">
        <f>IF($D119="","",IF(OR($E119="Blocked",$E119="Done",$E119="Archive"),-9999,IF(AND($E119="Waiting",SUMPRODUCT((($E$5:$E$500="Next")+($E$5:$E$500="In Progress")+($E$5:$E$500="Captured"))*($D$5:$D$500&lt;&gt;""))&gt;0),-500,VLOOKUP($F119,Lists!$L$2:$M$4,2,FALSE)+IF($E119="In Progress",10,0)+IF(AND($I119&lt;&gt;"",$I119&lt;TODAY()),25,0)+IF(AND($I119&lt;&gt;"",$I119&gt;=TODAY(),$I119&lt;=TODAY()+7),15,0)+IF($M119&lt;=VLOOKUP(Home!$C$7,Lists!$N$2:$O$6,2,FALSE),20,-10)+IF($G119=Home!$E$7,15,IF(Home!$E$7="",0,-5))-ROW()/100000)))</f>
        <v/>
      </c>
      <c r="O119" s="5">
        <f>IF($D119="","",IF($N119&lt;=-500,"Not recommended right now",IF($E119="Waiting","Nothing else actionable right now — Waiting on: "&amp;IF($K119="","this item",$K119),TEXTJOIN(" • ",TRUE,IF($F119="High","High Priority",""),IF(AND($I119&lt;&gt;"",$I119&lt;TODAY()),"Overdue",""),IF(AND($I119&lt;&gt;"",$I119&gt;=TODAY(),$I119&lt;=TODAY()+7),"Due This Week",""),IF($M119&lt;=VLOOKUP(Home!$C$7,Lists!$N$2:$O$6,2,FALSE),$H119&amp;" Task",""),IF($G119=Home!$E$7,"Fits Current Energy",""),"No Blockers"))))</f>
        <v/>
      </c>
      <c r="P119" s="5">
        <f>IF($D119="","",SWITCH('Task Finder'!$C$6,"High Priority",AND($F119="High",$E119&lt;&gt;"Done",$E119&lt;&gt;"Archive"),"Due This Week",AND($I119&lt;&gt;"",$I119&gt;=TODAY(),$I119&lt;=TODAY()+7,$E119&lt;&gt;"Done"),"Quick Wins (15 mins or less)",AND($M119&lt;=15,$E119&lt;&gt;"Done",$E119&lt;&gt;"Blocked"),"Deep Thinking",AND($G119="Deep Thinking",$E119&lt;&gt;"Done"),"Processing",AND($G119="Processing",$E119&lt;&gt;"Done"),"Blocked",$E119="Blocked","Waiting",$E119="Waiting","Recently Updated",AND($L119&lt;&gt;"",$L119&gt;=TODAY()-7),"Keyword",AND('Task Finder'!$C$7&lt;&gt;"",OR(ISNUMBER(SEARCH('Task Finder'!$C$7,$A119)),ISNUMBER(SEARCH('Task Finder'!$C$7,$B119)),ISNUMBER(SEARCH('Task Finder'!$C$7,$C119)),ISNUMBER(SEARCH('Task Finder'!$C$7,$D119)),ISNUMBER(SEARCH('Task Finder'!$C$7,$K119)))),TRUE))</f>
        <v/>
      </c>
    </row>
    <row r="120">
      <c r="A120" s="19" t="n"/>
      <c r="B120" s="19" t="n"/>
      <c r="C120" s="19" t="n"/>
      <c r="D120" s="19" t="n"/>
      <c r="E120" s="19" t="n"/>
      <c r="F120" s="19" t="n"/>
      <c r="G120" s="19" t="n"/>
      <c r="H120" s="19" t="n"/>
      <c r="I120" s="19" t="n"/>
      <c r="J120" s="19" t="n"/>
      <c r="K120" s="19" t="n"/>
      <c r="L120" s="35" t="n"/>
      <c r="M120" s="5">
        <f>IF($D120="","",IFERROR(VLOOKUP($H120,Lists!$N$2:$O$6,2,FALSE),0))</f>
        <v/>
      </c>
      <c r="N120" s="5">
        <f>IF($D120="","",IF(OR($E120="Blocked",$E120="Done",$E120="Archive"),-9999,IF(AND($E120="Waiting",SUMPRODUCT((($E$5:$E$500="Next")+($E$5:$E$500="In Progress")+($E$5:$E$500="Captured"))*($D$5:$D$500&lt;&gt;""))&gt;0),-500,VLOOKUP($F120,Lists!$L$2:$M$4,2,FALSE)+IF($E120="In Progress",10,0)+IF(AND($I120&lt;&gt;"",$I120&lt;TODAY()),25,0)+IF(AND($I120&lt;&gt;"",$I120&gt;=TODAY(),$I120&lt;=TODAY()+7),15,0)+IF($M120&lt;=VLOOKUP(Home!$C$7,Lists!$N$2:$O$6,2,FALSE),20,-10)+IF($G120=Home!$E$7,15,IF(Home!$E$7="",0,-5))-ROW()/100000)))</f>
        <v/>
      </c>
      <c r="O120" s="5">
        <f>IF($D120="","",IF($N120&lt;=-500,"Not recommended right now",IF($E120="Waiting","Nothing else actionable right now — Waiting on: "&amp;IF($K120="","this item",$K120),TEXTJOIN(" • ",TRUE,IF($F120="High","High Priority",""),IF(AND($I120&lt;&gt;"",$I120&lt;TODAY()),"Overdue",""),IF(AND($I120&lt;&gt;"",$I120&gt;=TODAY(),$I120&lt;=TODAY()+7),"Due This Week",""),IF($M120&lt;=VLOOKUP(Home!$C$7,Lists!$N$2:$O$6,2,FALSE),$H120&amp;" Task",""),IF($G120=Home!$E$7,"Fits Current Energy",""),"No Blockers"))))</f>
        <v/>
      </c>
      <c r="P120" s="5">
        <f>IF($D120="","",SWITCH('Task Finder'!$C$6,"High Priority",AND($F120="High",$E120&lt;&gt;"Done",$E120&lt;&gt;"Archive"),"Due This Week",AND($I120&lt;&gt;"",$I120&gt;=TODAY(),$I120&lt;=TODAY()+7,$E120&lt;&gt;"Done"),"Quick Wins (15 mins or less)",AND($M120&lt;=15,$E120&lt;&gt;"Done",$E120&lt;&gt;"Blocked"),"Deep Thinking",AND($G120="Deep Thinking",$E120&lt;&gt;"Done"),"Processing",AND($G120="Processing",$E120&lt;&gt;"Done"),"Blocked",$E120="Blocked","Waiting",$E120="Waiting","Recently Updated",AND($L120&lt;&gt;"",$L120&gt;=TODAY()-7),"Keyword",AND('Task Finder'!$C$7&lt;&gt;"",OR(ISNUMBER(SEARCH('Task Finder'!$C$7,$A120)),ISNUMBER(SEARCH('Task Finder'!$C$7,$B120)),ISNUMBER(SEARCH('Task Finder'!$C$7,$C120)),ISNUMBER(SEARCH('Task Finder'!$C$7,$D120)),ISNUMBER(SEARCH('Task Finder'!$C$7,$K120)))),TRUE))</f>
        <v/>
      </c>
    </row>
    <row r="121">
      <c r="A121" s="19" t="n"/>
      <c r="B121" s="19" t="n"/>
      <c r="C121" s="19" t="n"/>
      <c r="D121" s="19" t="n"/>
      <c r="E121" s="19" t="n"/>
      <c r="F121" s="19" t="n"/>
      <c r="G121" s="19" t="n"/>
      <c r="H121" s="19" t="n"/>
      <c r="I121" s="19" t="n"/>
      <c r="J121" s="19" t="n"/>
      <c r="K121" s="19" t="n"/>
      <c r="L121" s="35" t="n"/>
      <c r="M121" s="5">
        <f>IF($D121="","",IFERROR(VLOOKUP($H121,Lists!$N$2:$O$6,2,FALSE),0))</f>
        <v/>
      </c>
      <c r="N121" s="5">
        <f>IF($D121="","",IF(OR($E121="Blocked",$E121="Done",$E121="Archive"),-9999,IF(AND($E121="Waiting",SUMPRODUCT((($E$5:$E$500="Next")+($E$5:$E$500="In Progress")+($E$5:$E$500="Captured"))*($D$5:$D$500&lt;&gt;""))&gt;0),-500,VLOOKUP($F121,Lists!$L$2:$M$4,2,FALSE)+IF($E121="In Progress",10,0)+IF(AND($I121&lt;&gt;"",$I121&lt;TODAY()),25,0)+IF(AND($I121&lt;&gt;"",$I121&gt;=TODAY(),$I121&lt;=TODAY()+7),15,0)+IF($M121&lt;=VLOOKUP(Home!$C$7,Lists!$N$2:$O$6,2,FALSE),20,-10)+IF($G121=Home!$E$7,15,IF(Home!$E$7="",0,-5))-ROW()/100000)))</f>
        <v/>
      </c>
      <c r="O121" s="5">
        <f>IF($D121="","",IF($N121&lt;=-500,"Not recommended right now",IF($E121="Waiting","Nothing else actionable right now — Waiting on: "&amp;IF($K121="","this item",$K121),TEXTJOIN(" • ",TRUE,IF($F121="High","High Priority",""),IF(AND($I121&lt;&gt;"",$I121&lt;TODAY()),"Overdue",""),IF(AND($I121&lt;&gt;"",$I121&gt;=TODAY(),$I121&lt;=TODAY()+7),"Due This Week",""),IF($M121&lt;=VLOOKUP(Home!$C$7,Lists!$N$2:$O$6,2,FALSE),$H121&amp;" Task",""),IF($G121=Home!$E$7,"Fits Current Energy",""),"No Blockers"))))</f>
        <v/>
      </c>
      <c r="P121" s="5">
        <f>IF($D121="","",SWITCH('Task Finder'!$C$6,"High Priority",AND($F121="High",$E121&lt;&gt;"Done",$E121&lt;&gt;"Archive"),"Due This Week",AND($I121&lt;&gt;"",$I121&gt;=TODAY(),$I121&lt;=TODAY()+7,$E121&lt;&gt;"Done"),"Quick Wins (15 mins or less)",AND($M121&lt;=15,$E121&lt;&gt;"Done",$E121&lt;&gt;"Blocked"),"Deep Thinking",AND($G121="Deep Thinking",$E121&lt;&gt;"Done"),"Processing",AND($G121="Processing",$E121&lt;&gt;"Done"),"Blocked",$E121="Blocked","Waiting",$E121="Waiting","Recently Updated",AND($L121&lt;&gt;"",$L121&gt;=TODAY()-7),"Keyword",AND('Task Finder'!$C$7&lt;&gt;"",OR(ISNUMBER(SEARCH('Task Finder'!$C$7,$A121)),ISNUMBER(SEARCH('Task Finder'!$C$7,$B121)),ISNUMBER(SEARCH('Task Finder'!$C$7,$C121)),ISNUMBER(SEARCH('Task Finder'!$C$7,$D121)),ISNUMBER(SEARCH('Task Finder'!$C$7,$K121)))),TRUE))</f>
        <v/>
      </c>
    </row>
    <row r="122">
      <c r="A122" s="19" t="n"/>
      <c r="B122" s="19" t="n"/>
      <c r="C122" s="19" t="n"/>
      <c r="D122" s="19" t="n"/>
      <c r="E122" s="19" t="n"/>
      <c r="F122" s="19" t="n"/>
      <c r="G122" s="19" t="n"/>
      <c r="H122" s="19" t="n"/>
      <c r="I122" s="19" t="n"/>
      <c r="J122" s="19" t="n"/>
      <c r="K122" s="19" t="n"/>
      <c r="L122" s="35" t="n"/>
      <c r="M122" s="5">
        <f>IF($D122="","",IFERROR(VLOOKUP($H122,Lists!$N$2:$O$6,2,FALSE),0))</f>
        <v/>
      </c>
      <c r="N122" s="5">
        <f>IF($D122="","",IF(OR($E122="Blocked",$E122="Done",$E122="Archive"),-9999,IF(AND($E122="Waiting",SUMPRODUCT((($E$5:$E$500="Next")+($E$5:$E$500="In Progress")+($E$5:$E$500="Captured"))*($D$5:$D$500&lt;&gt;""))&gt;0),-500,VLOOKUP($F122,Lists!$L$2:$M$4,2,FALSE)+IF($E122="In Progress",10,0)+IF(AND($I122&lt;&gt;"",$I122&lt;TODAY()),25,0)+IF(AND($I122&lt;&gt;"",$I122&gt;=TODAY(),$I122&lt;=TODAY()+7),15,0)+IF($M122&lt;=VLOOKUP(Home!$C$7,Lists!$N$2:$O$6,2,FALSE),20,-10)+IF($G122=Home!$E$7,15,IF(Home!$E$7="",0,-5))-ROW()/100000)))</f>
        <v/>
      </c>
      <c r="O122" s="5">
        <f>IF($D122="","",IF($N122&lt;=-500,"Not recommended right now",IF($E122="Waiting","Nothing else actionable right now — Waiting on: "&amp;IF($K122="","this item",$K122),TEXTJOIN(" • ",TRUE,IF($F122="High","High Priority",""),IF(AND($I122&lt;&gt;"",$I122&lt;TODAY()),"Overdue",""),IF(AND($I122&lt;&gt;"",$I122&gt;=TODAY(),$I122&lt;=TODAY()+7),"Due This Week",""),IF($M122&lt;=VLOOKUP(Home!$C$7,Lists!$N$2:$O$6,2,FALSE),$H122&amp;" Task",""),IF($G122=Home!$E$7,"Fits Current Energy",""),"No Blockers"))))</f>
        <v/>
      </c>
      <c r="P122" s="5">
        <f>IF($D122="","",SWITCH('Task Finder'!$C$6,"High Priority",AND($F122="High",$E122&lt;&gt;"Done",$E122&lt;&gt;"Archive"),"Due This Week",AND($I122&lt;&gt;"",$I122&gt;=TODAY(),$I122&lt;=TODAY()+7,$E122&lt;&gt;"Done"),"Quick Wins (15 mins or less)",AND($M122&lt;=15,$E122&lt;&gt;"Done",$E122&lt;&gt;"Blocked"),"Deep Thinking",AND($G122="Deep Thinking",$E122&lt;&gt;"Done"),"Processing",AND($G122="Processing",$E122&lt;&gt;"Done"),"Blocked",$E122="Blocked","Waiting",$E122="Waiting","Recently Updated",AND($L122&lt;&gt;"",$L122&gt;=TODAY()-7),"Keyword",AND('Task Finder'!$C$7&lt;&gt;"",OR(ISNUMBER(SEARCH('Task Finder'!$C$7,$A122)),ISNUMBER(SEARCH('Task Finder'!$C$7,$B122)),ISNUMBER(SEARCH('Task Finder'!$C$7,$C122)),ISNUMBER(SEARCH('Task Finder'!$C$7,$D122)),ISNUMBER(SEARCH('Task Finder'!$C$7,$K122)))),TRUE))</f>
        <v/>
      </c>
    </row>
    <row r="123">
      <c r="A123" s="19" t="n"/>
      <c r="B123" s="19" t="n"/>
      <c r="C123" s="19" t="n"/>
      <c r="D123" s="19" t="n"/>
      <c r="E123" s="19" t="n"/>
      <c r="F123" s="19" t="n"/>
      <c r="G123" s="19" t="n"/>
      <c r="H123" s="19" t="n"/>
      <c r="I123" s="19" t="n"/>
      <c r="J123" s="19" t="n"/>
      <c r="K123" s="19" t="n"/>
      <c r="L123" s="35" t="n"/>
      <c r="M123" s="5">
        <f>IF($D123="","",IFERROR(VLOOKUP($H123,Lists!$N$2:$O$6,2,FALSE),0))</f>
        <v/>
      </c>
      <c r="N123" s="5">
        <f>IF($D123="","",IF(OR($E123="Blocked",$E123="Done",$E123="Archive"),-9999,IF(AND($E123="Waiting",SUMPRODUCT((($E$5:$E$500="Next")+($E$5:$E$500="In Progress")+($E$5:$E$500="Captured"))*($D$5:$D$500&lt;&gt;""))&gt;0),-500,VLOOKUP($F123,Lists!$L$2:$M$4,2,FALSE)+IF($E123="In Progress",10,0)+IF(AND($I123&lt;&gt;"",$I123&lt;TODAY()),25,0)+IF(AND($I123&lt;&gt;"",$I123&gt;=TODAY(),$I123&lt;=TODAY()+7),15,0)+IF($M123&lt;=VLOOKUP(Home!$C$7,Lists!$N$2:$O$6,2,FALSE),20,-10)+IF($G123=Home!$E$7,15,IF(Home!$E$7="",0,-5))-ROW()/100000)))</f>
        <v/>
      </c>
      <c r="O123" s="5">
        <f>IF($D123="","",IF($N123&lt;=-500,"Not recommended right now",IF($E123="Waiting","Nothing else actionable right now — Waiting on: "&amp;IF($K123="","this item",$K123),TEXTJOIN(" • ",TRUE,IF($F123="High","High Priority",""),IF(AND($I123&lt;&gt;"",$I123&lt;TODAY()),"Overdue",""),IF(AND($I123&lt;&gt;"",$I123&gt;=TODAY(),$I123&lt;=TODAY()+7),"Due This Week",""),IF($M123&lt;=VLOOKUP(Home!$C$7,Lists!$N$2:$O$6,2,FALSE),$H123&amp;" Task",""),IF($G123=Home!$E$7,"Fits Current Energy",""),"No Blockers"))))</f>
        <v/>
      </c>
      <c r="P123" s="5">
        <f>IF($D123="","",SWITCH('Task Finder'!$C$6,"High Priority",AND($F123="High",$E123&lt;&gt;"Done",$E123&lt;&gt;"Archive"),"Due This Week",AND($I123&lt;&gt;"",$I123&gt;=TODAY(),$I123&lt;=TODAY()+7,$E123&lt;&gt;"Done"),"Quick Wins (15 mins or less)",AND($M123&lt;=15,$E123&lt;&gt;"Done",$E123&lt;&gt;"Blocked"),"Deep Thinking",AND($G123="Deep Thinking",$E123&lt;&gt;"Done"),"Processing",AND($G123="Processing",$E123&lt;&gt;"Done"),"Blocked",$E123="Blocked","Waiting",$E123="Waiting","Recently Updated",AND($L123&lt;&gt;"",$L123&gt;=TODAY()-7),"Keyword",AND('Task Finder'!$C$7&lt;&gt;"",OR(ISNUMBER(SEARCH('Task Finder'!$C$7,$A123)),ISNUMBER(SEARCH('Task Finder'!$C$7,$B123)),ISNUMBER(SEARCH('Task Finder'!$C$7,$C123)),ISNUMBER(SEARCH('Task Finder'!$C$7,$D123)),ISNUMBER(SEARCH('Task Finder'!$C$7,$K123)))),TRUE))</f>
        <v/>
      </c>
    </row>
    <row r="124">
      <c r="A124" s="19" t="n"/>
      <c r="B124" s="19" t="n"/>
      <c r="C124" s="19" t="n"/>
      <c r="D124" s="19" t="n"/>
      <c r="E124" s="19" t="n"/>
      <c r="F124" s="19" t="n"/>
      <c r="G124" s="19" t="n"/>
      <c r="H124" s="19" t="n"/>
      <c r="I124" s="19" t="n"/>
      <c r="J124" s="19" t="n"/>
      <c r="K124" s="19" t="n"/>
      <c r="L124" s="35" t="n"/>
      <c r="M124" s="5">
        <f>IF($D124="","",IFERROR(VLOOKUP($H124,Lists!$N$2:$O$6,2,FALSE),0))</f>
        <v/>
      </c>
      <c r="N124" s="5">
        <f>IF($D124="","",IF(OR($E124="Blocked",$E124="Done",$E124="Archive"),-9999,IF(AND($E124="Waiting",SUMPRODUCT((($E$5:$E$500="Next")+($E$5:$E$500="In Progress")+($E$5:$E$500="Captured"))*($D$5:$D$500&lt;&gt;""))&gt;0),-500,VLOOKUP($F124,Lists!$L$2:$M$4,2,FALSE)+IF($E124="In Progress",10,0)+IF(AND($I124&lt;&gt;"",$I124&lt;TODAY()),25,0)+IF(AND($I124&lt;&gt;"",$I124&gt;=TODAY(),$I124&lt;=TODAY()+7),15,0)+IF($M124&lt;=VLOOKUP(Home!$C$7,Lists!$N$2:$O$6,2,FALSE),20,-10)+IF($G124=Home!$E$7,15,IF(Home!$E$7="",0,-5))-ROW()/100000)))</f>
        <v/>
      </c>
      <c r="O124" s="5">
        <f>IF($D124="","",IF($N124&lt;=-500,"Not recommended right now",IF($E124="Waiting","Nothing else actionable right now — Waiting on: "&amp;IF($K124="","this item",$K124),TEXTJOIN(" • ",TRUE,IF($F124="High","High Priority",""),IF(AND($I124&lt;&gt;"",$I124&lt;TODAY()),"Overdue",""),IF(AND($I124&lt;&gt;"",$I124&gt;=TODAY(),$I124&lt;=TODAY()+7),"Due This Week",""),IF($M124&lt;=VLOOKUP(Home!$C$7,Lists!$N$2:$O$6,2,FALSE),$H124&amp;" Task",""),IF($G124=Home!$E$7,"Fits Current Energy",""),"No Blockers"))))</f>
        <v/>
      </c>
      <c r="P124" s="5">
        <f>IF($D124="","",SWITCH('Task Finder'!$C$6,"High Priority",AND($F124="High",$E124&lt;&gt;"Done",$E124&lt;&gt;"Archive"),"Due This Week",AND($I124&lt;&gt;"",$I124&gt;=TODAY(),$I124&lt;=TODAY()+7,$E124&lt;&gt;"Done"),"Quick Wins (15 mins or less)",AND($M124&lt;=15,$E124&lt;&gt;"Done",$E124&lt;&gt;"Blocked"),"Deep Thinking",AND($G124="Deep Thinking",$E124&lt;&gt;"Done"),"Processing",AND($G124="Processing",$E124&lt;&gt;"Done"),"Blocked",$E124="Blocked","Waiting",$E124="Waiting","Recently Updated",AND($L124&lt;&gt;"",$L124&gt;=TODAY()-7),"Keyword",AND('Task Finder'!$C$7&lt;&gt;"",OR(ISNUMBER(SEARCH('Task Finder'!$C$7,$A124)),ISNUMBER(SEARCH('Task Finder'!$C$7,$B124)),ISNUMBER(SEARCH('Task Finder'!$C$7,$C124)),ISNUMBER(SEARCH('Task Finder'!$C$7,$D124)),ISNUMBER(SEARCH('Task Finder'!$C$7,$K124)))),TRUE))</f>
        <v/>
      </c>
    </row>
    <row r="125">
      <c r="A125" s="19" t="n"/>
      <c r="B125" s="19" t="n"/>
      <c r="C125" s="19" t="n"/>
      <c r="D125" s="19" t="n"/>
      <c r="E125" s="19" t="n"/>
      <c r="F125" s="19" t="n"/>
      <c r="G125" s="19" t="n"/>
      <c r="H125" s="19" t="n"/>
      <c r="I125" s="19" t="n"/>
      <c r="J125" s="19" t="n"/>
      <c r="K125" s="19" t="n"/>
      <c r="L125" s="35" t="n"/>
      <c r="M125" s="5">
        <f>IF($D125="","",IFERROR(VLOOKUP($H125,Lists!$N$2:$O$6,2,FALSE),0))</f>
        <v/>
      </c>
      <c r="N125" s="5">
        <f>IF($D125="","",IF(OR($E125="Blocked",$E125="Done",$E125="Archive"),-9999,IF(AND($E125="Waiting",SUMPRODUCT((($E$5:$E$500="Next")+($E$5:$E$500="In Progress")+($E$5:$E$500="Captured"))*($D$5:$D$500&lt;&gt;""))&gt;0),-500,VLOOKUP($F125,Lists!$L$2:$M$4,2,FALSE)+IF($E125="In Progress",10,0)+IF(AND($I125&lt;&gt;"",$I125&lt;TODAY()),25,0)+IF(AND($I125&lt;&gt;"",$I125&gt;=TODAY(),$I125&lt;=TODAY()+7),15,0)+IF($M125&lt;=VLOOKUP(Home!$C$7,Lists!$N$2:$O$6,2,FALSE),20,-10)+IF($G125=Home!$E$7,15,IF(Home!$E$7="",0,-5))-ROW()/100000)))</f>
        <v/>
      </c>
      <c r="O125" s="5">
        <f>IF($D125="","",IF($N125&lt;=-500,"Not recommended right now",IF($E125="Waiting","Nothing else actionable right now — Waiting on: "&amp;IF($K125="","this item",$K125),TEXTJOIN(" • ",TRUE,IF($F125="High","High Priority",""),IF(AND($I125&lt;&gt;"",$I125&lt;TODAY()),"Overdue",""),IF(AND($I125&lt;&gt;"",$I125&gt;=TODAY(),$I125&lt;=TODAY()+7),"Due This Week",""),IF($M125&lt;=VLOOKUP(Home!$C$7,Lists!$N$2:$O$6,2,FALSE),$H125&amp;" Task",""),IF($G125=Home!$E$7,"Fits Current Energy",""),"No Blockers"))))</f>
        <v/>
      </c>
      <c r="P125" s="5">
        <f>IF($D125="","",SWITCH('Task Finder'!$C$6,"High Priority",AND($F125="High",$E125&lt;&gt;"Done",$E125&lt;&gt;"Archive"),"Due This Week",AND($I125&lt;&gt;"",$I125&gt;=TODAY(),$I125&lt;=TODAY()+7,$E125&lt;&gt;"Done"),"Quick Wins (15 mins or less)",AND($M125&lt;=15,$E125&lt;&gt;"Done",$E125&lt;&gt;"Blocked"),"Deep Thinking",AND($G125="Deep Thinking",$E125&lt;&gt;"Done"),"Processing",AND($G125="Processing",$E125&lt;&gt;"Done"),"Blocked",$E125="Blocked","Waiting",$E125="Waiting","Recently Updated",AND($L125&lt;&gt;"",$L125&gt;=TODAY()-7),"Keyword",AND('Task Finder'!$C$7&lt;&gt;"",OR(ISNUMBER(SEARCH('Task Finder'!$C$7,$A125)),ISNUMBER(SEARCH('Task Finder'!$C$7,$B125)),ISNUMBER(SEARCH('Task Finder'!$C$7,$C125)),ISNUMBER(SEARCH('Task Finder'!$C$7,$D125)),ISNUMBER(SEARCH('Task Finder'!$C$7,$K125)))),TRUE))</f>
        <v/>
      </c>
    </row>
    <row r="126">
      <c r="A126" s="19" t="n"/>
      <c r="B126" s="19" t="n"/>
      <c r="C126" s="19" t="n"/>
      <c r="D126" s="19" t="n"/>
      <c r="E126" s="19" t="n"/>
      <c r="F126" s="19" t="n"/>
      <c r="G126" s="19" t="n"/>
      <c r="H126" s="19" t="n"/>
      <c r="I126" s="19" t="n"/>
      <c r="J126" s="19" t="n"/>
      <c r="K126" s="19" t="n"/>
      <c r="L126" s="35" t="n"/>
      <c r="M126" s="5">
        <f>IF($D126="","",IFERROR(VLOOKUP($H126,Lists!$N$2:$O$6,2,FALSE),0))</f>
        <v/>
      </c>
      <c r="N126" s="5">
        <f>IF($D126="","",IF(OR($E126="Blocked",$E126="Done",$E126="Archive"),-9999,IF(AND($E126="Waiting",SUMPRODUCT((($E$5:$E$500="Next")+($E$5:$E$500="In Progress")+($E$5:$E$500="Captured"))*($D$5:$D$500&lt;&gt;""))&gt;0),-500,VLOOKUP($F126,Lists!$L$2:$M$4,2,FALSE)+IF($E126="In Progress",10,0)+IF(AND($I126&lt;&gt;"",$I126&lt;TODAY()),25,0)+IF(AND($I126&lt;&gt;"",$I126&gt;=TODAY(),$I126&lt;=TODAY()+7),15,0)+IF($M126&lt;=VLOOKUP(Home!$C$7,Lists!$N$2:$O$6,2,FALSE),20,-10)+IF($G126=Home!$E$7,15,IF(Home!$E$7="",0,-5))-ROW()/100000)))</f>
        <v/>
      </c>
      <c r="O126" s="5">
        <f>IF($D126="","",IF($N126&lt;=-500,"Not recommended right now",IF($E126="Waiting","Nothing else actionable right now — Waiting on: "&amp;IF($K126="","this item",$K126),TEXTJOIN(" • ",TRUE,IF($F126="High","High Priority",""),IF(AND($I126&lt;&gt;"",$I126&lt;TODAY()),"Overdue",""),IF(AND($I126&lt;&gt;"",$I126&gt;=TODAY(),$I126&lt;=TODAY()+7),"Due This Week",""),IF($M126&lt;=VLOOKUP(Home!$C$7,Lists!$N$2:$O$6,2,FALSE),$H126&amp;" Task",""),IF($G126=Home!$E$7,"Fits Current Energy",""),"No Blockers"))))</f>
        <v/>
      </c>
      <c r="P126" s="5">
        <f>IF($D126="","",SWITCH('Task Finder'!$C$6,"High Priority",AND($F126="High",$E126&lt;&gt;"Done",$E126&lt;&gt;"Archive"),"Due This Week",AND($I126&lt;&gt;"",$I126&gt;=TODAY(),$I126&lt;=TODAY()+7,$E126&lt;&gt;"Done"),"Quick Wins (15 mins or less)",AND($M126&lt;=15,$E126&lt;&gt;"Done",$E126&lt;&gt;"Blocked"),"Deep Thinking",AND($G126="Deep Thinking",$E126&lt;&gt;"Done"),"Processing",AND($G126="Processing",$E126&lt;&gt;"Done"),"Blocked",$E126="Blocked","Waiting",$E126="Waiting","Recently Updated",AND($L126&lt;&gt;"",$L126&gt;=TODAY()-7),"Keyword",AND('Task Finder'!$C$7&lt;&gt;"",OR(ISNUMBER(SEARCH('Task Finder'!$C$7,$A126)),ISNUMBER(SEARCH('Task Finder'!$C$7,$B126)),ISNUMBER(SEARCH('Task Finder'!$C$7,$C126)),ISNUMBER(SEARCH('Task Finder'!$C$7,$D126)),ISNUMBER(SEARCH('Task Finder'!$C$7,$K126)))),TRUE))</f>
        <v/>
      </c>
    </row>
    <row r="127">
      <c r="A127" s="19" t="n"/>
      <c r="B127" s="19" t="n"/>
      <c r="C127" s="19" t="n"/>
      <c r="D127" s="19" t="n"/>
      <c r="E127" s="19" t="n"/>
      <c r="F127" s="19" t="n"/>
      <c r="G127" s="19" t="n"/>
      <c r="H127" s="19" t="n"/>
      <c r="I127" s="19" t="n"/>
      <c r="J127" s="19" t="n"/>
      <c r="K127" s="19" t="n"/>
      <c r="L127" s="35" t="n"/>
      <c r="M127" s="5">
        <f>IF($D127="","",IFERROR(VLOOKUP($H127,Lists!$N$2:$O$6,2,FALSE),0))</f>
        <v/>
      </c>
      <c r="N127" s="5">
        <f>IF($D127="","",IF(OR($E127="Blocked",$E127="Done",$E127="Archive"),-9999,IF(AND($E127="Waiting",SUMPRODUCT((($E$5:$E$500="Next")+($E$5:$E$500="In Progress")+($E$5:$E$500="Captured"))*($D$5:$D$500&lt;&gt;""))&gt;0),-500,VLOOKUP($F127,Lists!$L$2:$M$4,2,FALSE)+IF($E127="In Progress",10,0)+IF(AND($I127&lt;&gt;"",$I127&lt;TODAY()),25,0)+IF(AND($I127&lt;&gt;"",$I127&gt;=TODAY(),$I127&lt;=TODAY()+7),15,0)+IF($M127&lt;=VLOOKUP(Home!$C$7,Lists!$N$2:$O$6,2,FALSE),20,-10)+IF($G127=Home!$E$7,15,IF(Home!$E$7="",0,-5))-ROW()/100000)))</f>
        <v/>
      </c>
      <c r="O127" s="5">
        <f>IF($D127="","",IF($N127&lt;=-500,"Not recommended right now",IF($E127="Waiting","Nothing else actionable right now — Waiting on: "&amp;IF($K127="","this item",$K127),TEXTJOIN(" • ",TRUE,IF($F127="High","High Priority",""),IF(AND($I127&lt;&gt;"",$I127&lt;TODAY()),"Overdue",""),IF(AND($I127&lt;&gt;"",$I127&gt;=TODAY(),$I127&lt;=TODAY()+7),"Due This Week",""),IF($M127&lt;=VLOOKUP(Home!$C$7,Lists!$N$2:$O$6,2,FALSE),$H127&amp;" Task",""),IF($G127=Home!$E$7,"Fits Current Energy",""),"No Blockers"))))</f>
        <v/>
      </c>
      <c r="P127" s="5">
        <f>IF($D127="","",SWITCH('Task Finder'!$C$6,"High Priority",AND($F127="High",$E127&lt;&gt;"Done",$E127&lt;&gt;"Archive"),"Due This Week",AND($I127&lt;&gt;"",$I127&gt;=TODAY(),$I127&lt;=TODAY()+7,$E127&lt;&gt;"Done"),"Quick Wins (15 mins or less)",AND($M127&lt;=15,$E127&lt;&gt;"Done",$E127&lt;&gt;"Blocked"),"Deep Thinking",AND($G127="Deep Thinking",$E127&lt;&gt;"Done"),"Processing",AND($G127="Processing",$E127&lt;&gt;"Done"),"Blocked",$E127="Blocked","Waiting",$E127="Waiting","Recently Updated",AND($L127&lt;&gt;"",$L127&gt;=TODAY()-7),"Keyword",AND('Task Finder'!$C$7&lt;&gt;"",OR(ISNUMBER(SEARCH('Task Finder'!$C$7,$A127)),ISNUMBER(SEARCH('Task Finder'!$C$7,$B127)),ISNUMBER(SEARCH('Task Finder'!$C$7,$C127)),ISNUMBER(SEARCH('Task Finder'!$C$7,$D127)),ISNUMBER(SEARCH('Task Finder'!$C$7,$K127)))),TRUE))</f>
        <v/>
      </c>
    </row>
    <row r="128">
      <c r="A128" s="19" t="n"/>
      <c r="B128" s="19" t="n"/>
      <c r="C128" s="19" t="n"/>
      <c r="D128" s="19" t="n"/>
      <c r="E128" s="19" t="n"/>
      <c r="F128" s="19" t="n"/>
      <c r="G128" s="19" t="n"/>
      <c r="H128" s="19" t="n"/>
      <c r="I128" s="19" t="n"/>
      <c r="J128" s="19" t="n"/>
      <c r="K128" s="19" t="n"/>
      <c r="L128" s="35" t="n"/>
      <c r="M128" s="5">
        <f>IF($D128="","",IFERROR(VLOOKUP($H128,Lists!$N$2:$O$6,2,FALSE),0))</f>
        <v/>
      </c>
      <c r="N128" s="5">
        <f>IF($D128="","",IF(OR($E128="Blocked",$E128="Done",$E128="Archive"),-9999,IF(AND($E128="Waiting",SUMPRODUCT((($E$5:$E$500="Next")+($E$5:$E$500="In Progress")+($E$5:$E$500="Captured"))*($D$5:$D$500&lt;&gt;""))&gt;0),-500,VLOOKUP($F128,Lists!$L$2:$M$4,2,FALSE)+IF($E128="In Progress",10,0)+IF(AND($I128&lt;&gt;"",$I128&lt;TODAY()),25,0)+IF(AND($I128&lt;&gt;"",$I128&gt;=TODAY(),$I128&lt;=TODAY()+7),15,0)+IF($M128&lt;=VLOOKUP(Home!$C$7,Lists!$N$2:$O$6,2,FALSE),20,-10)+IF($G128=Home!$E$7,15,IF(Home!$E$7="",0,-5))-ROW()/100000)))</f>
        <v/>
      </c>
      <c r="O128" s="5">
        <f>IF($D128="","",IF($N128&lt;=-500,"Not recommended right now",IF($E128="Waiting","Nothing else actionable right now — Waiting on: "&amp;IF($K128="","this item",$K128),TEXTJOIN(" • ",TRUE,IF($F128="High","High Priority",""),IF(AND($I128&lt;&gt;"",$I128&lt;TODAY()),"Overdue",""),IF(AND($I128&lt;&gt;"",$I128&gt;=TODAY(),$I128&lt;=TODAY()+7),"Due This Week",""),IF($M128&lt;=VLOOKUP(Home!$C$7,Lists!$N$2:$O$6,2,FALSE),$H128&amp;" Task",""),IF($G128=Home!$E$7,"Fits Current Energy",""),"No Blockers"))))</f>
        <v/>
      </c>
      <c r="P128" s="5">
        <f>IF($D128="","",SWITCH('Task Finder'!$C$6,"High Priority",AND($F128="High",$E128&lt;&gt;"Done",$E128&lt;&gt;"Archive"),"Due This Week",AND($I128&lt;&gt;"",$I128&gt;=TODAY(),$I128&lt;=TODAY()+7,$E128&lt;&gt;"Done"),"Quick Wins (15 mins or less)",AND($M128&lt;=15,$E128&lt;&gt;"Done",$E128&lt;&gt;"Blocked"),"Deep Thinking",AND($G128="Deep Thinking",$E128&lt;&gt;"Done"),"Processing",AND($G128="Processing",$E128&lt;&gt;"Done"),"Blocked",$E128="Blocked","Waiting",$E128="Waiting","Recently Updated",AND($L128&lt;&gt;"",$L128&gt;=TODAY()-7),"Keyword",AND('Task Finder'!$C$7&lt;&gt;"",OR(ISNUMBER(SEARCH('Task Finder'!$C$7,$A128)),ISNUMBER(SEARCH('Task Finder'!$C$7,$B128)),ISNUMBER(SEARCH('Task Finder'!$C$7,$C128)),ISNUMBER(SEARCH('Task Finder'!$C$7,$D128)),ISNUMBER(SEARCH('Task Finder'!$C$7,$K128)))),TRUE))</f>
        <v/>
      </c>
    </row>
    <row r="129">
      <c r="A129" s="19" t="n"/>
      <c r="B129" s="19" t="n"/>
      <c r="C129" s="19" t="n"/>
      <c r="D129" s="19" t="n"/>
      <c r="E129" s="19" t="n"/>
      <c r="F129" s="19" t="n"/>
      <c r="G129" s="19" t="n"/>
      <c r="H129" s="19" t="n"/>
      <c r="I129" s="19" t="n"/>
      <c r="J129" s="19" t="n"/>
      <c r="K129" s="19" t="n"/>
      <c r="L129" s="35" t="n"/>
      <c r="M129" s="5">
        <f>IF($D129="","",IFERROR(VLOOKUP($H129,Lists!$N$2:$O$6,2,FALSE),0))</f>
        <v/>
      </c>
      <c r="N129" s="5">
        <f>IF($D129="","",IF(OR($E129="Blocked",$E129="Done",$E129="Archive"),-9999,IF(AND($E129="Waiting",SUMPRODUCT((($E$5:$E$500="Next")+($E$5:$E$500="In Progress")+($E$5:$E$500="Captured"))*($D$5:$D$500&lt;&gt;""))&gt;0),-500,VLOOKUP($F129,Lists!$L$2:$M$4,2,FALSE)+IF($E129="In Progress",10,0)+IF(AND($I129&lt;&gt;"",$I129&lt;TODAY()),25,0)+IF(AND($I129&lt;&gt;"",$I129&gt;=TODAY(),$I129&lt;=TODAY()+7),15,0)+IF($M129&lt;=VLOOKUP(Home!$C$7,Lists!$N$2:$O$6,2,FALSE),20,-10)+IF($G129=Home!$E$7,15,IF(Home!$E$7="",0,-5))-ROW()/100000)))</f>
        <v/>
      </c>
      <c r="O129" s="5">
        <f>IF($D129="","",IF($N129&lt;=-500,"Not recommended right now",IF($E129="Waiting","Nothing else actionable right now — Waiting on: "&amp;IF($K129="","this item",$K129),TEXTJOIN(" • ",TRUE,IF($F129="High","High Priority",""),IF(AND($I129&lt;&gt;"",$I129&lt;TODAY()),"Overdue",""),IF(AND($I129&lt;&gt;"",$I129&gt;=TODAY(),$I129&lt;=TODAY()+7),"Due This Week",""),IF($M129&lt;=VLOOKUP(Home!$C$7,Lists!$N$2:$O$6,2,FALSE),$H129&amp;" Task",""),IF($G129=Home!$E$7,"Fits Current Energy",""),"No Blockers"))))</f>
        <v/>
      </c>
      <c r="P129" s="5">
        <f>IF($D129="","",SWITCH('Task Finder'!$C$6,"High Priority",AND($F129="High",$E129&lt;&gt;"Done",$E129&lt;&gt;"Archive"),"Due This Week",AND($I129&lt;&gt;"",$I129&gt;=TODAY(),$I129&lt;=TODAY()+7,$E129&lt;&gt;"Done"),"Quick Wins (15 mins or less)",AND($M129&lt;=15,$E129&lt;&gt;"Done",$E129&lt;&gt;"Blocked"),"Deep Thinking",AND($G129="Deep Thinking",$E129&lt;&gt;"Done"),"Processing",AND($G129="Processing",$E129&lt;&gt;"Done"),"Blocked",$E129="Blocked","Waiting",$E129="Waiting","Recently Updated",AND($L129&lt;&gt;"",$L129&gt;=TODAY()-7),"Keyword",AND('Task Finder'!$C$7&lt;&gt;"",OR(ISNUMBER(SEARCH('Task Finder'!$C$7,$A129)),ISNUMBER(SEARCH('Task Finder'!$C$7,$B129)),ISNUMBER(SEARCH('Task Finder'!$C$7,$C129)),ISNUMBER(SEARCH('Task Finder'!$C$7,$D129)),ISNUMBER(SEARCH('Task Finder'!$C$7,$K129)))),TRUE))</f>
        <v/>
      </c>
    </row>
    <row r="130">
      <c r="A130" s="19" t="n"/>
      <c r="B130" s="19" t="n"/>
      <c r="C130" s="19" t="n"/>
      <c r="D130" s="19" t="n"/>
      <c r="E130" s="19" t="n"/>
      <c r="F130" s="19" t="n"/>
      <c r="G130" s="19" t="n"/>
      <c r="H130" s="19" t="n"/>
      <c r="I130" s="19" t="n"/>
      <c r="J130" s="19" t="n"/>
      <c r="K130" s="19" t="n"/>
      <c r="L130" s="35" t="n"/>
      <c r="M130" s="5">
        <f>IF($D130="","",IFERROR(VLOOKUP($H130,Lists!$N$2:$O$6,2,FALSE),0))</f>
        <v/>
      </c>
      <c r="N130" s="5">
        <f>IF($D130="","",IF(OR($E130="Blocked",$E130="Done",$E130="Archive"),-9999,IF(AND($E130="Waiting",SUMPRODUCT((($E$5:$E$500="Next")+($E$5:$E$500="In Progress")+($E$5:$E$500="Captured"))*($D$5:$D$500&lt;&gt;""))&gt;0),-500,VLOOKUP($F130,Lists!$L$2:$M$4,2,FALSE)+IF($E130="In Progress",10,0)+IF(AND($I130&lt;&gt;"",$I130&lt;TODAY()),25,0)+IF(AND($I130&lt;&gt;"",$I130&gt;=TODAY(),$I130&lt;=TODAY()+7),15,0)+IF($M130&lt;=VLOOKUP(Home!$C$7,Lists!$N$2:$O$6,2,FALSE),20,-10)+IF($G130=Home!$E$7,15,IF(Home!$E$7="",0,-5))-ROW()/100000)))</f>
        <v/>
      </c>
      <c r="O130" s="5">
        <f>IF($D130="","",IF($N130&lt;=-500,"Not recommended right now",IF($E130="Waiting","Nothing else actionable right now — Waiting on: "&amp;IF($K130="","this item",$K130),TEXTJOIN(" • ",TRUE,IF($F130="High","High Priority",""),IF(AND($I130&lt;&gt;"",$I130&lt;TODAY()),"Overdue",""),IF(AND($I130&lt;&gt;"",$I130&gt;=TODAY(),$I130&lt;=TODAY()+7),"Due This Week",""),IF($M130&lt;=VLOOKUP(Home!$C$7,Lists!$N$2:$O$6,2,FALSE),$H130&amp;" Task",""),IF($G130=Home!$E$7,"Fits Current Energy",""),"No Blockers"))))</f>
        <v/>
      </c>
      <c r="P130" s="5">
        <f>IF($D130="","",SWITCH('Task Finder'!$C$6,"High Priority",AND($F130="High",$E130&lt;&gt;"Done",$E130&lt;&gt;"Archive"),"Due This Week",AND($I130&lt;&gt;"",$I130&gt;=TODAY(),$I130&lt;=TODAY()+7,$E130&lt;&gt;"Done"),"Quick Wins (15 mins or less)",AND($M130&lt;=15,$E130&lt;&gt;"Done",$E130&lt;&gt;"Blocked"),"Deep Thinking",AND($G130="Deep Thinking",$E130&lt;&gt;"Done"),"Processing",AND($G130="Processing",$E130&lt;&gt;"Done"),"Blocked",$E130="Blocked","Waiting",$E130="Waiting","Recently Updated",AND($L130&lt;&gt;"",$L130&gt;=TODAY()-7),"Keyword",AND('Task Finder'!$C$7&lt;&gt;"",OR(ISNUMBER(SEARCH('Task Finder'!$C$7,$A130)),ISNUMBER(SEARCH('Task Finder'!$C$7,$B130)),ISNUMBER(SEARCH('Task Finder'!$C$7,$C130)),ISNUMBER(SEARCH('Task Finder'!$C$7,$D130)),ISNUMBER(SEARCH('Task Finder'!$C$7,$K130)))),TRUE))</f>
        <v/>
      </c>
    </row>
    <row r="131">
      <c r="A131" s="19" t="n"/>
      <c r="B131" s="19" t="n"/>
      <c r="C131" s="19" t="n"/>
      <c r="D131" s="19" t="n"/>
      <c r="E131" s="19" t="n"/>
      <c r="F131" s="19" t="n"/>
      <c r="G131" s="19" t="n"/>
      <c r="H131" s="19" t="n"/>
      <c r="I131" s="19" t="n"/>
      <c r="J131" s="19" t="n"/>
      <c r="K131" s="19" t="n"/>
      <c r="L131" s="35" t="n"/>
      <c r="M131" s="5">
        <f>IF($D131="","",IFERROR(VLOOKUP($H131,Lists!$N$2:$O$6,2,FALSE),0))</f>
        <v/>
      </c>
      <c r="N131" s="5">
        <f>IF($D131="","",IF(OR($E131="Blocked",$E131="Done",$E131="Archive"),-9999,IF(AND($E131="Waiting",SUMPRODUCT((($E$5:$E$500="Next")+($E$5:$E$500="In Progress")+($E$5:$E$500="Captured"))*($D$5:$D$500&lt;&gt;""))&gt;0),-500,VLOOKUP($F131,Lists!$L$2:$M$4,2,FALSE)+IF($E131="In Progress",10,0)+IF(AND($I131&lt;&gt;"",$I131&lt;TODAY()),25,0)+IF(AND($I131&lt;&gt;"",$I131&gt;=TODAY(),$I131&lt;=TODAY()+7),15,0)+IF($M131&lt;=VLOOKUP(Home!$C$7,Lists!$N$2:$O$6,2,FALSE),20,-10)+IF($G131=Home!$E$7,15,IF(Home!$E$7="",0,-5))-ROW()/100000)))</f>
        <v/>
      </c>
      <c r="O131" s="5">
        <f>IF($D131="","",IF($N131&lt;=-500,"Not recommended right now",IF($E131="Waiting","Nothing else actionable right now — Waiting on: "&amp;IF($K131="","this item",$K131),TEXTJOIN(" • ",TRUE,IF($F131="High","High Priority",""),IF(AND($I131&lt;&gt;"",$I131&lt;TODAY()),"Overdue",""),IF(AND($I131&lt;&gt;"",$I131&gt;=TODAY(),$I131&lt;=TODAY()+7),"Due This Week",""),IF($M131&lt;=VLOOKUP(Home!$C$7,Lists!$N$2:$O$6,2,FALSE),$H131&amp;" Task",""),IF($G131=Home!$E$7,"Fits Current Energy",""),"No Blockers"))))</f>
        <v/>
      </c>
      <c r="P131" s="5">
        <f>IF($D131="","",SWITCH('Task Finder'!$C$6,"High Priority",AND($F131="High",$E131&lt;&gt;"Done",$E131&lt;&gt;"Archive"),"Due This Week",AND($I131&lt;&gt;"",$I131&gt;=TODAY(),$I131&lt;=TODAY()+7,$E131&lt;&gt;"Done"),"Quick Wins (15 mins or less)",AND($M131&lt;=15,$E131&lt;&gt;"Done",$E131&lt;&gt;"Blocked"),"Deep Thinking",AND($G131="Deep Thinking",$E131&lt;&gt;"Done"),"Processing",AND($G131="Processing",$E131&lt;&gt;"Done"),"Blocked",$E131="Blocked","Waiting",$E131="Waiting","Recently Updated",AND($L131&lt;&gt;"",$L131&gt;=TODAY()-7),"Keyword",AND('Task Finder'!$C$7&lt;&gt;"",OR(ISNUMBER(SEARCH('Task Finder'!$C$7,$A131)),ISNUMBER(SEARCH('Task Finder'!$C$7,$B131)),ISNUMBER(SEARCH('Task Finder'!$C$7,$C131)),ISNUMBER(SEARCH('Task Finder'!$C$7,$D131)),ISNUMBER(SEARCH('Task Finder'!$C$7,$K131)))),TRUE))</f>
        <v/>
      </c>
    </row>
    <row r="132">
      <c r="A132" s="19" t="n"/>
      <c r="B132" s="19" t="n"/>
      <c r="C132" s="19" t="n"/>
      <c r="D132" s="19" t="n"/>
      <c r="E132" s="19" t="n"/>
      <c r="F132" s="19" t="n"/>
      <c r="G132" s="19" t="n"/>
      <c r="H132" s="19" t="n"/>
      <c r="I132" s="19" t="n"/>
      <c r="J132" s="19" t="n"/>
      <c r="K132" s="19" t="n"/>
      <c r="L132" s="35" t="n"/>
      <c r="M132" s="5">
        <f>IF($D132="","",IFERROR(VLOOKUP($H132,Lists!$N$2:$O$6,2,FALSE),0))</f>
        <v/>
      </c>
      <c r="N132" s="5">
        <f>IF($D132="","",IF(OR($E132="Blocked",$E132="Done",$E132="Archive"),-9999,IF(AND($E132="Waiting",SUMPRODUCT((($E$5:$E$500="Next")+($E$5:$E$500="In Progress")+($E$5:$E$500="Captured"))*($D$5:$D$500&lt;&gt;""))&gt;0),-500,VLOOKUP($F132,Lists!$L$2:$M$4,2,FALSE)+IF($E132="In Progress",10,0)+IF(AND($I132&lt;&gt;"",$I132&lt;TODAY()),25,0)+IF(AND($I132&lt;&gt;"",$I132&gt;=TODAY(),$I132&lt;=TODAY()+7),15,0)+IF($M132&lt;=VLOOKUP(Home!$C$7,Lists!$N$2:$O$6,2,FALSE),20,-10)+IF($G132=Home!$E$7,15,IF(Home!$E$7="",0,-5))-ROW()/100000)))</f>
        <v/>
      </c>
      <c r="O132" s="5">
        <f>IF($D132="","",IF($N132&lt;=-500,"Not recommended right now",IF($E132="Waiting","Nothing else actionable right now — Waiting on: "&amp;IF($K132="","this item",$K132),TEXTJOIN(" • ",TRUE,IF($F132="High","High Priority",""),IF(AND($I132&lt;&gt;"",$I132&lt;TODAY()),"Overdue",""),IF(AND($I132&lt;&gt;"",$I132&gt;=TODAY(),$I132&lt;=TODAY()+7),"Due This Week",""),IF($M132&lt;=VLOOKUP(Home!$C$7,Lists!$N$2:$O$6,2,FALSE),$H132&amp;" Task",""),IF($G132=Home!$E$7,"Fits Current Energy",""),"No Blockers"))))</f>
        <v/>
      </c>
      <c r="P132" s="5">
        <f>IF($D132="","",SWITCH('Task Finder'!$C$6,"High Priority",AND($F132="High",$E132&lt;&gt;"Done",$E132&lt;&gt;"Archive"),"Due This Week",AND($I132&lt;&gt;"",$I132&gt;=TODAY(),$I132&lt;=TODAY()+7,$E132&lt;&gt;"Done"),"Quick Wins (15 mins or less)",AND($M132&lt;=15,$E132&lt;&gt;"Done",$E132&lt;&gt;"Blocked"),"Deep Thinking",AND($G132="Deep Thinking",$E132&lt;&gt;"Done"),"Processing",AND($G132="Processing",$E132&lt;&gt;"Done"),"Blocked",$E132="Blocked","Waiting",$E132="Waiting","Recently Updated",AND($L132&lt;&gt;"",$L132&gt;=TODAY()-7),"Keyword",AND('Task Finder'!$C$7&lt;&gt;"",OR(ISNUMBER(SEARCH('Task Finder'!$C$7,$A132)),ISNUMBER(SEARCH('Task Finder'!$C$7,$B132)),ISNUMBER(SEARCH('Task Finder'!$C$7,$C132)),ISNUMBER(SEARCH('Task Finder'!$C$7,$D132)),ISNUMBER(SEARCH('Task Finder'!$C$7,$K132)))),TRUE))</f>
        <v/>
      </c>
    </row>
    <row r="133">
      <c r="A133" s="19" t="n"/>
      <c r="B133" s="19" t="n"/>
      <c r="C133" s="19" t="n"/>
      <c r="D133" s="19" t="n"/>
      <c r="E133" s="19" t="n"/>
      <c r="F133" s="19" t="n"/>
      <c r="G133" s="19" t="n"/>
      <c r="H133" s="19" t="n"/>
      <c r="I133" s="19" t="n"/>
      <c r="J133" s="19" t="n"/>
      <c r="K133" s="19" t="n"/>
      <c r="L133" s="35" t="n"/>
      <c r="M133" s="5">
        <f>IF($D133="","",IFERROR(VLOOKUP($H133,Lists!$N$2:$O$6,2,FALSE),0))</f>
        <v/>
      </c>
      <c r="N133" s="5">
        <f>IF($D133="","",IF(OR($E133="Blocked",$E133="Done",$E133="Archive"),-9999,IF(AND($E133="Waiting",SUMPRODUCT((($E$5:$E$500="Next")+($E$5:$E$500="In Progress")+($E$5:$E$500="Captured"))*($D$5:$D$500&lt;&gt;""))&gt;0),-500,VLOOKUP($F133,Lists!$L$2:$M$4,2,FALSE)+IF($E133="In Progress",10,0)+IF(AND($I133&lt;&gt;"",$I133&lt;TODAY()),25,0)+IF(AND($I133&lt;&gt;"",$I133&gt;=TODAY(),$I133&lt;=TODAY()+7),15,0)+IF($M133&lt;=VLOOKUP(Home!$C$7,Lists!$N$2:$O$6,2,FALSE),20,-10)+IF($G133=Home!$E$7,15,IF(Home!$E$7="",0,-5))-ROW()/100000)))</f>
        <v/>
      </c>
      <c r="O133" s="5">
        <f>IF($D133="","",IF($N133&lt;=-500,"Not recommended right now",IF($E133="Waiting","Nothing else actionable right now — Waiting on: "&amp;IF($K133="","this item",$K133),TEXTJOIN(" • ",TRUE,IF($F133="High","High Priority",""),IF(AND($I133&lt;&gt;"",$I133&lt;TODAY()),"Overdue",""),IF(AND($I133&lt;&gt;"",$I133&gt;=TODAY(),$I133&lt;=TODAY()+7),"Due This Week",""),IF($M133&lt;=VLOOKUP(Home!$C$7,Lists!$N$2:$O$6,2,FALSE),$H133&amp;" Task",""),IF($G133=Home!$E$7,"Fits Current Energy",""),"No Blockers"))))</f>
        <v/>
      </c>
      <c r="P133" s="5">
        <f>IF($D133="","",SWITCH('Task Finder'!$C$6,"High Priority",AND($F133="High",$E133&lt;&gt;"Done",$E133&lt;&gt;"Archive"),"Due This Week",AND($I133&lt;&gt;"",$I133&gt;=TODAY(),$I133&lt;=TODAY()+7,$E133&lt;&gt;"Done"),"Quick Wins (15 mins or less)",AND($M133&lt;=15,$E133&lt;&gt;"Done",$E133&lt;&gt;"Blocked"),"Deep Thinking",AND($G133="Deep Thinking",$E133&lt;&gt;"Done"),"Processing",AND($G133="Processing",$E133&lt;&gt;"Done"),"Blocked",$E133="Blocked","Waiting",$E133="Waiting","Recently Updated",AND($L133&lt;&gt;"",$L133&gt;=TODAY()-7),"Keyword",AND('Task Finder'!$C$7&lt;&gt;"",OR(ISNUMBER(SEARCH('Task Finder'!$C$7,$A133)),ISNUMBER(SEARCH('Task Finder'!$C$7,$B133)),ISNUMBER(SEARCH('Task Finder'!$C$7,$C133)),ISNUMBER(SEARCH('Task Finder'!$C$7,$D133)),ISNUMBER(SEARCH('Task Finder'!$C$7,$K133)))),TRUE))</f>
        <v/>
      </c>
    </row>
    <row r="134">
      <c r="A134" s="19" t="n"/>
      <c r="B134" s="19" t="n"/>
      <c r="C134" s="19" t="n"/>
      <c r="D134" s="19" t="n"/>
      <c r="E134" s="19" t="n"/>
      <c r="F134" s="19" t="n"/>
      <c r="G134" s="19" t="n"/>
      <c r="H134" s="19" t="n"/>
      <c r="I134" s="19" t="n"/>
      <c r="J134" s="19" t="n"/>
      <c r="K134" s="19" t="n"/>
      <c r="L134" s="35" t="n"/>
      <c r="M134" s="5">
        <f>IF($D134="","",IFERROR(VLOOKUP($H134,Lists!$N$2:$O$6,2,FALSE),0))</f>
        <v/>
      </c>
      <c r="N134" s="5">
        <f>IF($D134="","",IF(OR($E134="Blocked",$E134="Done",$E134="Archive"),-9999,IF(AND($E134="Waiting",SUMPRODUCT((($E$5:$E$500="Next")+($E$5:$E$500="In Progress")+($E$5:$E$500="Captured"))*($D$5:$D$500&lt;&gt;""))&gt;0),-500,VLOOKUP($F134,Lists!$L$2:$M$4,2,FALSE)+IF($E134="In Progress",10,0)+IF(AND($I134&lt;&gt;"",$I134&lt;TODAY()),25,0)+IF(AND($I134&lt;&gt;"",$I134&gt;=TODAY(),$I134&lt;=TODAY()+7),15,0)+IF($M134&lt;=VLOOKUP(Home!$C$7,Lists!$N$2:$O$6,2,FALSE),20,-10)+IF($G134=Home!$E$7,15,IF(Home!$E$7="",0,-5))-ROW()/100000)))</f>
        <v/>
      </c>
      <c r="O134" s="5">
        <f>IF($D134="","",IF($N134&lt;=-500,"Not recommended right now",IF($E134="Waiting","Nothing else actionable right now — Waiting on: "&amp;IF($K134="","this item",$K134),TEXTJOIN(" • ",TRUE,IF($F134="High","High Priority",""),IF(AND($I134&lt;&gt;"",$I134&lt;TODAY()),"Overdue",""),IF(AND($I134&lt;&gt;"",$I134&gt;=TODAY(),$I134&lt;=TODAY()+7),"Due This Week",""),IF($M134&lt;=VLOOKUP(Home!$C$7,Lists!$N$2:$O$6,2,FALSE),$H134&amp;" Task",""),IF($G134=Home!$E$7,"Fits Current Energy",""),"No Blockers"))))</f>
        <v/>
      </c>
      <c r="P134" s="5">
        <f>IF($D134="","",SWITCH('Task Finder'!$C$6,"High Priority",AND($F134="High",$E134&lt;&gt;"Done",$E134&lt;&gt;"Archive"),"Due This Week",AND($I134&lt;&gt;"",$I134&gt;=TODAY(),$I134&lt;=TODAY()+7,$E134&lt;&gt;"Done"),"Quick Wins (15 mins or less)",AND($M134&lt;=15,$E134&lt;&gt;"Done",$E134&lt;&gt;"Blocked"),"Deep Thinking",AND($G134="Deep Thinking",$E134&lt;&gt;"Done"),"Processing",AND($G134="Processing",$E134&lt;&gt;"Done"),"Blocked",$E134="Blocked","Waiting",$E134="Waiting","Recently Updated",AND($L134&lt;&gt;"",$L134&gt;=TODAY()-7),"Keyword",AND('Task Finder'!$C$7&lt;&gt;"",OR(ISNUMBER(SEARCH('Task Finder'!$C$7,$A134)),ISNUMBER(SEARCH('Task Finder'!$C$7,$B134)),ISNUMBER(SEARCH('Task Finder'!$C$7,$C134)),ISNUMBER(SEARCH('Task Finder'!$C$7,$D134)),ISNUMBER(SEARCH('Task Finder'!$C$7,$K134)))),TRUE))</f>
        <v/>
      </c>
    </row>
    <row r="135">
      <c r="A135" s="19" t="n"/>
      <c r="B135" s="19" t="n"/>
      <c r="C135" s="19" t="n"/>
      <c r="D135" s="19" t="n"/>
      <c r="E135" s="19" t="n"/>
      <c r="F135" s="19" t="n"/>
      <c r="G135" s="19" t="n"/>
      <c r="H135" s="19" t="n"/>
      <c r="I135" s="19" t="n"/>
      <c r="J135" s="19" t="n"/>
      <c r="K135" s="19" t="n"/>
      <c r="L135" s="35" t="n"/>
      <c r="M135" s="5">
        <f>IF($D135="","",IFERROR(VLOOKUP($H135,Lists!$N$2:$O$6,2,FALSE),0))</f>
        <v/>
      </c>
      <c r="N135" s="5">
        <f>IF($D135="","",IF(OR($E135="Blocked",$E135="Done",$E135="Archive"),-9999,IF(AND($E135="Waiting",SUMPRODUCT((($E$5:$E$500="Next")+($E$5:$E$500="In Progress")+($E$5:$E$500="Captured"))*($D$5:$D$500&lt;&gt;""))&gt;0),-500,VLOOKUP($F135,Lists!$L$2:$M$4,2,FALSE)+IF($E135="In Progress",10,0)+IF(AND($I135&lt;&gt;"",$I135&lt;TODAY()),25,0)+IF(AND($I135&lt;&gt;"",$I135&gt;=TODAY(),$I135&lt;=TODAY()+7),15,0)+IF($M135&lt;=VLOOKUP(Home!$C$7,Lists!$N$2:$O$6,2,FALSE),20,-10)+IF($G135=Home!$E$7,15,IF(Home!$E$7="",0,-5))-ROW()/100000)))</f>
        <v/>
      </c>
      <c r="O135" s="5">
        <f>IF($D135="","",IF($N135&lt;=-500,"Not recommended right now",IF($E135="Waiting","Nothing else actionable right now — Waiting on: "&amp;IF($K135="","this item",$K135),TEXTJOIN(" • ",TRUE,IF($F135="High","High Priority",""),IF(AND($I135&lt;&gt;"",$I135&lt;TODAY()),"Overdue",""),IF(AND($I135&lt;&gt;"",$I135&gt;=TODAY(),$I135&lt;=TODAY()+7),"Due This Week",""),IF($M135&lt;=VLOOKUP(Home!$C$7,Lists!$N$2:$O$6,2,FALSE),$H135&amp;" Task",""),IF($G135=Home!$E$7,"Fits Current Energy",""),"No Blockers"))))</f>
        <v/>
      </c>
      <c r="P135" s="5">
        <f>IF($D135="","",SWITCH('Task Finder'!$C$6,"High Priority",AND($F135="High",$E135&lt;&gt;"Done",$E135&lt;&gt;"Archive"),"Due This Week",AND($I135&lt;&gt;"",$I135&gt;=TODAY(),$I135&lt;=TODAY()+7,$E135&lt;&gt;"Done"),"Quick Wins (15 mins or less)",AND($M135&lt;=15,$E135&lt;&gt;"Done",$E135&lt;&gt;"Blocked"),"Deep Thinking",AND($G135="Deep Thinking",$E135&lt;&gt;"Done"),"Processing",AND($G135="Processing",$E135&lt;&gt;"Done"),"Blocked",$E135="Blocked","Waiting",$E135="Waiting","Recently Updated",AND($L135&lt;&gt;"",$L135&gt;=TODAY()-7),"Keyword",AND('Task Finder'!$C$7&lt;&gt;"",OR(ISNUMBER(SEARCH('Task Finder'!$C$7,$A135)),ISNUMBER(SEARCH('Task Finder'!$C$7,$B135)),ISNUMBER(SEARCH('Task Finder'!$C$7,$C135)),ISNUMBER(SEARCH('Task Finder'!$C$7,$D135)),ISNUMBER(SEARCH('Task Finder'!$C$7,$K135)))),TRUE))</f>
        <v/>
      </c>
    </row>
    <row r="136">
      <c r="A136" s="19" t="n"/>
      <c r="B136" s="19" t="n"/>
      <c r="C136" s="19" t="n"/>
      <c r="D136" s="19" t="n"/>
      <c r="E136" s="19" t="n"/>
      <c r="F136" s="19" t="n"/>
      <c r="G136" s="19" t="n"/>
      <c r="H136" s="19" t="n"/>
      <c r="I136" s="19" t="n"/>
      <c r="J136" s="19" t="n"/>
      <c r="K136" s="19" t="n"/>
      <c r="L136" s="35" t="n"/>
      <c r="M136" s="5">
        <f>IF($D136="","",IFERROR(VLOOKUP($H136,Lists!$N$2:$O$6,2,FALSE),0))</f>
        <v/>
      </c>
      <c r="N136" s="5">
        <f>IF($D136="","",IF(OR($E136="Blocked",$E136="Done",$E136="Archive"),-9999,IF(AND($E136="Waiting",SUMPRODUCT((($E$5:$E$500="Next")+($E$5:$E$500="In Progress")+($E$5:$E$500="Captured"))*($D$5:$D$500&lt;&gt;""))&gt;0),-500,VLOOKUP($F136,Lists!$L$2:$M$4,2,FALSE)+IF($E136="In Progress",10,0)+IF(AND($I136&lt;&gt;"",$I136&lt;TODAY()),25,0)+IF(AND($I136&lt;&gt;"",$I136&gt;=TODAY(),$I136&lt;=TODAY()+7),15,0)+IF($M136&lt;=VLOOKUP(Home!$C$7,Lists!$N$2:$O$6,2,FALSE),20,-10)+IF($G136=Home!$E$7,15,IF(Home!$E$7="",0,-5))-ROW()/100000)))</f>
        <v/>
      </c>
      <c r="O136" s="5">
        <f>IF($D136="","",IF($N136&lt;=-500,"Not recommended right now",IF($E136="Waiting","Nothing else actionable right now — Waiting on: "&amp;IF($K136="","this item",$K136),TEXTJOIN(" • ",TRUE,IF($F136="High","High Priority",""),IF(AND($I136&lt;&gt;"",$I136&lt;TODAY()),"Overdue",""),IF(AND($I136&lt;&gt;"",$I136&gt;=TODAY(),$I136&lt;=TODAY()+7),"Due This Week",""),IF($M136&lt;=VLOOKUP(Home!$C$7,Lists!$N$2:$O$6,2,FALSE),$H136&amp;" Task",""),IF($G136=Home!$E$7,"Fits Current Energy",""),"No Blockers"))))</f>
        <v/>
      </c>
      <c r="P136" s="5">
        <f>IF($D136="","",SWITCH('Task Finder'!$C$6,"High Priority",AND($F136="High",$E136&lt;&gt;"Done",$E136&lt;&gt;"Archive"),"Due This Week",AND($I136&lt;&gt;"",$I136&gt;=TODAY(),$I136&lt;=TODAY()+7,$E136&lt;&gt;"Done"),"Quick Wins (15 mins or less)",AND($M136&lt;=15,$E136&lt;&gt;"Done",$E136&lt;&gt;"Blocked"),"Deep Thinking",AND($G136="Deep Thinking",$E136&lt;&gt;"Done"),"Processing",AND($G136="Processing",$E136&lt;&gt;"Done"),"Blocked",$E136="Blocked","Waiting",$E136="Waiting","Recently Updated",AND($L136&lt;&gt;"",$L136&gt;=TODAY()-7),"Keyword",AND('Task Finder'!$C$7&lt;&gt;"",OR(ISNUMBER(SEARCH('Task Finder'!$C$7,$A136)),ISNUMBER(SEARCH('Task Finder'!$C$7,$B136)),ISNUMBER(SEARCH('Task Finder'!$C$7,$C136)),ISNUMBER(SEARCH('Task Finder'!$C$7,$D136)),ISNUMBER(SEARCH('Task Finder'!$C$7,$K136)))),TRUE))</f>
        <v/>
      </c>
    </row>
    <row r="137">
      <c r="A137" s="19" t="n"/>
      <c r="B137" s="19" t="n"/>
      <c r="C137" s="19" t="n"/>
      <c r="D137" s="19" t="n"/>
      <c r="E137" s="19" t="n"/>
      <c r="F137" s="19" t="n"/>
      <c r="G137" s="19" t="n"/>
      <c r="H137" s="19" t="n"/>
      <c r="I137" s="19" t="n"/>
      <c r="J137" s="19" t="n"/>
      <c r="K137" s="19" t="n"/>
      <c r="L137" s="35" t="n"/>
      <c r="M137" s="5">
        <f>IF($D137="","",IFERROR(VLOOKUP($H137,Lists!$N$2:$O$6,2,FALSE),0))</f>
        <v/>
      </c>
      <c r="N137" s="5">
        <f>IF($D137="","",IF(OR($E137="Blocked",$E137="Done",$E137="Archive"),-9999,IF(AND($E137="Waiting",SUMPRODUCT((($E$5:$E$500="Next")+($E$5:$E$500="In Progress")+($E$5:$E$500="Captured"))*($D$5:$D$500&lt;&gt;""))&gt;0),-500,VLOOKUP($F137,Lists!$L$2:$M$4,2,FALSE)+IF($E137="In Progress",10,0)+IF(AND($I137&lt;&gt;"",$I137&lt;TODAY()),25,0)+IF(AND($I137&lt;&gt;"",$I137&gt;=TODAY(),$I137&lt;=TODAY()+7),15,0)+IF($M137&lt;=VLOOKUP(Home!$C$7,Lists!$N$2:$O$6,2,FALSE),20,-10)+IF($G137=Home!$E$7,15,IF(Home!$E$7="",0,-5))-ROW()/100000)))</f>
        <v/>
      </c>
      <c r="O137" s="5">
        <f>IF($D137="","",IF($N137&lt;=-500,"Not recommended right now",IF($E137="Waiting","Nothing else actionable right now — Waiting on: "&amp;IF($K137="","this item",$K137),TEXTJOIN(" • ",TRUE,IF($F137="High","High Priority",""),IF(AND($I137&lt;&gt;"",$I137&lt;TODAY()),"Overdue",""),IF(AND($I137&lt;&gt;"",$I137&gt;=TODAY(),$I137&lt;=TODAY()+7),"Due This Week",""),IF($M137&lt;=VLOOKUP(Home!$C$7,Lists!$N$2:$O$6,2,FALSE),$H137&amp;" Task",""),IF($G137=Home!$E$7,"Fits Current Energy",""),"No Blockers"))))</f>
        <v/>
      </c>
      <c r="P137" s="5">
        <f>IF($D137="","",SWITCH('Task Finder'!$C$6,"High Priority",AND($F137="High",$E137&lt;&gt;"Done",$E137&lt;&gt;"Archive"),"Due This Week",AND($I137&lt;&gt;"",$I137&gt;=TODAY(),$I137&lt;=TODAY()+7,$E137&lt;&gt;"Done"),"Quick Wins (15 mins or less)",AND($M137&lt;=15,$E137&lt;&gt;"Done",$E137&lt;&gt;"Blocked"),"Deep Thinking",AND($G137="Deep Thinking",$E137&lt;&gt;"Done"),"Processing",AND($G137="Processing",$E137&lt;&gt;"Done"),"Blocked",$E137="Blocked","Waiting",$E137="Waiting","Recently Updated",AND($L137&lt;&gt;"",$L137&gt;=TODAY()-7),"Keyword",AND('Task Finder'!$C$7&lt;&gt;"",OR(ISNUMBER(SEARCH('Task Finder'!$C$7,$A137)),ISNUMBER(SEARCH('Task Finder'!$C$7,$B137)),ISNUMBER(SEARCH('Task Finder'!$C$7,$C137)),ISNUMBER(SEARCH('Task Finder'!$C$7,$D137)),ISNUMBER(SEARCH('Task Finder'!$C$7,$K137)))),TRUE))</f>
        <v/>
      </c>
    </row>
    <row r="138">
      <c r="A138" s="19" t="n"/>
      <c r="B138" s="19" t="n"/>
      <c r="C138" s="19" t="n"/>
      <c r="D138" s="19" t="n"/>
      <c r="E138" s="19" t="n"/>
      <c r="F138" s="19" t="n"/>
      <c r="G138" s="19" t="n"/>
      <c r="H138" s="19" t="n"/>
      <c r="I138" s="19" t="n"/>
      <c r="J138" s="19" t="n"/>
      <c r="K138" s="19" t="n"/>
      <c r="L138" s="35" t="n"/>
      <c r="M138" s="5">
        <f>IF($D138="","",IFERROR(VLOOKUP($H138,Lists!$N$2:$O$6,2,FALSE),0))</f>
        <v/>
      </c>
      <c r="N138" s="5">
        <f>IF($D138="","",IF(OR($E138="Blocked",$E138="Done",$E138="Archive"),-9999,IF(AND($E138="Waiting",SUMPRODUCT((($E$5:$E$500="Next")+($E$5:$E$500="In Progress")+($E$5:$E$500="Captured"))*($D$5:$D$500&lt;&gt;""))&gt;0),-500,VLOOKUP($F138,Lists!$L$2:$M$4,2,FALSE)+IF($E138="In Progress",10,0)+IF(AND($I138&lt;&gt;"",$I138&lt;TODAY()),25,0)+IF(AND($I138&lt;&gt;"",$I138&gt;=TODAY(),$I138&lt;=TODAY()+7),15,0)+IF($M138&lt;=VLOOKUP(Home!$C$7,Lists!$N$2:$O$6,2,FALSE),20,-10)+IF($G138=Home!$E$7,15,IF(Home!$E$7="",0,-5))-ROW()/100000)))</f>
        <v/>
      </c>
      <c r="O138" s="5">
        <f>IF($D138="","",IF($N138&lt;=-500,"Not recommended right now",IF($E138="Waiting","Nothing else actionable right now — Waiting on: "&amp;IF($K138="","this item",$K138),TEXTJOIN(" • ",TRUE,IF($F138="High","High Priority",""),IF(AND($I138&lt;&gt;"",$I138&lt;TODAY()),"Overdue",""),IF(AND($I138&lt;&gt;"",$I138&gt;=TODAY(),$I138&lt;=TODAY()+7),"Due This Week",""),IF($M138&lt;=VLOOKUP(Home!$C$7,Lists!$N$2:$O$6,2,FALSE),$H138&amp;" Task",""),IF($G138=Home!$E$7,"Fits Current Energy",""),"No Blockers"))))</f>
        <v/>
      </c>
      <c r="P138" s="5">
        <f>IF($D138="","",SWITCH('Task Finder'!$C$6,"High Priority",AND($F138="High",$E138&lt;&gt;"Done",$E138&lt;&gt;"Archive"),"Due This Week",AND($I138&lt;&gt;"",$I138&gt;=TODAY(),$I138&lt;=TODAY()+7,$E138&lt;&gt;"Done"),"Quick Wins (15 mins or less)",AND($M138&lt;=15,$E138&lt;&gt;"Done",$E138&lt;&gt;"Blocked"),"Deep Thinking",AND($G138="Deep Thinking",$E138&lt;&gt;"Done"),"Processing",AND($G138="Processing",$E138&lt;&gt;"Done"),"Blocked",$E138="Blocked","Waiting",$E138="Waiting","Recently Updated",AND($L138&lt;&gt;"",$L138&gt;=TODAY()-7),"Keyword",AND('Task Finder'!$C$7&lt;&gt;"",OR(ISNUMBER(SEARCH('Task Finder'!$C$7,$A138)),ISNUMBER(SEARCH('Task Finder'!$C$7,$B138)),ISNUMBER(SEARCH('Task Finder'!$C$7,$C138)),ISNUMBER(SEARCH('Task Finder'!$C$7,$D138)),ISNUMBER(SEARCH('Task Finder'!$C$7,$K138)))),TRUE))</f>
        <v/>
      </c>
    </row>
    <row r="139">
      <c r="A139" s="19" t="n"/>
      <c r="B139" s="19" t="n"/>
      <c r="C139" s="19" t="n"/>
      <c r="D139" s="19" t="n"/>
      <c r="E139" s="19" t="n"/>
      <c r="F139" s="19" t="n"/>
      <c r="G139" s="19" t="n"/>
      <c r="H139" s="19" t="n"/>
      <c r="I139" s="19" t="n"/>
      <c r="J139" s="19" t="n"/>
      <c r="K139" s="19" t="n"/>
      <c r="L139" s="35" t="n"/>
      <c r="M139" s="5">
        <f>IF($D139="","",IFERROR(VLOOKUP($H139,Lists!$N$2:$O$6,2,FALSE),0))</f>
        <v/>
      </c>
      <c r="N139" s="5">
        <f>IF($D139="","",IF(OR($E139="Blocked",$E139="Done",$E139="Archive"),-9999,IF(AND($E139="Waiting",SUMPRODUCT((($E$5:$E$500="Next")+($E$5:$E$500="In Progress")+($E$5:$E$500="Captured"))*($D$5:$D$500&lt;&gt;""))&gt;0),-500,VLOOKUP($F139,Lists!$L$2:$M$4,2,FALSE)+IF($E139="In Progress",10,0)+IF(AND($I139&lt;&gt;"",$I139&lt;TODAY()),25,0)+IF(AND($I139&lt;&gt;"",$I139&gt;=TODAY(),$I139&lt;=TODAY()+7),15,0)+IF($M139&lt;=VLOOKUP(Home!$C$7,Lists!$N$2:$O$6,2,FALSE),20,-10)+IF($G139=Home!$E$7,15,IF(Home!$E$7="",0,-5))-ROW()/100000)))</f>
        <v/>
      </c>
      <c r="O139" s="5">
        <f>IF($D139="","",IF($N139&lt;=-500,"Not recommended right now",IF($E139="Waiting","Nothing else actionable right now — Waiting on: "&amp;IF($K139="","this item",$K139),TEXTJOIN(" • ",TRUE,IF($F139="High","High Priority",""),IF(AND($I139&lt;&gt;"",$I139&lt;TODAY()),"Overdue",""),IF(AND($I139&lt;&gt;"",$I139&gt;=TODAY(),$I139&lt;=TODAY()+7),"Due This Week",""),IF($M139&lt;=VLOOKUP(Home!$C$7,Lists!$N$2:$O$6,2,FALSE),$H139&amp;" Task",""),IF($G139=Home!$E$7,"Fits Current Energy",""),"No Blockers"))))</f>
        <v/>
      </c>
      <c r="P139" s="5">
        <f>IF($D139="","",SWITCH('Task Finder'!$C$6,"High Priority",AND($F139="High",$E139&lt;&gt;"Done",$E139&lt;&gt;"Archive"),"Due This Week",AND($I139&lt;&gt;"",$I139&gt;=TODAY(),$I139&lt;=TODAY()+7,$E139&lt;&gt;"Done"),"Quick Wins (15 mins or less)",AND($M139&lt;=15,$E139&lt;&gt;"Done",$E139&lt;&gt;"Blocked"),"Deep Thinking",AND($G139="Deep Thinking",$E139&lt;&gt;"Done"),"Processing",AND($G139="Processing",$E139&lt;&gt;"Done"),"Blocked",$E139="Blocked","Waiting",$E139="Waiting","Recently Updated",AND($L139&lt;&gt;"",$L139&gt;=TODAY()-7),"Keyword",AND('Task Finder'!$C$7&lt;&gt;"",OR(ISNUMBER(SEARCH('Task Finder'!$C$7,$A139)),ISNUMBER(SEARCH('Task Finder'!$C$7,$B139)),ISNUMBER(SEARCH('Task Finder'!$C$7,$C139)),ISNUMBER(SEARCH('Task Finder'!$C$7,$D139)),ISNUMBER(SEARCH('Task Finder'!$C$7,$K139)))),TRUE))</f>
        <v/>
      </c>
    </row>
    <row r="140">
      <c r="A140" s="19" t="n"/>
      <c r="B140" s="19" t="n"/>
      <c r="C140" s="19" t="n"/>
      <c r="D140" s="19" t="n"/>
      <c r="E140" s="19" t="n"/>
      <c r="F140" s="19" t="n"/>
      <c r="G140" s="19" t="n"/>
      <c r="H140" s="19" t="n"/>
      <c r="I140" s="19" t="n"/>
      <c r="J140" s="19" t="n"/>
      <c r="K140" s="19" t="n"/>
      <c r="L140" s="35" t="n"/>
      <c r="M140" s="5">
        <f>IF($D140="","",IFERROR(VLOOKUP($H140,Lists!$N$2:$O$6,2,FALSE),0))</f>
        <v/>
      </c>
      <c r="N140" s="5">
        <f>IF($D140="","",IF(OR($E140="Blocked",$E140="Done",$E140="Archive"),-9999,IF(AND($E140="Waiting",SUMPRODUCT((($E$5:$E$500="Next")+($E$5:$E$500="In Progress")+($E$5:$E$500="Captured"))*($D$5:$D$500&lt;&gt;""))&gt;0),-500,VLOOKUP($F140,Lists!$L$2:$M$4,2,FALSE)+IF($E140="In Progress",10,0)+IF(AND($I140&lt;&gt;"",$I140&lt;TODAY()),25,0)+IF(AND($I140&lt;&gt;"",$I140&gt;=TODAY(),$I140&lt;=TODAY()+7),15,0)+IF($M140&lt;=VLOOKUP(Home!$C$7,Lists!$N$2:$O$6,2,FALSE),20,-10)+IF($G140=Home!$E$7,15,IF(Home!$E$7="",0,-5))-ROW()/100000)))</f>
        <v/>
      </c>
      <c r="O140" s="5">
        <f>IF($D140="","",IF($N140&lt;=-500,"Not recommended right now",IF($E140="Waiting","Nothing else actionable right now — Waiting on: "&amp;IF($K140="","this item",$K140),TEXTJOIN(" • ",TRUE,IF($F140="High","High Priority",""),IF(AND($I140&lt;&gt;"",$I140&lt;TODAY()),"Overdue",""),IF(AND($I140&lt;&gt;"",$I140&gt;=TODAY(),$I140&lt;=TODAY()+7),"Due This Week",""),IF($M140&lt;=VLOOKUP(Home!$C$7,Lists!$N$2:$O$6,2,FALSE),$H140&amp;" Task",""),IF($G140=Home!$E$7,"Fits Current Energy",""),"No Blockers"))))</f>
        <v/>
      </c>
      <c r="P140" s="5">
        <f>IF($D140="","",SWITCH('Task Finder'!$C$6,"High Priority",AND($F140="High",$E140&lt;&gt;"Done",$E140&lt;&gt;"Archive"),"Due This Week",AND($I140&lt;&gt;"",$I140&gt;=TODAY(),$I140&lt;=TODAY()+7,$E140&lt;&gt;"Done"),"Quick Wins (15 mins or less)",AND($M140&lt;=15,$E140&lt;&gt;"Done",$E140&lt;&gt;"Blocked"),"Deep Thinking",AND($G140="Deep Thinking",$E140&lt;&gt;"Done"),"Processing",AND($G140="Processing",$E140&lt;&gt;"Done"),"Blocked",$E140="Blocked","Waiting",$E140="Waiting","Recently Updated",AND($L140&lt;&gt;"",$L140&gt;=TODAY()-7),"Keyword",AND('Task Finder'!$C$7&lt;&gt;"",OR(ISNUMBER(SEARCH('Task Finder'!$C$7,$A140)),ISNUMBER(SEARCH('Task Finder'!$C$7,$B140)),ISNUMBER(SEARCH('Task Finder'!$C$7,$C140)),ISNUMBER(SEARCH('Task Finder'!$C$7,$D140)),ISNUMBER(SEARCH('Task Finder'!$C$7,$K140)))),TRUE))</f>
        <v/>
      </c>
    </row>
    <row r="141">
      <c r="A141" s="19" t="n"/>
      <c r="B141" s="19" t="n"/>
      <c r="C141" s="19" t="n"/>
      <c r="D141" s="19" t="n"/>
      <c r="E141" s="19" t="n"/>
      <c r="F141" s="19" t="n"/>
      <c r="G141" s="19" t="n"/>
      <c r="H141" s="19" t="n"/>
      <c r="I141" s="19" t="n"/>
      <c r="J141" s="19" t="n"/>
      <c r="K141" s="19" t="n"/>
      <c r="L141" s="35" t="n"/>
      <c r="M141" s="5">
        <f>IF($D141="","",IFERROR(VLOOKUP($H141,Lists!$N$2:$O$6,2,FALSE),0))</f>
        <v/>
      </c>
      <c r="N141" s="5">
        <f>IF($D141="","",IF(OR($E141="Blocked",$E141="Done",$E141="Archive"),-9999,IF(AND($E141="Waiting",SUMPRODUCT((($E$5:$E$500="Next")+($E$5:$E$500="In Progress")+($E$5:$E$500="Captured"))*($D$5:$D$500&lt;&gt;""))&gt;0),-500,VLOOKUP($F141,Lists!$L$2:$M$4,2,FALSE)+IF($E141="In Progress",10,0)+IF(AND($I141&lt;&gt;"",$I141&lt;TODAY()),25,0)+IF(AND($I141&lt;&gt;"",$I141&gt;=TODAY(),$I141&lt;=TODAY()+7),15,0)+IF($M141&lt;=VLOOKUP(Home!$C$7,Lists!$N$2:$O$6,2,FALSE),20,-10)+IF($G141=Home!$E$7,15,IF(Home!$E$7="",0,-5))-ROW()/100000)))</f>
        <v/>
      </c>
      <c r="O141" s="5">
        <f>IF($D141="","",IF($N141&lt;=-500,"Not recommended right now",IF($E141="Waiting","Nothing else actionable right now — Waiting on: "&amp;IF($K141="","this item",$K141),TEXTJOIN(" • ",TRUE,IF($F141="High","High Priority",""),IF(AND($I141&lt;&gt;"",$I141&lt;TODAY()),"Overdue",""),IF(AND($I141&lt;&gt;"",$I141&gt;=TODAY(),$I141&lt;=TODAY()+7),"Due This Week",""),IF($M141&lt;=VLOOKUP(Home!$C$7,Lists!$N$2:$O$6,2,FALSE),$H141&amp;" Task",""),IF($G141=Home!$E$7,"Fits Current Energy",""),"No Blockers"))))</f>
        <v/>
      </c>
      <c r="P141" s="5">
        <f>IF($D141="","",SWITCH('Task Finder'!$C$6,"High Priority",AND($F141="High",$E141&lt;&gt;"Done",$E141&lt;&gt;"Archive"),"Due This Week",AND($I141&lt;&gt;"",$I141&gt;=TODAY(),$I141&lt;=TODAY()+7,$E141&lt;&gt;"Done"),"Quick Wins (15 mins or less)",AND($M141&lt;=15,$E141&lt;&gt;"Done",$E141&lt;&gt;"Blocked"),"Deep Thinking",AND($G141="Deep Thinking",$E141&lt;&gt;"Done"),"Processing",AND($G141="Processing",$E141&lt;&gt;"Done"),"Blocked",$E141="Blocked","Waiting",$E141="Waiting","Recently Updated",AND($L141&lt;&gt;"",$L141&gt;=TODAY()-7),"Keyword",AND('Task Finder'!$C$7&lt;&gt;"",OR(ISNUMBER(SEARCH('Task Finder'!$C$7,$A141)),ISNUMBER(SEARCH('Task Finder'!$C$7,$B141)),ISNUMBER(SEARCH('Task Finder'!$C$7,$C141)),ISNUMBER(SEARCH('Task Finder'!$C$7,$D141)),ISNUMBER(SEARCH('Task Finder'!$C$7,$K141)))),TRUE))</f>
        <v/>
      </c>
    </row>
    <row r="142">
      <c r="A142" s="19" t="n"/>
      <c r="B142" s="19" t="n"/>
      <c r="C142" s="19" t="n"/>
      <c r="D142" s="19" t="n"/>
      <c r="E142" s="19" t="n"/>
      <c r="F142" s="19" t="n"/>
      <c r="G142" s="19" t="n"/>
      <c r="H142" s="19" t="n"/>
      <c r="I142" s="19" t="n"/>
      <c r="J142" s="19" t="n"/>
      <c r="K142" s="19" t="n"/>
      <c r="L142" s="35" t="n"/>
      <c r="M142" s="5">
        <f>IF($D142="","",IFERROR(VLOOKUP($H142,Lists!$N$2:$O$6,2,FALSE),0))</f>
        <v/>
      </c>
      <c r="N142" s="5">
        <f>IF($D142="","",IF(OR($E142="Blocked",$E142="Done",$E142="Archive"),-9999,IF(AND($E142="Waiting",SUMPRODUCT((($E$5:$E$500="Next")+($E$5:$E$500="In Progress")+($E$5:$E$500="Captured"))*($D$5:$D$500&lt;&gt;""))&gt;0),-500,VLOOKUP($F142,Lists!$L$2:$M$4,2,FALSE)+IF($E142="In Progress",10,0)+IF(AND($I142&lt;&gt;"",$I142&lt;TODAY()),25,0)+IF(AND($I142&lt;&gt;"",$I142&gt;=TODAY(),$I142&lt;=TODAY()+7),15,0)+IF($M142&lt;=VLOOKUP(Home!$C$7,Lists!$N$2:$O$6,2,FALSE),20,-10)+IF($G142=Home!$E$7,15,IF(Home!$E$7="",0,-5))-ROW()/100000)))</f>
        <v/>
      </c>
      <c r="O142" s="5">
        <f>IF($D142="","",IF($N142&lt;=-500,"Not recommended right now",IF($E142="Waiting","Nothing else actionable right now — Waiting on: "&amp;IF($K142="","this item",$K142),TEXTJOIN(" • ",TRUE,IF($F142="High","High Priority",""),IF(AND($I142&lt;&gt;"",$I142&lt;TODAY()),"Overdue",""),IF(AND($I142&lt;&gt;"",$I142&gt;=TODAY(),$I142&lt;=TODAY()+7),"Due This Week",""),IF($M142&lt;=VLOOKUP(Home!$C$7,Lists!$N$2:$O$6,2,FALSE),$H142&amp;" Task",""),IF($G142=Home!$E$7,"Fits Current Energy",""),"No Blockers"))))</f>
        <v/>
      </c>
      <c r="P142" s="5">
        <f>IF($D142="","",SWITCH('Task Finder'!$C$6,"High Priority",AND($F142="High",$E142&lt;&gt;"Done",$E142&lt;&gt;"Archive"),"Due This Week",AND($I142&lt;&gt;"",$I142&gt;=TODAY(),$I142&lt;=TODAY()+7,$E142&lt;&gt;"Done"),"Quick Wins (15 mins or less)",AND($M142&lt;=15,$E142&lt;&gt;"Done",$E142&lt;&gt;"Blocked"),"Deep Thinking",AND($G142="Deep Thinking",$E142&lt;&gt;"Done"),"Processing",AND($G142="Processing",$E142&lt;&gt;"Done"),"Blocked",$E142="Blocked","Waiting",$E142="Waiting","Recently Updated",AND($L142&lt;&gt;"",$L142&gt;=TODAY()-7),"Keyword",AND('Task Finder'!$C$7&lt;&gt;"",OR(ISNUMBER(SEARCH('Task Finder'!$C$7,$A142)),ISNUMBER(SEARCH('Task Finder'!$C$7,$B142)),ISNUMBER(SEARCH('Task Finder'!$C$7,$C142)),ISNUMBER(SEARCH('Task Finder'!$C$7,$D142)),ISNUMBER(SEARCH('Task Finder'!$C$7,$K142)))),TRUE))</f>
        <v/>
      </c>
    </row>
    <row r="143">
      <c r="A143" s="19" t="n"/>
      <c r="B143" s="19" t="n"/>
      <c r="C143" s="19" t="n"/>
      <c r="D143" s="19" t="n"/>
      <c r="E143" s="19" t="n"/>
      <c r="F143" s="19" t="n"/>
      <c r="G143" s="19" t="n"/>
      <c r="H143" s="19" t="n"/>
      <c r="I143" s="19" t="n"/>
      <c r="J143" s="19" t="n"/>
      <c r="K143" s="19" t="n"/>
      <c r="L143" s="35" t="n"/>
      <c r="M143" s="5">
        <f>IF($D143="","",IFERROR(VLOOKUP($H143,Lists!$N$2:$O$6,2,FALSE),0))</f>
        <v/>
      </c>
      <c r="N143" s="5">
        <f>IF($D143="","",IF(OR($E143="Blocked",$E143="Done",$E143="Archive"),-9999,IF(AND($E143="Waiting",SUMPRODUCT((($E$5:$E$500="Next")+($E$5:$E$500="In Progress")+($E$5:$E$500="Captured"))*($D$5:$D$500&lt;&gt;""))&gt;0),-500,VLOOKUP($F143,Lists!$L$2:$M$4,2,FALSE)+IF($E143="In Progress",10,0)+IF(AND($I143&lt;&gt;"",$I143&lt;TODAY()),25,0)+IF(AND($I143&lt;&gt;"",$I143&gt;=TODAY(),$I143&lt;=TODAY()+7),15,0)+IF($M143&lt;=VLOOKUP(Home!$C$7,Lists!$N$2:$O$6,2,FALSE),20,-10)+IF($G143=Home!$E$7,15,IF(Home!$E$7="",0,-5))-ROW()/100000)))</f>
        <v/>
      </c>
      <c r="O143" s="5">
        <f>IF($D143="","",IF($N143&lt;=-500,"Not recommended right now",IF($E143="Waiting","Nothing else actionable right now — Waiting on: "&amp;IF($K143="","this item",$K143),TEXTJOIN(" • ",TRUE,IF($F143="High","High Priority",""),IF(AND($I143&lt;&gt;"",$I143&lt;TODAY()),"Overdue",""),IF(AND($I143&lt;&gt;"",$I143&gt;=TODAY(),$I143&lt;=TODAY()+7),"Due This Week",""),IF($M143&lt;=VLOOKUP(Home!$C$7,Lists!$N$2:$O$6,2,FALSE),$H143&amp;" Task",""),IF($G143=Home!$E$7,"Fits Current Energy",""),"No Blockers"))))</f>
        <v/>
      </c>
      <c r="P143" s="5">
        <f>IF($D143="","",SWITCH('Task Finder'!$C$6,"High Priority",AND($F143="High",$E143&lt;&gt;"Done",$E143&lt;&gt;"Archive"),"Due This Week",AND($I143&lt;&gt;"",$I143&gt;=TODAY(),$I143&lt;=TODAY()+7,$E143&lt;&gt;"Done"),"Quick Wins (15 mins or less)",AND($M143&lt;=15,$E143&lt;&gt;"Done",$E143&lt;&gt;"Blocked"),"Deep Thinking",AND($G143="Deep Thinking",$E143&lt;&gt;"Done"),"Processing",AND($G143="Processing",$E143&lt;&gt;"Done"),"Blocked",$E143="Blocked","Waiting",$E143="Waiting","Recently Updated",AND($L143&lt;&gt;"",$L143&gt;=TODAY()-7),"Keyword",AND('Task Finder'!$C$7&lt;&gt;"",OR(ISNUMBER(SEARCH('Task Finder'!$C$7,$A143)),ISNUMBER(SEARCH('Task Finder'!$C$7,$B143)),ISNUMBER(SEARCH('Task Finder'!$C$7,$C143)),ISNUMBER(SEARCH('Task Finder'!$C$7,$D143)),ISNUMBER(SEARCH('Task Finder'!$C$7,$K143)))),TRUE))</f>
        <v/>
      </c>
    </row>
    <row r="144">
      <c r="A144" s="19" t="n"/>
      <c r="B144" s="19" t="n"/>
      <c r="C144" s="19" t="n"/>
      <c r="D144" s="19" t="n"/>
      <c r="E144" s="19" t="n"/>
      <c r="F144" s="19" t="n"/>
      <c r="G144" s="19" t="n"/>
      <c r="H144" s="19" t="n"/>
      <c r="I144" s="19" t="n"/>
      <c r="J144" s="19" t="n"/>
      <c r="K144" s="19" t="n"/>
      <c r="L144" s="35" t="n"/>
      <c r="M144" s="5">
        <f>IF($D144="","",IFERROR(VLOOKUP($H144,Lists!$N$2:$O$6,2,FALSE),0))</f>
        <v/>
      </c>
      <c r="N144" s="5">
        <f>IF($D144="","",IF(OR($E144="Blocked",$E144="Done",$E144="Archive"),-9999,IF(AND($E144="Waiting",SUMPRODUCT((($E$5:$E$500="Next")+($E$5:$E$500="In Progress")+($E$5:$E$500="Captured"))*($D$5:$D$500&lt;&gt;""))&gt;0),-500,VLOOKUP($F144,Lists!$L$2:$M$4,2,FALSE)+IF($E144="In Progress",10,0)+IF(AND($I144&lt;&gt;"",$I144&lt;TODAY()),25,0)+IF(AND($I144&lt;&gt;"",$I144&gt;=TODAY(),$I144&lt;=TODAY()+7),15,0)+IF($M144&lt;=VLOOKUP(Home!$C$7,Lists!$N$2:$O$6,2,FALSE),20,-10)+IF($G144=Home!$E$7,15,IF(Home!$E$7="",0,-5))-ROW()/100000)))</f>
        <v/>
      </c>
      <c r="O144" s="5">
        <f>IF($D144="","",IF($N144&lt;=-500,"Not recommended right now",IF($E144="Waiting","Nothing else actionable right now — Waiting on: "&amp;IF($K144="","this item",$K144),TEXTJOIN(" • ",TRUE,IF($F144="High","High Priority",""),IF(AND($I144&lt;&gt;"",$I144&lt;TODAY()),"Overdue",""),IF(AND($I144&lt;&gt;"",$I144&gt;=TODAY(),$I144&lt;=TODAY()+7),"Due This Week",""),IF($M144&lt;=VLOOKUP(Home!$C$7,Lists!$N$2:$O$6,2,FALSE),$H144&amp;" Task",""),IF($G144=Home!$E$7,"Fits Current Energy",""),"No Blockers"))))</f>
        <v/>
      </c>
      <c r="P144" s="5">
        <f>IF($D144="","",SWITCH('Task Finder'!$C$6,"High Priority",AND($F144="High",$E144&lt;&gt;"Done",$E144&lt;&gt;"Archive"),"Due This Week",AND($I144&lt;&gt;"",$I144&gt;=TODAY(),$I144&lt;=TODAY()+7,$E144&lt;&gt;"Done"),"Quick Wins (15 mins or less)",AND($M144&lt;=15,$E144&lt;&gt;"Done",$E144&lt;&gt;"Blocked"),"Deep Thinking",AND($G144="Deep Thinking",$E144&lt;&gt;"Done"),"Processing",AND($G144="Processing",$E144&lt;&gt;"Done"),"Blocked",$E144="Blocked","Waiting",$E144="Waiting","Recently Updated",AND($L144&lt;&gt;"",$L144&gt;=TODAY()-7),"Keyword",AND('Task Finder'!$C$7&lt;&gt;"",OR(ISNUMBER(SEARCH('Task Finder'!$C$7,$A144)),ISNUMBER(SEARCH('Task Finder'!$C$7,$B144)),ISNUMBER(SEARCH('Task Finder'!$C$7,$C144)),ISNUMBER(SEARCH('Task Finder'!$C$7,$D144)),ISNUMBER(SEARCH('Task Finder'!$C$7,$K144)))),TRUE))</f>
        <v/>
      </c>
    </row>
    <row r="145">
      <c r="A145" s="19" t="n"/>
      <c r="B145" s="19" t="n"/>
      <c r="C145" s="19" t="n"/>
      <c r="D145" s="19" t="n"/>
      <c r="E145" s="19" t="n"/>
      <c r="F145" s="19" t="n"/>
      <c r="G145" s="19" t="n"/>
      <c r="H145" s="19" t="n"/>
      <c r="I145" s="19" t="n"/>
      <c r="J145" s="19" t="n"/>
      <c r="K145" s="19" t="n"/>
      <c r="L145" s="35" t="n"/>
      <c r="M145" s="5">
        <f>IF($D145="","",IFERROR(VLOOKUP($H145,Lists!$N$2:$O$6,2,FALSE),0))</f>
        <v/>
      </c>
      <c r="N145" s="5">
        <f>IF($D145="","",IF(OR($E145="Blocked",$E145="Done",$E145="Archive"),-9999,IF(AND($E145="Waiting",SUMPRODUCT((($E$5:$E$500="Next")+($E$5:$E$500="In Progress")+($E$5:$E$500="Captured"))*($D$5:$D$500&lt;&gt;""))&gt;0),-500,VLOOKUP($F145,Lists!$L$2:$M$4,2,FALSE)+IF($E145="In Progress",10,0)+IF(AND($I145&lt;&gt;"",$I145&lt;TODAY()),25,0)+IF(AND($I145&lt;&gt;"",$I145&gt;=TODAY(),$I145&lt;=TODAY()+7),15,0)+IF($M145&lt;=VLOOKUP(Home!$C$7,Lists!$N$2:$O$6,2,FALSE),20,-10)+IF($G145=Home!$E$7,15,IF(Home!$E$7="",0,-5))-ROW()/100000)))</f>
        <v/>
      </c>
      <c r="O145" s="5">
        <f>IF($D145="","",IF($N145&lt;=-500,"Not recommended right now",IF($E145="Waiting","Nothing else actionable right now — Waiting on: "&amp;IF($K145="","this item",$K145),TEXTJOIN(" • ",TRUE,IF($F145="High","High Priority",""),IF(AND($I145&lt;&gt;"",$I145&lt;TODAY()),"Overdue",""),IF(AND($I145&lt;&gt;"",$I145&gt;=TODAY(),$I145&lt;=TODAY()+7),"Due This Week",""),IF($M145&lt;=VLOOKUP(Home!$C$7,Lists!$N$2:$O$6,2,FALSE),$H145&amp;" Task",""),IF($G145=Home!$E$7,"Fits Current Energy",""),"No Blockers"))))</f>
        <v/>
      </c>
      <c r="P145" s="5">
        <f>IF($D145="","",SWITCH('Task Finder'!$C$6,"High Priority",AND($F145="High",$E145&lt;&gt;"Done",$E145&lt;&gt;"Archive"),"Due This Week",AND($I145&lt;&gt;"",$I145&gt;=TODAY(),$I145&lt;=TODAY()+7,$E145&lt;&gt;"Done"),"Quick Wins (15 mins or less)",AND($M145&lt;=15,$E145&lt;&gt;"Done",$E145&lt;&gt;"Blocked"),"Deep Thinking",AND($G145="Deep Thinking",$E145&lt;&gt;"Done"),"Processing",AND($G145="Processing",$E145&lt;&gt;"Done"),"Blocked",$E145="Blocked","Waiting",$E145="Waiting","Recently Updated",AND($L145&lt;&gt;"",$L145&gt;=TODAY()-7),"Keyword",AND('Task Finder'!$C$7&lt;&gt;"",OR(ISNUMBER(SEARCH('Task Finder'!$C$7,$A145)),ISNUMBER(SEARCH('Task Finder'!$C$7,$B145)),ISNUMBER(SEARCH('Task Finder'!$C$7,$C145)),ISNUMBER(SEARCH('Task Finder'!$C$7,$D145)),ISNUMBER(SEARCH('Task Finder'!$C$7,$K145)))),TRUE))</f>
        <v/>
      </c>
    </row>
    <row r="146">
      <c r="A146" s="19" t="n"/>
      <c r="B146" s="19" t="n"/>
      <c r="C146" s="19" t="n"/>
      <c r="D146" s="19" t="n"/>
      <c r="E146" s="19" t="n"/>
      <c r="F146" s="19" t="n"/>
      <c r="G146" s="19" t="n"/>
      <c r="H146" s="19" t="n"/>
      <c r="I146" s="19" t="n"/>
      <c r="J146" s="19" t="n"/>
      <c r="K146" s="19" t="n"/>
      <c r="L146" s="35" t="n"/>
      <c r="M146" s="5">
        <f>IF($D146="","",IFERROR(VLOOKUP($H146,Lists!$N$2:$O$6,2,FALSE),0))</f>
        <v/>
      </c>
      <c r="N146" s="5">
        <f>IF($D146="","",IF(OR($E146="Blocked",$E146="Done",$E146="Archive"),-9999,IF(AND($E146="Waiting",SUMPRODUCT((($E$5:$E$500="Next")+($E$5:$E$500="In Progress")+($E$5:$E$500="Captured"))*($D$5:$D$500&lt;&gt;""))&gt;0),-500,VLOOKUP($F146,Lists!$L$2:$M$4,2,FALSE)+IF($E146="In Progress",10,0)+IF(AND($I146&lt;&gt;"",$I146&lt;TODAY()),25,0)+IF(AND($I146&lt;&gt;"",$I146&gt;=TODAY(),$I146&lt;=TODAY()+7),15,0)+IF($M146&lt;=VLOOKUP(Home!$C$7,Lists!$N$2:$O$6,2,FALSE),20,-10)+IF($G146=Home!$E$7,15,IF(Home!$E$7="",0,-5))-ROW()/100000)))</f>
        <v/>
      </c>
      <c r="O146" s="5">
        <f>IF($D146="","",IF($N146&lt;=-500,"Not recommended right now",IF($E146="Waiting","Nothing else actionable right now — Waiting on: "&amp;IF($K146="","this item",$K146),TEXTJOIN(" • ",TRUE,IF($F146="High","High Priority",""),IF(AND($I146&lt;&gt;"",$I146&lt;TODAY()),"Overdue",""),IF(AND($I146&lt;&gt;"",$I146&gt;=TODAY(),$I146&lt;=TODAY()+7),"Due This Week",""),IF($M146&lt;=VLOOKUP(Home!$C$7,Lists!$N$2:$O$6,2,FALSE),$H146&amp;" Task",""),IF($G146=Home!$E$7,"Fits Current Energy",""),"No Blockers"))))</f>
        <v/>
      </c>
      <c r="P146" s="5">
        <f>IF($D146="","",SWITCH('Task Finder'!$C$6,"High Priority",AND($F146="High",$E146&lt;&gt;"Done",$E146&lt;&gt;"Archive"),"Due This Week",AND($I146&lt;&gt;"",$I146&gt;=TODAY(),$I146&lt;=TODAY()+7,$E146&lt;&gt;"Done"),"Quick Wins (15 mins or less)",AND($M146&lt;=15,$E146&lt;&gt;"Done",$E146&lt;&gt;"Blocked"),"Deep Thinking",AND($G146="Deep Thinking",$E146&lt;&gt;"Done"),"Processing",AND($G146="Processing",$E146&lt;&gt;"Done"),"Blocked",$E146="Blocked","Waiting",$E146="Waiting","Recently Updated",AND($L146&lt;&gt;"",$L146&gt;=TODAY()-7),"Keyword",AND('Task Finder'!$C$7&lt;&gt;"",OR(ISNUMBER(SEARCH('Task Finder'!$C$7,$A146)),ISNUMBER(SEARCH('Task Finder'!$C$7,$B146)),ISNUMBER(SEARCH('Task Finder'!$C$7,$C146)),ISNUMBER(SEARCH('Task Finder'!$C$7,$D146)),ISNUMBER(SEARCH('Task Finder'!$C$7,$K146)))),TRUE))</f>
        <v/>
      </c>
    </row>
    <row r="147">
      <c r="A147" s="19" t="n"/>
      <c r="B147" s="19" t="n"/>
      <c r="C147" s="19" t="n"/>
      <c r="D147" s="19" t="n"/>
      <c r="E147" s="19" t="n"/>
      <c r="F147" s="19" t="n"/>
      <c r="G147" s="19" t="n"/>
      <c r="H147" s="19" t="n"/>
      <c r="I147" s="19" t="n"/>
      <c r="J147" s="19" t="n"/>
      <c r="K147" s="19" t="n"/>
      <c r="L147" s="35" t="n"/>
      <c r="M147" s="5">
        <f>IF($D147="","",IFERROR(VLOOKUP($H147,Lists!$N$2:$O$6,2,FALSE),0))</f>
        <v/>
      </c>
      <c r="N147" s="5">
        <f>IF($D147="","",IF(OR($E147="Blocked",$E147="Done",$E147="Archive"),-9999,IF(AND($E147="Waiting",SUMPRODUCT((($E$5:$E$500="Next")+($E$5:$E$500="In Progress")+($E$5:$E$500="Captured"))*($D$5:$D$500&lt;&gt;""))&gt;0),-500,VLOOKUP($F147,Lists!$L$2:$M$4,2,FALSE)+IF($E147="In Progress",10,0)+IF(AND($I147&lt;&gt;"",$I147&lt;TODAY()),25,0)+IF(AND($I147&lt;&gt;"",$I147&gt;=TODAY(),$I147&lt;=TODAY()+7),15,0)+IF($M147&lt;=VLOOKUP(Home!$C$7,Lists!$N$2:$O$6,2,FALSE),20,-10)+IF($G147=Home!$E$7,15,IF(Home!$E$7="",0,-5))-ROW()/100000)))</f>
        <v/>
      </c>
      <c r="O147" s="5">
        <f>IF($D147="","",IF($N147&lt;=-500,"Not recommended right now",IF($E147="Waiting","Nothing else actionable right now — Waiting on: "&amp;IF($K147="","this item",$K147),TEXTJOIN(" • ",TRUE,IF($F147="High","High Priority",""),IF(AND($I147&lt;&gt;"",$I147&lt;TODAY()),"Overdue",""),IF(AND($I147&lt;&gt;"",$I147&gt;=TODAY(),$I147&lt;=TODAY()+7),"Due This Week",""),IF($M147&lt;=VLOOKUP(Home!$C$7,Lists!$N$2:$O$6,2,FALSE),$H147&amp;" Task",""),IF($G147=Home!$E$7,"Fits Current Energy",""),"No Blockers"))))</f>
        <v/>
      </c>
      <c r="P147" s="5">
        <f>IF($D147="","",SWITCH('Task Finder'!$C$6,"High Priority",AND($F147="High",$E147&lt;&gt;"Done",$E147&lt;&gt;"Archive"),"Due This Week",AND($I147&lt;&gt;"",$I147&gt;=TODAY(),$I147&lt;=TODAY()+7,$E147&lt;&gt;"Done"),"Quick Wins (15 mins or less)",AND($M147&lt;=15,$E147&lt;&gt;"Done",$E147&lt;&gt;"Blocked"),"Deep Thinking",AND($G147="Deep Thinking",$E147&lt;&gt;"Done"),"Processing",AND($G147="Processing",$E147&lt;&gt;"Done"),"Blocked",$E147="Blocked","Waiting",$E147="Waiting","Recently Updated",AND($L147&lt;&gt;"",$L147&gt;=TODAY()-7),"Keyword",AND('Task Finder'!$C$7&lt;&gt;"",OR(ISNUMBER(SEARCH('Task Finder'!$C$7,$A147)),ISNUMBER(SEARCH('Task Finder'!$C$7,$B147)),ISNUMBER(SEARCH('Task Finder'!$C$7,$C147)),ISNUMBER(SEARCH('Task Finder'!$C$7,$D147)),ISNUMBER(SEARCH('Task Finder'!$C$7,$K147)))),TRUE))</f>
        <v/>
      </c>
    </row>
    <row r="148">
      <c r="A148" s="19" t="n"/>
      <c r="B148" s="19" t="n"/>
      <c r="C148" s="19" t="n"/>
      <c r="D148" s="19" t="n"/>
      <c r="E148" s="19" t="n"/>
      <c r="F148" s="19" t="n"/>
      <c r="G148" s="19" t="n"/>
      <c r="H148" s="19" t="n"/>
      <c r="I148" s="19" t="n"/>
      <c r="J148" s="19" t="n"/>
      <c r="K148" s="19" t="n"/>
      <c r="L148" s="35" t="n"/>
      <c r="M148" s="5">
        <f>IF($D148="","",IFERROR(VLOOKUP($H148,Lists!$N$2:$O$6,2,FALSE),0))</f>
        <v/>
      </c>
      <c r="N148" s="5">
        <f>IF($D148="","",IF(OR($E148="Blocked",$E148="Done",$E148="Archive"),-9999,IF(AND($E148="Waiting",SUMPRODUCT((($E$5:$E$500="Next")+($E$5:$E$500="In Progress")+($E$5:$E$500="Captured"))*($D$5:$D$500&lt;&gt;""))&gt;0),-500,VLOOKUP($F148,Lists!$L$2:$M$4,2,FALSE)+IF($E148="In Progress",10,0)+IF(AND($I148&lt;&gt;"",$I148&lt;TODAY()),25,0)+IF(AND($I148&lt;&gt;"",$I148&gt;=TODAY(),$I148&lt;=TODAY()+7),15,0)+IF($M148&lt;=VLOOKUP(Home!$C$7,Lists!$N$2:$O$6,2,FALSE),20,-10)+IF($G148=Home!$E$7,15,IF(Home!$E$7="",0,-5))-ROW()/100000)))</f>
        <v/>
      </c>
      <c r="O148" s="5">
        <f>IF($D148="","",IF($N148&lt;=-500,"Not recommended right now",IF($E148="Waiting","Nothing else actionable right now — Waiting on: "&amp;IF($K148="","this item",$K148),TEXTJOIN(" • ",TRUE,IF($F148="High","High Priority",""),IF(AND($I148&lt;&gt;"",$I148&lt;TODAY()),"Overdue",""),IF(AND($I148&lt;&gt;"",$I148&gt;=TODAY(),$I148&lt;=TODAY()+7),"Due This Week",""),IF($M148&lt;=VLOOKUP(Home!$C$7,Lists!$N$2:$O$6,2,FALSE),$H148&amp;" Task",""),IF($G148=Home!$E$7,"Fits Current Energy",""),"No Blockers"))))</f>
        <v/>
      </c>
      <c r="P148" s="5">
        <f>IF($D148="","",SWITCH('Task Finder'!$C$6,"High Priority",AND($F148="High",$E148&lt;&gt;"Done",$E148&lt;&gt;"Archive"),"Due This Week",AND($I148&lt;&gt;"",$I148&gt;=TODAY(),$I148&lt;=TODAY()+7,$E148&lt;&gt;"Done"),"Quick Wins (15 mins or less)",AND($M148&lt;=15,$E148&lt;&gt;"Done",$E148&lt;&gt;"Blocked"),"Deep Thinking",AND($G148="Deep Thinking",$E148&lt;&gt;"Done"),"Processing",AND($G148="Processing",$E148&lt;&gt;"Done"),"Blocked",$E148="Blocked","Waiting",$E148="Waiting","Recently Updated",AND($L148&lt;&gt;"",$L148&gt;=TODAY()-7),"Keyword",AND('Task Finder'!$C$7&lt;&gt;"",OR(ISNUMBER(SEARCH('Task Finder'!$C$7,$A148)),ISNUMBER(SEARCH('Task Finder'!$C$7,$B148)),ISNUMBER(SEARCH('Task Finder'!$C$7,$C148)),ISNUMBER(SEARCH('Task Finder'!$C$7,$D148)),ISNUMBER(SEARCH('Task Finder'!$C$7,$K148)))),TRUE))</f>
        <v/>
      </c>
    </row>
    <row r="149">
      <c r="A149" s="19" t="n"/>
      <c r="B149" s="19" t="n"/>
      <c r="C149" s="19" t="n"/>
      <c r="D149" s="19" t="n"/>
      <c r="E149" s="19" t="n"/>
      <c r="F149" s="19" t="n"/>
      <c r="G149" s="19" t="n"/>
      <c r="H149" s="19" t="n"/>
      <c r="I149" s="19" t="n"/>
      <c r="J149" s="19" t="n"/>
      <c r="K149" s="19" t="n"/>
      <c r="L149" s="35" t="n"/>
      <c r="M149" s="5">
        <f>IF($D149="","",IFERROR(VLOOKUP($H149,Lists!$N$2:$O$6,2,FALSE),0))</f>
        <v/>
      </c>
      <c r="N149" s="5">
        <f>IF($D149="","",IF(OR($E149="Blocked",$E149="Done",$E149="Archive"),-9999,IF(AND($E149="Waiting",SUMPRODUCT((($E$5:$E$500="Next")+($E$5:$E$500="In Progress")+($E$5:$E$500="Captured"))*($D$5:$D$500&lt;&gt;""))&gt;0),-500,VLOOKUP($F149,Lists!$L$2:$M$4,2,FALSE)+IF($E149="In Progress",10,0)+IF(AND($I149&lt;&gt;"",$I149&lt;TODAY()),25,0)+IF(AND($I149&lt;&gt;"",$I149&gt;=TODAY(),$I149&lt;=TODAY()+7),15,0)+IF($M149&lt;=VLOOKUP(Home!$C$7,Lists!$N$2:$O$6,2,FALSE),20,-10)+IF($G149=Home!$E$7,15,IF(Home!$E$7="",0,-5))-ROW()/100000)))</f>
        <v/>
      </c>
      <c r="O149" s="5">
        <f>IF($D149="","",IF($N149&lt;=-500,"Not recommended right now",IF($E149="Waiting","Nothing else actionable right now — Waiting on: "&amp;IF($K149="","this item",$K149),TEXTJOIN(" • ",TRUE,IF($F149="High","High Priority",""),IF(AND($I149&lt;&gt;"",$I149&lt;TODAY()),"Overdue",""),IF(AND($I149&lt;&gt;"",$I149&gt;=TODAY(),$I149&lt;=TODAY()+7),"Due This Week",""),IF($M149&lt;=VLOOKUP(Home!$C$7,Lists!$N$2:$O$6,2,FALSE),$H149&amp;" Task",""),IF($G149=Home!$E$7,"Fits Current Energy",""),"No Blockers"))))</f>
        <v/>
      </c>
      <c r="P149" s="5">
        <f>IF($D149="","",SWITCH('Task Finder'!$C$6,"High Priority",AND($F149="High",$E149&lt;&gt;"Done",$E149&lt;&gt;"Archive"),"Due This Week",AND($I149&lt;&gt;"",$I149&gt;=TODAY(),$I149&lt;=TODAY()+7,$E149&lt;&gt;"Done"),"Quick Wins (15 mins or less)",AND($M149&lt;=15,$E149&lt;&gt;"Done",$E149&lt;&gt;"Blocked"),"Deep Thinking",AND($G149="Deep Thinking",$E149&lt;&gt;"Done"),"Processing",AND($G149="Processing",$E149&lt;&gt;"Done"),"Blocked",$E149="Blocked","Waiting",$E149="Waiting","Recently Updated",AND($L149&lt;&gt;"",$L149&gt;=TODAY()-7),"Keyword",AND('Task Finder'!$C$7&lt;&gt;"",OR(ISNUMBER(SEARCH('Task Finder'!$C$7,$A149)),ISNUMBER(SEARCH('Task Finder'!$C$7,$B149)),ISNUMBER(SEARCH('Task Finder'!$C$7,$C149)),ISNUMBER(SEARCH('Task Finder'!$C$7,$D149)),ISNUMBER(SEARCH('Task Finder'!$C$7,$K149)))),TRUE))</f>
        <v/>
      </c>
    </row>
    <row r="150">
      <c r="A150" s="19" t="n"/>
      <c r="B150" s="19" t="n"/>
      <c r="C150" s="19" t="n"/>
      <c r="D150" s="19" t="n"/>
      <c r="E150" s="19" t="n"/>
      <c r="F150" s="19" t="n"/>
      <c r="G150" s="19" t="n"/>
      <c r="H150" s="19" t="n"/>
      <c r="I150" s="19" t="n"/>
      <c r="J150" s="19" t="n"/>
      <c r="K150" s="19" t="n"/>
      <c r="L150" s="35" t="n"/>
      <c r="M150" s="5">
        <f>IF($D150="","",IFERROR(VLOOKUP($H150,Lists!$N$2:$O$6,2,FALSE),0))</f>
        <v/>
      </c>
      <c r="N150" s="5">
        <f>IF($D150="","",IF(OR($E150="Blocked",$E150="Done",$E150="Archive"),-9999,IF(AND($E150="Waiting",SUMPRODUCT((($E$5:$E$500="Next")+($E$5:$E$500="In Progress")+($E$5:$E$500="Captured"))*($D$5:$D$500&lt;&gt;""))&gt;0),-500,VLOOKUP($F150,Lists!$L$2:$M$4,2,FALSE)+IF($E150="In Progress",10,0)+IF(AND($I150&lt;&gt;"",$I150&lt;TODAY()),25,0)+IF(AND($I150&lt;&gt;"",$I150&gt;=TODAY(),$I150&lt;=TODAY()+7),15,0)+IF($M150&lt;=VLOOKUP(Home!$C$7,Lists!$N$2:$O$6,2,FALSE),20,-10)+IF($G150=Home!$E$7,15,IF(Home!$E$7="",0,-5))-ROW()/100000)))</f>
        <v/>
      </c>
      <c r="O150" s="5">
        <f>IF($D150="","",IF($N150&lt;=-500,"Not recommended right now",IF($E150="Waiting","Nothing else actionable right now — Waiting on: "&amp;IF($K150="","this item",$K150),TEXTJOIN(" • ",TRUE,IF($F150="High","High Priority",""),IF(AND($I150&lt;&gt;"",$I150&lt;TODAY()),"Overdue",""),IF(AND($I150&lt;&gt;"",$I150&gt;=TODAY(),$I150&lt;=TODAY()+7),"Due This Week",""),IF($M150&lt;=VLOOKUP(Home!$C$7,Lists!$N$2:$O$6,2,FALSE),$H150&amp;" Task",""),IF($G150=Home!$E$7,"Fits Current Energy",""),"No Blockers"))))</f>
        <v/>
      </c>
      <c r="P150" s="5">
        <f>IF($D150="","",SWITCH('Task Finder'!$C$6,"High Priority",AND($F150="High",$E150&lt;&gt;"Done",$E150&lt;&gt;"Archive"),"Due This Week",AND($I150&lt;&gt;"",$I150&gt;=TODAY(),$I150&lt;=TODAY()+7,$E150&lt;&gt;"Done"),"Quick Wins (15 mins or less)",AND($M150&lt;=15,$E150&lt;&gt;"Done",$E150&lt;&gt;"Blocked"),"Deep Thinking",AND($G150="Deep Thinking",$E150&lt;&gt;"Done"),"Processing",AND($G150="Processing",$E150&lt;&gt;"Done"),"Blocked",$E150="Blocked","Waiting",$E150="Waiting","Recently Updated",AND($L150&lt;&gt;"",$L150&gt;=TODAY()-7),"Keyword",AND('Task Finder'!$C$7&lt;&gt;"",OR(ISNUMBER(SEARCH('Task Finder'!$C$7,$A150)),ISNUMBER(SEARCH('Task Finder'!$C$7,$B150)),ISNUMBER(SEARCH('Task Finder'!$C$7,$C150)),ISNUMBER(SEARCH('Task Finder'!$C$7,$D150)),ISNUMBER(SEARCH('Task Finder'!$C$7,$K150)))),TRUE))</f>
        <v/>
      </c>
    </row>
    <row r="151">
      <c r="A151" s="19" t="n"/>
      <c r="B151" s="19" t="n"/>
      <c r="C151" s="19" t="n"/>
      <c r="D151" s="19" t="n"/>
      <c r="E151" s="19" t="n"/>
      <c r="F151" s="19" t="n"/>
      <c r="G151" s="19" t="n"/>
      <c r="H151" s="19" t="n"/>
      <c r="I151" s="19" t="n"/>
      <c r="J151" s="19" t="n"/>
      <c r="K151" s="19" t="n"/>
      <c r="L151" s="35" t="n"/>
      <c r="M151" s="5">
        <f>IF($D151="","",IFERROR(VLOOKUP($H151,Lists!$N$2:$O$6,2,FALSE),0))</f>
        <v/>
      </c>
      <c r="N151" s="5">
        <f>IF($D151="","",IF(OR($E151="Blocked",$E151="Done",$E151="Archive"),-9999,IF(AND($E151="Waiting",SUMPRODUCT((($E$5:$E$500="Next")+($E$5:$E$500="In Progress")+($E$5:$E$500="Captured"))*($D$5:$D$500&lt;&gt;""))&gt;0),-500,VLOOKUP($F151,Lists!$L$2:$M$4,2,FALSE)+IF($E151="In Progress",10,0)+IF(AND($I151&lt;&gt;"",$I151&lt;TODAY()),25,0)+IF(AND($I151&lt;&gt;"",$I151&gt;=TODAY(),$I151&lt;=TODAY()+7),15,0)+IF($M151&lt;=VLOOKUP(Home!$C$7,Lists!$N$2:$O$6,2,FALSE),20,-10)+IF($G151=Home!$E$7,15,IF(Home!$E$7="",0,-5))-ROW()/100000)))</f>
        <v/>
      </c>
      <c r="O151" s="5">
        <f>IF($D151="","",IF($N151&lt;=-500,"Not recommended right now",IF($E151="Waiting","Nothing else actionable right now — Waiting on: "&amp;IF($K151="","this item",$K151),TEXTJOIN(" • ",TRUE,IF($F151="High","High Priority",""),IF(AND($I151&lt;&gt;"",$I151&lt;TODAY()),"Overdue",""),IF(AND($I151&lt;&gt;"",$I151&gt;=TODAY(),$I151&lt;=TODAY()+7),"Due This Week",""),IF($M151&lt;=VLOOKUP(Home!$C$7,Lists!$N$2:$O$6,2,FALSE),$H151&amp;" Task",""),IF($G151=Home!$E$7,"Fits Current Energy",""),"No Blockers"))))</f>
        <v/>
      </c>
      <c r="P151" s="5">
        <f>IF($D151="","",SWITCH('Task Finder'!$C$6,"High Priority",AND($F151="High",$E151&lt;&gt;"Done",$E151&lt;&gt;"Archive"),"Due This Week",AND($I151&lt;&gt;"",$I151&gt;=TODAY(),$I151&lt;=TODAY()+7,$E151&lt;&gt;"Done"),"Quick Wins (15 mins or less)",AND($M151&lt;=15,$E151&lt;&gt;"Done",$E151&lt;&gt;"Blocked"),"Deep Thinking",AND($G151="Deep Thinking",$E151&lt;&gt;"Done"),"Processing",AND($G151="Processing",$E151&lt;&gt;"Done"),"Blocked",$E151="Blocked","Waiting",$E151="Waiting","Recently Updated",AND($L151&lt;&gt;"",$L151&gt;=TODAY()-7),"Keyword",AND('Task Finder'!$C$7&lt;&gt;"",OR(ISNUMBER(SEARCH('Task Finder'!$C$7,$A151)),ISNUMBER(SEARCH('Task Finder'!$C$7,$B151)),ISNUMBER(SEARCH('Task Finder'!$C$7,$C151)),ISNUMBER(SEARCH('Task Finder'!$C$7,$D151)),ISNUMBER(SEARCH('Task Finder'!$C$7,$K151)))),TRUE))</f>
        <v/>
      </c>
    </row>
    <row r="152">
      <c r="A152" s="19" t="n"/>
      <c r="B152" s="19" t="n"/>
      <c r="C152" s="19" t="n"/>
      <c r="D152" s="19" t="n"/>
      <c r="E152" s="19" t="n"/>
      <c r="F152" s="19" t="n"/>
      <c r="G152" s="19" t="n"/>
      <c r="H152" s="19" t="n"/>
      <c r="I152" s="19" t="n"/>
      <c r="J152" s="19" t="n"/>
      <c r="K152" s="19" t="n"/>
      <c r="L152" s="35" t="n"/>
      <c r="M152" s="5">
        <f>IF($D152="","",IFERROR(VLOOKUP($H152,Lists!$N$2:$O$6,2,FALSE),0))</f>
        <v/>
      </c>
      <c r="N152" s="5">
        <f>IF($D152="","",IF(OR($E152="Blocked",$E152="Done",$E152="Archive"),-9999,IF(AND($E152="Waiting",SUMPRODUCT((($E$5:$E$500="Next")+($E$5:$E$500="In Progress")+($E$5:$E$500="Captured"))*($D$5:$D$500&lt;&gt;""))&gt;0),-500,VLOOKUP($F152,Lists!$L$2:$M$4,2,FALSE)+IF($E152="In Progress",10,0)+IF(AND($I152&lt;&gt;"",$I152&lt;TODAY()),25,0)+IF(AND($I152&lt;&gt;"",$I152&gt;=TODAY(),$I152&lt;=TODAY()+7),15,0)+IF($M152&lt;=VLOOKUP(Home!$C$7,Lists!$N$2:$O$6,2,FALSE),20,-10)+IF($G152=Home!$E$7,15,IF(Home!$E$7="",0,-5))-ROW()/100000)))</f>
        <v/>
      </c>
      <c r="O152" s="5">
        <f>IF($D152="","",IF($N152&lt;=-500,"Not recommended right now",IF($E152="Waiting","Nothing else actionable right now — Waiting on: "&amp;IF($K152="","this item",$K152),TEXTJOIN(" • ",TRUE,IF($F152="High","High Priority",""),IF(AND($I152&lt;&gt;"",$I152&lt;TODAY()),"Overdue",""),IF(AND($I152&lt;&gt;"",$I152&gt;=TODAY(),$I152&lt;=TODAY()+7),"Due This Week",""),IF($M152&lt;=VLOOKUP(Home!$C$7,Lists!$N$2:$O$6,2,FALSE),$H152&amp;" Task",""),IF($G152=Home!$E$7,"Fits Current Energy",""),"No Blockers"))))</f>
        <v/>
      </c>
      <c r="P152" s="5">
        <f>IF($D152="","",SWITCH('Task Finder'!$C$6,"High Priority",AND($F152="High",$E152&lt;&gt;"Done",$E152&lt;&gt;"Archive"),"Due This Week",AND($I152&lt;&gt;"",$I152&gt;=TODAY(),$I152&lt;=TODAY()+7,$E152&lt;&gt;"Done"),"Quick Wins (15 mins or less)",AND($M152&lt;=15,$E152&lt;&gt;"Done",$E152&lt;&gt;"Blocked"),"Deep Thinking",AND($G152="Deep Thinking",$E152&lt;&gt;"Done"),"Processing",AND($G152="Processing",$E152&lt;&gt;"Done"),"Blocked",$E152="Blocked","Waiting",$E152="Waiting","Recently Updated",AND($L152&lt;&gt;"",$L152&gt;=TODAY()-7),"Keyword",AND('Task Finder'!$C$7&lt;&gt;"",OR(ISNUMBER(SEARCH('Task Finder'!$C$7,$A152)),ISNUMBER(SEARCH('Task Finder'!$C$7,$B152)),ISNUMBER(SEARCH('Task Finder'!$C$7,$C152)),ISNUMBER(SEARCH('Task Finder'!$C$7,$D152)),ISNUMBER(SEARCH('Task Finder'!$C$7,$K152)))),TRUE))</f>
        <v/>
      </c>
    </row>
    <row r="153">
      <c r="A153" s="19" t="n"/>
      <c r="B153" s="19" t="n"/>
      <c r="C153" s="19" t="n"/>
      <c r="D153" s="19" t="n"/>
      <c r="E153" s="19" t="n"/>
      <c r="F153" s="19" t="n"/>
      <c r="G153" s="19" t="n"/>
      <c r="H153" s="19" t="n"/>
      <c r="I153" s="19" t="n"/>
      <c r="J153" s="19" t="n"/>
      <c r="K153" s="19" t="n"/>
      <c r="L153" s="35" t="n"/>
      <c r="M153" s="5">
        <f>IF($D153="","",IFERROR(VLOOKUP($H153,Lists!$N$2:$O$6,2,FALSE),0))</f>
        <v/>
      </c>
      <c r="N153" s="5">
        <f>IF($D153="","",IF(OR($E153="Blocked",$E153="Done",$E153="Archive"),-9999,IF(AND($E153="Waiting",SUMPRODUCT((($E$5:$E$500="Next")+($E$5:$E$500="In Progress")+($E$5:$E$500="Captured"))*($D$5:$D$500&lt;&gt;""))&gt;0),-500,VLOOKUP($F153,Lists!$L$2:$M$4,2,FALSE)+IF($E153="In Progress",10,0)+IF(AND($I153&lt;&gt;"",$I153&lt;TODAY()),25,0)+IF(AND($I153&lt;&gt;"",$I153&gt;=TODAY(),$I153&lt;=TODAY()+7),15,0)+IF($M153&lt;=VLOOKUP(Home!$C$7,Lists!$N$2:$O$6,2,FALSE),20,-10)+IF($G153=Home!$E$7,15,IF(Home!$E$7="",0,-5))-ROW()/100000)))</f>
        <v/>
      </c>
      <c r="O153" s="5">
        <f>IF($D153="","",IF($N153&lt;=-500,"Not recommended right now",IF($E153="Waiting","Nothing else actionable right now — Waiting on: "&amp;IF($K153="","this item",$K153),TEXTJOIN(" • ",TRUE,IF($F153="High","High Priority",""),IF(AND($I153&lt;&gt;"",$I153&lt;TODAY()),"Overdue",""),IF(AND($I153&lt;&gt;"",$I153&gt;=TODAY(),$I153&lt;=TODAY()+7),"Due This Week",""),IF($M153&lt;=VLOOKUP(Home!$C$7,Lists!$N$2:$O$6,2,FALSE),$H153&amp;" Task",""),IF($G153=Home!$E$7,"Fits Current Energy",""),"No Blockers"))))</f>
        <v/>
      </c>
      <c r="P153" s="5">
        <f>IF($D153="","",SWITCH('Task Finder'!$C$6,"High Priority",AND($F153="High",$E153&lt;&gt;"Done",$E153&lt;&gt;"Archive"),"Due This Week",AND($I153&lt;&gt;"",$I153&gt;=TODAY(),$I153&lt;=TODAY()+7,$E153&lt;&gt;"Done"),"Quick Wins (15 mins or less)",AND($M153&lt;=15,$E153&lt;&gt;"Done",$E153&lt;&gt;"Blocked"),"Deep Thinking",AND($G153="Deep Thinking",$E153&lt;&gt;"Done"),"Processing",AND($G153="Processing",$E153&lt;&gt;"Done"),"Blocked",$E153="Blocked","Waiting",$E153="Waiting","Recently Updated",AND($L153&lt;&gt;"",$L153&gt;=TODAY()-7),"Keyword",AND('Task Finder'!$C$7&lt;&gt;"",OR(ISNUMBER(SEARCH('Task Finder'!$C$7,$A153)),ISNUMBER(SEARCH('Task Finder'!$C$7,$B153)),ISNUMBER(SEARCH('Task Finder'!$C$7,$C153)),ISNUMBER(SEARCH('Task Finder'!$C$7,$D153)),ISNUMBER(SEARCH('Task Finder'!$C$7,$K153)))),TRUE))</f>
        <v/>
      </c>
    </row>
    <row r="154">
      <c r="A154" s="19" t="n"/>
      <c r="B154" s="19" t="n"/>
      <c r="C154" s="19" t="n"/>
      <c r="D154" s="19" t="n"/>
      <c r="E154" s="19" t="n"/>
      <c r="F154" s="19" t="n"/>
      <c r="G154" s="19" t="n"/>
      <c r="H154" s="19" t="n"/>
      <c r="I154" s="19" t="n"/>
      <c r="J154" s="19" t="n"/>
      <c r="K154" s="19" t="n"/>
      <c r="L154" s="35" t="n"/>
      <c r="M154" s="5">
        <f>IF($D154="","",IFERROR(VLOOKUP($H154,Lists!$N$2:$O$6,2,FALSE),0))</f>
        <v/>
      </c>
      <c r="N154" s="5">
        <f>IF($D154="","",IF(OR($E154="Blocked",$E154="Done",$E154="Archive"),-9999,IF(AND($E154="Waiting",SUMPRODUCT((($E$5:$E$500="Next")+($E$5:$E$500="In Progress")+($E$5:$E$500="Captured"))*($D$5:$D$500&lt;&gt;""))&gt;0),-500,VLOOKUP($F154,Lists!$L$2:$M$4,2,FALSE)+IF($E154="In Progress",10,0)+IF(AND($I154&lt;&gt;"",$I154&lt;TODAY()),25,0)+IF(AND($I154&lt;&gt;"",$I154&gt;=TODAY(),$I154&lt;=TODAY()+7),15,0)+IF($M154&lt;=VLOOKUP(Home!$C$7,Lists!$N$2:$O$6,2,FALSE),20,-10)+IF($G154=Home!$E$7,15,IF(Home!$E$7="",0,-5))-ROW()/100000)))</f>
        <v/>
      </c>
      <c r="O154" s="5">
        <f>IF($D154="","",IF($N154&lt;=-500,"Not recommended right now",IF($E154="Waiting","Nothing else actionable right now — Waiting on: "&amp;IF($K154="","this item",$K154),TEXTJOIN(" • ",TRUE,IF($F154="High","High Priority",""),IF(AND($I154&lt;&gt;"",$I154&lt;TODAY()),"Overdue",""),IF(AND($I154&lt;&gt;"",$I154&gt;=TODAY(),$I154&lt;=TODAY()+7),"Due This Week",""),IF($M154&lt;=VLOOKUP(Home!$C$7,Lists!$N$2:$O$6,2,FALSE),$H154&amp;" Task",""),IF($G154=Home!$E$7,"Fits Current Energy",""),"No Blockers"))))</f>
        <v/>
      </c>
      <c r="P154" s="5">
        <f>IF($D154="","",SWITCH('Task Finder'!$C$6,"High Priority",AND($F154="High",$E154&lt;&gt;"Done",$E154&lt;&gt;"Archive"),"Due This Week",AND($I154&lt;&gt;"",$I154&gt;=TODAY(),$I154&lt;=TODAY()+7,$E154&lt;&gt;"Done"),"Quick Wins (15 mins or less)",AND($M154&lt;=15,$E154&lt;&gt;"Done",$E154&lt;&gt;"Blocked"),"Deep Thinking",AND($G154="Deep Thinking",$E154&lt;&gt;"Done"),"Processing",AND($G154="Processing",$E154&lt;&gt;"Done"),"Blocked",$E154="Blocked","Waiting",$E154="Waiting","Recently Updated",AND($L154&lt;&gt;"",$L154&gt;=TODAY()-7),"Keyword",AND('Task Finder'!$C$7&lt;&gt;"",OR(ISNUMBER(SEARCH('Task Finder'!$C$7,$A154)),ISNUMBER(SEARCH('Task Finder'!$C$7,$B154)),ISNUMBER(SEARCH('Task Finder'!$C$7,$C154)),ISNUMBER(SEARCH('Task Finder'!$C$7,$D154)),ISNUMBER(SEARCH('Task Finder'!$C$7,$K154)))),TRUE))</f>
        <v/>
      </c>
    </row>
    <row r="155">
      <c r="A155" s="19" t="n"/>
      <c r="B155" s="19" t="n"/>
      <c r="C155" s="19" t="n"/>
      <c r="D155" s="19" t="n"/>
      <c r="E155" s="19" t="n"/>
      <c r="F155" s="19" t="n"/>
      <c r="G155" s="19" t="n"/>
      <c r="H155" s="19" t="n"/>
      <c r="I155" s="19" t="n"/>
      <c r="J155" s="19" t="n"/>
      <c r="K155" s="19" t="n"/>
      <c r="L155" s="35" t="n"/>
      <c r="M155" s="5">
        <f>IF($D155="","",IFERROR(VLOOKUP($H155,Lists!$N$2:$O$6,2,FALSE),0))</f>
        <v/>
      </c>
      <c r="N155" s="5">
        <f>IF($D155="","",IF(OR($E155="Blocked",$E155="Done",$E155="Archive"),-9999,IF(AND($E155="Waiting",SUMPRODUCT((($E$5:$E$500="Next")+($E$5:$E$500="In Progress")+($E$5:$E$500="Captured"))*($D$5:$D$500&lt;&gt;""))&gt;0),-500,VLOOKUP($F155,Lists!$L$2:$M$4,2,FALSE)+IF($E155="In Progress",10,0)+IF(AND($I155&lt;&gt;"",$I155&lt;TODAY()),25,0)+IF(AND($I155&lt;&gt;"",$I155&gt;=TODAY(),$I155&lt;=TODAY()+7),15,0)+IF($M155&lt;=VLOOKUP(Home!$C$7,Lists!$N$2:$O$6,2,FALSE),20,-10)+IF($G155=Home!$E$7,15,IF(Home!$E$7="",0,-5))-ROW()/100000)))</f>
        <v/>
      </c>
      <c r="O155" s="5">
        <f>IF($D155="","",IF($N155&lt;=-500,"Not recommended right now",IF($E155="Waiting","Nothing else actionable right now — Waiting on: "&amp;IF($K155="","this item",$K155),TEXTJOIN(" • ",TRUE,IF($F155="High","High Priority",""),IF(AND($I155&lt;&gt;"",$I155&lt;TODAY()),"Overdue",""),IF(AND($I155&lt;&gt;"",$I155&gt;=TODAY(),$I155&lt;=TODAY()+7),"Due This Week",""),IF($M155&lt;=VLOOKUP(Home!$C$7,Lists!$N$2:$O$6,2,FALSE),$H155&amp;" Task",""),IF($G155=Home!$E$7,"Fits Current Energy",""),"No Blockers"))))</f>
        <v/>
      </c>
      <c r="P155" s="5">
        <f>IF($D155="","",SWITCH('Task Finder'!$C$6,"High Priority",AND($F155="High",$E155&lt;&gt;"Done",$E155&lt;&gt;"Archive"),"Due This Week",AND($I155&lt;&gt;"",$I155&gt;=TODAY(),$I155&lt;=TODAY()+7,$E155&lt;&gt;"Done"),"Quick Wins (15 mins or less)",AND($M155&lt;=15,$E155&lt;&gt;"Done",$E155&lt;&gt;"Blocked"),"Deep Thinking",AND($G155="Deep Thinking",$E155&lt;&gt;"Done"),"Processing",AND($G155="Processing",$E155&lt;&gt;"Done"),"Blocked",$E155="Blocked","Waiting",$E155="Waiting","Recently Updated",AND($L155&lt;&gt;"",$L155&gt;=TODAY()-7),"Keyword",AND('Task Finder'!$C$7&lt;&gt;"",OR(ISNUMBER(SEARCH('Task Finder'!$C$7,$A155)),ISNUMBER(SEARCH('Task Finder'!$C$7,$B155)),ISNUMBER(SEARCH('Task Finder'!$C$7,$C155)),ISNUMBER(SEARCH('Task Finder'!$C$7,$D155)),ISNUMBER(SEARCH('Task Finder'!$C$7,$K155)))),TRUE))</f>
        <v/>
      </c>
    </row>
    <row r="156">
      <c r="A156" s="19" t="n"/>
      <c r="B156" s="19" t="n"/>
      <c r="C156" s="19" t="n"/>
      <c r="D156" s="19" t="n"/>
      <c r="E156" s="19" t="n"/>
      <c r="F156" s="19" t="n"/>
      <c r="G156" s="19" t="n"/>
      <c r="H156" s="19" t="n"/>
      <c r="I156" s="19" t="n"/>
      <c r="J156" s="19" t="n"/>
      <c r="K156" s="19" t="n"/>
      <c r="L156" s="35" t="n"/>
      <c r="M156" s="5">
        <f>IF($D156="","",IFERROR(VLOOKUP($H156,Lists!$N$2:$O$6,2,FALSE),0))</f>
        <v/>
      </c>
      <c r="N156" s="5">
        <f>IF($D156="","",IF(OR($E156="Blocked",$E156="Done",$E156="Archive"),-9999,IF(AND($E156="Waiting",SUMPRODUCT((($E$5:$E$500="Next")+($E$5:$E$500="In Progress")+($E$5:$E$500="Captured"))*($D$5:$D$500&lt;&gt;""))&gt;0),-500,VLOOKUP($F156,Lists!$L$2:$M$4,2,FALSE)+IF($E156="In Progress",10,0)+IF(AND($I156&lt;&gt;"",$I156&lt;TODAY()),25,0)+IF(AND($I156&lt;&gt;"",$I156&gt;=TODAY(),$I156&lt;=TODAY()+7),15,0)+IF($M156&lt;=VLOOKUP(Home!$C$7,Lists!$N$2:$O$6,2,FALSE),20,-10)+IF($G156=Home!$E$7,15,IF(Home!$E$7="",0,-5))-ROW()/100000)))</f>
        <v/>
      </c>
      <c r="O156" s="5">
        <f>IF($D156="","",IF($N156&lt;=-500,"Not recommended right now",IF($E156="Waiting","Nothing else actionable right now — Waiting on: "&amp;IF($K156="","this item",$K156),TEXTJOIN(" • ",TRUE,IF($F156="High","High Priority",""),IF(AND($I156&lt;&gt;"",$I156&lt;TODAY()),"Overdue",""),IF(AND($I156&lt;&gt;"",$I156&gt;=TODAY(),$I156&lt;=TODAY()+7),"Due This Week",""),IF($M156&lt;=VLOOKUP(Home!$C$7,Lists!$N$2:$O$6,2,FALSE),$H156&amp;" Task",""),IF($G156=Home!$E$7,"Fits Current Energy",""),"No Blockers"))))</f>
        <v/>
      </c>
      <c r="P156" s="5">
        <f>IF($D156="","",SWITCH('Task Finder'!$C$6,"High Priority",AND($F156="High",$E156&lt;&gt;"Done",$E156&lt;&gt;"Archive"),"Due This Week",AND($I156&lt;&gt;"",$I156&gt;=TODAY(),$I156&lt;=TODAY()+7,$E156&lt;&gt;"Done"),"Quick Wins (15 mins or less)",AND($M156&lt;=15,$E156&lt;&gt;"Done",$E156&lt;&gt;"Blocked"),"Deep Thinking",AND($G156="Deep Thinking",$E156&lt;&gt;"Done"),"Processing",AND($G156="Processing",$E156&lt;&gt;"Done"),"Blocked",$E156="Blocked","Waiting",$E156="Waiting","Recently Updated",AND($L156&lt;&gt;"",$L156&gt;=TODAY()-7),"Keyword",AND('Task Finder'!$C$7&lt;&gt;"",OR(ISNUMBER(SEARCH('Task Finder'!$C$7,$A156)),ISNUMBER(SEARCH('Task Finder'!$C$7,$B156)),ISNUMBER(SEARCH('Task Finder'!$C$7,$C156)),ISNUMBER(SEARCH('Task Finder'!$C$7,$D156)),ISNUMBER(SEARCH('Task Finder'!$C$7,$K156)))),TRUE))</f>
        <v/>
      </c>
    </row>
    <row r="157">
      <c r="A157" s="19" t="n"/>
      <c r="B157" s="19" t="n"/>
      <c r="C157" s="19" t="n"/>
      <c r="D157" s="19" t="n"/>
      <c r="E157" s="19" t="n"/>
      <c r="F157" s="19" t="n"/>
      <c r="G157" s="19" t="n"/>
      <c r="H157" s="19" t="n"/>
      <c r="I157" s="19" t="n"/>
      <c r="J157" s="19" t="n"/>
      <c r="K157" s="19" t="n"/>
      <c r="L157" s="35" t="n"/>
      <c r="M157" s="5">
        <f>IF($D157="","",IFERROR(VLOOKUP($H157,Lists!$N$2:$O$6,2,FALSE),0))</f>
        <v/>
      </c>
      <c r="N157" s="5">
        <f>IF($D157="","",IF(OR($E157="Blocked",$E157="Done",$E157="Archive"),-9999,IF(AND($E157="Waiting",SUMPRODUCT((($E$5:$E$500="Next")+($E$5:$E$500="In Progress")+($E$5:$E$500="Captured"))*($D$5:$D$500&lt;&gt;""))&gt;0),-500,VLOOKUP($F157,Lists!$L$2:$M$4,2,FALSE)+IF($E157="In Progress",10,0)+IF(AND($I157&lt;&gt;"",$I157&lt;TODAY()),25,0)+IF(AND($I157&lt;&gt;"",$I157&gt;=TODAY(),$I157&lt;=TODAY()+7),15,0)+IF($M157&lt;=VLOOKUP(Home!$C$7,Lists!$N$2:$O$6,2,FALSE),20,-10)+IF($G157=Home!$E$7,15,IF(Home!$E$7="",0,-5))-ROW()/100000)))</f>
        <v/>
      </c>
      <c r="O157" s="5">
        <f>IF($D157="","",IF($N157&lt;=-500,"Not recommended right now",IF($E157="Waiting","Nothing else actionable right now — Waiting on: "&amp;IF($K157="","this item",$K157),TEXTJOIN(" • ",TRUE,IF($F157="High","High Priority",""),IF(AND($I157&lt;&gt;"",$I157&lt;TODAY()),"Overdue",""),IF(AND($I157&lt;&gt;"",$I157&gt;=TODAY(),$I157&lt;=TODAY()+7),"Due This Week",""),IF($M157&lt;=VLOOKUP(Home!$C$7,Lists!$N$2:$O$6,2,FALSE),$H157&amp;" Task",""),IF($G157=Home!$E$7,"Fits Current Energy",""),"No Blockers"))))</f>
        <v/>
      </c>
      <c r="P157" s="5">
        <f>IF($D157="","",SWITCH('Task Finder'!$C$6,"High Priority",AND($F157="High",$E157&lt;&gt;"Done",$E157&lt;&gt;"Archive"),"Due This Week",AND($I157&lt;&gt;"",$I157&gt;=TODAY(),$I157&lt;=TODAY()+7,$E157&lt;&gt;"Done"),"Quick Wins (15 mins or less)",AND($M157&lt;=15,$E157&lt;&gt;"Done",$E157&lt;&gt;"Blocked"),"Deep Thinking",AND($G157="Deep Thinking",$E157&lt;&gt;"Done"),"Processing",AND($G157="Processing",$E157&lt;&gt;"Done"),"Blocked",$E157="Blocked","Waiting",$E157="Waiting","Recently Updated",AND($L157&lt;&gt;"",$L157&gt;=TODAY()-7),"Keyword",AND('Task Finder'!$C$7&lt;&gt;"",OR(ISNUMBER(SEARCH('Task Finder'!$C$7,$A157)),ISNUMBER(SEARCH('Task Finder'!$C$7,$B157)),ISNUMBER(SEARCH('Task Finder'!$C$7,$C157)),ISNUMBER(SEARCH('Task Finder'!$C$7,$D157)),ISNUMBER(SEARCH('Task Finder'!$C$7,$K157)))),TRUE))</f>
        <v/>
      </c>
    </row>
    <row r="158">
      <c r="A158" s="19" t="n"/>
      <c r="B158" s="19" t="n"/>
      <c r="C158" s="19" t="n"/>
      <c r="D158" s="19" t="n"/>
      <c r="E158" s="19" t="n"/>
      <c r="F158" s="19" t="n"/>
      <c r="G158" s="19" t="n"/>
      <c r="H158" s="19" t="n"/>
      <c r="I158" s="19" t="n"/>
      <c r="J158" s="19" t="n"/>
      <c r="K158" s="19" t="n"/>
      <c r="L158" s="35" t="n"/>
      <c r="M158" s="5">
        <f>IF($D158="","",IFERROR(VLOOKUP($H158,Lists!$N$2:$O$6,2,FALSE),0))</f>
        <v/>
      </c>
      <c r="N158" s="5">
        <f>IF($D158="","",IF(OR($E158="Blocked",$E158="Done",$E158="Archive"),-9999,IF(AND($E158="Waiting",SUMPRODUCT((($E$5:$E$500="Next")+($E$5:$E$500="In Progress")+($E$5:$E$500="Captured"))*($D$5:$D$500&lt;&gt;""))&gt;0),-500,VLOOKUP($F158,Lists!$L$2:$M$4,2,FALSE)+IF($E158="In Progress",10,0)+IF(AND($I158&lt;&gt;"",$I158&lt;TODAY()),25,0)+IF(AND($I158&lt;&gt;"",$I158&gt;=TODAY(),$I158&lt;=TODAY()+7),15,0)+IF($M158&lt;=VLOOKUP(Home!$C$7,Lists!$N$2:$O$6,2,FALSE),20,-10)+IF($G158=Home!$E$7,15,IF(Home!$E$7="",0,-5))-ROW()/100000)))</f>
        <v/>
      </c>
      <c r="O158" s="5">
        <f>IF($D158="","",IF($N158&lt;=-500,"Not recommended right now",IF($E158="Waiting","Nothing else actionable right now — Waiting on: "&amp;IF($K158="","this item",$K158),TEXTJOIN(" • ",TRUE,IF($F158="High","High Priority",""),IF(AND($I158&lt;&gt;"",$I158&lt;TODAY()),"Overdue",""),IF(AND($I158&lt;&gt;"",$I158&gt;=TODAY(),$I158&lt;=TODAY()+7),"Due This Week",""),IF($M158&lt;=VLOOKUP(Home!$C$7,Lists!$N$2:$O$6,2,FALSE),$H158&amp;" Task",""),IF($G158=Home!$E$7,"Fits Current Energy",""),"No Blockers"))))</f>
        <v/>
      </c>
      <c r="P158" s="5">
        <f>IF($D158="","",SWITCH('Task Finder'!$C$6,"High Priority",AND($F158="High",$E158&lt;&gt;"Done",$E158&lt;&gt;"Archive"),"Due This Week",AND($I158&lt;&gt;"",$I158&gt;=TODAY(),$I158&lt;=TODAY()+7,$E158&lt;&gt;"Done"),"Quick Wins (15 mins or less)",AND($M158&lt;=15,$E158&lt;&gt;"Done",$E158&lt;&gt;"Blocked"),"Deep Thinking",AND($G158="Deep Thinking",$E158&lt;&gt;"Done"),"Processing",AND($G158="Processing",$E158&lt;&gt;"Done"),"Blocked",$E158="Blocked","Waiting",$E158="Waiting","Recently Updated",AND($L158&lt;&gt;"",$L158&gt;=TODAY()-7),"Keyword",AND('Task Finder'!$C$7&lt;&gt;"",OR(ISNUMBER(SEARCH('Task Finder'!$C$7,$A158)),ISNUMBER(SEARCH('Task Finder'!$C$7,$B158)),ISNUMBER(SEARCH('Task Finder'!$C$7,$C158)),ISNUMBER(SEARCH('Task Finder'!$C$7,$D158)),ISNUMBER(SEARCH('Task Finder'!$C$7,$K158)))),TRUE))</f>
        <v/>
      </c>
    </row>
    <row r="159">
      <c r="A159" s="19" t="n"/>
      <c r="B159" s="19" t="n"/>
      <c r="C159" s="19" t="n"/>
      <c r="D159" s="19" t="n"/>
      <c r="E159" s="19" t="n"/>
      <c r="F159" s="19" t="n"/>
      <c r="G159" s="19" t="n"/>
      <c r="H159" s="19" t="n"/>
      <c r="I159" s="19" t="n"/>
      <c r="J159" s="19" t="n"/>
      <c r="K159" s="19" t="n"/>
      <c r="L159" s="35" t="n"/>
      <c r="M159" s="5">
        <f>IF($D159="","",IFERROR(VLOOKUP($H159,Lists!$N$2:$O$6,2,FALSE),0))</f>
        <v/>
      </c>
      <c r="N159" s="5">
        <f>IF($D159="","",IF(OR($E159="Blocked",$E159="Done",$E159="Archive"),-9999,IF(AND($E159="Waiting",SUMPRODUCT((($E$5:$E$500="Next")+($E$5:$E$500="In Progress")+($E$5:$E$500="Captured"))*($D$5:$D$500&lt;&gt;""))&gt;0),-500,VLOOKUP($F159,Lists!$L$2:$M$4,2,FALSE)+IF($E159="In Progress",10,0)+IF(AND($I159&lt;&gt;"",$I159&lt;TODAY()),25,0)+IF(AND($I159&lt;&gt;"",$I159&gt;=TODAY(),$I159&lt;=TODAY()+7),15,0)+IF($M159&lt;=VLOOKUP(Home!$C$7,Lists!$N$2:$O$6,2,FALSE),20,-10)+IF($G159=Home!$E$7,15,IF(Home!$E$7="",0,-5))-ROW()/100000)))</f>
        <v/>
      </c>
      <c r="O159" s="5">
        <f>IF($D159="","",IF($N159&lt;=-500,"Not recommended right now",IF($E159="Waiting","Nothing else actionable right now — Waiting on: "&amp;IF($K159="","this item",$K159),TEXTJOIN(" • ",TRUE,IF($F159="High","High Priority",""),IF(AND($I159&lt;&gt;"",$I159&lt;TODAY()),"Overdue",""),IF(AND($I159&lt;&gt;"",$I159&gt;=TODAY(),$I159&lt;=TODAY()+7),"Due This Week",""),IF($M159&lt;=VLOOKUP(Home!$C$7,Lists!$N$2:$O$6,2,FALSE),$H159&amp;" Task",""),IF($G159=Home!$E$7,"Fits Current Energy",""),"No Blockers"))))</f>
        <v/>
      </c>
      <c r="P159" s="5">
        <f>IF($D159="","",SWITCH('Task Finder'!$C$6,"High Priority",AND($F159="High",$E159&lt;&gt;"Done",$E159&lt;&gt;"Archive"),"Due This Week",AND($I159&lt;&gt;"",$I159&gt;=TODAY(),$I159&lt;=TODAY()+7,$E159&lt;&gt;"Done"),"Quick Wins (15 mins or less)",AND($M159&lt;=15,$E159&lt;&gt;"Done",$E159&lt;&gt;"Blocked"),"Deep Thinking",AND($G159="Deep Thinking",$E159&lt;&gt;"Done"),"Processing",AND($G159="Processing",$E159&lt;&gt;"Done"),"Blocked",$E159="Blocked","Waiting",$E159="Waiting","Recently Updated",AND($L159&lt;&gt;"",$L159&gt;=TODAY()-7),"Keyword",AND('Task Finder'!$C$7&lt;&gt;"",OR(ISNUMBER(SEARCH('Task Finder'!$C$7,$A159)),ISNUMBER(SEARCH('Task Finder'!$C$7,$B159)),ISNUMBER(SEARCH('Task Finder'!$C$7,$C159)),ISNUMBER(SEARCH('Task Finder'!$C$7,$D159)),ISNUMBER(SEARCH('Task Finder'!$C$7,$K159)))),TRUE))</f>
        <v/>
      </c>
    </row>
    <row r="160">
      <c r="A160" s="19" t="n"/>
      <c r="B160" s="19" t="n"/>
      <c r="C160" s="19" t="n"/>
      <c r="D160" s="19" t="n"/>
      <c r="E160" s="19" t="n"/>
      <c r="F160" s="19" t="n"/>
      <c r="G160" s="19" t="n"/>
      <c r="H160" s="19" t="n"/>
      <c r="I160" s="19" t="n"/>
      <c r="J160" s="19" t="n"/>
      <c r="K160" s="19" t="n"/>
      <c r="L160" s="35" t="n"/>
      <c r="M160" s="5">
        <f>IF($D160="","",IFERROR(VLOOKUP($H160,Lists!$N$2:$O$6,2,FALSE),0))</f>
        <v/>
      </c>
      <c r="N160" s="5">
        <f>IF($D160="","",IF(OR($E160="Blocked",$E160="Done",$E160="Archive"),-9999,IF(AND($E160="Waiting",SUMPRODUCT((($E$5:$E$500="Next")+($E$5:$E$500="In Progress")+($E$5:$E$500="Captured"))*($D$5:$D$500&lt;&gt;""))&gt;0),-500,VLOOKUP($F160,Lists!$L$2:$M$4,2,FALSE)+IF($E160="In Progress",10,0)+IF(AND($I160&lt;&gt;"",$I160&lt;TODAY()),25,0)+IF(AND($I160&lt;&gt;"",$I160&gt;=TODAY(),$I160&lt;=TODAY()+7),15,0)+IF($M160&lt;=VLOOKUP(Home!$C$7,Lists!$N$2:$O$6,2,FALSE),20,-10)+IF($G160=Home!$E$7,15,IF(Home!$E$7="",0,-5))-ROW()/100000)))</f>
        <v/>
      </c>
      <c r="O160" s="5">
        <f>IF($D160="","",IF($N160&lt;=-500,"Not recommended right now",IF($E160="Waiting","Nothing else actionable right now — Waiting on: "&amp;IF($K160="","this item",$K160),TEXTJOIN(" • ",TRUE,IF($F160="High","High Priority",""),IF(AND($I160&lt;&gt;"",$I160&lt;TODAY()),"Overdue",""),IF(AND($I160&lt;&gt;"",$I160&gt;=TODAY(),$I160&lt;=TODAY()+7),"Due This Week",""),IF($M160&lt;=VLOOKUP(Home!$C$7,Lists!$N$2:$O$6,2,FALSE),$H160&amp;" Task",""),IF($G160=Home!$E$7,"Fits Current Energy",""),"No Blockers"))))</f>
        <v/>
      </c>
      <c r="P160" s="5">
        <f>IF($D160="","",SWITCH('Task Finder'!$C$6,"High Priority",AND($F160="High",$E160&lt;&gt;"Done",$E160&lt;&gt;"Archive"),"Due This Week",AND($I160&lt;&gt;"",$I160&gt;=TODAY(),$I160&lt;=TODAY()+7,$E160&lt;&gt;"Done"),"Quick Wins (15 mins or less)",AND($M160&lt;=15,$E160&lt;&gt;"Done",$E160&lt;&gt;"Blocked"),"Deep Thinking",AND($G160="Deep Thinking",$E160&lt;&gt;"Done"),"Processing",AND($G160="Processing",$E160&lt;&gt;"Done"),"Blocked",$E160="Blocked","Waiting",$E160="Waiting","Recently Updated",AND($L160&lt;&gt;"",$L160&gt;=TODAY()-7),"Keyword",AND('Task Finder'!$C$7&lt;&gt;"",OR(ISNUMBER(SEARCH('Task Finder'!$C$7,$A160)),ISNUMBER(SEARCH('Task Finder'!$C$7,$B160)),ISNUMBER(SEARCH('Task Finder'!$C$7,$C160)),ISNUMBER(SEARCH('Task Finder'!$C$7,$D160)),ISNUMBER(SEARCH('Task Finder'!$C$7,$K160)))),TRUE))</f>
        <v/>
      </c>
    </row>
    <row r="161">
      <c r="A161" s="19" t="n"/>
      <c r="B161" s="19" t="n"/>
      <c r="C161" s="19" t="n"/>
      <c r="D161" s="19" t="n"/>
      <c r="E161" s="19" t="n"/>
      <c r="F161" s="19" t="n"/>
      <c r="G161" s="19" t="n"/>
      <c r="H161" s="19" t="n"/>
      <c r="I161" s="19" t="n"/>
      <c r="J161" s="19" t="n"/>
      <c r="K161" s="19" t="n"/>
      <c r="L161" s="35" t="n"/>
      <c r="M161" s="5">
        <f>IF($D161="","",IFERROR(VLOOKUP($H161,Lists!$N$2:$O$6,2,FALSE),0))</f>
        <v/>
      </c>
      <c r="N161" s="5">
        <f>IF($D161="","",IF(OR($E161="Blocked",$E161="Done",$E161="Archive"),-9999,IF(AND($E161="Waiting",SUMPRODUCT((($E$5:$E$500="Next")+($E$5:$E$500="In Progress")+($E$5:$E$500="Captured"))*($D$5:$D$500&lt;&gt;""))&gt;0),-500,VLOOKUP($F161,Lists!$L$2:$M$4,2,FALSE)+IF($E161="In Progress",10,0)+IF(AND($I161&lt;&gt;"",$I161&lt;TODAY()),25,0)+IF(AND($I161&lt;&gt;"",$I161&gt;=TODAY(),$I161&lt;=TODAY()+7),15,0)+IF($M161&lt;=VLOOKUP(Home!$C$7,Lists!$N$2:$O$6,2,FALSE),20,-10)+IF($G161=Home!$E$7,15,IF(Home!$E$7="",0,-5))-ROW()/100000)))</f>
        <v/>
      </c>
      <c r="O161" s="5">
        <f>IF($D161="","",IF($N161&lt;=-500,"Not recommended right now",IF($E161="Waiting","Nothing else actionable right now — Waiting on: "&amp;IF($K161="","this item",$K161),TEXTJOIN(" • ",TRUE,IF($F161="High","High Priority",""),IF(AND($I161&lt;&gt;"",$I161&lt;TODAY()),"Overdue",""),IF(AND($I161&lt;&gt;"",$I161&gt;=TODAY(),$I161&lt;=TODAY()+7),"Due This Week",""),IF($M161&lt;=VLOOKUP(Home!$C$7,Lists!$N$2:$O$6,2,FALSE),$H161&amp;" Task",""),IF($G161=Home!$E$7,"Fits Current Energy",""),"No Blockers"))))</f>
        <v/>
      </c>
      <c r="P161" s="5">
        <f>IF($D161="","",SWITCH('Task Finder'!$C$6,"High Priority",AND($F161="High",$E161&lt;&gt;"Done",$E161&lt;&gt;"Archive"),"Due This Week",AND($I161&lt;&gt;"",$I161&gt;=TODAY(),$I161&lt;=TODAY()+7,$E161&lt;&gt;"Done"),"Quick Wins (15 mins or less)",AND($M161&lt;=15,$E161&lt;&gt;"Done",$E161&lt;&gt;"Blocked"),"Deep Thinking",AND($G161="Deep Thinking",$E161&lt;&gt;"Done"),"Processing",AND($G161="Processing",$E161&lt;&gt;"Done"),"Blocked",$E161="Blocked","Waiting",$E161="Waiting","Recently Updated",AND($L161&lt;&gt;"",$L161&gt;=TODAY()-7),"Keyword",AND('Task Finder'!$C$7&lt;&gt;"",OR(ISNUMBER(SEARCH('Task Finder'!$C$7,$A161)),ISNUMBER(SEARCH('Task Finder'!$C$7,$B161)),ISNUMBER(SEARCH('Task Finder'!$C$7,$C161)),ISNUMBER(SEARCH('Task Finder'!$C$7,$D161)),ISNUMBER(SEARCH('Task Finder'!$C$7,$K161)))),TRUE))</f>
        <v/>
      </c>
    </row>
    <row r="162">
      <c r="A162" s="19" t="n"/>
      <c r="B162" s="19" t="n"/>
      <c r="C162" s="19" t="n"/>
      <c r="D162" s="19" t="n"/>
      <c r="E162" s="19" t="n"/>
      <c r="F162" s="19" t="n"/>
      <c r="G162" s="19" t="n"/>
      <c r="H162" s="19" t="n"/>
      <c r="I162" s="19" t="n"/>
      <c r="J162" s="19" t="n"/>
      <c r="K162" s="19" t="n"/>
      <c r="L162" s="35" t="n"/>
      <c r="M162" s="5">
        <f>IF($D162="","",IFERROR(VLOOKUP($H162,Lists!$N$2:$O$6,2,FALSE),0))</f>
        <v/>
      </c>
      <c r="N162" s="5">
        <f>IF($D162="","",IF(OR($E162="Blocked",$E162="Done",$E162="Archive"),-9999,IF(AND($E162="Waiting",SUMPRODUCT((($E$5:$E$500="Next")+($E$5:$E$500="In Progress")+($E$5:$E$500="Captured"))*($D$5:$D$500&lt;&gt;""))&gt;0),-500,VLOOKUP($F162,Lists!$L$2:$M$4,2,FALSE)+IF($E162="In Progress",10,0)+IF(AND($I162&lt;&gt;"",$I162&lt;TODAY()),25,0)+IF(AND($I162&lt;&gt;"",$I162&gt;=TODAY(),$I162&lt;=TODAY()+7),15,0)+IF($M162&lt;=VLOOKUP(Home!$C$7,Lists!$N$2:$O$6,2,FALSE),20,-10)+IF($G162=Home!$E$7,15,IF(Home!$E$7="",0,-5))-ROW()/100000)))</f>
        <v/>
      </c>
      <c r="O162" s="5">
        <f>IF($D162="","",IF($N162&lt;=-500,"Not recommended right now",IF($E162="Waiting","Nothing else actionable right now — Waiting on: "&amp;IF($K162="","this item",$K162),TEXTJOIN(" • ",TRUE,IF($F162="High","High Priority",""),IF(AND($I162&lt;&gt;"",$I162&lt;TODAY()),"Overdue",""),IF(AND($I162&lt;&gt;"",$I162&gt;=TODAY(),$I162&lt;=TODAY()+7),"Due This Week",""),IF($M162&lt;=VLOOKUP(Home!$C$7,Lists!$N$2:$O$6,2,FALSE),$H162&amp;" Task",""),IF($G162=Home!$E$7,"Fits Current Energy",""),"No Blockers"))))</f>
        <v/>
      </c>
      <c r="P162" s="5">
        <f>IF($D162="","",SWITCH('Task Finder'!$C$6,"High Priority",AND($F162="High",$E162&lt;&gt;"Done",$E162&lt;&gt;"Archive"),"Due This Week",AND($I162&lt;&gt;"",$I162&gt;=TODAY(),$I162&lt;=TODAY()+7,$E162&lt;&gt;"Done"),"Quick Wins (15 mins or less)",AND($M162&lt;=15,$E162&lt;&gt;"Done",$E162&lt;&gt;"Blocked"),"Deep Thinking",AND($G162="Deep Thinking",$E162&lt;&gt;"Done"),"Processing",AND($G162="Processing",$E162&lt;&gt;"Done"),"Blocked",$E162="Blocked","Waiting",$E162="Waiting","Recently Updated",AND($L162&lt;&gt;"",$L162&gt;=TODAY()-7),"Keyword",AND('Task Finder'!$C$7&lt;&gt;"",OR(ISNUMBER(SEARCH('Task Finder'!$C$7,$A162)),ISNUMBER(SEARCH('Task Finder'!$C$7,$B162)),ISNUMBER(SEARCH('Task Finder'!$C$7,$C162)),ISNUMBER(SEARCH('Task Finder'!$C$7,$D162)),ISNUMBER(SEARCH('Task Finder'!$C$7,$K162)))),TRUE))</f>
        <v/>
      </c>
    </row>
    <row r="163">
      <c r="A163" s="19" t="n"/>
      <c r="B163" s="19" t="n"/>
      <c r="C163" s="19" t="n"/>
      <c r="D163" s="19" t="n"/>
      <c r="E163" s="19" t="n"/>
      <c r="F163" s="19" t="n"/>
      <c r="G163" s="19" t="n"/>
      <c r="H163" s="19" t="n"/>
      <c r="I163" s="19" t="n"/>
      <c r="J163" s="19" t="n"/>
      <c r="K163" s="19" t="n"/>
      <c r="L163" s="35" t="n"/>
      <c r="M163" s="5">
        <f>IF($D163="","",IFERROR(VLOOKUP($H163,Lists!$N$2:$O$6,2,FALSE),0))</f>
        <v/>
      </c>
      <c r="N163" s="5">
        <f>IF($D163="","",IF(OR($E163="Blocked",$E163="Done",$E163="Archive"),-9999,IF(AND($E163="Waiting",SUMPRODUCT((($E$5:$E$500="Next")+($E$5:$E$500="In Progress")+($E$5:$E$500="Captured"))*($D$5:$D$500&lt;&gt;""))&gt;0),-500,VLOOKUP($F163,Lists!$L$2:$M$4,2,FALSE)+IF($E163="In Progress",10,0)+IF(AND($I163&lt;&gt;"",$I163&lt;TODAY()),25,0)+IF(AND($I163&lt;&gt;"",$I163&gt;=TODAY(),$I163&lt;=TODAY()+7),15,0)+IF($M163&lt;=VLOOKUP(Home!$C$7,Lists!$N$2:$O$6,2,FALSE),20,-10)+IF($G163=Home!$E$7,15,IF(Home!$E$7="",0,-5))-ROW()/100000)))</f>
        <v/>
      </c>
      <c r="O163" s="5">
        <f>IF($D163="","",IF($N163&lt;=-500,"Not recommended right now",IF($E163="Waiting","Nothing else actionable right now — Waiting on: "&amp;IF($K163="","this item",$K163),TEXTJOIN(" • ",TRUE,IF($F163="High","High Priority",""),IF(AND($I163&lt;&gt;"",$I163&lt;TODAY()),"Overdue",""),IF(AND($I163&lt;&gt;"",$I163&gt;=TODAY(),$I163&lt;=TODAY()+7),"Due This Week",""),IF($M163&lt;=VLOOKUP(Home!$C$7,Lists!$N$2:$O$6,2,FALSE),$H163&amp;" Task",""),IF($G163=Home!$E$7,"Fits Current Energy",""),"No Blockers"))))</f>
        <v/>
      </c>
      <c r="P163" s="5">
        <f>IF($D163="","",SWITCH('Task Finder'!$C$6,"High Priority",AND($F163="High",$E163&lt;&gt;"Done",$E163&lt;&gt;"Archive"),"Due This Week",AND($I163&lt;&gt;"",$I163&gt;=TODAY(),$I163&lt;=TODAY()+7,$E163&lt;&gt;"Done"),"Quick Wins (15 mins or less)",AND($M163&lt;=15,$E163&lt;&gt;"Done",$E163&lt;&gt;"Blocked"),"Deep Thinking",AND($G163="Deep Thinking",$E163&lt;&gt;"Done"),"Processing",AND($G163="Processing",$E163&lt;&gt;"Done"),"Blocked",$E163="Blocked","Waiting",$E163="Waiting","Recently Updated",AND($L163&lt;&gt;"",$L163&gt;=TODAY()-7),"Keyword",AND('Task Finder'!$C$7&lt;&gt;"",OR(ISNUMBER(SEARCH('Task Finder'!$C$7,$A163)),ISNUMBER(SEARCH('Task Finder'!$C$7,$B163)),ISNUMBER(SEARCH('Task Finder'!$C$7,$C163)),ISNUMBER(SEARCH('Task Finder'!$C$7,$D163)),ISNUMBER(SEARCH('Task Finder'!$C$7,$K163)))),TRUE))</f>
        <v/>
      </c>
    </row>
    <row r="164">
      <c r="A164" s="19" t="n"/>
      <c r="B164" s="19" t="n"/>
      <c r="C164" s="19" t="n"/>
      <c r="D164" s="19" t="n"/>
      <c r="E164" s="19" t="n"/>
      <c r="F164" s="19" t="n"/>
      <c r="G164" s="19" t="n"/>
      <c r="H164" s="19" t="n"/>
      <c r="I164" s="19" t="n"/>
      <c r="J164" s="19" t="n"/>
      <c r="K164" s="19" t="n"/>
      <c r="L164" s="35" t="n"/>
      <c r="M164" s="5">
        <f>IF($D164="","",IFERROR(VLOOKUP($H164,Lists!$N$2:$O$6,2,FALSE),0))</f>
        <v/>
      </c>
      <c r="N164" s="5">
        <f>IF($D164="","",IF(OR($E164="Blocked",$E164="Done",$E164="Archive"),-9999,IF(AND($E164="Waiting",SUMPRODUCT((($E$5:$E$500="Next")+($E$5:$E$500="In Progress")+($E$5:$E$500="Captured"))*($D$5:$D$500&lt;&gt;""))&gt;0),-500,VLOOKUP($F164,Lists!$L$2:$M$4,2,FALSE)+IF($E164="In Progress",10,0)+IF(AND($I164&lt;&gt;"",$I164&lt;TODAY()),25,0)+IF(AND($I164&lt;&gt;"",$I164&gt;=TODAY(),$I164&lt;=TODAY()+7),15,0)+IF($M164&lt;=VLOOKUP(Home!$C$7,Lists!$N$2:$O$6,2,FALSE),20,-10)+IF($G164=Home!$E$7,15,IF(Home!$E$7="",0,-5))-ROW()/100000)))</f>
        <v/>
      </c>
      <c r="O164" s="5">
        <f>IF($D164="","",IF($N164&lt;=-500,"Not recommended right now",IF($E164="Waiting","Nothing else actionable right now — Waiting on: "&amp;IF($K164="","this item",$K164),TEXTJOIN(" • ",TRUE,IF($F164="High","High Priority",""),IF(AND($I164&lt;&gt;"",$I164&lt;TODAY()),"Overdue",""),IF(AND($I164&lt;&gt;"",$I164&gt;=TODAY(),$I164&lt;=TODAY()+7),"Due This Week",""),IF($M164&lt;=VLOOKUP(Home!$C$7,Lists!$N$2:$O$6,2,FALSE),$H164&amp;" Task",""),IF($G164=Home!$E$7,"Fits Current Energy",""),"No Blockers"))))</f>
        <v/>
      </c>
      <c r="P164" s="5">
        <f>IF($D164="","",SWITCH('Task Finder'!$C$6,"High Priority",AND($F164="High",$E164&lt;&gt;"Done",$E164&lt;&gt;"Archive"),"Due This Week",AND($I164&lt;&gt;"",$I164&gt;=TODAY(),$I164&lt;=TODAY()+7,$E164&lt;&gt;"Done"),"Quick Wins (15 mins or less)",AND($M164&lt;=15,$E164&lt;&gt;"Done",$E164&lt;&gt;"Blocked"),"Deep Thinking",AND($G164="Deep Thinking",$E164&lt;&gt;"Done"),"Processing",AND($G164="Processing",$E164&lt;&gt;"Done"),"Blocked",$E164="Blocked","Waiting",$E164="Waiting","Recently Updated",AND($L164&lt;&gt;"",$L164&gt;=TODAY()-7),"Keyword",AND('Task Finder'!$C$7&lt;&gt;"",OR(ISNUMBER(SEARCH('Task Finder'!$C$7,$A164)),ISNUMBER(SEARCH('Task Finder'!$C$7,$B164)),ISNUMBER(SEARCH('Task Finder'!$C$7,$C164)),ISNUMBER(SEARCH('Task Finder'!$C$7,$D164)),ISNUMBER(SEARCH('Task Finder'!$C$7,$K164)))),TRUE))</f>
        <v/>
      </c>
    </row>
    <row r="165">
      <c r="A165" s="19" t="n"/>
      <c r="B165" s="19" t="n"/>
      <c r="C165" s="19" t="n"/>
      <c r="D165" s="19" t="n"/>
      <c r="E165" s="19" t="n"/>
      <c r="F165" s="19" t="n"/>
      <c r="G165" s="19" t="n"/>
      <c r="H165" s="19" t="n"/>
      <c r="I165" s="19" t="n"/>
      <c r="J165" s="19" t="n"/>
      <c r="K165" s="19" t="n"/>
      <c r="L165" s="35" t="n"/>
      <c r="M165" s="5">
        <f>IF($D165="","",IFERROR(VLOOKUP($H165,Lists!$N$2:$O$6,2,FALSE),0))</f>
        <v/>
      </c>
      <c r="N165" s="5">
        <f>IF($D165="","",IF(OR($E165="Blocked",$E165="Done",$E165="Archive"),-9999,IF(AND($E165="Waiting",SUMPRODUCT((($E$5:$E$500="Next")+($E$5:$E$500="In Progress")+($E$5:$E$500="Captured"))*($D$5:$D$500&lt;&gt;""))&gt;0),-500,VLOOKUP($F165,Lists!$L$2:$M$4,2,FALSE)+IF($E165="In Progress",10,0)+IF(AND($I165&lt;&gt;"",$I165&lt;TODAY()),25,0)+IF(AND($I165&lt;&gt;"",$I165&gt;=TODAY(),$I165&lt;=TODAY()+7),15,0)+IF($M165&lt;=VLOOKUP(Home!$C$7,Lists!$N$2:$O$6,2,FALSE),20,-10)+IF($G165=Home!$E$7,15,IF(Home!$E$7="",0,-5))-ROW()/100000)))</f>
        <v/>
      </c>
      <c r="O165" s="5">
        <f>IF($D165="","",IF($N165&lt;=-500,"Not recommended right now",IF($E165="Waiting","Nothing else actionable right now — Waiting on: "&amp;IF($K165="","this item",$K165),TEXTJOIN(" • ",TRUE,IF($F165="High","High Priority",""),IF(AND($I165&lt;&gt;"",$I165&lt;TODAY()),"Overdue",""),IF(AND($I165&lt;&gt;"",$I165&gt;=TODAY(),$I165&lt;=TODAY()+7),"Due This Week",""),IF($M165&lt;=VLOOKUP(Home!$C$7,Lists!$N$2:$O$6,2,FALSE),$H165&amp;" Task",""),IF($G165=Home!$E$7,"Fits Current Energy",""),"No Blockers"))))</f>
        <v/>
      </c>
      <c r="P165" s="5">
        <f>IF($D165="","",SWITCH('Task Finder'!$C$6,"High Priority",AND($F165="High",$E165&lt;&gt;"Done",$E165&lt;&gt;"Archive"),"Due This Week",AND($I165&lt;&gt;"",$I165&gt;=TODAY(),$I165&lt;=TODAY()+7,$E165&lt;&gt;"Done"),"Quick Wins (15 mins or less)",AND($M165&lt;=15,$E165&lt;&gt;"Done",$E165&lt;&gt;"Blocked"),"Deep Thinking",AND($G165="Deep Thinking",$E165&lt;&gt;"Done"),"Processing",AND($G165="Processing",$E165&lt;&gt;"Done"),"Blocked",$E165="Blocked","Waiting",$E165="Waiting","Recently Updated",AND($L165&lt;&gt;"",$L165&gt;=TODAY()-7),"Keyword",AND('Task Finder'!$C$7&lt;&gt;"",OR(ISNUMBER(SEARCH('Task Finder'!$C$7,$A165)),ISNUMBER(SEARCH('Task Finder'!$C$7,$B165)),ISNUMBER(SEARCH('Task Finder'!$C$7,$C165)),ISNUMBER(SEARCH('Task Finder'!$C$7,$D165)),ISNUMBER(SEARCH('Task Finder'!$C$7,$K165)))),TRUE))</f>
        <v/>
      </c>
    </row>
    <row r="166">
      <c r="A166" s="19" t="n"/>
      <c r="B166" s="19" t="n"/>
      <c r="C166" s="19" t="n"/>
      <c r="D166" s="19" t="n"/>
      <c r="E166" s="19" t="n"/>
      <c r="F166" s="19" t="n"/>
      <c r="G166" s="19" t="n"/>
      <c r="H166" s="19" t="n"/>
      <c r="I166" s="19" t="n"/>
      <c r="J166" s="19" t="n"/>
      <c r="K166" s="19" t="n"/>
      <c r="L166" s="35" t="n"/>
      <c r="M166" s="5">
        <f>IF($D166="","",IFERROR(VLOOKUP($H166,Lists!$N$2:$O$6,2,FALSE),0))</f>
        <v/>
      </c>
      <c r="N166" s="5">
        <f>IF($D166="","",IF(OR($E166="Blocked",$E166="Done",$E166="Archive"),-9999,IF(AND($E166="Waiting",SUMPRODUCT((($E$5:$E$500="Next")+($E$5:$E$500="In Progress")+($E$5:$E$500="Captured"))*($D$5:$D$500&lt;&gt;""))&gt;0),-500,VLOOKUP($F166,Lists!$L$2:$M$4,2,FALSE)+IF($E166="In Progress",10,0)+IF(AND($I166&lt;&gt;"",$I166&lt;TODAY()),25,0)+IF(AND($I166&lt;&gt;"",$I166&gt;=TODAY(),$I166&lt;=TODAY()+7),15,0)+IF($M166&lt;=VLOOKUP(Home!$C$7,Lists!$N$2:$O$6,2,FALSE),20,-10)+IF($G166=Home!$E$7,15,IF(Home!$E$7="",0,-5))-ROW()/100000)))</f>
        <v/>
      </c>
      <c r="O166" s="5">
        <f>IF($D166="","",IF($N166&lt;=-500,"Not recommended right now",IF($E166="Waiting","Nothing else actionable right now — Waiting on: "&amp;IF($K166="","this item",$K166),TEXTJOIN(" • ",TRUE,IF($F166="High","High Priority",""),IF(AND($I166&lt;&gt;"",$I166&lt;TODAY()),"Overdue",""),IF(AND($I166&lt;&gt;"",$I166&gt;=TODAY(),$I166&lt;=TODAY()+7),"Due This Week",""),IF($M166&lt;=VLOOKUP(Home!$C$7,Lists!$N$2:$O$6,2,FALSE),$H166&amp;" Task",""),IF($G166=Home!$E$7,"Fits Current Energy",""),"No Blockers"))))</f>
        <v/>
      </c>
      <c r="P166" s="5">
        <f>IF($D166="","",SWITCH('Task Finder'!$C$6,"High Priority",AND($F166="High",$E166&lt;&gt;"Done",$E166&lt;&gt;"Archive"),"Due This Week",AND($I166&lt;&gt;"",$I166&gt;=TODAY(),$I166&lt;=TODAY()+7,$E166&lt;&gt;"Done"),"Quick Wins (15 mins or less)",AND($M166&lt;=15,$E166&lt;&gt;"Done",$E166&lt;&gt;"Blocked"),"Deep Thinking",AND($G166="Deep Thinking",$E166&lt;&gt;"Done"),"Processing",AND($G166="Processing",$E166&lt;&gt;"Done"),"Blocked",$E166="Blocked","Waiting",$E166="Waiting","Recently Updated",AND($L166&lt;&gt;"",$L166&gt;=TODAY()-7),"Keyword",AND('Task Finder'!$C$7&lt;&gt;"",OR(ISNUMBER(SEARCH('Task Finder'!$C$7,$A166)),ISNUMBER(SEARCH('Task Finder'!$C$7,$B166)),ISNUMBER(SEARCH('Task Finder'!$C$7,$C166)),ISNUMBER(SEARCH('Task Finder'!$C$7,$D166)),ISNUMBER(SEARCH('Task Finder'!$C$7,$K166)))),TRUE))</f>
        <v/>
      </c>
    </row>
    <row r="167">
      <c r="A167" s="19" t="n"/>
      <c r="B167" s="19" t="n"/>
      <c r="C167" s="19" t="n"/>
      <c r="D167" s="19" t="n"/>
      <c r="E167" s="19" t="n"/>
      <c r="F167" s="19" t="n"/>
      <c r="G167" s="19" t="n"/>
      <c r="H167" s="19" t="n"/>
      <c r="I167" s="19" t="n"/>
      <c r="J167" s="19" t="n"/>
      <c r="K167" s="19" t="n"/>
      <c r="L167" s="35" t="n"/>
      <c r="M167" s="5">
        <f>IF($D167="","",IFERROR(VLOOKUP($H167,Lists!$N$2:$O$6,2,FALSE),0))</f>
        <v/>
      </c>
      <c r="N167" s="5">
        <f>IF($D167="","",IF(OR($E167="Blocked",$E167="Done",$E167="Archive"),-9999,IF(AND($E167="Waiting",SUMPRODUCT((($E$5:$E$500="Next")+($E$5:$E$500="In Progress")+($E$5:$E$500="Captured"))*($D$5:$D$500&lt;&gt;""))&gt;0),-500,VLOOKUP($F167,Lists!$L$2:$M$4,2,FALSE)+IF($E167="In Progress",10,0)+IF(AND($I167&lt;&gt;"",$I167&lt;TODAY()),25,0)+IF(AND($I167&lt;&gt;"",$I167&gt;=TODAY(),$I167&lt;=TODAY()+7),15,0)+IF($M167&lt;=VLOOKUP(Home!$C$7,Lists!$N$2:$O$6,2,FALSE),20,-10)+IF($G167=Home!$E$7,15,IF(Home!$E$7="",0,-5))-ROW()/100000)))</f>
        <v/>
      </c>
      <c r="O167" s="5">
        <f>IF($D167="","",IF($N167&lt;=-500,"Not recommended right now",IF($E167="Waiting","Nothing else actionable right now — Waiting on: "&amp;IF($K167="","this item",$K167),TEXTJOIN(" • ",TRUE,IF($F167="High","High Priority",""),IF(AND($I167&lt;&gt;"",$I167&lt;TODAY()),"Overdue",""),IF(AND($I167&lt;&gt;"",$I167&gt;=TODAY(),$I167&lt;=TODAY()+7),"Due This Week",""),IF($M167&lt;=VLOOKUP(Home!$C$7,Lists!$N$2:$O$6,2,FALSE),$H167&amp;" Task",""),IF($G167=Home!$E$7,"Fits Current Energy",""),"No Blockers"))))</f>
        <v/>
      </c>
      <c r="P167" s="5">
        <f>IF($D167="","",SWITCH('Task Finder'!$C$6,"High Priority",AND($F167="High",$E167&lt;&gt;"Done",$E167&lt;&gt;"Archive"),"Due This Week",AND($I167&lt;&gt;"",$I167&gt;=TODAY(),$I167&lt;=TODAY()+7,$E167&lt;&gt;"Done"),"Quick Wins (15 mins or less)",AND($M167&lt;=15,$E167&lt;&gt;"Done",$E167&lt;&gt;"Blocked"),"Deep Thinking",AND($G167="Deep Thinking",$E167&lt;&gt;"Done"),"Processing",AND($G167="Processing",$E167&lt;&gt;"Done"),"Blocked",$E167="Blocked","Waiting",$E167="Waiting","Recently Updated",AND($L167&lt;&gt;"",$L167&gt;=TODAY()-7),"Keyword",AND('Task Finder'!$C$7&lt;&gt;"",OR(ISNUMBER(SEARCH('Task Finder'!$C$7,$A167)),ISNUMBER(SEARCH('Task Finder'!$C$7,$B167)),ISNUMBER(SEARCH('Task Finder'!$C$7,$C167)),ISNUMBER(SEARCH('Task Finder'!$C$7,$D167)),ISNUMBER(SEARCH('Task Finder'!$C$7,$K167)))),TRUE))</f>
        <v/>
      </c>
    </row>
    <row r="168">
      <c r="A168" s="19" t="n"/>
      <c r="B168" s="19" t="n"/>
      <c r="C168" s="19" t="n"/>
      <c r="D168" s="19" t="n"/>
      <c r="E168" s="19" t="n"/>
      <c r="F168" s="19" t="n"/>
      <c r="G168" s="19" t="n"/>
      <c r="H168" s="19" t="n"/>
      <c r="I168" s="19" t="n"/>
      <c r="J168" s="19" t="n"/>
      <c r="K168" s="19" t="n"/>
      <c r="L168" s="35" t="n"/>
      <c r="M168" s="5">
        <f>IF($D168="","",IFERROR(VLOOKUP($H168,Lists!$N$2:$O$6,2,FALSE),0))</f>
        <v/>
      </c>
      <c r="N168" s="5">
        <f>IF($D168="","",IF(OR($E168="Blocked",$E168="Done",$E168="Archive"),-9999,IF(AND($E168="Waiting",SUMPRODUCT((($E$5:$E$500="Next")+($E$5:$E$500="In Progress")+($E$5:$E$500="Captured"))*($D$5:$D$500&lt;&gt;""))&gt;0),-500,VLOOKUP($F168,Lists!$L$2:$M$4,2,FALSE)+IF($E168="In Progress",10,0)+IF(AND($I168&lt;&gt;"",$I168&lt;TODAY()),25,0)+IF(AND($I168&lt;&gt;"",$I168&gt;=TODAY(),$I168&lt;=TODAY()+7),15,0)+IF($M168&lt;=VLOOKUP(Home!$C$7,Lists!$N$2:$O$6,2,FALSE),20,-10)+IF($G168=Home!$E$7,15,IF(Home!$E$7="",0,-5))-ROW()/100000)))</f>
        <v/>
      </c>
      <c r="O168" s="5">
        <f>IF($D168="","",IF($N168&lt;=-500,"Not recommended right now",IF($E168="Waiting","Nothing else actionable right now — Waiting on: "&amp;IF($K168="","this item",$K168),TEXTJOIN(" • ",TRUE,IF($F168="High","High Priority",""),IF(AND($I168&lt;&gt;"",$I168&lt;TODAY()),"Overdue",""),IF(AND($I168&lt;&gt;"",$I168&gt;=TODAY(),$I168&lt;=TODAY()+7),"Due This Week",""),IF($M168&lt;=VLOOKUP(Home!$C$7,Lists!$N$2:$O$6,2,FALSE),$H168&amp;" Task",""),IF($G168=Home!$E$7,"Fits Current Energy",""),"No Blockers"))))</f>
        <v/>
      </c>
      <c r="P168" s="5">
        <f>IF($D168="","",SWITCH('Task Finder'!$C$6,"High Priority",AND($F168="High",$E168&lt;&gt;"Done",$E168&lt;&gt;"Archive"),"Due This Week",AND($I168&lt;&gt;"",$I168&gt;=TODAY(),$I168&lt;=TODAY()+7,$E168&lt;&gt;"Done"),"Quick Wins (15 mins or less)",AND($M168&lt;=15,$E168&lt;&gt;"Done",$E168&lt;&gt;"Blocked"),"Deep Thinking",AND($G168="Deep Thinking",$E168&lt;&gt;"Done"),"Processing",AND($G168="Processing",$E168&lt;&gt;"Done"),"Blocked",$E168="Blocked","Waiting",$E168="Waiting","Recently Updated",AND($L168&lt;&gt;"",$L168&gt;=TODAY()-7),"Keyword",AND('Task Finder'!$C$7&lt;&gt;"",OR(ISNUMBER(SEARCH('Task Finder'!$C$7,$A168)),ISNUMBER(SEARCH('Task Finder'!$C$7,$B168)),ISNUMBER(SEARCH('Task Finder'!$C$7,$C168)),ISNUMBER(SEARCH('Task Finder'!$C$7,$D168)),ISNUMBER(SEARCH('Task Finder'!$C$7,$K168)))),TRUE))</f>
        <v/>
      </c>
    </row>
    <row r="169">
      <c r="A169" s="19" t="n"/>
      <c r="B169" s="19" t="n"/>
      <c r="C169" s="19" t="n"/>
      <c r="D169" s="19" t="n"/>
      <c r="E169" s="19" t="n"/>
      <c r="F169" s="19" t="n"/>
      <c r="G169" s="19" t="n"/>
      <c r="H169" s="19" t="n"/>
      <c r="I169" s="19" t="n"/>
      <c r="J169" s="19" t="n"/>
      <c r="K169" s="19" t="n"/>
      <c r="L169" s="35" t="n"/>
      <c r="M169" s="5">
        <f>IF($D169="","",IFERROR(VLOOKUP($H169,Lists!$N$2:$O$6,2,FALSE),0))</f>
        <v/>
      </c>
      <c r="N169" s="5">
        <f>IF($D169="","",IF(OR($E169="Blocked",$E169="Done",$E169="Archive"),-9999,IF(AND($E169="Waiting",SUMPRODUCT((($E$5:$E$500="Next")+($E$5:$E$500="In Progress")+($E$5:$E$500="Captured"))*($D$5:$D$500&lt;&gt;""))&gt;0),-500,VLOOKUP($F169,Lists!$L$2:$M$4,2,FALSE)+IF($E169="In Progress",10,0)+IF(AND($I169&lt;&gt;"",$I169&lt;TODAY()),25,0)+IF(AND($I169&lt;&gt;"",$I169&gt;=TODAY(),$I169&lt;=TODAY()+7),15,0)+IF($M169&lt;=VLOOKUP(Home!$C$7,Lists!$N$2:$O$6,2,FALSE),20,-10)+IF($G169=Home!$E$7,15,IF(Home!$E$7="",0,-5))-ROW()/100000)))</f>
        <v/>
      </c>
      <c r="O169" s="5">
        <f>IF($D169="","",IF($N169&lt;=-500,"Not recommended right now",IF($E169="Waiting","Nothing else actionable right now — Waiting on: "&amp;IF($K169="","this item",$K169),TEXTJOIN(" • ",TRUE,IF($F169="High","High Priority",""),IF(AND($I169&lt;&gt;"",$I169&lt;TODAY()),"Overdue",""),IF(AND($I169&lt;&gt;"",$I169&gt;=TODAY(),$I169&lt;=TODAY()+7),"Due This Week",""),IF($M169&lt;=VLOOKUP(Home!$C$7,Lists!$N$2:$O$6,2,FALSE),$H169&amp;" Task",""),IF($G169=Home!$E$7,"Fits Current Energy",""),"No Blockers"))))</f>
        <v/>
      </c>
      <c r="P169" s="5">
        <f>IF($D169="","",SWITCH('Task Finder'!$C$6,"High Priority",AND($F169="High",$E169&lt;&gt;"Done",$E169&lt;&gt;"Archive"),"Due This Week",AND($I169&lt;&gt;"",$I169&gt;=TODAY(),$I169&lt;=TODAY()+7,$E169&lt;&gt;"Done"),"Quick Wins (15 mins or less)",AND($M169&lt;=15,$E169&lt;&gt;"Done",$E169&lt;&gt;"Blocked"),"Deep Thinking",AND($G169="Deep Thinking",$E169&lt;&gt;"Done"),"Processing",AND($G169="Processing",$E169&lt;&gt;"Done"),"Blocked",$E169="Blocked","Waiting",$E169="Waiting","Recently Updated",AND($L169&lt;&gt;"",$L169&gt;=TODAY()-7),"Keyword",AND('Task Finder'!$C$7&lt;&gt;"",OR(ISNUMBER(SEARCH('Task Finder'!$C$7,$A169)),ISNUMBER(SEARCH('Task Finder'!$C$7,$B169)),ISNUMBER(SEARCH('Task Finder'!$C$7,$C169)),ISNUMBER(SEARCH('Task Finder'!$C$7,$D169)),ISNUMBER(SEARCH('Task Finder'!$C$7,$K169)))),TRUE))</f>
        <v/>
      </c>
    </row>
    <row r="170">
      <c r="A170" s="19" t="n"/>
      <c r="B170" s="19" t="n"/>
      <c r="C170" s="19" t="n"/>
      <c r="D170" s="19" t="n"/>
      <c r="E170" s="19" t="n"/>
      <c r="F170" s="19" t="n"/>
      <c r="G170" s="19" t="n"/>
      <c r="H170" s="19" t="n"/>
      <c r="I170" s="19" t="n"/>
      <c r="J170" s="19" t="n"/>
      <c r="K170" s="19" t="n"/>
      <c r="L170" s="35" t="n"/>
      <c r="M170" s="5">
        <f>IF($D170="","",IFERROR(VLOOKUP($H170,Lists!$N$2:$O$6,2,FALSE),0))</f>
        <v/>
      </c>
      <c r="N170" s="5">
        <f>IF($D170="","",IF(OR($E170="Blocked",$E170="Done",$E170="Archive"),-9999,IF(AND($E170="Waiting",SUMPRODUCT((($E$5:$E$500="Next")+($E$5:$E$500="In Progress")+($E$5:$E$500="Captured"))*($D$5:$D$500&lt;&gt;""))&gt;0),-500,VLOOKUP($F170,Lists!$L$2:$M$4,2,FALSE)+IF($E170="In Progress",10,0)+IF(AND($I170&lt;&gt;"",$I170&lt;TODAY()),25,0)+IF(AND($I170&lt;&gt;"",$I170&gt;=TODAY(),$I170&lt;=TODAY()+7),15,0)+IF($M170&lt;=VLOOKUP(Home!$C$7,Lists!$N$2:$O$6,2,FALSE),20,-10)+IF($G170=Home!$E$7,15,IF(Home!$E$7="",0,-5))-ROW()/100000)))</f>
        <v/>
      </c>
      <c r="O170" s="5">
        <f>IF($D170="","",IF($N170&lt;=-500,"Not recommended right now",IF($E170="Waiting","Nothing else actionable right now — Waiting on: "&amp;IF($K170="","this item",$K170),TEXTJOIN(" • ",TRUE,IF($F170="High","High Priority",""),IF(AND($I170&lt;&gt;"",$I170&lt;TODAY()),"Overdue",""),IF(AND($I170&lt;&gt;"",$I170&gt;=TODAY(),$I170&lt;=TODAY()+7),"Due This Week",""),IF($M170&lt;=VLOOKUP(Home!$C$7,Lists!$N$2:$O$6,2,FALSE),$H170&amp;" Task",""),IF($G170=Home!$E$7,"Fits Current Energy",""),"No Blockers"))))</f>
        <v/>
      </c>
      <c r="P170" s="5">
        <f>IF($D170="","",SWITCH('Task Finder'!$C$6,"High Priority",AND($F170="High",$E170&lt;&gt;"Done",$E170&lt;&gt;"Archive"),"Due This Week",AND($I170&lt;&gt;"",$I170&gt;=TODAY(),$I170&lt;=TODAY()+7,$E170&lt;&gt;"Done"),"Quick Wins (15 mins or less)",AND($M170&lt;=15,$E170&lt;&gt;"Done",$E170&lt;&gt;"Blocked"),"Deep Thinking",AND($G170="Deep Thinking",$E170&lt;&gt;"Done"),"Processing",AND($G170="Processing",$E170&lt;&gt;"Done"),"Blocked",$E170="Blocked","Waiting",$E170="Waiting","Recently Updated",AND($L170&lt;&gt;"",$L170&gt;=TODAY()-7),"Keyword",AND('Task Finder'!$C$7&lt;&gt;"",OR(ISNUMBER(SEARCH('Task Finder'!$C$7,$A170)),ISNUMBER(SEARCH('Task Finder'!$C$7,$B170)),ISNUMBER(SEARCH('Task Finder'!$C$7,$C170)),ISNUMBER(SEARCH('Task Finder'!$C$7,$D170)),ISNUMBER(SEARCH('Task Finder'!$C$7,$K170)))),TRUE))</f>
        <v/>
      </c>
    </row>
    <row r="171">
      <c r="A171" s="19" t="n"/>
      <c r="B171" s="19" t="n"/>
      <c r="C171" s="19" t="n"/>
      <c r="D171" s="19" t="n"/>
      <c r="E171" s="19" t="n"/>
      <c r="F171" s="19" t="n"/>
      <c r="G171" s="19" t="n"/>
      <c r="H171" s="19" t="n"/>
      <c r="I171" s="19" t="n"/>
      <c r="J171" s="19" t="n"/>
      <c r="K171" s="19" t="n"/>
      <c r="L171" s="35" t="n"/>
      <c r="M171" s="5">
        <f>IF($D171="","",IFERROR(VLOOKUP($H171,Lists!$N$2:$O$6,2,FALSE),0))</f>
        <v/>
      </c>
      <c r="N171" s="5">
        <f>IF($D171="","",IF(OR($E171="Blocked",$E171="Done",$E171="Archive"),-9999,IF(AND($E171="Waiting",SUMPRODUCT((($E$5:$E$500="Next")+($E$5:$E$500="In Progress")+($E$5:$E$500="Captured"))*($D$5:$D$500&lt;&gt;""))&gt;0),-500,VLOOKUP($F171,Lists!$L$2:$M$4,2,FALSE)+IF($E171="In Progress",10,0)+IF(AND($I171&lt;&gt;"",$I171&lt;TODAY()),25,0)+IF(AND($I171&lt;&gt;"",$I171&gt;=TODAY(),$I171&lt;=TODAY()+7),15,0)+IF($M171&lt;=VLOOKUP(Home!$C$7,Lists!$N$2:$O$6,2,FALSE),20,-10)+IF($G171=Home!$E$7,15,IF(Home!$E$7="",0,-5))-ROW()/100000)))</f>
        <v/>
      </c>
      <c r="O171" s="5">
        <f>IF($D171="","",IF($N171&lt;=-500,"Not recommended right now",IF($E171="Waiting","Nothing else actionable right now — Waiting on: "&amp;IF($K171="","this item",$K171),TEXTJOIN(" • ",TRUE,IF($F171="High","High Priority",""),IF(AND($I171&lt;&gt;"",$I171&lt;TODAY()),"Overdue",""),IF(AND($I171&lt;&gt;"",$I171&gt;=TODAY(),$I171&lt;=TODAY()+7),"Due This Week",""),IF($M171&lt;=VLOOKUP(Home!$C$7,Lists!$N$2:$O$6,2,FALSE),$H171&amp;" Task",""),IF($G171=Home!$E$7,"Fits Current Energy",""),"No Blockers"))))</f>
        <v/>
      </c>
      <c r="P171" s="5">
        <f>IF($D171="","",SWITCH('Task Finder'!$C$6,"High Priority",AND($F171="High",$E171&lt;&gt;"Done",$E171&lt;&gt;"Archive"),"Due This Week",AND($I171&lt;&gt;"",$I171&gt;=TODAY(),$I171&lt;=TODAY()+7,$E171&lt;&gt;"Done"),"Quick Wins (15 mins or less)",AND($M171&lt;=15,$E171&lt;&gt;"Done",$E171&lt;&gt;"Blocked"),"Deep Thinking",AND($G171="Deep Thinking",$E171&lt;&gt;"Done"),"Processing",AND($G171="Processing",$E171&lt;&gt;"Done"),"Blocked",$E171="Blocked","Waiting",$E171="Waiting","Recently Updated",AND($L171&lt;&gt;"",$L171&gt;=TODAY()-7),"Keyword",AND('Task Finder'!$C$7&lt;&gt;"",OR(ISNUMBER(SEARCH('Task Finder'!$C$7,$A171)),ISNUMBER(SEARCH('Task Finder'!$C$7,$B171)),ISNUMBER(SEARCH('Task Finder'!$C$7,$C171)),ISNUMBER(SEARCH('Task Finder'!$C$7,$D171)),ISNUMBER(SEARCH('Task Finder'!$C$7,$K171)))),TRUE))</f>
        <v/>
      </c>
    </row>
    <row r="172">
      <c r="A172" s="19" t="n"/>
      <c r="B172" s="19" t="n"/>
      <c r="C172" s="19" t="n"/>
      <c r="D172" s="19" t="n"/>
      <c r="E172" s="19" t="n"/>
      <c r="F172" s="19" t="n"/>
      <c r="G172" s="19" t="n"/>
      <c r="H172" s="19" t="n"/>
      <c r="I172" s="19" t="n"/>
      <c r="J172" s="19" t="n"/>
      <c r="K172" s="19" t="n"/>
      <c r="L172" s="35" t="n"/>
      <c r="M172" s="5">
        <f>IF($D172="","",IFERROR(VLOOKUP($H172,Lists!$N$2:$O$6,2,FALSE),0))</f>
        <v/>
      </c>
      <c r="N172" s="5">
        <f>IF($D172="","",IF(OR($E172="Blocked",$E172="Done",$E172="Archive"),-9999,IF(AND($E172="Waiting",SUMPRODUCT((($E$5:$E$500="Next")+($E$5:$E$500="In Progress")+($E$5:$E$500="Captured"))*($D$5:$D$500&lt;&gt;""))&gt;0),-500,VLOOKUP($F172,Lists!$L$2:$M$4,2,FALSE)+IF($E172="In Progress",10,0)+IF(AND($I172&lt;&gt;"",$I172&lt;TODAY()),25,0)+IF(AND($I172&lt;&gt;"",$I172&gt;=TODAY(),$I172&lt;=TODAY()+7),15,0)+IF($M172&lt;=VLOOKUP(Home!$C$7,Lists!$N$2:$O$6,2,FALSE),20,-10)+IF($G172=Home!$E$7,15,IF(Home!$E$7="",0,-5))-ROW()/100000)))</f>
        <v/>
      </c>
      <c r="O172" s="5">
        <f>IF($D172="","",IF($N172&lt;=-500,"Not recommended right now",IF($E172="Waiting","Nothing else actionable right now — Waiting on: "&amp;IF($K172="","this item",$K172),TEXTJOIN(" • ",TRUE,IF($F172="High","High Priority",""),IF(AND($I172&lt;&gt;"",$I172&lt;TODAY()),"Overdue",""),IF(AND($I172&lt;&gt;"",$I172&gt;=TODAY(),$I172&lt;=TODAY()+7),"Due This Week",""),IF($M172&lt;=VLOOKUP(Home!$C$7,Lists!$N$2:$O$6,2,FALSE),$H172&amp;" Task",""),IF($G172=Home!$E$7,"Fits Current Energy",""),"No Blockers"))))</f>
        <v/>
      </c>
      <c r="P172" s="5">
        <f>IF($D172="","",SWITCH('Task Finder'!$C$6,"High Priority",AND($F172="High",$E172&lt;&gt;"Done",$E172&lt;&gt;"Archive"),"Due This Week",AND($I172&lt;&gt;"",$I172&gt;=TODAY(),$I172&lt;=TODAY()+7,$E172&lt;&gt;"Done"),"Quick Wins (15 mins or less)",AND($M172&lt;=15,$E172&lt;&gt;"Done",$E172&lt;&gt;"Blocked"),"Deep Thinking",AND($G172="Deep Thinking",$E172&lt;&gt;"Done"),"Processing",AND($G172="Processing",$E172&lt;&gt;"Done"),"Blocked",$E172="Blocked","Waiting",$E172="Waiting","Recently Updated",AND($L172&lt;&gt;"",$L172&gt;=TODAY()-7),"Keyword",AND('Task Finder'!$C$7&lt;&gt;"",OR(ISNUMBER(SEARCH('Task Finder'!$C$7,$A172)),ISNUMBER(SEARCH('Task Finder'!$C$7,$B172)),ISNUMBER(SEARCH('Task Finder'!$C$7,$C172)),ISNUMBER(SEARCH('Task Finder'!$C$7,$D172)),ISNUMBER(SEARCH('Task Finder'!$C$7,$K172)))),TRUE))</f>
        <v/>
      </c>
    </row>
    <row r="173">
      <c r="A173" s="19" t="n"/>
      <c r="B173" s="19" t="n"/>
      <c r="C173" s="19" t="n"/>
      <c r="D173" s="19" t="n"/>
      <c r="E173" s="19" t="n"/>
      <c r="F173" s="19" t="n"/>
      <c r="G173" s="19" t="n"/>
      <c r="H173" s="19" t="n"/>
      <c r="I173" s="19" t="n"/>
      <c r="J173" s="19" t="n"/>
      <c r="K173" s="19" t="n"/>
      <c r="L173" s="35" t="n"/>
      <c r="M173" s="5">
        <f>IF($D173="","",IFERROR(VLOOKUP($H173,Lists!$N$2:$O$6,2,FALSE),0))</f>
        <v/>
      </c>
      <c r="N173" s="5">
        <f>IF($D173="","",IF(OR($E173="Blocked",$E173="Done",$E173="Archive"),-9999,IF(AND($E173="Waiting",SUMPRODUCT((($E$5:$E$500="Next")+($E$5:$E$500="In Progress")+($E$5:$E$500="Captured"))*($D$5:$D$500&lt;&gt;""))&gt;0),-500,VLOOKUP($F173,Lists!$L$2:$M$4,2,FALSE)+IF($E173="In Progress",10,0)+IF(AND($I173&lt;&gt;"",$I173&lt;TODAY()),25,0)+IF(AND($I173&lt;&gt;"",$I173&gt;=TODAY(),$I173&lt;=TODAY()+7),15,0)+IF($M173&lt;=VLOOKUP(Home!$C$7,Lists!$N$2:$O$6,2,FALSE),20,-10)+IF($G173=Home!$E$7,15,IF(Home!$E$7="",0,-5))-ROW()/100000)))</f>
        <v/>
      </c>
      <c r="O173" s="5">
        <f>IF($D173="","",IF($N173&lt;=-500,"Not recommended right now",IF($E173="Waiting","Nothing else actionable right now — Waiting on: "&amp;IF($K173="","this item",$K173),TEXTJOIN(" • ",TRUE,IF($F173="High","High Priority",""),IF(AND($I173&lt;&gt;"",$I173&lt;TODAY()),"Overdue",""),IF(AND($I173&lt;&gt;"",$I173&gt;=TODAY(),$I173&lt;=TODAY()+7),"Due This Week",""),IF($M173&lt;=VLOOKUP(Home!$C$7,Lists!$N$2:$O$6,2,FALSE),$H173&amp;" Task",""),IF($G173=Home!$E$7,"Fits Current Energy",""),"No Blockers"))))</f>
        <v/>
      </c>
      <c r="P173" s="5">
        <f>IF($D173="","",SWITCH('Task Finder'!$C$6,"High Priority",AND($F173="High",$E173&lt;&gt;"Done",$E173&lt;&gt;"Archive"),"Due This Week",AND($I173&lt;&gt;"",$I173&gt;=TODAY(),$I173&lt;=TODAY()+7,$E173&lt;&gt;"Done"),"Quick Wins (15 mins or less)",AND($M173&lt;=15,$E173&lt;&gt;"Done",$E173&lt;&gt;"Blocked"),"Deep Thinking",AND($G173="Deep Thinking",$E173&lt;&gt;"Done"),"Processing",AND($G173="Processing",$E173&lt;&gt;"Done"),"Blocked",$E173="Blocked","Waiting",$E173="Waiting","Recently Updated",AND($L173&lt;&gt;"",$L173&gt;=TODAY()-7),"Keyword",AND('Task Finder'!$C$7&lt;&gt;"",OR(ISNUMBER(SEARCH('Task Finder'!$C$7,$A173)),ISNUMBER(SEARCH('Task Finder'!$C$7,$B173)),ISNUMBER(SEARCH('Task Finder'!$C$7,$C173)),ISNUMBER(SEARCH('Task Finder'!$C$7,$D173)),ISNUMBER(SEARCH('Task Finder'!$C$7,$K173)))),TRUE))</f>
        <v/>
      </c>
    </row>
    <row r="174">
      <c r="A174" s="19" t="n"/>
      <c r="B174" s="19" t="n"/>
      <c r="C174" s="19" t="n"/>
      <c r="D174" s="19" t="n"/>
      <c r="E174" s="19" t="n"/>
      <c r="F174" s="19" t="n"/>
      <c r="G174" s="19" t="n"/>
      <c r="H174" s="19" t="n"/>
      <c r="I174" s="19" t="n"/>
      <c r="J174" s="19" t="n"/>
      <c r="K174" s="19" t="n"/>
      <c r="L174" s="35" t="n"/>
      <c r="M174" s="5">
        <f>IF($D174="","",IFERROR(VLOOKUP($H174,Lists!$N$2:$O$6,2,FALSE),0))</f>
        <v/>
      </c>
      <c r="N174" s="5">
        <f>IF($D174="","",IF(OR($E174="Blocked",$E174="Done",$E174="Archive"),-9999,IF(AND($E174="Waiting",SUMPRODUCT((($E$5:$E$500="Next")+($E$5:$E$500="In Progress")+($E$5:$E$500="Captured"))*($D$5:$D$500&lt;&gt;""))&gt;0),-500,VLOOKUP($F174,Lists!$L$2:$M$4,2,FALSE)+IF($E174="In Progress",10,0)+IF(AND($I174&lt;&gt;"",$I174&lt;TODAY()),25,0)+IF(AND($I174&lt;&gt;"",$I174&gt;=TODAY(),$I174&lt;=TODAY()+7),15,0)+IF($M174&lt;=VLOOKUP(Home!$C$7,Lists!$N$2:$O$6,2,FALSE),20,-10)+IF($G174=Home!$E$7,15,IF(Home!$E$7="",0,-5))-ROW()/100000)))</f>
        <v/>
      </c>
      <c r="O174" s="5">
        <f>IF($D174="","",IF($N174&lt;=-500,"Not recommended right now",IF($E174="Waiting","Nothing else actionable right now — Waiting on: "&amp;IF($K174="","this item",$K174),TEXTJOIN(" • ",TRUE,IF($F174="High","High Priority",""),IF(AND($I174&lt;&gt;"",$I174&lt;TODAY()),"Overdue",""),IF(AND($I174&lt;&gt;"",$I174&gt;=TODAY(),$I174&lt;=TODAY()+7),"Due This Week",""),IF($M174&lt;=VLOOKUP(Home!$C$7,Lists!$N$2:$O$6,2,FALSE),$H174&amp;" Task",""),IF($G174=Home!$E$7,"Fits Current Energy",""),"No Blockers"))))</f>
        <v/>
      </c>
      <c r="P174" s="5">
        <f>IF($D174="","",SWITCH('Task Finder'!$C$6,"High Priority",AND($F174="High",$E174&lt;&gt;"Done",$E174&lt;&gt;"Archive"),"Due This Week",AND($I174&lt;&gt;"",$I174&gt;=TODAY(),$I174&lt;=TODAY()+7,$E174&lt;&gt;"Done"),"Quick Wins (15 mins or less)",AND($M174&lt;=15,$E174&lt;&gt;"Done",$E174&lt;&gt;"Blocked"),"Deep Thinking",AND($G174="Deep Thinking",$E174&lt;&gt;"Done"),"Processing",AND($G174="Processing",$E174&lt;&gt;"Done"),"Blocked",$E174="Blocked","Waiting",$E174="Waiting","Recently Updated",AND($L174&lt;&gt;"",$L174&gt;=TODAY()-7),"Keyword",AND('Task Finder'!$C$7&lt;&gt;"",OR(ISNUMBER(SEARCH('Task Finder'!$C$7,$A174)),ISNUMBER(SEARCH('Task Finder'!$C$7,$B174)),ISNUMBER(SEARCH('Task Finder'!$C$7,$C174)),ISNUMBER(SEARCH('Task Finder'!$C$7,$D174)),ISNUMBER(SEARCH('Task Finder'!$C$7,$K174)))),TRUE))</f>
        <v/>
      </c>
    </row>
    <row r="175">
      <c r="A175" s="19" t="n"/>
      <c r="B175" s="19" t="n"/>
      <c r="C175" s="19" t="n"/>
      <c r="D175" s="19" t="n"/>
      <c r="E175" s="19" t="n"/>
      <c r="F175" s="19" t="n"/>
      <c r="G175" s="19" t="n"/>
      <c r="H175" s="19" t="n"/>
      <c r="I175" s="19" t="n"/>
      <c r="J175" s="19" t="n"/>
      <c r="K175" s="19" t="n"/>
      <c r="L175" s="35" t="n"/>
      <c r="M175" s="5">
        <f>IF($D175="","",IFERROR(VLOOKUP($H175,Lists!$N$2:$O$6,2,FALSE),0))</f>
        <v/>
      </c>
      <c r="N175" s="5">
        <f>IF($D175="","",IF(OR($E175="Blocked",$E175="Done",$E175="Archive"),-9999,IF(AND($E175="Waiting",SUMPRODUCT((($E$5:$E$500="Next")+($E$5:$E$500="In Progress")+($E$5:$E$500="Captured"))*($D$5:$D$500&lt;&gt;""))&gt;0),-500,VLOOKUP($F175,Lists!$L$2:$M$4,2,FALSE)+IF($E175="In Progress",10,0)+IF(AND($I175&lt;&gt;"",$I175&lt;TODAY()),25,0)+IF(AND($I175&lt;&gt;"",$I175&gt;=TODAY(),$I175&lt;=TODAY()+7),15,0)+IF($M175&lt;=VLOOKUP(Home!$C$7,Lists!$N$2:$O$6,2,FALSE),20,-10)+IF($G175=Home!$E$7,15,IF(Home!$E$7="",0,-5))-ROW()/100000)))</f>
        <v/>
      </c>
      <c r="O175" s="5">
        <f>IF($D175="","",IF($N175&lt;=-500,"Not recommended right now",IF($E175="Waiting","Nothing else actionable right now — Waiting on: "&amp;IF($K175="","this item",$K175),TEXTJOIN(" • ",TRUE,IF($F175="High","High Priority",""),IF(AND($I175&lt;&gt;"",$I175&lt;TODAY()),"Overdue",""),IF(AND($I175&lt;&gt;"",$I175&gt;=TODAY(),$I175&lt;=TODAY()+7),"Due This Week",""),IF($M175&lt;=VLOOKUP(Home!$C$7,Lists!$N$2:$O$6,2,FALSE),$H175&amp;" Task",""),IF($G175=Home!$E$7,"Fits Current Energy",""),"No Blockers"))))</f>
        <v/>
      </c>
      <c r="P175" s="5">
        <f>IF($D175="","",SWITCH('Task Finder'!$C$6,"High Priority",AND($F175="High",$E175&lt;&gt;"Done",$E175&lt;&gt;"Archive"),"Due This Week",AND($I175&lt;&gt;"",$I175&gt;=TODAY(),$I175&lt;=TODAY()+7,$E175&lt;&gt;"Done"),"Quick Wins (15 mins or less)",AND($M175&lt;=15,$E175&lt;&gt;"Done",$E175&lt;&gt;"Blocked"),"Deep Thinking",AND($G175="Deep Thinking",$E175&lt;&gt;"Done"),"Processing",AND($G175="Processing",$E175&lt;&gt;"Done"),"Blocked",$E175="Blocked","Waiting",$E175="Waiting","Recently Updated",AND($L175&lt;&gt;"",$L175&gt;=TODAY()-7),"Keyword",AND('Task Finder'!$C$7&lt;&gt;"",OR(ISNUMBER(SEARCH('Task Finder'!$C$7,$A175)),ISNUMBER(SEARCH('Task Finder'!$C$7,$B175)),ISNUMBER(SEARCH('Task Finder'!$C$7,$C175)),ISNUMBER(SEARCH('Task Finder'!$C$7,$D175)),ISNUMBER(SEARCH('Task Finder'!$C$7,$K175)))),TRUE))</f>
        <v/>
      </c>
    </row>
    <row r="176">
      <c r="A176" s="19" t="n"/>
      <c r="B176" s="19" t="n"/>
      <c r="C176" s="19" t="n"/>
      <c r="D176" s="19" t="n"/>
      <c r="E176" s="19" t="n"/>
      <c r="F176" s="19" t="n"/>
      <c r="G176" s="19" t="n"/>
      <c r="H176" s="19" t="n"/>
      <c r="I176" s="19" t="n"/>
      <c r="J176" s="19" t="n"/>
      <c r="K176" s="19" t="n"/>
      <c r="L176" s="35" t="n"/>
      <c r="M176" s="5">
        <f>IF($D176="","",IFERROR(VLOOKUP($H176,Lists!$N$2:$O$6,2,FALSE),0))</f>
        <v/>
      </c>
      <c r="N176" s="5">
        <f>IF($D176="","",IF(OR($E176="Blocked",$E176="Done",$E176="Archive"),-9999,IF(AND($E176="Waiting",SUMPRODUCT((($E$5:$E$500="Next")+($E$5:$E$500="In Progress")+($E$5:$E$500="Captured"))*($D$5:$D$500&lt;&gt;""))&gt;0),-500,VLOOKUP($F176,Lists!$L$2:$M$4,2,FALSE)+IF($E176="In Progress",10,0)+IF(AND($I176&lt;&gt;"",$I176&lt;TODAY()),25,0)+IF(AND($I176&lt;&gt;"",$I176&gt;=TODAY(),$I176&lt;=TODAY()+7),15,0)+IF($M176&lt;=VLOOKUP(Home!$C$7,Lists!$N$2:$O$6,2,FALSE),20,-10)+IF($G176=Home!$E$7,15,IF(Home!$E$7="",0,-5))-ROW()/100000)))</f>
        <v/>
      </c>
      <c r="O176" s="5">
        <f>IF($D176="","",IF($N176&lt;=-500,"Not recommended right now",IF($E176="Waiting","Nothing else actionable right now — Waiting on: "&amp;IF($K176="","this item",$K176),TEXTJOIN(" • ",TRUE,IF($F176="High","High Priority",""),IF(AND($I176&lt;&gt;"",$I176&lt;TODAY()),"Overdue",""),IF(AND($I176&lt;&gt;"",$I176&gt;=TODAY(),$I176&lt;=TODAY()+7),"Due This Week",""),IF($M176&lt;=VLOOKUP(Home!$C$7,Lists!$N$2:$O$6,2,FALSE),$H176&amp;" Task",""),IF($G176=Home!$E$7,"Fits Current Energy",""),"No Blockers"))))</f>
        <v/>
      </c>
      <c r="P176" s="5">
        <f>IF($D176="","",SWITCH('Task Finder'!$C$6,"High Priority",AND($F176="High",$E176&lt;&gt;"Done",$E176&lt;&gt;"Archive"),"Due This Week",AND($I176&lt;&gt;"",$I176&gt;=TODAY(),$I176&lt;=TODAY()+7,$E176&lt;&gt;"Done"),"Quick Wins (15 mins or less)",AND($M176&lt;=15,$E176&lt;&gt;"Done",$E176&lt;&gt;"Blocked"),"Deep Thinking",AND($G176="Deep Thinking",$E176&lt;&gt;"Done"),"Processing",AND($G176="Processing",$E176&lt;&gt;"Done"),"Blocked",$E176="Blocked","Waiting",$E176="Waiting","Recently Updated",AND($L176&lt;&gt;"",$L176&gt;=TODAY()-7),"Keyword",AND('Task Finder'!$C$7&lt;&gt;"",OR(ISNUMBER(SEARCH('Task Finder'!$C$7,$A176)),ISNUMBER(SEARCH('Task Finder'!$C$7,$B176)),ISNUMBER(SEARCH('Task Finder'!$C$7,$C176)),ISNUMBER(SEARCH('Task Finder'!$C$7,$D176)),ISNUMBER(SEARCH('Task Finder'!$C$7,$K176)))),TRUE))</f>
        <v/>
      </c>
    </row>
    <row r="177">
      <c r="A177" s="19" t="n"/>
      <c r="B177" s="19" t="n"/>
      <c r="C177" s="19" t="n"/>
      <c r="D177" s="19" t="n"/>
      <c r="E177" s="19" t="n"/>
      <c r="F177" s="19" t="n"/>
      <c r="G177" s="19" t="n"/>
      <c r="H177" s="19" t="n"/>
      <c r="I177" s="19" t="n"/>
      <c r="J177" s="19" t="n"/>
      <c r="K177" s="19" t="n"/>
      <c r="L177" s="35" t="n"/>
      <c r="M177" s="5">
        <f>IF($D177="","",IFERROR(VLOOKUP($H177,Lists!$N$2:$O$6,2,FALSE),0))</f>
        <v/>
      </c>
      <c r="N177" s="5">
        <f>IF($D177="","",IF(OR($E177="Blocked",$E177="Done",$E177="Archive"),-9999,IF(AND($E177="Waiting",SUMPRODUCT((($E$5:$E$500="Next")+($E$5:$E$500="In Progress")+($E$5:$E$500="Captured"))*($D$5:$D$500&lt;&gt;""))&gt;0),-500,VLOOKUP($F177,Lists!$L$2:$M$4,2,FALSE)+IF($E177="In Progress",10,0)+IF(AND($I177&lt;&gt;"",$I177&lt;TODAY()),25,0)+IF(AND($I177&lt;&gt;"",$I177&gt;=TODAY(),$I177&lt;=TODAY()+7),15,0)+IF($M177&lt;=VLOOKUP(Home!$C$7,Lists!$N$2:$O$6,2,FALSE),20,-10)+IF($G177=Home!$E$7,15,IF(Home!$E$7="",0,-5))-ROW()/100000)))</f>
        <v/>
      </c>
      <c r="O177" s="5">
        <f>IF($D177="","",IF($N177&lt;=-500,"Not recommended right now",IF($E177="Waiting","Nothing else actionable right now — Waiting on: "&amp;IF($K177="","this item",$K177),TEXTJOIN(" • ",TRUE,IF($F177="High","High Priority",""),IF(AND($I177&lt;&gt;"",$I177&lt;TODAY()),"Overdue",""),IF(AND($I177&lt;&gt;"",$I177&gt;=TODAY(),$I177&lt;=TODAY()+7),"Due This Week",""),IF($M177&lt;=VLOOKUP(Home!$C$7,Lists!$N$2:$O$6,2,FALSE),$H177&amp;" Task",""),IF($G177=Home!$E$7,"Fits Current Energy",""),"No Blockers"))))</f>
        <v/>
      </c>
      <c r="P177" s="5">
        <f>IF($D177="","",SWITCH('Task Finder'!$C$6,"High Priority",AND($F177="High",$E177&lt;&gt;"Done",$E177&lt;&gt;"Archive"),"Due This Week",AND($I177&lt;&gt;"",$I177&gt;=TODAY(),$I177&lt;=TODAY()+7,$E177&lt;&gt;"Done"),"Quick Wins (15 mins or less)",AND($M177&lt;=15,$E177&lt;&gt;"Done",$E177&lt;&gt;"Blocked"),"Deep Thinking",AND($G177="Deep Thinking",$E177&lt;&gt;"Done"),"Processing",AND($G177="Processing",$E177&lt;&gt;"Done"),"Blocked",$E177="Blocked","Waiting",$E177="Waiting","Recently Updated",AND($L177&lt;&gt;"",$L177&gt;=TODAY()-7),"Keyword",AND('Task Finder'!$C$7&lt;&gt;"",OR(ISNUMBER(SEARCH('Task Finder'!$C$7,$A177)),ISNUMBER(SEARCH('Task Finder'!$C$7,$B177)),ISNUMBER(SEARCH('Task Finder'!$C$7,$C177)),ISNUMBER(SEARCH('Task Finder'!$C$7,$D177)),ISNUMBER(SEARCH('Task Finder'!$C$7,$K177)))),TRUE))</f>
        <v/>
      </c>
    </row>
    <row r="178">
      <c r="A178" s="19" t="n"/>
      <c r="B178" s="19" t="n"/>
      <c r="C178" s="19" t="n"/>
      <c r="D178" s="19" t="n"/>
      <c r="E178" s="19" t="n"/>
      <c r="F178" s="19" t="n"/>
      <c r="G178" s="19" t="n"/>
      <c r="H178" s="19" t="n"/>
      <c r="I178" s="19" t="n"/>
      <c r="J178" s="19" t="n"/>
      <c r="K178" s="19" t="n"/>
      <c r="L178" s="35" t="n"/>
      <c r="M178" s="5">
        <f>IF($D178="","",IFERROR(VLOOKUP($H178,Lists!$N$2:$O$6,2,FALSE),0))</f>
        <v/>
      </c>
      <c r="N178" s="5">
        <f>IF($D178="","",IF(OR($E178="Blocked",$E178="Done",$E178="Archive"),-9999,IF(AND($E178="Waiting",SUMPRODUCT((($E$5:$E$500="Next")+($E$5:$E$500="In Progress")+($E$5:$E$500="Captured"))*($D$5:$D$500&lt;&gt;""))&gt;0),-500,VLOOKUP($F178,Lists!$L$2:$M$4,2,FALSE)+IF($E178="In Progress",10,0)+IF(AND($I178&lt;&gt;"",$I178&lt;TODAY()),25,0)+IF(AND($I178&lt;&gt;"",$I178&gt;=TODAY(),$I178&lt;=TODAY()+7),15,0)+IF($M178&lt;=VLOOKUP(Home!$C$7,Lists!$N$2:$O$6,2,FALSE),20,-10)+IF($G178=Home!$E$7,15,IF(Home!$E$7="",0,-5))-ROW()/100000)))</f>
        <v/>
      </c>
      <c r="O178" s="5">
        <f>IF($D178="","",IF($N178&lt;=-500,"Not recommended right now",IF($E178="Waiting","Nothing else actionable right now — Waiting on: "&amp;IF($K178="","this item",$K178),TEXTJOIN(" • ",TRUE,IF($F178="High","High Priority",""),IF(AND($I178&lt;&gt;"",$I178&lt;TODAY()),"Overdue",""),IF(AND($I178&lt;&gt;"",$I178&gt;=TODAY(),$I178&lt;=TODAY()+7),"Due This Week",""),IF($M178&lt;=VLOOKUP(Home!$C$7,Lists!$N$2:$O$6,2,FALSE),$H178&amp;" Task",""),IF($G178=Home!$E$7,"Fits Current Energy",""),"No Blockers"))))</f>
        <v/>
      </c>
      <c r="P178" s="5">
        <f>IF($D178="","",SWITCH('Task Finder'!$C$6,"High Priority",AND($F178="High",$E178&lt;&gt;"Done",$E178&lt;&gt;"Archive"),"Due This Week",AND($I178&lt;&gt;"",$I178&gt;=TODAY(),$I178&lt;=TODAY()+7,$E178&lt;&gt;"Done"),"Quick Wins (15 mins or less)",AND($M178&lt;=15,$E178&lt;&gt;"Done",$E178&lt;&gt;"Blocked"),"Deep Thinking",AND($G178="Deep Thinking",$E178&lt;&gt;"Done"),"Processing",AND($G178="Processing",$E178&lt;&gt;"Done"),"Blocked",$E178="Blocked","Waiting",$E178="Waiting","Recently Updated",AND($L178&lt;&gt;"",$L178&gt;=TODAY()-7),"Keyword",AND('Task Finder'!$C$7&lt;&gt;"",OR(ISNUMBER(SEARCH('Task Finder'!$C$7,$A178)),ISNUMBER(SEARCH('Task Finder'!$C$7,$B178)),ISNUMBER(SEARCH('Task Finder'!$C$7,$C178)),ISNUMBER(SEARCH('Task Finder'!$C$7,$D178)),ISNUMBER(SEARCH('Task Finder'!$C$7,$K178)))),TRUE))</f>
        <v/>
      </c>
    </row>
    <row r="179">
      <c r="A179" s="19" t="n"/>
      <c r="B179" s="19" t="n"/>
      <c r="C179" s="19" t="n"/>
      <c r="D179" s="19" t="n"/>
      <c r="E179" s="19" t="n"/>
      <c r="F179" s="19" t="n"/>
      <c r="G179" s="19" t="n"/>
      <c r="H179" s="19" t="n"/>
      <c r="I179" s="19" t="n"/>
      <c r="J179" s="19" t="n"/>
      <c r="K179" s="19" t="n"/>
      <c r="L179" s="35" t="n"/>
      <c r="M179" s="5">
        <f>IF($D179="","",IFERROR(VLOOKUP($H179,Lists!$N$2:$O$6,2,FALSE),0))</f>
        <v/>
      </c>
      <c r="N179" s="5">
        <f>IF($D179="","",IF(OR($E179="Blocked",$E179="Done",$E179="Archive"),-9999,IF(AND($E179="Waiting",SUMPRODUCT((($E$5:$E$500="Next")+($E$5:$E$500="In Progress")+($E$5:$E$500="Captured"))*($D$5:$D$500&lt;&gt;""))&gt;0),-500,VLOOKUP($F179,Lists!$L$2:$M$4,2,FALSE)+IF($E179="In Progress",10,0)+IF(AND($I179&lt;&gt;"",$I179&lt;TODAY()),25,0)+IF(AND($I179&lt;&gt;"",$I179&gt;=TODAY(),$I179&lt;=TODAY()+7),15,0)+IF($M179&lt;=VLOOKUP(Home!$C$7,Lists!$N$2:$O$6,2,FALSE),20,-10)+IF($G179=Home!$E$7,15,IF(Home!$E$7="",0,-5))-ROW()/100000)))</f>
        <v/>
      </c>
      <c r="O179" s="5">
        <f>IF($D179="","",IF($N179&lt;=-500,"Not recommended right now",IF($E179="Waiting","Nothing else actionable right now — Waiting on: "&amp;IF($K179="","this item",$K179),TEXTJOIN(" • ",TRUE,IF($F179="High","High Priority",""),IF(AND($I179&lt;&gt;"",$I179&lt;TODAY()),"Overdue",""),IF(AND($I179&lt;&gt;"",$I179&gt;=TODAY(),$I179&lt;=TODAY()+7),"Due This Week",""),IF($M179&lt;=VLOOKUP(Home!$C$7,Lists!$N$2:$O$6,2,FALSE),$H179&amp;" Task",""),IF($G179=Home!$E$7,"Fits Current Energy",""),"No Blockers"))))</f>
        <v/>
      </c>
      <c r="P179" s="5">
        <f>IF($D179="","",SWITCH('Task Finder'!$C$6,"High Priority",AND($F179="High",$E179&lt;&gt;"Done",$E179&lt;&gt;"Archive"),"Due This Week",AND($I179&lt;&gt;"",$I179&gt;=TODAY(),$I179&lt;=TODAY()+7,$E179&lt;&gt;"Done"),"Quick Wins (15 mins or less)",AND($M179&lt;=15,$E179&lt;&gt;"Done",$E179&lt;&gt;"Blocked"),"Deep Thinking",AND($G179="Deep Thinking",$E179&lt;&gt;"Done"),"Processing",AND($G179="Processing",$E179&lt;&gt;"Done"),"Blocked",$E179="Blocked","Waiting",$E179="Waiting","Recently Updated",AND($L179&lt;&gt;"",$L179&gt;=TODAY()-7),"Keyword",AND('Task Finder'!$C$7&lt;&gt;"",OR(ISNUMBER(SEARCH('Task Finder'!$C$7,$A179)),ISNUMBER(SEARCH('Task Finder'!$C$7,$B179)),ISNUMBER(SEARCH('Task Finder'!$C$7,$C179)),ISNUMBER(SEARCH('Task Finder'!$C$7,$D179)),ISNUMBER(SEARCH('Task Finder'!$C$7,$K179)))),TRUE))</f>
        <v/>
      </c>
    </row>
    <row r="180">
      <c r="A180" s="19" t="n"/>
      <c r="B180" s="19" t="n"/>
      <c r="C180" s="19" t="n"/>
      <c r="D180" s="19" t="n"/>
      <c r="E180" s="19" t="n"/>
      <c r="F180" s="19" t="n"/>
      <c r="G180" s="19" t="n"/>
      <c r="H180" s="19" t="n"/>
      <c r="I180" s="19" t="n"/>
      <c r="J180" s="19" t="n"/>
      <c r="K180" s="19" t="n"/>
      <c r="L180" s="35" t="n"/>
      <c r="M180" s="5">
        <f>IF($D180="","",IFERROR(VLOOKUP($H180,Lists!$N$2:$O$6,2,FALSE),0))</f>
        <v/>
      </c>
      <c r="N180" s="5">
        <f>IF($D180="","",IF(OR($E180="Blocked",$E180="Done",$E180="Archive"),-9999,IF(AND($E180="Waiting",SUMPRODUCT((($E$5:$E$500="Next")+($E$5:$E$500="In Progress")+($E$5:$E$500="Captured"))*($D$5:$D$500&lt;&gt;""))&gt;0),-500,VLOOKUP($F180,Lists!$L$2:$M$4,2,FALSE)+IF($E180="In Progress",10,0)+IF(AND($I180&lt;&gt;"",$I180&lt;TODAY()),25,0)+IF(AND($I180&lt;&gt;"",$I180&gt;=TODAY(),$I180&lt;=TODAY()+7),15,0)+IF($M180&lt;=VLOOKUP(Home!$C$7,Lists!$N$2:$O$6,2,FALSE),20,-10)+IF($G180=Home!$E$7,15,IF(Home!$E$7="",0,-5))-ROW()/100000)))</f>
        <v/>
      </c>
      <c r="O180" s="5">
        <f>IF($D180="","",IF($N180&lt;=-500,"Not recommended right now",IF($E180="Waiting","Nothing else actionable right now — Waiting on: "&amp;IF($K180="","this item",$K180),TEXTJOIN(" • ",TRUE,IF($F180="High","High Priority",""),IF(AND($I180&lt;&gt;"",$I180&lt;TODAY()),"Overdue",""),IF(AND($I180&lt;&gt;"",$I180&gt;=TODAY(),$I180&lt;=TODAY()+7),"Due This Week",""),IF($M180&lt;=VLOOKUP(Home!$C$7,Lists!$N$2:$O$6,2,FALSE),$H180&amp;" Task",""),IF($G180=Home!$E$7,"Fits Current Energy",""),"No Blockers"))))</f>
        <v/>
      </c>
      <c r="P180" s="5">
        <f>IF($D180="","",SWITCH('Task Finder'!$C$6,"High Priority",AND($F180="High",$E180&lt;&gt;"Done",$E180&lt;&gt;"Archive"),"Due This Week",AND($I180&lt;&gt;"",$I180&gt;=TODAY(),$I180&lt;=TODAY()+7,$E180&lt;&gt;"Done"),"Quick Wins (15 mins or less)",AND($M180&lt;=15,$E180&lt;&gt;"Done",$E180&lt;&gt;"Blocked"),"Deep Thinking",AND($G180="Deep Thinking",$E180&lt;&gt;"Done"),"Processing",AND($G180="Processing",$E180&lt;&gt;"Done"),"Blocked",$E180="Blocked","Waiting",$E180="Waiting","Recently Updated",AND($L180&lt;&gt;"",$L180&gt;=TODAY()-7),"Keyword",AND('Task Finder'!$C$7&lt;&gt;"",OR(ISNUMBER(SEARCH('Task Finder'!$C$7,$A180)),ISNUMBER(SEARCH('Task Finder'!$C$7,$B180)),ISNUMBER(SEARCH('Task Finder'!$C$7,$C180)),ISNUMBER(SEARCH('Task Finder'!$C$7,$D180)),ISNUMBER(SEARCH('Task Finder'!$C$7,$K180)))),TRUE))</f>
        <v/>
      </c>
    </row>
    <row r="181">
      <c r="A181" s="19" t="n"/>
      <c r="B181" s="19" t="n"/>
      <c r="C181" s="19" t="n"/>
      <c r="D181" s="19" t="n"/>
      <c r="E181" s="19" t="n"/>
      <c r="F181" s="19" t="n"/>
      <c r="G181" s="19" t="n"/>
      <c r="H181" s="19" t="n"/>
      <c r="I181" s="19" t="n"/>
      <c r="J181" s="19" t="n"/>
      <c r="K181" s="19" t="n"/>
      <c r="L181" s="35" t="n"/>
      <c r="M181" s="5">
        <f>IF($D181="","",IFERROR(VLOOKUP($H181,Lists!$N$2:$O$6,2,FALSE),0))</f>
        <v/>
      </c>
      <c r="N181" s="5">
        <f>IF($D181="","",IF(OR($E181="Blocked",$E181="Done",$E181="Archive"),-9999,IF(AND($E181="Waiting",SUMPRODUCT((($E$5:$E$500="Next")+($E$5:$E$500="In Progress")+($E$5:$E$500="Captured"))*($D$5:$D$500&lt;&gt;""))&gt;0),-500,VLOOKUP($F181,Lists!$L$2:$M$4,2,FALSE)+IF($E181="In Progress",10,0)+IF(AND($I181&lt;&gt;"",$I181&lt;TODAY()),25,0)+IF(AND($I181&lt;&gt;"",$I181&gt;=TODAY(),$I181&lt;=TODAY()+7),15,0)+IF($M181&lt;=VLOOKUP(Home!$C$7,Lists!$N$2:$O$6,2,FALSE),20,-10)+IF($G181=Home!$E$7,15,IF(Home!$E$7="",0,-5))-ROW()/100000)))</f>
        <v/>
      </c>
      <c r="O181" s="5">
        <f>IF($D181="","",IF($N181&lt;=-500,"Not recommended right now",IF($E181="Waiting","Nothing else actionable right now — Waiting on: "&amp;IF($K181="","this item",$K181),TEXTJOIN(" • ",TRUE,IF($F181="High","High Priority",""),IF(AND($I181&lt;&gt;"",$I181&lt;TODAY()),"Overdue",""),IF(AND($I181&lt;&gt;"",$I181&gt;=TODAY(),$I181&lt;=TODAY()+7),"Due This Week",""),IF($M181&lt;=VLOOKUP(Home!$C$7,Lists!$N$2:$O$6,2,FALSE),$H181&amp;" Task",""),IF($G181=Home!$E$7,"Fits Current Energy",""),"No Blockers"))))</f>
        <v/>
      </c>
      <c r="P181" s="5">
        <f>IF($D181="","",SWITCH('Task Finder'!$C$6,"High Priority",AND($F181="High",$E181&lt;&gt;"Done",$E181&lt;&gt;"Archive"),"Due This Week",AND($I181&lt;&gt;"",$I181&gt;=TODAY(),$I181&lt;=TODAY()+7,$E181&lt;&gt;"Done"),"Quick Wins (15 mins or less)",AND($M181&lt;=15,$E181&lt;&gt;"Done",$E181&lt;&gt;"Blocked"),"Deep Thinking",AND($G181="Deep Thinking",$E181&lt;&gt;"Done"),"Processing",AND($G181="Processing",$E181&lt;&gt;"Done"),"Blocked",$E181="Blocked","Waiting",$E181="Waiting","Recently Updated",AND($L181&lt;&gt;"",$L181&gt;=TODAY()-7),"Keyword",AND('Task Finder'!$C$7&lt;&gt;"",OR(ISNUMBER(SEARCH('Task Finder'!$C$7,$A181)),ISNUMBER(SEARCH('Task Finder'!$C$7,$B181)),ISNUMBER(SEARCH('Task Finder'!$C$7,$C181)),ISNUMBER(SEARCH('Task Finder'!$C$7,$D181)),ISNUMBER(SEARCH('Task Finder'!$C$7,$K181)))),TRUE))</f>
        <v/>
      </c>
    </row>
    <row r="182">
      <c r="A182" s="19" t="n"/>
      <c r="B182" s="19" t="n"/>
      <c r="C182" s="19" t="n"/>
      <c r="D182" s="19" t="n"/>
      <c r="E182" s="19" t="n"/>
      <c r="F182" s="19" t="n"/>
      <c r="G182" s="19" t="n"/>
      <c r="H182" s="19" t="n"/>
      <c r="I182" s="19" t="n"/>
      <c r="J182" s="19" t="n"/>
      <c r="K182" s="19" t="n"/>
      <c r="L182" s="35" t="n"/>
      <c r="M182" s="5">
        <f>IF($D182="","",IFERROR(VLOOKUP($H182,Lists!$N$2:$O$6,2,FALSE),0))</f>
        <v/>
      </c>
      <c r="N182" s="5">
        <f>IF($D182="","",IF(OR($E182="Blocked",$E182="Done",$E182="Archive"),-9999,IF(AND($E182="Waiting",SUMPRODUCT((($E$5:$E$500="Next")+($E$5:$E$500="In Progress")+($E$5:$E$500="Captured"))*($D$5:$D$500&lt;&gt;""))&gt;0),-500,VLOOKUP($F182,Lists!$L$2:$M$4,2,FALSE)+IF($E182="In Progress",10,0)+IF(AND($I182&lt;&gt;"",$I182&lt;TODAY()),25,0)+IF(AND($I182&lt;&gt;"",$I182&gt;=TODAY(),$I182&lt;=TODAY()+7),15,0)+IF($M182&lt;=VLOOKUP(Home!$C$7,Lists!$N$2:$O$6,2,FALSE),20,-10)+IF($G182=Home!$E$7,15,IF(Home!$E$7="",0,-5))-ROW()/100000)))</f>
        <v/>
      </c>
      <c r="O182" s="5">
        <f>IF($D182="","",IF($N182&lt;=-500,"Not recommended right now",IF($E182="Waiting","Nothing else actionable right now — Waiting on: "&amp;IF($K182="","this item",$K182),TEXTJOIN(" • ",TRUE,IF($F182="High","High Priority",""),IF(AND($I182&lt;&gt;"",$I182&lt;TODAY()),"Overdue",""),IF(AND($I182&lt;&gt;"",$I182&gt;=TODAY(),$I182&lt;=TODAY()+7),"Due This Week",""),IF($M182&lt;=VLOOKUP(Home!$C$7,Lists!$N$2:$O$6,2,FALSE),$H182&amp;" Task",""),IF($G182=Home!$E$7,"Fits Current Energy",""),"No Blockers"))))</f>
        <v/>
      </c>
      <c r="P182" s="5">
        <f>IF($D182="","",SWITCH('Task Finder'!$C$6,"High Priority",AND($F182="High",$E182&lt;&gt;"Done",$E182&lt;&gt;"Archive"),"Due This Week",AND($I182&lt;&gt;"",$I182&gt;=TODAY(),$I182&lt;=TODAY()+7,$E182&lt;&gt;"Done"),"Quick Wins (15 mins or less)",AND($M182&lt;=15,$E182&lt;&gt;"Done",$E182&lt;&gt;"Blocked"),"Deep Thinking",AND($G182="Deep Thinking",$E182&lt;&gt;"Done"),"Processing",AND($G182="Processing",$E182&lt;&gt;"Done"),"Blocked",$E182="Blocked","Waiting",$E182="Waiting","Recently Updated",AND($L182&lt;&gt;"",$L182&gt;=TODAY()-7),"Keyword",AND('Task Finder'!$C$7&lt;&gt;"",OR(ISNUMBER(SEARCH('Task Finder'!$C$7,$A182)),ISNUMBER(SEARCH('Task Finder'!$C$7,$B182)),ISNUMBER(SEARCH('Task Finder'!$C$7,$C182)),ISNUMBER(SEARCH('Task Finder'!$C$7,$D182)),ISNUMBER(SEARCH('Task Finder'!$C$7,$K182)))),TRUE))</f>
        <v/>
      </c>
    </row>
    <row r="183">
      <c r="A183" s="19" t="n"/>
      <c r="B183" s="19" t="n"/>
      <c r="C183" s="19" t="n"/>
      <c r="D183" s="19" t="n"/>
      <c r="E183" s="19" t="n"/>
      <c r="F183" s="19" t="n"/>
      <c r="G183" s="19" t="n"/>
      <c r="H183" s="19" t="n"/>
      <c r="I183" s="19" t="n"/>
      <c r="J183" s="19" t="n"/>
      <c r="K183" s="19" t="n"/>
      <c r="L183" s="35" t="n"/>
      <c r="M183" s="5">
        <f>IF($D183="","",IFERROR(VLOOKUP($H183,Lists!$N$2:$O$6,2,FALSE),0))</f>
        <v/>
      </c>
      <c r="N183" s="5">
        <f>IF($D183="","",IF(OR($E183="Blocked",$E183="Done",$E183="Archive"),-9999,IF(AND($E183="Waiting",SUMPRODUCT((($E$5:$E$500="Next")+($E$5:$E$500="In Progress")+($E$5:$E$500="Captured"))*($D$5:$D$500&lt;&gt;""))&gt;0),-500,VLOOKUP($F183,Lists!$L$2:$M$4,2,FALSE)+IF($E183="In Progress",10,0)+IF(AND($I183&lt;&gt;"",$I183&lt;TODAY()),25,0)+IF(AND($I183&lt;&gt;"",$I183&gt;=TODAY(),$I183&lt;=TODAY()+7),15,0)+IF($M183&lt;=VLOOKUP(Home!$C$7,Lists!$N$2:$O$6,2,FALSE),20,-10)+IF($G183=Home!$E$7,15,IF(Home!$E$7="",0,-5))-ROW()/100000)))</f>
        <v/>
      </c>
      <c r="O183" s="5">
        <f>IF($D183="","",IF($N183&lt;=-500,"Not recommended right now",IF($E183="Waiting","Nothing else actionable right now — Waiting on: "&amp;IF($K183="","this item",$K183),TEXTJOIN(" • ",TRUE,IF($F183="High","High Priority",""),IF(AND($I183&lt;&gt;"",$I183&lt;TODAY()),"Overdue",""),IF(AND($I183&lt;&gt;"",$I183&gt;=TODAY(),$I183&lt;=TODAY()+7),"Due This Week",""),IF($M183&lt;=VLOOKUP(Home!$C$7,Lists!$N$2:$O$6,2,FALSE),$H183&amp;" Task",""),IF($G183=Home!$E$7,"Fits Current Energy",""),"No Blockers"))))</f>
        <v/>
      </c>
      <c r="P183" s="5">
        <f>IF($D183="","",SWITCH('Task Finder'!$C$6,"High Priority",AND($F183="High",$E183&lt;&gt;"Done",$E183&lt;&gt;"Archive"),"Due This Week",AND($I183&lt;&gt;"",$I183&gt;=TODAY(),$I183&lt;=TODAY()+7,$E183&lt;&gt;"Done"),"Quick Wins (15 mins or less)",AND($M183&lt;=15,$E183&lt;&gt;"Done",$E183&lt;&gt;"Blocked"),"Deep Thinking",AND($G183="Deep Thinking",$E183&lt;&gt;"Done"),"Processing",AND($G183="Processing",$E183&lt;&gt;"Done"),"Blocked",$E183="Blocked","Waiting",$E183="Waiting","Recently Updated",AND($L183&lt;&gt;"",$L183&gt;=TODAY()-7),"Keyword",AND('Task Finder'!$C$7&lt;&gt;"",OR(ISNUMBER(SEARCH('Task Finder'!$C$7,$A183)),ISNUMBER(SEARCH('Task Finder'!$C$7,$B183)),ISNUMBER(SEARCH('Task Finder'!$C$7,$C183)),ISNUMBER(SEARCH('Task Finder'!$C$7,$D183)),ISNUMBER(SEARCH('Task Finder'!$C$7,$K183)))),TRUE))</f>
        <v/>
      </c>
    </row>
    <row r="184">
      <c r="A184" s="19" t="n"/>
      <c r="B184" s="19" t="n"/>
      <c r="C184" s="19" t="n"/>
      <c r="D184" s="19" t="n"/>
      <c r="E184" s="19" t="n"/>
      <c r="F184" s="19" t="n"/>
      <c r="G184" s="19" t="n"/>
      <c r="H184" s="19" t="n"/>
      <c r="I184" s="19" t="n"/>
      <c r="J184" s="19" t="n"/>
      <c r="K184" s="19" t="n"/>
      <c r="L184" s="35" t="n"/>
      <c r="M184" s="5">
        <f>IF($D184="","",IFERROR(VLOOKUP($H184,Lists!$N$2:$O$6,2,FALSE),0))</f>
        <v/>
      </c>
      <c r="N184" s="5">
        <f>IF($D184="","",IF(OR($E184="Blocked",$E184="Done",$E184="Archive"),-9999,IF(AND($E184="Waiting",SUMPRODUCT((($E$5:$E$500="Next")+($E$5:$E$500="In Progress")+($E$5:$E$500="Captured"))*($D$5:$D$500&lt;&gt;""))&gt;0),-500,VLOOKUP($F184,Lists!$L$2:$M$4,2,FALSE)+IF($E184="In Progress",10,0)+IF(AND($I184&lt;&gt;"",$I184&lt;TODAY()),25,0)+IF(AND($I184&lt;&gt;"",$I184&gt;=TODAY(),$I184&lt;=TODAY()+7),15,0)+IF($M184&lt;=VLOOKUP(Home!$C$7,Lists!$N$2:$O$6,2,FALSE),20,-10)+IF($G184=Home!$E$7,15,IF(Home!$E$7="",0,-5))-ROW()/100000)))</f>
        <v/>
      </c>
      <c r="O184" s="5">
        <f>IF($D184="","",IF($N184&lt;=-500,"Not recommended right now",IF($E184="Waiting","Nothing else actionable right now — Waiting on: "&amp;IF($K184="","this item",$K184),TEXTJOIN(" • ",TRUE,IF($F184="High","High Priority",""),IF(AND($I184&lt;&gt;"",$I184&lt;TODAY()),"Overdue",""),IF(AND($I184&lt;&gt;"",$I184&gt;=TODAY(),$I184&lt;=TODAY()+7),"Due This Week",""),IF($M184&lt;=VLOOKUP(Home!$C$7,Lists!$N$2:$O$6,2,FALSE),$H184&amp;" Task",""),IF($G184=Home!$E$7,"Fits Current Energy",""),"No Blockers"))))</f>
        <v/>
      </c>
      <c r="P184" s="5">
        <f>IF($D184="","",SWITCH('Task Finder'!$C$6,"High Priority",AND($F184="High",$E184&lt;&gt;"Done",$E184&lt;&gt;"Archive"),"Due This Week",AND($I184&lt;&gt;"",$I184&gt;=TODAY(),$I184&lt;=TODAY()+7,$E184&lt;&gt;"Done"),"Quick Wins (15 mins or less)",AND($M184&lt;=15,$E184&lt;&gt;"Done",$E184&lt;&gt;"Blocked"),"Deep Thinking",AND($G184="Deep Thinking",$E184&lt;&gt;"Done"),"Processing",AND($G184="Processing",$E184&lt;&gt;"Done"),"Blocked",$E184="Blocked","Waiting",$E184="Waiting","Recently Updated",AND($L184&lt;&gt;"",$L184&gt;=TODAY()-7),"Keyword",AND('Task Finder'!$C$7&lt;&gt;"",OR(ISNUMBER(SEARCH('Task Finder'!$C$7,$A184)),ISNUMBER(SEARCH('Task Finder'!$C$7,$B184)),ISNUMBER(SEARCH('Task Finder'!$C$7,$C184)),ISNUMBER(SEARCH('Task Finder'!$C$7,$D184)),ISNUMBER(SEARCH('Task Finder'!$C$7,$K184)))),TRUE))</f>
        <v/>
      </c>
    </row>
    <row r="185">
      <c r="A185" s="19" t="n"/>
      <c r="B185" s="19" t="n"/>
      <c r="C185" s="19" t="n"/>
      <c r="D185" s="19" t="n"/>
      <c r="E185" s="19" t="n"/>
      <c r="F185" s="19" t="n"/>
      <c r="G185" s="19" t="n"/>
      <c r="H185" s="19" t="n"/>
      <c r="I185" s="19" t="n"/>
      <c r="J185" s="19" t="n"/>
      <c r="K185" s="19" t="n"/>
      <c r="L185" s="35" t="n"/>
      <c r="M185" s="5">
        <f>IF($D185="","",IFERROR(VLOOKUP($H185,Lists!$N$2:$O$6,2,FALSE),0))</f>
        <v/>
      </c>
      <c r="N185" s="5">
        <f>IF($D185="","",IF(OR($E185="Blocked",$E185="Done",$E185="Archive"),-9999,IF(AND($E185="Waiting",SUMPRODUCT((($E$5:$E$500="Next")+($E$5:$E$500="In Progress")+($E$5:$E$500="Captured"))*($D$5:$D$500&lt;&gt;""))&gt;0),-500,VLOOKUP($F185,Lists!$L$2:$M$4,2,FALSE)+IF($E185="In Progress",10,0)+IF(AND($I185&lt;&gt;"",$I185&lt;TODAY()),25,0)+IF(AND($I185&lt;&gt;"",$I185&gt;=TODAY(),$I185&lt;=TODAY()+7),15,0)+IF($M185&lt;=VLOOKUP(Home!$C$7,Lists!$N$2:$O$6,2,FALSE),20,-10)+IF($G185=Home!$E$7,15,IF(Home!$E$7="",0,-5))-ROW()/100000)))</f>
        <v/>
      </c>
      <c r="O185" s="5">
        <f>IF($D185="","",IF($N185&lt;=-500,"Not recommended right now",IF($E185="Waiting","Nothing else actionable right now — Waiting on: "&amp;IF($K185="","this item",$K185),TEXTJOIN(" • ",TRUE,IF($F185="High","High Priority",""),IF(AND($I185&lt;&gt;"",$I185&lt;TODAY()),"Overdue",""),IF(AND($I185&lt;&gt;"",$I185&gt;=TODAY(),$I185&lt;=TODAY()+7),"Due This Week",""),IF($M185&lt;=VLOOKUP(Home!$C$7,Lists!$N$2:$O$6,2,FALSE),$H185&amp;" Task",""),IF($G185=Home!$E$7,"Fits Current Energy",""),"No Blockers"))))</f>
        <v/>
      </c>
      <c r="P185" s="5">
        <f>IF($D185="","",SWITCH('Task Finder'!$C$6,"High Priority",AND($F185="High",$E185&lt;&gt;"Done",$E185&lt;&gt;"Archive"),"Due This Week",AND($I185&lt;&gt;"",$I185&gt;=TODAY(),$I185&lt;=TODAY()+7,$E185&lt;&gt;"Done"),"Quick Wins (15 mins or less)",AND($M185&lt;=15,$E185&lt;&gt;"Done",$E185&lt;&gt;"Blocked"),"Deep Thinking",AND($G185="Deep Thinking",$E185&lt;&gt;"Done"),"Processing",AND($G185="Processing",$E185&lt;&gt;"Done"),"Blocked",$E185="Blocked","Waiting",$E185="Waiting","Recently Updated",AND($L185&lt;&gt;"",$L185&gt;=TODAY()-7),"Keyword",AND('Task Finder'!$C$7&lt;&gt;"",OR(ISNUMBER(SEARCH('Task Finder'!$C$7,$A185)),ISNUMBER(SEARCH('Task Finder'!$C$7,$B185)),ISNUMBER(SEARCH('Task Finder'!$C$7,$C185)),ISNUMBER(SEARCH('Task Finder'!$C$7,$D185)),ISNUMBER(SEARCH('Task Finder'!$C$7,$K185)))),TRUE))</f>
        <v/>
      </c>
    </row>
    <row r="186">
      <c r="A186" s="19" t="n"/>
      <c r="B186" s="19" t="n"/>
      <c r="C186" s="19" t="n"/>
      <c r="D186" s="19" t="n"/>
      <c r="E186" s="19" t="n"/>
      <c r="F186" s="19" t="n"/>
      <c r="G186" s="19" t="n"/>
      <c r="H186" s="19" t="n"/>
      <c r="I186" s="19" t="n"/>
      <c r="J186" s="19" t="n"/>
      <c r="K186" s="19" t="n"/>
      <c r="L186" s="35" t="n"/>
      <c r="M186" s="5">
        <f>IF($D186="","",IFERROR(VLOOKUP($H186,Lists!$N$2:$O$6,2,FALSE),0))</f>
        <v/>
      </c>
      <c r="N186" s="5">
        <f>IF($D186="","",IF(OR($E186="Blocked",$E186="Done",$E186="Archive"),-9999,IF(AND($E186="Waiting",SUMPRODUCT((($E$5:$E$500="Next")+($E$5:$E$500="In Progress")+($E$5:$E$500="Captured"))*($D$5:$D$500&lt;&gt;""))&gt;0),-500,VLOOKUP($F186,Lists!$L$2:$M$4,2,FALSE)+IF($E186="In Progress",10,0)+IF(AND($I186&lt;&gt;"",$I186&lt;TODAY()),25,0)+IF(AND($I186&lt;&gt;"",$I186&gt;=TODAY(),$I186&lt;=TODAY()+7),15,0)+IF($M186&lt;=VLOOKUP(Home!$C$7,Lists!$N$2:$O$6,2,FALSE),20,-10)+IF($G186=Home!$E$7,15,IF(Home!$E$7="",0,-5))-ROW()/100000)))</f>
        <v/>
      </c>
      <c r="O186" s="5">
        <f>IF($D186="","",IF($N186&lt;=-500,"Not recommended right now",IF($E186="Waiting","Nothing else actionable right now — Waiting on: "&amp;IF($K186="","this item",$K186),TEXTJOIN(" • ",TRUE,IF($F186="High","High Priority",""),IF(AND($I186&lt;&gt;"",$I186&lt;TODAY()),"Overdue",""),IF(AND($I186&lt;&gt;"",$I186&gt;=TODAY(),$I186&lt;=TODAY()+7),"Due This Week",""),IF($M186&lt;=VLOOKUP(Home!$C$7,Lists!$N$2:$O$6,2,FALSE),$H186&amp;" Task",""),IF($G186=Home!$E$7,"Fits Current Energy",""),"No Blockers"))))</f>
        <v/>
      </c>
      <c r="P186" s="5">
        <f>IF($D186="","",SWITCH('Task Finder'!$C$6,"High Priority",AND($F186="High",$E186&lt;&gt;"Done",$E186&lt;&gt;"Archive"),"Due This Week",AND($I186&lt;&gt;"",$I186&gt;=TODAY(),$I186&lt;=TODAY()+7,$E186&lt;&gt;"Done"),"Quick Wins (15 mins or less)",AND($M186&lt;=15,$E186&lt;&gt;"Done",$E186&lt;&gt;"Blocked"),"Deep Thinking",AND($G186="Deep Thinking",$E186&lt;&gt;"Done"),"Processing",AND($G186="Processing",$E186&lt;&gt;"Done"),"Blocked",$E186="Blocked","Waiting",$E186="Waiting","Recently Updated",AND($L186&lt;&gt;"",$L186&gt;=TODAY()-7),"Keyword",AND('Task Finder'!$C$7&lt;&gt;"",OR(ISNUMBER(SEARCH('Task Finder'!$C$7,$A186)),ISNUMBER(SEARCH('Task Finder'!$C$7,$B186)),ISNUMBER(SEARCH('Task Finder'!$C$7,$C186)),ISNUMBER(SEARCH('Task Finder'!$C$7,$D186)),ISNUMBER(SEARCH('Task Finder'!$C$7,$K186)))),TRUE))</f>
        <v/>
      </c>
    </row>
    <row r="187">
      <c r="A187" s="19" t="n"/>
      <c r="B187" s="19" t="n"/>
      <c r="C187" s="19" t="n"/>
      <c r="D187" s="19" t="n"/>
      <c r="E187" s="19" t="n"/>
      <c r="F187" s="19" t="n"/>
      <c r="G187" s="19" t="n"/>
      <c r="H187" s="19" t="n"/>
      <c r="I187" s="19" t="n"/>
      <c r="J187" s="19" t="n"/>
      <c r="K187" s="19" t="n"/>
      <c r="L187" s="35" t="n"/>
      <c r="M187" s="5">
        <f>IF($D187="","",IFERROR(VLOOKUP($H187,Lists!$N$2:$O$6,2,FALSE),0))</f>
        <v/>
      </c>
      <c r="N187" s="5">
        <f>IF($D187="","",IF(OR($E187="Blocked",$E187="Done",$E187="Archive"),-9999,IF(AND($E187="Waiting",SUMPRODUCT((($E$5:$E$500="Next")+($E$5:$E$500="In Progress")+($E$5:$E$500="Captured"))*($D$5:$D$500&lt;&gt;""))&gt;0),-500,VLOOKUP($F187,Lists!$L$2:$M$4,2,FALSE)+IF($E187="In Progress",10,0)+IF(AND($I187&lt;&gt;"",$I187&lt;TODAY()),25,0)+IF(AND($I187&lt;&gt;"",$I187&gt;=TODAY(),$I187&lt;=TODAY()+7),15,0)+IF($M187&lt;=VLOOKUP(Home!$C$7,Lists!$N$2:$O$6,2,FALSE),20,-10)+IF($G187=Home!$E$7,15,IF(Home!$E$7="",0,-5))-ROW()/100000)))</f>
        <v/>
      </c>
      <c r="O187" s="5">
        <f>IF($D187="","",IF($N187&lt;=-500,"Not recommended right now",IF($E187="Waiting","Nothing else actionable right now — Waiting on: "&amp;IF($K187="","this item",$K187),TEXTJOIN(" • ",TRUE,IF($F187="High","High Priority",""),IF(AND($I187&lt;&gt;"",$I187&lt;TODAY()),"Overdue",""),IF(AND($I187&lt;&gt;"",$I187&gt;=TODAY(),$I187&lt;=TODAY()+7),"Due This Week",""),IF($M187&lt;=VLOOKUP(Home!$C$7,Lists!$N$2:$O$6,2,FALSE),$H187&amp;" Task",""),IF($G187=Home!$E$7,"Fits Current Energy",""),"No Blockers"))))</f>
        <v/>
      </c>
      <c r="P187" s="5">
        <f>IF($D187="","",SWITCH('Task Finder'!$C$6,"High Priority",AND($F187="High",$E187&lt;&gt;"Done",$E187&lt;&gt;"Archive"),"Due This Week",AND($I187&lt;&gt;"",$I187&gt;=TODAY(),$I187&lt;=TODAY()+7,$E187&lt;&gt;"Done"),"Quick Wins (15 mins or less)",AND($M187&lt;=15,$E187&lt;&gt;"Done",$E187&lt;&gt;"Blocked"),"Deep Thinking",AND($G187="Deep Thinking",$E187&lt;&gt;"Done"),"Processing",AND($G187="Processing",$E187&lt;&gt;"Done"),"Blocked",$E187="Blocked","Waiting",$E187="Waiting","Recently Updated",AND($L187&lt;&gt;"",$L187&gt;=TODAY()-7),"Keyword",AND('Task Finder'!$C$7&lt;&gt;"",OR(ISNUMBER(SEARCH('Task Finder'!$C$7,$A187)),ISNUMBER(SEARCH('Task Finder'!$C$7,$B187)),ISNUMBER(SEARCH('Task Finder'!$C$7,$C187)),ISNUMBER(SEARCH('Task Finder'!$C$7,$D187)),ISNUMBER(SEARCH('Task Finder'!$C$7,$K187)))),TRUE))</f>
        <v/>
      </c>
    </row>
    <row r="188">
      <c r="A188" s="19" t="n"/>
      <c r="B188" s="19" t="n"/>
      <c r="C188" s="19" t="n"/>
      <c r="D188" s="19" t="n"/>
      <c r="E188" s="19" t="n"/>
      <c r="F188" s="19" t="n"/>
      <c r="G188" s="19" t="n"/>
      <c r="H188" s="19" t="n"/>
      <c r="I188" s="19" t="n"/>
      <c r="J188" s="19" t="n"/>
      <c r="K188" s="19" t="n"/>
      <c r="L188" s="35" t="n"/>
      <c r="M188" s="5">
        <f>IF($D188="","",IFERROR(VLOOKUP($H188,Lists!$N$2:$O$6,2,FALSE),0))</f>
        <v/>
      </c>
      <c r="N188" s="5">
        <f>IF($D188="","",IF(OR($E188="Blocked",$E188="Done",$E188="Archive"),-9999,IF(AND($E188="Waiting",SUMPRODUCT((($E$5:$E$500="Next")+($E$5:$E$500="In Progress")+($E$5:$E$500="Captured"))*($D$5:$D$500&lt;&gt;""))&gt;0),-500,VLOOKUP($F188,Lists!$L$2:$M$4,2,FALSE)+IF($E188="In Progress",10,0)+IF(AND($I188&lt;&gt;"",$I188&lt;TODAY()),25,0)+IF(AND($I188&lt;&gt;"",$I188&gt;=TODAY(),$I188&lt;=TODAY()+7),15,0)+IF($M188&lt;=VLOOKUP(Home!$C$7,Lists!$N$2:$O$6,2,FALSE),20,-10)+IF($G188=Home!$E$7,15,IF(Home!$E$7="",0,-5))-ROW()/100000)))</f>
        <v/>
      </c>
      <c r="O188" s="5">
        <f>IF($D188="","",IF($N188&lt;=-500,"Not recommended right now",IF($E188="Waiting","Nothing else actionable right now — Waiting on: "&amp;IF($K188="","this item",$K188),TEXTJOIN(" • ",TRUE,IF($F188="High","High Priority",""),IF(AND($I188&lt;&gt;"",$I188&lt;TODAY()),"Overdue",""),IF(AND($I188&lt;&gt;"",$I188&gt;=TODAY(),$I188&lt;=TODAY()+7),"Due This Week",""),IF($M188&lt;=VLOOKUP(Home!$C$7,Lists!$N$2:$O$6,2,FALSE),$H188&amp;" Task",""),IF($G188=Home!$E$7,"Fits Current Energy",""),"No Blockers"))))</f>
        <v/>
      </c>
      <c r="P188" s="5">
        <f>IF($D188="","",SWITCH('Task Finder'!$C$6,"High Priority",AND($F188="High",$E188&lt;&gt;"Done",$E188&lt;&gt;"Archive"),"Due This Week",AND($I188&lt;&gt;"",$I188&gt;=TODAY(),$I188&lt;=TODAY()+7,$E188&lt;&gt;"Done"),"Quick Wins (15 mins or less)",AND($M188&lt;=15,$E188&lt;&gt;"Done",$E188&lt;&gt;"Blocked"),"Deep Thinking",AND($G188="Deep Thinking",$E188&lt;&gt;"Done"),"Processing",AND($G188="Processing",$E188&lt;&gt;"Done"),"Blocked",$E188="Blocked","Waiting",$E188="Waiting","Recently Updated",AND($L188&lt;&gt;"",$L188&gt;=TODAY()-7),"Keyword",AND('Task Finder'!$C$7&lt;&gt;"",OR(ISNUMBER(SEARCH('Task Finder'!$C$7,$A188)),ISNUMBER(SEARCH('Task Finder'!$C$7,$B188)),ISNUMBER(SEARCH('Task Finder'!$C$7,$C188)),ISNUMBER(SEARCH('Task Finder'!$C$7,$D188)),ISNUMBER(SEARCH('Task Finder'!$C$7,$K188)))),TRUE))</f>
        <v/>
      </c>
    </row>
    <row r="189">
      <c r="A189" s="19" t="n"/>
      <c r="B189" s="19" t="n"/>
      <c r="C189" s="19" t="n"/>
      <c r="D189" s="19" t="n"/>
      <c r="E189" s="19" t="n"/>
      <c r="F189" s="19" t="n"/>
      <c r="G189" s="19" t="n"/>
      <c r="H189" s="19" t="n"/>
      <c r="I189" s="19" t="n"/>
      <c r="J189" s="19" t="n"/>
      <c r="K189" s="19" t="n"/>
      <c r="L189" s="35" t="n"/>
      <c r="M189" s="5">
        <f>IF($D189="","",IFERROR(VLOOKUP($H189,Lists!$N$2:$O$6,2,FALSE),0))</f>
        <v/>
      </c>
      <c r="N189" s="5">
        <f>IF($D189="","",IF(OR($E189="Blocked",$E189="Done",$E189="Archive"),-9999,IF(AND($E189="Waiting",SUMPRODUCT((($E$5:$E$500="Next")+($E$5:$E$500="In Progress")+($E$5:$E$500="Captured"))*($D$5:$D$500&lt;&gt;""))&gt;0),-500,VLOOKUP($F189,Lists!$L$2:$M$4,2,FALSE)+IF($E189="In Progress",10,0)+IF(AND($I189&lt;&gt;"",$I189&lt;TODAY()),25,0)+IF(AND($I189&lt;&gt;"",$I189&gt;=TODAY(),$I189&lt;=TODAY()+7),15,0)+IF($M189&lt;=VLOOKUP(Home!$C$7,Lists!$N$2:$O$6,2,FALSE),20,-10)+IF($G189=Home!$E$7,15,IF(Home!$E$7="",0,-5))-ROW()/100000)))</f>
        <v/>
      </c>
      <c r="O189" s="5">
        <f>IF($D189="","",IF($N189&lt;=-500,"Not recommended right now",IF($E189="Waiting","Nothing else actionable right now — Waiting on: "&amp;IF($K189="","this item",$K189),TEXTJOIN(" • ",TRUE,IF($F189="High","High Priority",""),IF(AND($I189&lt;&gt;"",$I189&lt;TODAY()),"Overdue",""),IF(AND($I189&lt;&gt;"",$I189&gt;=TODAY(),$I189&lt;=TODAY()+7),"Due This Week",""),IF($M189&lt;=VLOOKUP(Home!$C$7,Lists!$N$2:$O$6,2,FALSE),$H189&amp;" Task",""),IF($G189=Home!$E$7,"Fits Current Energy",""),"No Blockers"))))</f>
        <v/>
      </c>
      <c r="P189" s="5">
        <f>IF($D189="","",SWITCH('Task Finder'!$C$6,"High Priority",AND($F189="High",$E189&lt;&gt;"Done",$E189&lt;&gt;"Archive"),"Due This Week",AND($I189&lt;&gt;"",$I189&gt;=TODAY(),$I189&lt;=TODAY()+7,$E189&lt;&gt;"Done"),"Quick Wins (15 mins or less)",AND($M189&lt;=15,$E189&lt;&gt;"Done",$E189&lt;&gt;"Blocked"),"Deep Thinking",AND($G189="Deep Thinking",$E189&lt;&gt;"Done"),"Processing",AND($G189="Processing",$E189&lt;&gt;"Done"),"Blocked",$E189="Blocked","Waiting",$E189="Waiting","Recently Updated",AND($L189&lt;&gt;"",$L189&gt;=TODAY()-7),"Keyword",AND('Task Finder'!$C$7&lt;&gt;"",OR(ISNUMBER(SEARCH('Task Finder'!$C$7,$A189)),ISNUMBER(SEARCH('Task Finder'!$C$7,$B189)),ISNUMBER(SEARCH('Task Finder'!$C$7,$C189)),ISNUMBER(SEARCH('Task Finder'!$C$7,$D189)),ISNUMBER(SEARCH('Task Finder'!$C$7,$K189)))),TRUE))</f>
        <v/>
      </c>
    </row>
    <row r="190">
      <c r="A190" s="19" t="n"/>
      <c r="B190" s="19" t="n"/>
      <c r="C190" s="19" t="n"/>
      <c r="D190" s="19" t="n"/>
      <c r="E190" s="19" t="n"/>
      <c r="F190" s="19" t="n"/>
      <c r="G190" s="19" t="n"/>
      <c r="H190" s="19" t="n"/>
      <c r="I190" s="19" t="n"/>
      <c r="J190" s="19" t="n"/>
      <c r="K190" s="19" t="n"/>
      <c r="L190" s="35" t="n"/>
      <c r="M190" s="5">
        <f>IF($D190="","",IFERROR(VLOOKUP($H190,Lists!$N$2:$O$6,2,FALSE),0))</f>
        <v/>
      </c>
      <c r="N190" s="5">
        <f>IF($D190="","",IF(OR($E190="Blocked",$E190="Done",$E190="Archive"),-9999,IF(AND($E190="Waiting",SUMPRODUCT((($E$5:$E$500="Next")+($E$5:$E$500="In Progress")+($E$5:$E$500="Captured"))*($D$5:$D$500&lt;&gt;""))&gt;0),-500,VLOOKUP($F190,Lists!$L$2:$M$4,2,FALSE)+IF($E190="In Progress",10,0)+IF(AND($I190&lt;&gt;"",$I190&lt;TODAY()),25,0)+IF(AND($I190&lt;&gt;"",$I190&gt;=TODAY(),$I190&lt;=TODAY()+7),15,0)+IF($M190&lt;=VLOOKUP(Home!$C$7,Lists!$N$2:$O$6,2,FALSE),20,-10)+IF($G190=Home!$E$7,15,IF(Home!$E$7="",0,-5))-ROW()/100000)))</f>
        <v/>
      </c>
      <c r="O190" s="5">
        <f>IF($D190="","",IF($N190&lt;=-500,"Not recommended right now",IF($E190="Waiting","Nothing else actionable right now — Waiting on: "&amp;IF($K190="","this item",$K190),TEXTJOIN(" • ",TRUE,IF($F190="High","High Priority",""),IF(AND($I190&lt;&gt;"",$I190&lt;TODAY()),"Overdue",""),IF(AND($I190&lt;&gt;"",$I190&gt;=TODAY(),$I190&lt;=TODAY()+7),"Due This Week",""),IF($M190&lt;=VLOOKUP(Home!$C$7,Lists!$N$2:$O$6,2,FALSE),$H190&amp;" Task",""),IF($G190=Home!$E$7,"Fits Current Energy",""),"No Blockers"))))</f>
        <v/>
      </c>
      <c r="P190" s="5">
        <f>IF($D190="","",SWITCH('Task Finder'!$C$6,"High Priority",AND($F190="High",$E190&lt;&gt;"Done",$E190&lt;&gt;"Archive"),"Due This Week",AND($I190&lt;&gt;"",$I190&gt;=TODAY(),$I190&lt;=TODAY()+7,$E190&lt;&gt;"Done"),"Quick Wins (15 mins or less)",AND($M190&lt;=15,$E190&lt;&gt;"Done",$E190&lt;&gt;"Blocked"),"Deep Thinking",AND($G190="Deep Thinking",$E190&lt;&gt;"Done"),"Processing",AND($G190="Processing",$E190&lt;&gt;"Done"),"Blocked",$E190="Blocked","Waiting",$E190="Waiting","Recently Updated",AND($L190&lt;&gt;"",$L190&gt;=TODAY()-7),"Keyword",AND('Task Finder'!$C$7&lt;&gt;"",OR(ISNUMBER(SEARCH('Task Finder'!$C$7,$A190)),ISNUMBER(SEARCH('Task Finder'!$C$7,$B190)),ISNUMBER(SEARCH('Task Finder'!$C$7,$C190)),ISNUMBER(SEARCH('Task Finder'!$C$7,$D190)),ISNUMBER(SEARCH('Task Finder'!$C$7,$K190)))),TRUE))</f>
        <v/>
      </c>
    </row>
    <row r="191">
      <c r="A191" s="19" t="n"/>
      <c r="B191" s="19" t="n"/>
      <c r="C191" s="19" t="n"/>
      <c r="D191" s="19" t="n"/>
      <c r="E191" s="19" t="n"/>
      <c r="F191" s="19" t="n"/>
      <c r="G191" s="19" t="n"/>
      <c r="H191" s="19" t="n"/>
      <c r="I191" s="19" t="n"/>
      <c r="J191" s="19" t="n"/>
      <c r="K191" s="19" t="n"/>
      <c r="L191" s="35" t="n"/>
      <c r="M191" s="5">
        <f>IF($D191="","",IFERROR(VLOOKUP($H191,Lists!$N$2:$O$6,2,FALSE),0))</f>
        <v/>
      </c>
      <c r="N191" s="5">
        <f>IF($D191="","",IF(OR($E191="Blocked",$E191="Done",$E191="Archive"),-9999,IF(AND($E191="Waiting",SUMPRODUCT((($E$5:$E$500="Next")+($E$5:$E$500="In Progress")+($E$5:$E$500="Captured"))*($D$5:$D$500&lt;&gt;""))&gt;0),-500,VLOOKUP($F191,Lists!$L$2:$M$4,2,FALSE)+IF($E191="In Progress",10,0)+IF(AND($I191&lt;&gt;"",$I191&lt;TODAY()),25,0)+IF(AND($I191&lt;&gt;"",$I191&gt;=TODAY(),$I191&lt;=TODAY()+7),15,0)+IF($M191&lt;=VLOOKUP(Home!$C$7,Lists!$N$2:$O$6,2,FALSE),20,-10)+IF($G191=Home!$E$7,15,IF(Home!$E$7="",0,-5))-ROW()/100000)))</f>
        <v/>
      </c>
      <c r="O191" s="5">
        <f>IF($D191="","",IF($N191&lt;=-500,"Not recommended right now",IF($E191="Waiting","Nothing else actionable right now — Waiting on: "&amp;IF($K191="","this item",$K191),TEXTJOIN(" • ",TRUE,IF($F191="High","High Priority",""),IF(AND($I191&lt;&gt;"",$I191&lt;TODAY()),"Overdue",""),IF(AND($I191&lt;&gt;"",$I191&gt;=TODAY(),$I191&lt;=TODAY()+7),"Due This Week",""),IF($M191&lt;=VLOOKUP(Home!$C$7,Lists!$N$2:$O$6,2,FALSE),$H191&amp;" Task",""),IF($G191=Home!$E$7,"Fits Current Energy",""),"No Blockers"))))</f>
        <v/>
      </c>
      <c r="P191" s="5">
        <f>IF($D191="","",SWITCH('Task Finder'!$C$6,"High Priority",AND($F191="High",$E191&lt;&gt;"Done",$E191&lt;&gt;"Archive"),"Due This Week",AND($I191&lt;&gt;"",$I191&gt;=TODAY(),$I191&lt;=TODAY()+7,$E191&lt;&gt;"Done"),"Quick Wins (15 mins or less)",AND($M191&lt;=15,$E191&lt;&gt;"Done",$E191&lt;&gt;"Blocked"),"Deep Thinking",AND($G191="Deep Thinking",$E191&lt;&gt;"Done"),"Processing",AND($G191="Processing",$E191&lt;&gt;"Done"),"Blocked",$E191="Blocked","Waiting",$E191="Waiting","Recently Updated",AND($L191&lt;&gt;"",$L191&gt;=TODAY()-7),"Keyword",AND('Task Finder'!$C$7&lt;&gt;"",OR(ISNUMBER(SEARCH('Task Finder'!$C$7,$A191)),ISNUMBER(SEARCH('Task Finder'!$C$7,$B191)),ISNUMBER(SEARCH('Task Finder'!$C$7,$C191)),ISNUMBER(SEARCH('Task Finder'!$C$7,$D191)),ISNUMBER(SEARCH('Task Finder'!$C$7,$K191)))),TRUE))</f>
        <v/>
      </c>
    </row>
    <row r="192">
      <c r="A192" s="19" t="n"/>
      <c r="B192" s="19" t="n"/>
      <c r="C192" s="19" t="n"/>
      <c r="D192" s="19" t="n"/>
      <c r="E192" s="19" t="n"/>
      <c r="F192" s="19" t="n"/>
      <c r="G192" s="19" t="n"/>
      <c r="H192" s="19" t="n"/>
      <c r="I192" s="19" t="n"/>
      <c r="J192" s="19" t="n"/>
      <c r="K192" s="19" t="n"/>
      <c r="L192" s="35" t="n"/>
      <c r="M192" s="5">
        <f>IF($D192="","",IFERROR(VLOOKUP($H192,Lists!$N$2:$O$6,2,FALSE),0))</f>
        <v/>
      </c>
      <c r="N192" s="5">
        <f>IF($D192="","",IF(OR($E192="Blocked",$E192="Done",$E192="Archive"),-9999,IF(AND($E192="Waiting",SUMPRODUCT((($E$5:$E$500="Next")+($E$5:$E$500="In Progress")+($E$5:$E$500="Captured"))*($D$5:$D$500&lt;&gt;""))&gt;0),-500,VLOOKUP($F192,Lists!$L$2:$M$4,2,FALSE)+IF($E192="In Progress",10,0)+IF(AND($I192&lt;&gt;"",$I192&lt;TODAY()),25,0)+IF(AND($I192&lt;&gt;"",$I192&gt;=TODAY(),$I192&lt;=TODAY()+7),15,0)+IF($M192&lt;=VLOOKUP(Home!$C$7,Lists!$N$2:$O$6,2,FALSE),20,-10)+IF($G192=Home!$E$7,15,IF(Home!$E$7="",0,-5))-ROW()/100000)))</f>
        <v/>
      </c>
      <c r="O192" s="5">
        <f>IF($D192="","",IF($N192&lt;=-500,"Not recommended right now",IF($E192="Waiting","Nothing else actionable right now — Waiting on: "&amp;IF($K192="","this item",$K192),TEXTJOIN(" • ",TRUE,IF($F192="High","High Priority",""),IF(AND($I192&lt;&gt;"",$I192&lt;TODAY()),"Overdue",""),IF(AND($I192&lt;&gt;"",$I192&gt;=TODAY(),$I192&lt;=TODAY()+7),"Due This Week",""),IF($M192&lt;=VLOOKUP(Home!$C$7,Lists!$N$2:$O$6,2,FALSE),$H192&amp;" Task",""),IF($G192=Home!$E$7,"Fits Current Energy",""),"No Blockers"))))</f>
        <v/>
      </c>
      <c r="P192" s="5">
        <f>IF($D192="","",SWITCH('Task Finder'!$C$6,"High Priority",AND($F192="High",$E192&lt;&gt;"Done",$E192&lt;&gt;"Archive"),"Due This Week",AND($I192&lt;&gt;"",$I192&gt;=TODAY(),$I192&lt;=TODAY()+7,$E192&lt;&gt;"Done"),"Quick Wins (15 mins or less)",AND($M192&lt;=15,$E192&lt;&gt;"Done",$E192&lt;&gt;"Blocked"),"Deep Thinking",AND($G192="Deep Thinking",$E192&lt;&gt;"Done"),"Processing",AND($G192="Processing",$E192&lt;&gt;"Done"),"Blocked",$E192="Blocked","Waiting",$E192="Waiting","Recently Updated",AND($L192&lt;&gt;"",$L192&gt;=TODAY()-7),"Keyword",AND('Task Finder'!$C$7&lt;&gt;"",OR(ISNUMBER(SEARCH('Task Finder'!$C$7,$A192)),ISNUMBER(SEARCH('Task Finder'!$C$7,$B192)),ISNUMBER(SEARCH('Task Finder'!$C$7,$C192)),ISNUMBER(SEARCH('Task Finder'!$C$7,$D192)),ISNUMBER(SEARCH('Task Finder'!$C$7,$K192)))),TRUE))</f>
        <v/>
      </c>
    </row>
    <row r="193">
      <c r="A193" s="19" t="n"/>
      <c r="B193" s="19" t="n"/>
      <c r="C193" s="19" t="n"/>
      <c r="D193" s="19" t="n"/>
      <c r="E193" s="19" t="n"/>
      <c r="F193" s="19" t="n"/>
      <c r="G193" s="19" t="n"/>
      <c r="H193" s="19" t="n"/>
      <c r="I193" s="19" t="n"/>
      <c r="J193" s="19" t="n"/>
      <c r="K193" s="19" t="n"/>
      <c r="L193" s="35" t="n"/>
      <c r="M193" s="5">
        <f>IF($D193="","",IFERROR(VLOOKUP($H193,Lists!$N$2:$O$6,2,FALSE),0))</f>
        <v/>
      </c>
      <c r="N193" s="5">
        <f>IF($D193="","",IF(OR($E193="Blocked",$E193="Done",$E193="Archive"),-9999,IF(AND($E193="Waiting",SUMPRODUCT((($E$5:$E$500="Next")+($E$5:$E$500="In Progress")+($E$5:$E$500="Captured"))*($D$5:$D$500&lt;&gt;""))&gt;0),-500,VLOOKUP($F193,Lists!$L$2:$M$4,2,FALSE)+IF($E193="In Progress",10,0)+IF(AND($I193&lt;&gt;"",$I193&lt;TODAY()),25,0)+IF(AND($I193&lt;&gt;"",$I193&gt;=TODAY(),$I193&lt;=TODAY()+7),15,0)+IF($M193&lt;=VLOOKUP(Home!$C$7,Lists!$N$2:$O$6,2,FALSE),20,-10)+IF($G193=Home!$E$7,15,IF(Home!$E$7="",0,-5))-ROW()/100000)))</f>
        <v/>
      </c>
      <c r="O193" s="5">
        <f>IF($D193="","",IF($N193&lt;=-500,"Not recommended right now",IF($E193="Waiting","Nothing else actionable right now — Waiting on: "&amp;IF($K193="","this item",$K193),TEXTJOIN(" • ",TRUE,IF($F193="High","High Priority",""),IF(AND($I193&lt;&gt;"",$I193&lt;TODAY()),"Overdue",""),IF(AND($I193&lt;&gt;"",$I193&gt;=TODAY(),$I193&lt;=TODAY()+7),"Due This Week",""),IF($M193&lt;=VLOOKUP(Home!$C$7,Lists!$N$2:$O$6,2,FALSE),$H193&amp;" Task",""),IF($G193=Home!$E$7,"Fits Current Energy",""),"No Blockers"))))</f>
        <v/>
      </c>
      <c r="P193" s="5">
        <f>IF($D193="","",SWITCH('Task Finder'!$C$6,"High Priority",AND($F193="High",$E193&lt;&gt;"Done",$E193&lt;&gt;"Archive"),"Due This Week",AND($I193&lt;&gt;"",$I193&gt;=TODAY(),$I193&lt;=TODAY()+7,$E193&lt;&gt;"Done"),"Quick Wins (15 mins or less)",AND($M193&lt;=15,$E193&lt;&gt;"Done",$E193&lt;&gt;"Blocked"),"Deep Thinking",AND($G193="Deep Thinking",$E193&lt;&gt;"Done"),"Processing",AND($G193="Processing",$E193&lt;&gt;"Done"),"Blocked",$E193="Blocked","Waiting",$E193="Waiting","Recently Updated",AND($L193&lt;&gt;"",$L193&gt;=TODAY()-7),"Keyword",AND('Task Finder'!$C$7&lt;&gt;"",OR(ISNUMBER(SEARCH('Task Finder'!$C$7,$A193)),ISNUMBER(SEARCH('Task Finder'!$C$7,$B193)),ISNUMBER(SEARCH('Task Finder'!$C$7,$C193)),ISNUMBER(SEARCH('Task Finder'!$C$7,$D193)),ISNUMBER(SEARCH('Task Finder'!$C$7,$K193)))),TRUE))</f>
        <v/>
      </c>
    </row>
    <row r="194">
      <c r="A194" s="19" t="n"/>
      <c r="B194" s="19" t="n"/>
      <c r="C194" s="19" t="n"/>
      <c r="D194" s="19" t="n"/>
      <c r="E194" s="19" t="n"/>
      <c r="F194" s="19" t="n"/>
      <c r="G194" s="19" t="n"/>
      <c r="H194" s="19" t="n"/>
      <c r="I194" s="19" t="n"/>
      <c r="J194" s="19" t="n"/>
      <c r="K194" s="19" t="n"/>
      <c r="L194" s="35" t="n"/>
      <c r="M194" s="5">
        <f>IF($D194="","",IFERROR(VLOOKUP($H194,Lists!$N$2:$O$6,2,FALSE),0))</f>
        <v/>
      </c>
      <c r="N194" s="5">
        <f>IF($D194="","",IF(OR($E194="Blocked",$E194="Done",$E194="Archive"),-9999,IF(AND($E194="Waiting",SUMPRODUCT((($E$5:$E$500="Next")+($E$5:$E$500="In Progress")+($E$5:$E$500="Captured"))*($D$5:$D$500&lt;&gt;""))&gt;0),-500,VLOOKUP($F194,Lists!$L$2:$M$4,2,FALSE)+IF($E194="In Progress",10,0)+IF(AND($I194&lt;&gt;"",$I194&lt;TODAY()),25,0)+IF(AND($I194&lt;&gt;"",$I194&gt;=TODAY(),$I194&lt;=TODAY()+7),15,0)+IF($M194&lt;=VLOOKUP(Home!$C$7,Lists!$N$2:$O$6,2,FALSE),20,-10)+IF($G194=Home!$E$7,15,IF(Home!$E$7="",0,-5))-ROW()/100000)))</f>
        <v/>
      </c>
      <c r="O194" s="5">
        <f>IF($D194="","",IF($N194&lt;=-500,"Not recommended right now",IF($E194="Waiting","Nothing else actionable right now — Waiting on: "&amp;IF($K194="","this item",$K194),TEXTJOIN(" • ",TRUE,IF($F194="High","High Priority",""),IF(AND($I194&lt;&gt;"",$I194&lt;TODAY()),"Overdue",""),IF(AND($I194&lt;&gt;"",$I194&gt;=TODAY(),$I194&lt;=TODAY()+7),"Due This Week",""),IF($M194&lt;=VLOOKUP(Home!$C$7,Lists!$N$2:$O$6,2,FALSE),$H194&amp;" Task",""),IF($G194=Home!$E$7,"Fits Current Energy",""),"No Blockers"))))</f>
        <v/>
      </c>
      <c r="P194" s="5">
        <f>IF($D194="","",SWITCH('Task Finder'!$C$6,"High Priority",AND($F194="High",$E194&lt;&gt;"Done",$E194&lt;&gt;"Archive"),"Due This Week",AND($I194&lt;&gt;"",$I194&gt;=TODAY(),$I194&lt;=TODAY()+7,$E194&lt;&gt;"Done"),"Quick Wins (15 mins or less)",AND($M194&lt;=15,$E194&lt;&gt;"Done",$E194&lt;&gt;"Blocked"),"Deep Thinking",AND($G194="Deep Thinking",$E194&lt;&gt;"Done"),"Processing",AND($G194="Processing",$E194&lt;&gt;"Done"),"Blocked",$E194="Blocked","Waiting",$E194="Waiting","Recently Updated",AND($L194&lt;&gt;"",$L194&gt;=TODAY()-7),"Keyword",AND('Task Finder'!$C$7&lt;&gt;"",OR(ISNUMBER(SEARCH('Task Finder'!$C$7,$A194)),ISNUMBER(SEARCH('Task Finder'!$C$7,$B194)),ISNUMBER(SEARCH('Task Finder'!$C$7,$C194)),ISNUMBER(SEARCH('Task Finder'!$C$7,$D194)),ISNUMBER(SEARCH('Task Finder'!$C$7,$K194)))),TRUE))</f>
        <v/>
      </c>
    </row>
    <row r="195">
      <c r="A195" s="19" t="n"/>
      <c r="B195" s="19" t="n"/>
      <c r="C195" s="19" t="n"/>
      <c r="D195" s="19" t="n"/>
      <c r="E195" s="19" t="n"/>
      <c r="F195" s="19" t="n"/>
      <c r="G195" s="19" t="n"/>
      <c r="H195" s="19" t="n"/>
      <c r="I195" s="19" t="n"/>
      <c r="J195" s="19" t="n"/>
      <c r="K195" s="19" t="n"/>
      <c r="L195" s="35" t="n"/>
      <c r="M195" s="5">
        <f>IF($D195="","",IFERROR(VLOOKUP($H195,Lists!$N$2:$O$6,2,FALSE),0))</f>
        <v/>
      </c>
      <c r="N195" s="5">
        <f>IF($D195="","",IF(OR($E195="Blocked",$E195="Done",$E195="Archive"),-9999,IF(AND($E195="Waiting",SUMPRODUCT((($E$5:$E$500="Next")+($E$5:$E$500="In Progress")+($E$5:$E$500="Captured"))*($D$5:$D$500&lt;&gt;""))&gt;0),-500,VLOOKUP($F195,Lists!$L$2:$M$4,2,FALSE)+IF($E195="In Progress",10,0)+IF(AND($I195&lt;&gt;"",$I195&lt;TODAY()),25,0)+IF(AND($I195&lt;&gt;"",$I195&gt;=TODAY(),$I195&lt;=TODAY()+7),15,0)+IF($M195&lt;=VLOOKUP(Home!$C$7,Lists!$N$2:$O$6,2,FALSE),20,-10)+IF($G195=Home!$E$7,15,IF(Home!$E$7="",0,-5))-ROW()/100000)))</f>
        <v/>
      </c>
      <c r="O195" s="5">
        <f>IF($D195="","",IF($N195&lt;=-500,"Not recommended right now",IF($E195="Waiting","Nothing else actionable right now — Waiting on: "&amp;IF($K195="","this item",$K195),TEXTJOIN(" • ",TRUE,IF($F195="High","High Priority",""),IF(AND($I195&lt;&gt;"",$I195&lt;TODAY()),"Overdue",""),IF(AND($I195&lt;&gt;"",$I195&gt;=TODAY(),$I195&lt;=TODAY()+7),"Due This Week",""),IF($M195&lt;=VLOOKUP(Home!$C$7,Lists!$N$2:$O$6,2,FALSE),$H195&amp;" Task",""),IF($G195=Home!$E$7,"Fits Current Energy",""),"No Blockers"))))</f>
        <v/>
      </c>
      <c r="P195" s="5">
        <f>IF($D195="","",SWITCH('Task Finder'!$C$6,"High Priority",AND($F195="High",$E195&lt;&gt;"Done",$E195&lt;&gt;"Archive"),"Due This Week",AND($I195&lt;&gt;"",$I195&gt;=TODAY(),$I195&lt;=TODAY()+7,$E195&lt;&gt;"Done"),"Quick Wins (15 mins or less)",AND($M195&lt;=15,$E195&lt;&gt;"Done",$E195&lt;&gt;"Blocked"),"Deep Thinking",AND($G195="Deep Thinking",$E195&lt;&gt;"Done"),"Processing",AND($G195="Processing",$E195&lt;&gt;"Done"),"Blocked",$E195="Blocked","Waiting",$E195="Waiting","Recently Updated",AND($L195&lt;&gt;"",$L195&gt;=TODAY()-7),"Keyword",AND('Task Finder'!$C$7&lt;&gt;"",OR(ISNUMBER(SEARCH('Task Finder'!$C$7,$A195)),ISNUMBER(SEARCH('Task Finder'!$C$7,$B195)),ISNUMBER(SEARCH('Task Finder'!$C$7,$C195)),ISNUMBER(SEARCH('Task Finder'!$C$7,$D195)),ISNUMBER(SEARCH('Task Finder'!$C$7,$K195)))),TRUE))</f>
        <v/>
      </c>
    </row>
    <row r="196">
      <c r="A196" s="19" t="n"/>
      <c r="B196" s="19" t="n"/>
      <c r="C196" s="19" t="n"/>
      <c r="D196" s="19" t="n"/>
      <c r="E196" s="19" t="n"/>
      <c r="F196" s="19" t="n"/>
      <c r="G196" s="19" t="n"/>
      <c r="H196" s="19" t="n"/>
      <c r="I196" s="19" t="n"/>
      <c r="J196" s="19" t="n"/>
      <c r="K196" s="19" t="n"/>
      <c r="L196" s="35" t="n"/>
      <c r="M196" s="5">
        <f>IF($D196="","",IFERROR(VLOOKUP($H196,Lists!$N$2:$O$6,2,FALSE),0))</f>
        <v/>
      </c>
      <c r="N196" s="5">
        <f>IF($D196="","",IF(OR($E196="Blocked",$E196="Done",$E196="Archive"),-9999,IF(AND($E196="Waiting",SUMPRODUCT((($E$5:$E$500="Next")+($E$5:$E$500="In Progress")+($E$5:$E$500="Captured"))*($D$5:$D$500&lt;&gt;""))&gt;0),-500,VLOOKUP($F196,Lists!$L$2:$M$4,2,FALSE)+IF($E196="In Progress",10,0)+IF(AND($I196&lt;&gt;"",$I196&lt;TODAY()),25,0)+IF(AND($I196&lt;&gt;"",$I196&gt;=TODAY(),$I196&lt;=TODAY()+7),15,0)+IF($M196&lt;=VLOOKUP(Home!$C$7,Lists!$N$2:$O$6,2,FALSE),20,-10)+IF($G196=Home!$E$7,15,IF(Home!$E$7="",0,-5))-ROW()/100000)))</f>
        <v/>
      </c>
      <c r="O196" s="5">
        <f>IF($D196="","",IF($N196&lt;=-500,"Not recommended right now",IF($E196="Waiting","Nothing else actionable right now — Waiting on: "&amp;IF($K196="","this item",$K196),TEXTJOIN(" • ",TRUE,IF($F196="High","High Priority",""),IF(AND($I196&lt;&gt;"",$I196&lt;TODAY()),"Overdue",""),IF(AND($I196&lt;&gt;"",$I196&gt;=TODAY(),$I196&lt;=TODAY()+7),"Due This Week",""),IF($M196&lt;=VLOOKUP(Home!$C$7,Lists!$N$2:$O$6,2,FALSE),$H196&amp;" Task",""),IF($G196=Home!$E$7,"Fits Current Energy",""),"No Blockers"))))</f>
        <v/>
      </c>
      <c r="P196" s="5">
        <f>IF($D196="","",SWITCH('Task Finder'!$C$6,"High Priority",AND($F196="High",$E196&lt;&gt;"Done",$E196&lt;&gt;"Archive"),"Due This Week",AND($I196&lt;&gt;"",$I196&gt;=TODAY(),$I196&lt;=TODAY()+7,$E196&lt;&gt;"Done"),"Quick Wins (15 mins or less)",AND($M196&lt;=15,$E196&lt;&gt;"Done",$E196&lt;&gt;"Blocked"),"Deep Thinking",AND($G196="Deep Thinking",$E196&lt;&gt;"Done"),"Processing",AND($G196="Processing",$E196&lt;&gt;"Done"),"Blocked",$E196="Blocked","Waiting",$E196="Waiting","Recently Updated",AND($L196&lt;&gt;"",$L196&gt;=TODAY()-7),"Keyword",AND('Task Finder'!$C$7&lt;&gt;"",OR(ISNUMBER(SEARCH('Task Finder'!$C$7,$A196)),ISNUMBER(SEARCH('Task Finder'!$C$7,$B196)),ISNUMBER(SEARCH('Task Finder'!$C$7,$C196)),ISNUMBER(SEARCH('Task Finder'!$C$7,$D196)),ISNUMBER(SEARCH('Task Finder'!$C$7,$K196)))),TRUE))</f>
        <v/>
      </c>
    </row>
    <row r="197">
      <c r="A197" s="19" t="n"/>
      <c r="B197" s="19" t="n"/>
      <c r="C197" s="19" t="n"/>
      <c r="D197" s="19" t="n"/>
      <c r="E197" s="19" t="n"/>
      <c r="F197" s="19" t="n"/>
      <c r="G197" s="19" t="n"/>
      <c r="H197" s="19" t="n"/>
      <c r="I197" s="19" t="n"/>
      <c r="J197" s="19" t="n"/>
      <c r="K197" s="19" t="n"/>
      <c r="L197" s="35" t="n"/>
      <c r="M197" s="5">
        <f>IF($D197="","",IFERROR(VLOOKUP($H197,Lists!$N$2:$O$6,2,FALSE),0))</f>
        <v/>
      </c>
      <c r="N197" s="5">
        <f>IF($D197="","",IF(OR($E197="Blocked",$E197="Done",$E197="Archive"),-9999,IF(AND($E197="Waiting",SUMPRODUCT((($E$5:$E$500="Next")+($E$5:$E$500="In Progress")+($E$5:$E$500="Captured"))*($D$5:$D$500&lt;&gt;""))&gt;0),-500,VLOOKUP($F197,Lists!$L$2:$M$4,2,FALSE)+IF($E197="In Progress",10,0)+IF(AND($I197&lt;&gt;"",$I197&lt;TODAY()),25,0)+IF(AND($I197&lt;&gt;"",$I197&gt;=TODAY(),$I197&lt;=TODAY()+7),15,0)+IF($M197&lt;=VLOOKUP(Home!$C$7,Lists!$N$2:$O$6,2,FALSE),20,-10)+IF($G197=Home!$E$7,15,IF(Home!$E$7="",0,-5))-ROW()/100000)))</f>
        <v/>
      </c>
      <c r="O197" s="5">
        <f>IF($D197="","",IF($N197&lt;=-500,"Not recommended right now",IF($E197="Waiting","Nothing else actionable right now — Waiting on: "&amp;IF($K197="","this item",$K197),TEXTJOIN(" • ",TRUE,IF($F197="High","High Priority",""),IF(AND($I197&lt;&gt;"",$I197&lt;TODAY()),"Overdue",""),IF(AND($I197&lt;&gt;"",$I197&gt;=TODAY(),$I197&lt;=TODAY()+7),"Due This Week",""),IF($M197&lt;=VLOOKUP(Home!$C$7,Lists!$N$2:$O$6,2,FALSE),$H197&amp;" Task",""),IF($G197=Home!$E$7,"Fits Current Energy",""),"No Blockers"))))</f>
        <v/>
      </c>
      <c r="P197" s="5">
        <f>IF($D197="","",SWITCH('Task Finder'!$C$6,"High Priority",AND($F197="High",$E197&lt;&gt;"Done",$E197&lt;&gt;"Archive"),"Due This Week",AND($I197&lt;&gt;"",$I197&gt;=TODAY(),$I197&lt;=TODAY()+7,$E197&lt;&gt;"Done"),"Quick Wins (15 mins or less)",AND($M197&lt;=15,$E197&lt;&gt;"Done",$E197&lt;&gt;"Blocked"),"Deep Thinking",AND($G197="Deep Thinking",$E197&lt;&gt;"Done"),"Processing",AND($G197="Processing",$E197&lt;&gt;"Done"),"Blocked",$E197="Blocked","Waiting",$E197="Waiting","Recently Updated",AND($L197&lt;&gt;"",$L197&gt;=TODAY()-7),"Keyword",AND('Task Finder'!$C$7&lt;&gt;"",OR(ISNUMBER(SEARCH('Task Finder'!$C$7,$A197)),ISNUMBER(SEARCH('Task Finder'!$C$7,$B197)),ISNUMBER(SEARCH('Task Finder'!$C$7,$C197)),ISNUMBER(SEARCH('Task Finder'!$C$7,$D197)),ISNUMBER(SEARCH('Task Finder'!$C$7,$K197)))),TRUE))</f>
        <v/>
      </c>
    </row>
    <row r="198">
      <c r="A198" s="19" t="n"/>
      <c r="B198" s="19" t="n"/>
      <c r="C198" s="19" t="n"/>
      <c r="D198" s="19" t="n"/>
      <c r="E198" s="19" t="n"/>
      <c r="F198" s="19" t="n"/>
      <c r="G198" s="19" t="n"/>
      <c r="H198" s="19" t="n"/>
      <c r="I198" s="19" t="n"/>
      <c r="J198" s="19" t="n"/>
      <c r="K198" s="19" t="n"/>
      <c r="L198" s="35" t="n"/>
      <c r="M198" s="5">
        <f>IF($D198="","",IFERROR(VLOOKUP($H198,Lists!$N$2:$O$6,2,FALSE),0))</f>
        <v/>
      </c>
      <c r="N198" s="5">
        <f>IF($D198="","",IF(OR($E198="Blocked",$E198="Done",$E198="Archive"),-9999,IF(AND($E198="Waiting",SUMPRODUCT((($E$5:$E$500="Next")+($E$5:$E$500="In Progress")+($E$5:$E$500="Captured"))*($D$5:$D$500&lt;&gt;""))&gt;0),-500,VLOOKUP($F198,Lists!$L$2:$M$4,2,FALSE)+IF($E198="In Progress",10,0)+IF(AND($I198&lt;&gt;"",$I198&lt;TODAY()),25,0)+IF(AND($I198&lt;&gt;"",$I198&gt;=TODAY(),$I198&lt;=TODAY()+7),15,0)+IF($M198&lt;=VLOOKUP(Home!$C$7,Lists!$N$2:$O$6,2,FALSE),20,-10)+IF($G198=Home!$E$7,15,IF(Home!$E$7="",0,-5))-ROW()/100000)))</f>
        <v/>
      </c>
      <c r="O198" s="5">
        <f>IF($D198="","",IF($N198&lt;=-500,"Not recommended right now",IF($E198="Waiting","Nothing else actionable right now — Waiting on: "&amp;IF($K198="","this item",$K198),TEXTJOIN(" • ",TRUE,IF($F198="High","High Priority",""),IF(AND($I198&lt;&gt;"",$I198&lt;TODAY()),"Overdue",""),IF(AND($I198&lt;&gt;"",$I198&gt;=TODAY(),$I198&lt;=TODAY()+7),"Due This Week",""),IF($M198&lt;=VLOOKUP(Home!$C$7,Lists!$N$2:$O$6,2,FALSE),$H198&amp;" Task",""),IF($G198=Home!$E$7,"Fits Current Energy",""),"No Blockers"))))</f>
        <v/>
      </c>
      <c r="P198" s="5">
        <f>IF($D198="","",SWITCH('Task Finder'!$C$6,"High Priority",AND($F198="High",$E198&lt;&gt;"Done",$E198&lt;&gt;"Archive"),"Due This Week",AND($I198&lt;&gt;"",$I198&gt;=TODAY(),$I198&lt;=TODAY()+7,$E198&lt;&gt;"Done"),"Quick Wins (15 mins or less)",AND($M198&lt;=15,$E198&lt;&gt;"Done",$E198&lt;&gt;"Blocked"),"Deep Thinking",AND($G198="Deep Thinking",$E198&lt;&gt;"Done"),"Processing",AND($G198="Processing",$E198&lt;&gt;"Done"),"Blocked",$E198="Blocked","Waiting",$E198="Waiting","Recently Updated",AND($L198&lt;&gt;"",$L198&gt;=TODAY()-7),"Keyword",AND('Task Finder'!$C$7&lt;&gt;"",OR(ISNUMBER(SEARCH('Task Finder'!$C$7,$A198)),ISNUMBER(SEARCH('Task Finder'!$C$7,$B198)),ISNUMBER(SEARCH('Task Finder'!$C$7,$C198)),ISNUMBER(SEARCH('Task Finder'!$C$7,$D198)),ISNUMBER(SEARCH('Task Finder'!$C$7,$K198)))),TRUE))</f>
        <v/>
      </c>
    </row>
    <row r="199">
      <c r="A199" s="19" t="n"/>
      <c r="B199" s="19" t="n"/>
      <c r="C199" s="19" t="n"/>
      <c r="D199" s="19" t="n"/>
      <c r="E199" s="19" t="n"/>
      <c r="F199" s="19" t="n"/>
      <c r="G199" s="19" t="n"/>
      <c r="H199" s="19" t="n"/>
      <c r="I199" s="19" t="n"/>
      <c r="J199" s="19" t="n"/>
      <c r="K199" s="19" t="n"/>
      <c r="L199" s="35" t="n"/>
      <c r="M199" s="5">
        <f>IF($D199="","",IFERROR(VLOOKUP($H199,Lists!$N$2:$O$6,2,FALSE),0))</f>
        <v/>
      </c>
      <c r="N199" s="5">
        <f>IF($D199="","",IF(OR($E199="Blocked",$E199="Done",$E199="Archive"),-9999,IF(AND($E199="Waiting",SUMPRODUCT((($E$5:$E$500="Next")+($E$5:$E$500="In Progress")+($E$5:$E$500="Captured"))*($D$5:$D$500&lt;&gt;""))&gt;0),-500,VLOOKUP($F199,Lists!$L$2:$M$4,2,FALSE)+IF($E199="In Progress",10,0)+IF(AND($I199&lt;&gt;"",$I199&lt;TODAY()),25,0)+IF(AND($I199&lt;&gt;"",$I199&gt;=TODAY(),$I199&lt;=TODAY()+7),15,0)+IF($M199&lt;=VLOOKUP(Home!$C$7,Lists!$N$2:$O$6,2,FALSE),20,-10)+IF($G199=Home!$E$7,15,IF(Home!$E$7="",0,-5))-ROW()/100000)))</f>
        <v/>
      </c>
      <c r="O199" s="5">
        <f>IF($D199="","",IF($N199&lt;=-500,"Not recommended right now",IF($E199="Waiting","Nothing else actionable right now — Waiting on: "&amp;IF($K199="","this item",$K199),TEXTJOIN(" • ",TRUE,IF($F199="High","High Priority",""),IF(AND($I199&lt;&gt;"",$I199&lt;TODAY()),"Overdue",""),IF(AND($I199&lt;&gt;"",$I199&gt;=TODAY(),$I199&lt;=TODAY()+7),"Due This Week",""),IF($M199&lt;=VLOOKUP(Home!$C$7,Lists!$N$2:$O$6,2,FALSE),$H199&amp;" Task",""),IF($G199=Home!$E$7,"Fits Current Energy",""),"No Blockers"))))</f>
        <v/>
      </c>
      <c r="P199" s="5">
        <f>IF($D199="","",SWITCH('Task Finder'!$C$6,"High Priority",AND($F199="High",$E199&lt;&gt;"Done",$E199&lt;&gt;"Archive"),"Due This Week",AND($I199&lt;&gt;"",$I199&gt;=TODAY(),$I199&lt;=TODAY()+7,$E199&lt;&gt;"Done"),"Quick Wins (15 mins or less)",AND($M199&lt;=15,$E199&lt;&gt;"Done",$E199&lt;&gt;"Blocked"),"Deep Thinking",AND($G199="Deep Thinking",$E199&lt;&gt;"Done"),"Processing",AND($G199="Processing",$E199&lt;&gt;"Done"),"Blocked",$E199="Blocked","Waiting",$E199="Waiting","Recently Updated",AND($L199&lt;&gt;"",$L199&gt;=TODAY()-7),"Keyword",AND('Task Finder'!$C$7&lt;&gt;"",OR(ISNUMBER(SEARCH('Task Finder'!$C$7,$A199)),ISNUMBER(SEARCH('Task Finder'!$C$7,$B199)),ISNUMBER(SEARCH('Task Finder'!$C$7,$C199)),ISNUMBER(SEARCH('Task Finder'!$C$7,$D199)),ISNUMBER(SEARCH('Task Finder'!$C$7,$K199)))),TRUE))</f>
        <v/>
      </c>
    </row>
    <row r="200">
      <c r="A200" s="19" t="n"/>
      <c r="B200" s="19" t="n"/>
      <c r="C200" s="19" t="n"/>
      <c r="D200" s="19" t="n"/>
      <c r="E200" s="19" t="n"/>
      <c r="F200" s="19" t="n"/>
      <c r="G200" s="19" t="n"/>
      <c r="H200" s="19" t="n"/>
      <c r="I200" s="19" t="n"/>
      <c r="J200" s="19" t="n"/>
      <c r="K200" s="19" t="n"/>
      <c r="L200" s="35" t="n"/>
      <c r="M200" s="5">
        <f>IF($D200="","",IFERROR(VLOOKUP($H200,Lists!$N$2:$O$6,2,FALSE),0))</f>
        <v/>
      </c>
      <c r="N200" s="5">
        <f>IF($D200="","",IF(OR($E200="Blocked",$E200="Done",$E200="Archive"),-9999,IF(AND($E200="Waiting",SUMPRODUCT((($E$5:$E$500="Next")+($E$5:$E$500="In Progress")+($E$5:$E$500="Captured"))*($D$5:$D$500&lt;&gt;""))&gt;0),-500,VLOOKUP($F200,Lists!$L$2:$M$4,2,FALSE)+IF($E200="In Progress",10,0)+IF(AND($I200&lt;&gt;"",$I200&lt;TODAY()),25,0)+IF(AND($I200&lt;&gt;"",$I200&gt;=TODAY(),$I200&lt;=TODAY()+7),15,0)+IF($M200&lt;=VLOOKUP(Home!$C$7,Lists!$N$2:$O$6,2,FALSE),20,-10)+IF($G200=Home!$E$7,15,IF(Home!$E$7="",0,-5))-ROW()/100000)))</f>
        <v/>
      </c>
      <c r="O200" s="5">
        <f>IF($D200="","",IF($N200&lt;=-500,"Not recommended right now",IF($E200="Waiting","Nothing else actionable right now — Waiting on: "&amp;IF($K200="","this item",$K200),TEXTJOIN(" • ",TRUE,IF($F200="High","High Priority",""),IF(AND($I200&lt;&gt;"",$I200&lt;TODAY()),"Overdue",""),IF(AND($I200&lt;&gt;"",$I200&gt;=TODAY(),$I200&lt;=TODAY()+7),"Due This Week",""),IF($M200&lt;=VLOOKUP(Home!$C$7,Lists!$N$2:$O$6,2,FALSE),$H200&amp;" Task",""),IF($G200=Home!$E$7,"Fits Current Energy",""),"No Blockers"))))</f>
        <v/>
      </c>
      <c r="P200" s="5">
        <f>IF($D200="","",SWITCH('Task Finder'!$C$6,"High Priority",AND($F200="High",$E200&lt;&gt;"Done",$E200&lt;&gt;"Archive"),"Due This Week",AND($I200&lt;&gt;"",$I200&gt;=TODAY(),$I200&lt;=TODAY()+7,$E200&lt;&gt;"Done"),"Quick Wins (15 mins or less)",AND($M200&lt;=15,$E200&lt;&gt;"Done",$E200&lt;&gt;"Blocked"),"Deep Thinking",AND($G200="Deep Thinking",$E200&lt;&gt;"Done"),"Processing",AND($G200="Processing",$E200&lt;&gt;"Done"),"Blocked",$E200="Blocked","Waiting",$E200="Waiting","Recently Updated",AND($L200&lt;&gt;"",$L200&gt;=TODAY()-7),"Keyword",AND('Task Finder'!$C$7&lt;&gt;"",OR(ISNUMBER(SEARCH('Task Finder'!$C$7,$A200)),ISNUMBER(SEARCH('Task Finder'!$C$7,$B200)),ISNUMBER(SEARCH('Task Finder'!$C$7,$C200)),ISNUMBER(SEARCH('Task Finder'!$C$7,$D200)),ISNUMBER(SEARCH('Task Finder'!$C$7,$K200)))),TRUE))</f>
        <v/>
      </c>
    </row>
    <row r="201">
      <c r="A201" s="19" t="n"/>
      <c r="B201" s="19" t="n"/>
      <c r="C201" s="19" t="n"/>
      <c r="D201" s="19" t="n"/>
      <c r="E201" s="19" t="n"/>
      <c r="F201" s="19" t="n"/>
      <c r="G201" s="19" t="n"/>
      <c r="H201" s="19" t="n"/>
      <c r="I201" s="19" t="n"/>
      <c r="J201" s="19" t="n"/>
      <c r="K201" s="19" t="n"/>
      <c r="L201" s="125" t="n"/>
      <c r="M201" s="88">
        <f>IF($D201="","",IFERROR(VLOOKUP($H201,Lists!$N$2:$O$6,2,FALSE),0))</f>
        <v/>
      </c>
      <c r="N201" s="88">
        <f>IF($D201="","",IF(OR($E201="Blocked",$E201="Done",$E201="Archive"),-9999,IF(AND($E201="Waiting",SUMPRODUCT((($E$5:$E$500="Next")+($E$5:$E$500="In Progress")+($E$5:$E$500="Captured"))*($D$5:$D$500&lt;&gt;""))&gt;0),-500,VLOOKUP($F201,Lists!$L$2:$M$4,2,FALSE)+IF($E201="In Progress",10,0)+IF(AND($I201&lt;&gt;"",$I201&lt;TODAY()),25,0)+IF(AND($I201&lt;&gt;"",$I201&gt;=TODAY(),$I201&lt;=TODAY()+7),15,0)+IF($M201&lt;=VLOOKUP(Home!$C$7,Lists!$N$2:$O$6,2,FALSE),20,-10)+IF($G201=Home!$E$7,15,IF(Home!$E$7="",0,-5))-ROW()/100000)))</f>
        <v/>
      </c>
      <c r="O201" s="88">
        <f>IF($D201="","",IF($N201&lt;=-500,"Not recommended right now",IF($E201="Waiting","Nothing else actionable right now — Waiting on: "&amp;IF($K201="","this item",$K201),TEXTJOIN(" • ",TRUE,IF($F201="High","High Priority",""),IF(AND($I201&lt;&gt;"",$I201&lt;TODAY()),"Overdue",""),IF(AND($I201&lt;&gt;"",$I201&gt;=TODAY(),$I201&lt;=TODAY()+7),"Due This Week",""),IF($M201&lt;=VLOOKUP(Home!$C$7,Lists!$N$2:$O$6,2,FALSE),$H201&amp;" Task",""),IF($G201=Home!$E$7,"Fits Current Energy",""),"No Blockers"))))</f>
        <v/>
      </c>
      <c r="P201" s="88">
        <f>IF($D201="","",SWITCH('Task Finder'!$C$6,"High Priority",AND($F201="High",$E201&lt;&gt;"Done",$E201&lt;&gt;"Archive"),"Due This Week",AND($I201&lt;&gt;"",$I201&gt;=TODAY(),$I201&lt;=TODAY()+7,$E201&lt;&gt;"Done"),"Quick Wins (15 mins or less)",AND($M201&lt;=15,$E201&lt;&gt;"Done",$E201&lt;&gt;"Blocked"),"Deep Thinking",AND($G201="Deep Thinking",$E201&lt;&gt;"Done"),"Processing",AND($G201="Processing",$E201&lt;&gt;"Done"),"Blocked",$E201="Blocked","Waiting",$E201="Waiting","Recently Updated",AND($L201&lt;&gt;"",$L201&gt;=TODAY()-7),"Keyword",AND('Task Finder'!$C$7&lt;&gt;"",OR(ISNUMBER(SEARCH('Task Finder'!$C$7,$A201)),ISNUMBER(SEARCH('Task Finder'!$C$7,$B201)),ISNUMBER(SEARCH('Task Finder'!$C$7,$C201)),ISNUMBER(SEARCH('Task Finder'!$C$7,$D201)),ISNUMBER(SEARCH('Task Finder'!$C$7,$K201)))),TRUE))</f>
        <v/>
      </c>
    </row>
    <row r="202">
      <c r="A202" s="19" t="n"/>
      <c r="B202" s="19" t="n"/>
      <c r="C202" s="19" t="n"/>
      <c r="D202" s="19" t="n"/>
      <c r="E202" s="19" t="n"/>
      <c r="F202" s="19" t="n"/>
      <c r="G202" s="19" t="n"/>
      <c r="H202" s="19" t="n"/>
      <c r="I202" s="19" t="n"/>
      <c r="J202" s="19" t="n"/>
      <c r="K202" s="19" t="n"/>
      <c r="L202" s="125" t="n"/>
      <c r="M202" s="88">
        <f>IF($D202="","",IFERROR(VLOOKUP($H202,Lists!$N$2:$O$6,2,FALSE),0))</f>
        <v/>
      </c>
      <c r="N202" s="88">
        <f>IF($D202="","",IF(OR($E202="Blocked",$E202="Done",$E202="Archive"),-9999,IF(AND($E202="Waiting",SUMPRODUCT((($E$5:$E$500="Next")+($E$5:$E$500="In Progress")+($E$5:$E$500="Captured"))*($D$5:$D$500&lt;&gt;""))&gt;0),-500,VLOOKUP($F202,Lists!$L$2:$M$4,2,FALSE)+IF($E202="In Progress",10,0)+IF(AND($I202&lt;&gt;"",$I202&lt;TODAY()),25,0)+IF(AND($I202&lt;&gt;"",$I202&gt;=TODAY(),$I202&lt;=TODAY()+7),15,0)+IF($M202&lt;=VLOOKUP(Home!$C$7,Lists!$N$2:$O$6,2,FALSE),20,-10)+IF($G202=Home!$E$7,15,IF(Home!$E$7="",0,-5))-ROW()/100000)))</f>
        <v/>
      </c>
      <c r="O202" s="88">
        <f>IF($D202="","",IF($N202&lt;=-500,"Not recommended right now",IF($E202="Waiting","Nothing else actionable right now — Waiting on: "&amp;IF($K202="","this item",$K202),TEXTJOIN(" • ",TRUE,IF($F202="High","High Priority",""),IF(AND($I202&lt;&gt;"",$I202&lt;TODAY()),"Overdue",""),IF(AND($I202&lt;&gt;"",$I202&gt;=TODAY(),$I202&lt;=TODAY()+7),"Due This Week",""),IF($M202&lt;=VLOOKUP(Home!$C$7,Lists!$N$2:$O$6,2,FALSE),$H202&amp;" Task",""),IF($G202=Home!$E$7,"Fits Current Energy",""),"No Blockers"))))</f>
        <v/>
      </c>
      <c r="P202" s="88">
        <f>IF($D202="","",SWITCH('Task Finder'!$C$6,"High Priority",AND($F202="High",$E202&lt;&gt;"Done",$E202&lt;&gt;"Archive"),"Due This Week",AND($I202&lt;&gt;"",$I202&gt;=TODAY(),$I202&lt;=TODAY()+7,$E202&lt;&gt;"Done"),"Quick Wins (15 mins or less)",AND($M202&lt;=15,$E202&lt;&gt;"Done",$E202&lt;&gt;"Blocked"),"Deep Thinking",AND($G202="Deep Thinking",$E202&lt;&gt;"Done"),"Processing",AND($G202="Processing",$E202&lt;&gt;"Done"),"Blocked",$E202="Blocked","Waiting",$E202="Waiting","Recently Updated",AND($L202&lt;&gt;"",$L202&gt;=TODAY()-7),"Keyword",AND('Task Finder'!$C$7&lt;&gt;"",OR(ISNUMBER(SEARCH('Task Finder'!$C$7,$A202)),ISNUMBER(SEARCH('Task Finder'!$C$7,$B202)),ISNUMBER(SEARCH('Task Finder'!$C$7,$C202)),ISNUMBER(SEARCH('Task Finder'!$C$7,$D202)),ISNUMBER(SEARCH('Task Finder'!$C$7,$K202)))),TRUE))</f>
        <v/>
      </c>
    </row>
    <row r="203">
      <c r="A203" s="19" t="n"/>
      <c r="B203" s="19" t="n"/>
      <c r="C203" s="19" t="n"/>
      <c r="D203" s="19" t="n"/>
      <c r="E203" s="19" t="n"/>
      <c r="F203" s="19" t="n"/>
      <c r="G203" s="19" t="n"/>
      <c r="H203" s="19" t="n"/>
      <c r="I203" s="19" t="n"/>
      <c r="J203" s="19" t="n"/>
      <c r="K203" s="19" t="n"/>
      <c r="L203" s="125" t="n"/>
      <c r="M203" s="88">
        <f>IF($D203="","",IFERROR(VLOOKUP($H203,Lists!$N$2:$O$6,2,FALSE),0))</f>
        <v/>
      </c>
      <c r="N203" s="88">
        <f>IF($D203="","",IF(OR($E203="Blocked",$E203="Done",$E203="Archive"),-9999,IF(AND($E203="Waiting",SUMPRODUCT((($E$5:$E$500="Next")+($E$5:$E$500="In Progress")+($E$5:$E$500="Captured"))*($D$5:$D$500&lt;&gt;""))&gt;0),-500,VLOOKUP($F203,Lists!$L$2:$M$4,2,FALSE)+IF($E203="In Progress",10,0)+IF(AND($I203&lt;&gt;"",$I203&lt;TODAY()),25,0)+IF(AND($I203&lt;&gt;"",$I203&gt;=TODAY(),$I203&lt;=TODAY()+7),15,0)+IF($M203&lt;=VLOOKUP(Home!$C$7,Lists!$N$2:$O$6,2,FALSE),20,-10)+IF($G203=Home!$E$7,15,IF(Home!$E$7="",0,-5))-ROW()/100000)))</f>
        <v/>
      </c>
      <c r="O203" s="88">
        <f>IF($D203="","",IF($N203&lt;=-500,"Not recommended right now",IF($E203="Waiting","Nothing else actionable right now — Waiting on: "&amp;IF($K203="","this item",$K203),TEXTJOIN(" • ",TRUE,IF($F203="High","High Priority",""),IF(AND($I203&lt;&gt;"",$I203&lt;TODAY()),"Overdue",""),IF(AND($I203&lt;&gt;"",$I203&gt;=TODAY(),$I203&lt;=TODAY()+7),"Due This Week",""),IF($M203&lt;=VLOOKUP(Home!$C$7,Lists!$N$2:$O$6,2,FALSE),$H203&amp;" Task",""),IF($G203=Home!$E$7,"Fits Current Energy",""),"No Blockers"))))</f>
        <v/>
      </c>
      <c r="P203" s="88">
        <f>IF($D203="","",SWITCH('Task Finder'!$C$6,"High Priority",AND($F203="High",$E203&lt;&gt;"Done",$E203&lt;&gt;"Archive"),"Due This Week",AND($I203&lt;&gt;"",$I203&gt;=TODAY(),$I203&lt;=TODAY()+7,$E203&lt;&gt;"Done"),"Quick Wins (15 mins or less)",AND($M203&lt;=15,$E203&lt;&gt;"Done",$E203&lt;&gt;"Blocked"),"Deep Thinking",AND($G203="Deep Thinking",$E203&lt;&gt;"Done"),"Processing",AND($G203="Processing",$E203&lt;&gt;"Done"),"Blocked",$E203="Blocked","Waiting",$E203="Waiting","Recently Updated",AND($L203&lt;&gt;"",$L203&gt;=TODAY()-7),"Keyword",AND('Task Finder'!$C$7&lt;&gt;"",OR(ISNUMBER(SEARCH('Task Finder'!$C$7,$A203)),ISNUMBER(SEARCH('Task Finder'!$C$7,$B203)),ISNUMBER(SEARCH('Task Finder'!$C$7,$C203)),ISNUMBER(SEARCH('Task Finder'!$C$7,$D203)),ISNUMBER(SEARCH('Task Finder'!$C$7,$K203)))),TRUE))</f>
        <v/>
      </c>
    </row>
    <row r="204">
      <c r="A204" s="19" t="n"/>
      <c r="B204" s="19" t="n"/>
      <c r="C204" s="19" t="n"/>
      <c r="D204" s="19" t="n"/>
      <c r="E204" s="19" t="n"/>
      <c r="F204" s="19" t="n"/>
      <c r="G204" s="19" t="n"/>
      <c r="H204" s="19" t="n"/>
      <c r="I204" s="19" t="n"/>
      <c r="J204" s="19" t="n"/>
      <c r="K204" s="19" t="n"/>
      <c r="L204" s="125" t="n"/>
      <c r="M204" s="88">
        <f>IF($D204="","",IFERROR(VLOOKUP($H204,Lists!$N$2:$O$6,2,FALSE),0))</f>
        <v/>
      </c>
      <c r="N204" s="88">
        <f>IF($D204="","",IF(OR($E204="Blocked",$E204="Done",$E204="Archive"),-9999,IF(AND($E204="Waiting",SUMPRODUCT((($E$5:$E$500="Next")+($E$5:$E$500="In Progress")+($E$5:$E$500="Captured"))*($D$5:$D$500&lt;&gt;""))&gt;0),-500,VLOOKUP($F204,Lists!$L$2:$M$4,2,FALSE)+IF($E204="In Progress",10,0)+IF(AND($I204&lt;&gt;"",$I204&lt;TODAY()),25,0)+IF(AND($I204&lt;&gt;"",$I204&gt;=TODAY(),$I204&lt;=TODAY()+7),15,0)+IF($M204&lt;=VLOOKUP(Home!$C$7,Lists!$N$2:$O$6,2,FALSE),20,-10)+IF($G204=Home!$E$7,15,IF(Home!$E$7="",0,-5))-ROW()/100000)))</f>
        <v/>
      </c>
      <c r="O204" s="88">
        <f>IF($D204="","",IF($N204&lt;=-500,"Not recommended right now",IF($E204="Waiting","Nothing else actionable right now — Waiting on: "&amp;IF($K204="","this item",$K204),TEXTJOIN(" • ",TRUE,IF($F204="High","High Priority",""),IF(AND($I204&lt;&gt;"",$I204&lt;TODAY()),"Overdue",""),IF(AND($I204&lt;&gt;"",$I204&gt;=TODAY(),$I204&lt;=TODAY()+7),"Due This Week",""),IF($M204&lt;=VLOOKUP(Home!$C$7,Lists!$N$2:$O$6,2,FALSE),$H204&amp;" Task",""),IF($G204=Home!$E$7,"Fits Current Energy",""),"No Blockers"))))</f>
        <v/>
      </c>
      <c r="P204" s="88">
        <f>IF($D204="","",SWITCH('Task Finder'!$C$6,"High Priority",AND($F204="High",$E204&lt;&gt;"Done",$E204&lt;&gt;"Archive"),"Due This Week",AND($I204&lt;&gt;"",$I204&gt;=TODAY(),$I204&lt;=TODAY()+7,$E204&lt;&gt;"Done"),"Quick Wins (15 mins or less)",AND($M204&lt;=15,$E204&lt;&gt;"Done",$E204&lt;&gt;"Blocked"),"Deep Thinking",AND($G204="Deep Thinking",$E204&lt;&gt;"Done"),"Processing",AND($G204="Processing",$E204&lt;&gt;"Done"),"Blocked",$E204="Blocked","Waiting",$E204="Waiting","Recently Updated",AND($L204&lt;&gt;"",$L204&gt;=TODAY()-7),"Keyword",AND('Task Finder'!$C$7&lt;&gt;"",OR(ISNUMBER(SEARCH('Task Finder'!$C$7,$A204)),ISNUMBER(SEARCH('Task Finder'!$C$7,$B204)),ISNUMBER(SEARCH('Task Finder'!$C$7,$C204)),ISNUMBER(SEARCH('Task Finder'!$C$7,$D204)),ISNUMBER(SEARCH('Task Finder'!$C$7,$K204)))),TRUE))</f>
        <v/>
      </c>
    </row>
    <row r="205">
      <c r="A205" s="19" t="n"/>
      <c r="B205" s="19" t="n"/>
      <c r="C205" s="19" t="n"/>
      <c r="D205" s="19" t="n"/>
      <c r="E205" s="19" t="n"/>
      <c r="F205" s="19" t="n"/>
      <c r="G205" s="19" t="n"/>
      <c r="H205" s="19" t="n"/>
      <c r="I205" s="19" t="n"/>
      <c r="J205" s="19" t="n"/>
      <c r="K205" s="19" t="n"/>
      <c r="L205" s="125" t="n"/>
      <c r="M205" s="88">
        <f>IF($D205="","",IFERROR(VLOOKUP($H205,Lists!$N$2:$O$6,2,FALSE),0))</f>
        <v/>
      </c>
      <c r="N205" s="88">
        <f>IF($D205="","",IF(OR($E205="Blocked",$E205="Done",$E205="Archive"),-9999,IF(AND($E205="Waiting",SUMPRODUCT((($E$5:$E$500="Next")+($E$5:$E$500="In Progress")+($E$5:$E$500="Captured"))*($D$5:$D$500&lt;&gt;""))&gt;0),-500,VLOOKUP($F205,Lists!$L$2:$M$4,2,FALSE)+IF($E205="In Progress",10,0)+IF(AND($I205&lt;&gt;"",$I205&lt;TODAY()),25,0)+IF(AND($I205&lt;&gt;"",$I205&gt;=TODAY(),$I205&lt;=TODAY()+7),15,0)+IF($M205&lt;=VLOOKUP(Home!$C$7,Lists!$N$2:$O$6,2,FALSE),20,-10)+IF($G205=Home!$E$7,15,IF(Home!$E$7="",0,-5))-ROW()/100000)))</f>
        <v/>
      </c>
      <c r="O205" s="88">
        <f>IF($D205="","",IF($N205&lt;=-500,"Not recommended right now",IF($E205="Waiting","Nothing else actionable right now — Waiting on: "&amp;IF($K205="","this item",$K205),TEXTJOIN(" • ",TRUE,IF($F205="High","High Priority",""),IF(AND($I205&lt;&gt;"",$I205&lt;TODAY()),"Overdue",""),IF(AND($I205&lt;&gt;"",$I205&gt;=TODAY(),$I205&lt;=TODAY()+7),"Due This Week",""),IF($M205&lt;=VLOOKUP(Home!$C$7,Lists!$N$2:$O$6,2,FALSE),$H205&amp;" Task",""),IF($G205=Home!$E$7,"Fits Current Energy",""),"No Blockers"))))</f>
        <v/>
      </c>
      <c r="P205" s="88">
        <f>IF($D205="","",SWITCH('Task Finder'!$C$6,"High Priority",AND($F205="High",$E205&lt;&gt;"Done",$E205&lt;&gt;"Archive"),"Due This Week",AND($I205&lt;&gt;"",$I205&gt;=TODAY(),$I205&lt;=TODAY()+7,$E205&lt;&gt;"Done"),"Quick Wins (15 mins or less)",AND($M205&lt;=15,$E205&lt;&gt;"Done",$E205&lt;&gt;"Blocked"),"Deep Thinking",AND($G205="Deep Thinking",$E205&lt;&gt;"Done"),"Processing",AND($G205="Processing",$E205&lt;&gt;"Done"),"Blocked",$E205="Blocked","Waiting",$E205="Waiting","Recently Updated",AND($L205&lt;&gt;"",$L205&gt;=TODAY()-7),"Keyword",AND('Task Finder'!$C$7&lt;&gt;"",OR(ISNUMBER(SEARCH('Task Finder'!$C$7,$A205)),ISNUMBER(SEARCH('Task Finder'!$C$7,$B205)),ISNUMBER(SEARCH('Task Finder'!$C$7,$C205)),ISNUMBER(SEARCH('Task Finder'!$C$7,$D205)),ISNUMBER(SEARCH('Task Finder'!$C$7,$K205)))),TRUE))</f>
        <v/>
      </c>
    </row>
    <row r="206">
      <c r="A206" s="19" t="n"/>
      <c r="B206" s="19" t="n"/>
      <c r="C206" s="19" t="n"/>
      <c r="D206" s="19" t="n"/>
      <c r="E206" s="19" t="n"/>
      <c r="F206" s="19" t="n"/>
      <c r="G206" s="19" t="n"/>
      <c r="H206" s="19" t="n"/>
      <c r="I206" s="19" t="n"/>
      <c r="J206" s="19" t="n"/>
      <c r="K206" s="19" t="n"/>
      <c r="L206" s="125" t="n"/>
      <c r="M206" s="88">
        <f>IF($D206="","",IFERROR(VLOOKUP($H206,Lists!$N$2:$O$6,2,FALSE),0))</f>
        <v/>
      </c>
      <c r="N206" s="88">
        <f>IF($D206="","",IF(OR($E206="Blocked",$E206="Done",$E206="Archive"),-9999,IF(AND($E206="Waiting",SUMPRODUCT((($E$5:$E$500="Next")+($E$5:$E$500="In Progress")+($E$5:$E$500="Captured"))*($D$5:$D$500&lt;&gt;""))&gt;0),-500,VLOOKUP($F206,Lists!$L$2:$M$4,2,FALSE)+IF($E206="In Progress",10,0)+IF(AND($I206&lt;&gt;"",$I206&lt;TODAY()),25,0)+IF(AND($I206&lt;&gt;"",$I206&gt;=TODAY(),$I206&lt;=TODAY()+7),15,0)+IF($M206&lt;=VLOOKUP(Home!$C$7,Lists!$N$2:$O$6,2,FALSE),20,-10)+IF($G206=Home!$E$7,15,IF(Home!$E$7="",0,-5))-ROW()/100000)))</f>
        <v/>
      </c>
      <c r="O206" s="88">
        <f>IF($D206="","",IF($N206&lt;=-500,"Not recommended right now",IF($E206="Waiting","Nothing else actionable right now — Waiting on: "&amp;IF($K206="","this item",$K206),TEXTJOIN(" • ",TRUE,IF($F206="High","High Priority",""),IF(AND($I206&lt;&gt;"",$I206&lt;TODAY()),"Overdue",""),IF(AND($I206&lt;&gt;"",$I206&gt;=TODAY(),$I206&lt;=TODAY()+7),"Due This Week",""),IF($M206&lt;=VLOOKUP(Home!$C$7,Lists!$N$2:$O$6,2,FALSE),$H206&amp;" Task",""),IF($G206=Home!$E$7,"Fits Current Energy",""),"No Blockers"))))</f>
        <v/>
      </c>
      <c r="P206" s="88">
        <f>IF($D206="","",SWITCH('Task Finder'!$C$6,"High Priority",AND($F206="High",$E206&lt;&gt;"Done",$E206&lt;&gt;"Archive"),"Due This Week",AND($I206&lt;&gt;"",$I206&gt;=TODAY(),$I206&lt;=TODAY()+7,$E206&lt;&gt;"Done"),"Quick Wins (15 mins or less)",AND($M206&lt;=15,$E206&lt;&gt;"Done",$E206&lt;&gt;"Blocked"),"Deep Thinking",AND($G206="Deep Thinking",$E206&lt;&gt;"Done"),"Processing",AND($G206="Processing",$E206&lt;&gt;"Done"),"Blocked",$E206="Blocked","Waiting",$E206="Waiting","Recently Updated",AND($L206&lt;&gt;"",$L206&gt;=TODAY()-7),"Keyword",AND('Task Finder'!$C$7&lt;&gt;"",OR(ISNUMBER(SEARCH('Task Finder'!$C$7,$A206)),ISNUMBER(SEARCH('Task Finder'!$C$7,$B206)),ISNUMBER(SEARCH('Task Finder'!$C$7,$C206)),ISNUMBER(SEARCH('Task Finder'!$C$7,$D206)),ISNUMBER(SEARCH('Task Finder'!$C$7,$K206)))),TRUE))</f>
        <v/>
      </c>
    </row>
    <row r="207">
      <c r="A207" s="19" t="n"/>
      <c r="B207" s="19" t="n"/>
      <c r="C207" s="19" t="n"/>
      <c r="D207" s="19" t="n"/>
      <c r="E207" s="19" t="n"/>
      <c r="F207" s="19" t="n"/>
      <c r="G207" s="19" t="n"/>
      <c r="H207" s="19" t="n"/>
      <c r="I207" s="19" t="n"/>
      <c r="J207" s="19" t="n"/>
      <c r="K207" s="19" t="n"/>
      <c r="L207" s="125" t="n"/>
      <c r="M207" s="88">
        <f>IF($D207="","",IFERROR(VLOOKUP($H207,Lists!$N$2:$O$6,2,FALSE),0))</f>
        <v/>
      </c>
      <c r="N207" s="88">
        <f>IF($D207="","",IF(OR($E207="Blocked",$E207="Done",$E207="Archive"),-9999,IF(AND($E207="Waiting",SUMPRODUCT((($E$5:$E$500="Next")+($E$5:$E$500="In Progress")+($E$5:$E$500="Captured"))*($D$5:$D$500&lt;&gt;""))&gt;0),-500,VLOOKUP($F207,Lists!$L$2:$M$4,2,FALSE)+IF($E207="In Progress",10,0)+IF(AND($I207&lt;&gt;"",$I207&lt;TODAY()),25,0)+IF(AND($I207&lt;&gt;"",$I207&gt;=TODAY(),$I207&lt;=TODAY()+7),15,0)+IF($M207&lt;=VLOOKUP(Home!$C$7,Lists!$N$2:$O$6,2,FALSE),20,-10)+IF($G207=Home!$E$7,15,IF(Home!$E$7="",0,-5))-ROW()/100000)))</f>
        <v/>
      </c>
      <c r="O207" s="88">
        <f>IF($D207="","",IF($N207&lt;=-500,"Not recommended right now",IF($E207="Waiting","Nothing else actionable right now — Waiting on: "&amp;IF($K207="","this item",$K207),TEXTJOIN(" • ",TRUE,IF($F207="High","High Priority",""),IF(AND($I207&lt;&gt;"",$I207&lt;TODAY()),"Overdue",""),IF(AND($I207&lt;&gt;"",$I207&gt;=TODAY(),$I207&lt;=TODAY()+7),"Due This Week",""),IF($M207&lt;=VLOOKUP(Home!$C$7,Lists!$N$2:$O$6,2,FALSE),$H207&amp;" Task",""),IF($G207=Home!$E$7,"Fits Current Energy",""),"No Blockers"))))</f>
        <v/>
      </c>
      <c r="P207" s="88">
        <f>IF($D207="","",SWITCH('Task Finder'!$C$6,"High Priority",AND($F207="High",$E207&lt;&gt;"Done",$E207&lt;&gt;"Archive"),"Due This Week",AND($I207&lt;&gt;"",$I207&gt;=TODAY(),$I207&lt;=TODAY()+7,$E207&lt;&gt;"Done"),"Quick Wins (15 mins or less)",AND($M207&lt;=15,$E207&lt;&gt;"Done",$E207&lt;&gt;"Blocked"),"Deep Thinking",AND($G207="Deep Thinking",$E207&lt;&gt;"Done"),"Processing",AND($G207="Processing",$E207&lt;&gt;"Done"),"Blocked",$E207="Blocked","Waiting",$E207="Waiting","Recently Updated",AND($L207&lt;&gt;"",$L207&gt;=TODAY()-7),"Keyword",AND('Task Finder'!$C$7&lt;&gt;"",OR(ISNUMBER(SEARCH('Task Finder'!$C$7,$A207)),ISNUMBER(SEARCH('Task Finder'!$C$7,$B207)),ISNUMBER(SEARCH('Task Finder'!$C$7,$C207)),ISNUMBER(SEARCH('Task Finder'!$C$7,$D207)),ISNUMBER(SEARCH('Task Finder'!$C$7,$K207)))),TRUE))</f>
        <v/>
      </c>
    </row>
    <row r="208">
      <c r="A208" s="19" t="n"/>
      <c r="B208" s="19" t="n"/>
      <c r="C208" s="19" t="n"/>
      <c r="D208" s="19" t="n"/>
      <c r="E208" s="19" t="n"/>
      <c r="F208" s="19" t="n"/>
      <c r="G208" s="19" t="n"/>
      <c r="H208" s="19" t="n"/>
      <c r="I208" s="19" t="n"/>
      <c r="J208" s="19" t="n"/>
      <c r="K208" s="19" t="n"/>
      <c r="L208" s="125" t="n"/>
      <c r="M208" s="88">
        <f>IF($D208="","",IFERROR(VLOOKUP($H208,Lists!$N$2:$O$6,2,FALSE),0))</f>
        <v/>
      </c>
      <c r="N208" s="88">
        <f>IF($D208="","",IF(OR($E208="Blocked",$E208="Done",$E208="Archive"),-9999,IF(AND($E208="Waiting",SUMPRODUCT((($E$5:$E$500="Next")+($E$5:$E$500="In Progress")+($E$5:$E$500="Captured"))*($D$5:$D$500&lt;&gt;""))&gt;0),-500,VLOOKUP($F208,Lists!$L$2:$M$4,2,FALSE)+IF($E208="In Progress",10,0)+IF(AND($I208&lt;&gt;"",$I208&lt;TODAY()),25,0)+IF(AND($I208&lt;&gt;"",$I208&gt;=TODAY(),$I208&lt;=TODAY()+7),15,0)+IF($M208&lt;=VLOOKUP(Home!$C$7,Lists!$N$2:$O$6,2,FALSE),20,-10)+IF($G208=Home!$E$7,15,IF(Home!$E$7="",0,-5))-ROW()/100000)))</f>
        <v/>
      </c>
      <c r="O208" s="88">
        <f>IF($D208="","",IF($N208&lt;=-500,"Not recommended right now",IF($E208="Waiting","Nothing else actionable right now — Waiting on: "&amp;IF($K208="","this item",$K208),TEXTJOIN(" • ",TRUE,IF($F208="High","High Priority",""),IF(AND($I208&lt;&gt;"",$I208&lt;TODAY()),"Overdue",""),IF(AND($I208&lt;&gt;"",$I208&gt;=TODAY(),$I208&lt;=TODAY()+7),"Due This Week",""),IF($M208&lt;=VLOOKUP(Home!$C$7,Lists!$N$2:$O$6,2,FALSE),$H208&amp;" Task",""),IF($G208=Home!$E$7,"Fits Current Energy",""),"No Blockers"))))</f>
        <v/>
      </c>
      <c r="P208" s="88">
        <f>IF($D208="","",SWITCH('Task Finder'!$C$6,"High Priority",AND($F208="High",$E208&lt;&gt;"Done",$E208&lt;&gt;"Archive"),"Due This Week",AND($I208&lt;&gt;"",$I208&gt;=TODAY(),$I208&lt;=TODAY()+7,$E208&lt;&gt;"Done"),"Quick Wins (15 mins or less)",AND($M208&lt;=15,$E208&lt;&gt;"Done",$E208&lt;&gt;"Blocked"),"Deep Thinking",AND($G208="Deep Thinking",$E208&lt;&gt;"Done"),"Processing",AND($G208="Processing",$E208&lt;&gt;"Done"),"Blocked",$E208="Blocked","Waiting",$E208="Waiting","Recently Updated",AND($L208&lt;&gt;"",$L208&gt;=TODAY()-7),"Keyword",AND('Task Finder'!$C$7&lt;&gt;"",OR(ISNUMBER(SEARCH('Task Finder'!$C$7,$A208)),ISNUMBER(SEARCH('Task Finder'!$C$7,$B208)),ISNUMBER(SEARCH('Task Finder'!$C$7,$C208)),ISNUMBER(SEARCH('Task Finder'!$C$7,$D208)),ISNUMBER(SEARCH('Task Finder'!$C$7,$K208)))),TRUE))</f>
        <v/>
      </c>
    </row>
    <row r="209">
      <c r="A209" s="19" t="n"/>
      <c r="B209" s="19" t="n"/>
      <c r="C209" s="19" t="n"/>
      <c r="D209" s="19" t="n"/>
      <c r="E209" s="19" t="n"/>
      <c r="F209" s="19" t="n"/>
      <c r="G209" s="19" t="n"/>
      <c r="H209" s="19" t="n"/>
      <c r="I209" s="19" t="n"/>
      <c r="J209" s="19" t="n"/>
      <c r="K209" s="19" t="n"/>
      <c r="L209" s="125" t="n"/>
      <c r="M209" s="88">
        <f>IF($D209="","",IFERROR(VLOOKUP($H209,Lists!$N$2:$O$6,2,FALSE),0))</f>
        <v/>
      </c>
      <c r="N209" s="88">
        <f>IF($D209="","",IF(OR($E209="Blocked",$E209="Done",$E209="Archive"),-9999,IF(AND($E209="Waiting",SUMPRODUCT((($E$5:$E$500="Next")+($E$5:$E$500="In Progress")+($E$5:$E$500="Captured"))*($D$5:$D$500&lt;&gt;""))&gt;0),-500,VLOOKUP($F209,Lists!$L$2:$M$4,2,FALSE)+IF($E209="In Progress",10,0)+IF(AND($I209&lt;&gt;"",$I209&lt;TODAY()),25,0)+IF(AND($I209&lt;&gt;"",$I209&gt;=TODAY(),$I209&lt;=TODAY()+7),15,0)+IF($M209&lt;=VLOOKUP(Home!$C$7,Lists!$N$2:$O$6,2,FALSE),20,-10)+IF($G209=Home!$E$7,15,IF(Home!$E$7="",0,-5))-ROW()/100000)))</f>
        <v/>
      </c>
      <c r="O209" s="88">
        <f>IF($D209="","",IF($N209&lt;=-500,"Not recommended right now",IF($E209="Waiting","Nothing else actionable right now — Waiting on: "&amp;IF($K209="","this item",$K209),TEXTJOIN(" • ",TRUE,IF($F209="High","High Priority",""),IF(AND($I209&lt;&gt;"",$I209&lt;TODAY()),"Overdue",""),IF(AND($I209&lt;&gt;"",$I209&gt;=TODAY(),$I209&lt;=TODAY()+7),"Due This Week",""),IF($M209&lt;=VLOOKUP(Home!$C$7,Lists!$N$2:$O$6,2,FALSE),$H209&amp;" Task",""),IF($G209=Home!$E$7,"Fits Current Energy",""),"No Blockers"))))</f>
        <v/>
      </c>
      <c r="P209" s="88">
        <f>IF($D209="","",SWITCH('Task Finder'!$C$6,"High Priority",AND($F209="High",$E209&lt;&gt;"Done",$E209&lt;&gt;"Archive"),"Due This Week",AND($I209&lt;&gt;"",$I209&gt;=TODAY(),$I209&lt;=TODAY()+7,$E209&lt;&gt;"Done"),"Quick Wins (15 mins or less)",AND($M209&lt;=15,$E209&lt;&gt;"Done",$E209&lt;&gt;"Blocked"),"Deep Thinking",AND($G209="Deep Thinking",$E209&lt;&gt;"Done"),"Processing",AND($G209="Processing",$E209&lt;&gt;"Done"),"Blocked",$E209="Blocked","Waiting",$E209="Waiting","Recently Updated",AND($L209&lt;&gt;"",$L209&gt;=TODAY()-7),"Keyword",AND('Task Finder'!$C$7&lt;&gt;"",OR(ISNUMBER(SEARCH('Task Finder'!$C$7,$A209)),ISNUMBER(SEARCH('Task Finder'!$C$7,$B209)),ISNUMBER(SEARCH('Task Finder'!$C$7,$C209)),ISNUMBER(SEARCH('Task Finder'!$C$7,$D209)),ISNUMBER(SEARCH('Task Finder'!$C$7,$K209)))),TRUE))</f>
        <v/>
      </c>
    </row>
    <row r="210">
      <c r="A210" s="19" t="n"/>
      <c r="B210" s="19" t="n"/>
      <c r="C210" s="19" t="n"/>
      <c r="D210" s="19" t="n"/>
      <c r="E210" s="19" t="n"/>
      <c r="F210" s="19" t="n"/>
      <c r="G210" s="19" t="n"/>
      <c r="H210" s="19" t="n"/>
      <c r="I210" s="19" t="n"/>
      <c r="J210" s="19" t="n"/>
      <c r="K210" s="19" t="n"/>
      <c r="L210" s="125" t="n"/>
      <c r="M210" s="88">
        <f>IF($D210="","",IFERROR(VLOOKUP($H210,Lists!$N$2:$O$6,2,FALSE),0))</f>
        <v/>
      </c>
      <c r="N210" s="88">
        <f>IF($D210="","",IF(OR($E210="Blocked",$E210="Done",$E210="Archive"),-9999,IF(AND($E210="Waiting",SUMPRODUCT((($E$5:$E$500="Next")+($E$5:$E$500="In Progress")+($E$5:$E$500="Captured"))*($D$5:$D$500&lt;&gt;""))&gt;0),-500,VLOOKUP($F210,Lists!$L$2:$M$4,2,FALSE)+IF($E210="In Progress",10,0)+IF(AND($I210&lt;&gt;"",$I210&lt;TODAY()),25,0)+IF(AND($I210&lt;&gt;"",$I210&gt;=TODAY(),$I210&lt;=TODAY()+7),15,0)+IF($M210&lt;=VLOOKUP(Home!$C$7,Lists!$N$2:$O$6,2,FALSE),20,-10)+IF($G210=Home!$E$7,15,IF(Home!$E$7="",0,-5))-ROW()/100000)))</f>
        <v/>
      </c>
      <c r="O210" s="88">
        <f>IF($D210="","",IF($N210&lt;=-500,"Not recommended right now",IF($E210="Waiting","Nothing else actionable right now — Waiting on: "&amp;IF($K210="","this item",$K210),TEXTJOIN(" • ",TRUE,IF($F210="High","High Priority",""),IF(AND($I210&lt;&gt;"",$I210&lt;TODAY()),"Overdue",""),IF(AND($I210&lt;&gt;"",$I210&gt;=TODAY(),$I210&lt;=TODAY()+7),"Due This Week",""),IF($M210&lt;=VLOOKUP(Home!$C$7,Lists!$N$2:$O$6,2,FALSE),$H210&amp;" Task",""),IF($G210=Home!$E$7,"Fits Current Energy",""),"No Blockers"))))</f>
        <v/>
      </c>
      <c r="P210" s="88">
        <f>IF($D210="","",SWITCH('Task Finder'!$C$6,"High Priority",AND($F210="High",$E210&lt;&gt;"Done",$E210&lt;&gt;"Archive"),"Due This Week",AND($I210&lt;&gt;"",$I210&gt;=TODAY(),$I210&lt;=TODAY()+7,$E210&lt;&gt;"Done"),"Quick Wins (15 mins or less)",AND($M210&lt;=15,$E210&lt;&gt;"Done",$E210&lt;&gt;"Blocked"),"Deep Thinking",AND($G210="Deep Thinking",$E210&lt;&gt;"Done"),"Processing",AND($G210="Processing",$E210&lt;&gt;"Done"),"Blocked",$E210="Blocked","Waiting",$E210="Waiting","Recently Updated",AND($L210&lt;&gt;"",$L210&gt;=TODAY()-7),"Keyword",AND('Task Finder'!$C$7&lt;&gt;"",OR(ISNUMBER(SEARCH('Task Finder'!$C$7,$A210)),ISNUMBER(SEARCH('Task Finder'!$C$7,$B210)),ISNUMBER(SEARCH('Task Finder'!$C$7,$C210)),ISNUMBER(SEARCH('Task Finder'!$C$7,$D210)),ISNUMBER(SEARCH('Task Finder'!$C$7,$K210)))),TRUE))</f>
        <v/>
      </c>
    </row>
    <row r="211">
      <c r="A211" s="19" t="n"/>
      <c r="B211" s="19" t="n"/>
      <c r="C211" s="19" t="n"/>
      <c r="D211" s="19" t="n"/>
      <c r="E211" s="19" t="n"/>
      <c r="F211" s="19" t="n"/>
      <c r="G211" s="19" t="n"/>
      <c r="H211" s="19" t="n"/>
      <c r="I211" s="19" t="n"/>
      <c r="J211" s="19" t="n"/>
      <c r="K211" s="19" t="n"/>
      <c r="L211" s="125" t="n"/>
      <c r="M211" s="88">
        <f>IF($D211="","",IFERROR(VLOOKUP($H211,Lists!$N$2:$O$6,2,FALSE),0))</f>
        <v/>
      </c>
      <c r="N211" s="88">
        <f>IF($D211="","",IF(OR($E211="Blocked",$E211="Done",$E211="Archive"),-9999,IF(AND($E211="Waiting",SUMPRODUCT((($E$5:$E$500="Next")+($E$5:$E$500="In Progress")+($E$5:$E$500="Captured"))*($D$5:$D$500&lt;&gt;""))&gt;0),-500,VLOOKUP($F211,Lists!$L$2:$M$4,2,FALSE)+IF($E211="In Progress",10,0)+IF(AND($I211&lt;&gt;"",$I211&lt;TODAY()),25,0)+IF(AND($I211&lt;&gt;"",$I211&gt;=TODAY(),$I211&lt;=TODAY()+7),15,0)+IF($M211&lt;=VLOOKUP(Home!$C$7,Lists!$N$2:$O$6,2,FALSE),20,-10)+IF($G211=Home!$E$7,15,IF(Home!$E$7="",0,-5))-ROW()/100000)))</f>
        <v/>
      </c>
      <c r="O211" s="88">
        <f>IF($D211="","",IF($N211&lt;=-500,"Not recommended right now",IF($E211="Waiting","Nothing else actionable right now — Waiting on: "&amp;IF($K211="","this item",$K211),TEXTJOIN(" • ",TRUE,IF($F211="High","High Priority",""),IF(AND($I211&lt;&gt;"",$I211&lt;TODAY()),"Overdue",""),IF(AND($I211&lt;&gt;"",$I211&gt;=TODAY(),$I211&lt;=TODAY()+7),"Due This Week",""),IF($M211&lt;=VLOOKUP(Home!$C$7,Lists!$N$2:$O$6,2,FALSE),$H211&amp;" Task",""),IF($G211=Home!$E$7,"Fits Current Energy",""),"No Blockers"))))</f>
        <v/>
      </c>
      <c r="P211" s="88">
        <f>IF($D211="","",SWITCH('Task Finder'!$C$6,"High Priority",AND($F211="High",$E211&lt;&gt;"Done",$E211&lt;&gt;"Archive"),"Due This Week",AND($I211&lt;&gt;"",$I211&gt;=TODAY(),$I211&lt;=TODAY()+7,$E211&lt;&gt;"Done"),"Quick Wins (15 mins or less)",AND($M211&lt;=15,$E211&lt;&gt;"Done",$E211&lt;&gt;"Blocked"),"Deep Thinking",AND($G211="Deep Thinking",$E211&lt;&gt;"Done"),"Processing",AND($G211="Processing",$E211&lt;&gt;"Done"),"Blocked",$E211="Blocked","Waiting",$E211="Waiting","Recently Updated",AND($L211&lt;&gt;"",$L211&gt;=TODAY()-7),"Keyword",AND('Task Finder'!$C$7&lt;&gt;"",OR(ISNUMBER(SEARCH('Task Finder'!$C$7,$A211)),ISNUMBER(SEARCH('Task Finder'!$C$7,$B211)),ISNUMBER(SEARCH('Task Finder'!$C$7,$C211)),ISNUMBER(SEARCH('Task Finder'!$C$7,$D211)),ISNUMBER(SEARCH('Task Finder'!$C$7,$K211)))),TRUE))</f>
        <v/>
      </c>
    </row>
    <row r="212">
      <c r="A212" s="19" t="n"/>
      <c r="B212" s="19" t="n"/>
      <c r="C212" s="19" t="n"/>
      <c r="D212" s="19" t="n"/>
      <c r="E212" s="19" t="n"/>
      <c r="F212" s="19" t="n"/>
      <c r="G212" s="19" t="n"/>
      <c r="H212" s="19" t="n"/>
      <c r="I212" s="19" t="n"/>
      <c r="J212" s="19" t="n"/>
      <c r="K212" s="19" t="n"/>
      <c r="L212" s="125" t="n"/>
      <c r="M212" s="88">
        <f>IF($D212="","",IFERROR(VLOOKUP($H212,Lists!$N$2:$O$6,2,FALSE),0))</f>
        <v/>
      </c>
      <c r="N212" s="88">
        <f>IF($D212="","",IF(OR($E212="Blocked",$E212="Done",$E212="Archive"),-9999,IF(AND($E212="Waiting",SUMPRODUCT((($E$5:$E$500="Next")+($E$5:$E$500="In Progress")+($E$5:$E$500="Captured"))*($D$5:$D$500&lt;&gt;""))&gt;0),-500,VLOOKUP($F212,Lists!$L$2:$M$4,2,FALSE)+IF($E212="In Progress",10,0)+IF(AND($I212&lt;&gt;"",$I212&lt;TODAY()),25,0)+IF(AND($I212&lt;&gt;"",$I212&gt;=TODAY(),$I212&lt;=TODAY()+7),15,0)+IF($M212&lt;=VLOOKUP(Home!$C$7,Lists!$N$2:$O$6,2,FALSE),20,-10)+IF($G212=Home!$E$7,15,IF(Home!$E$7="",0,-5))-ROW()/100000)))</f>
        <v/>
      </c>
      <c r="O212" s="88">
        <f>IF($D212="","",IF($N212&lt;=-500,"Not recommended right now",IF($E212="Waiting","Nothing else actionable right now — Waiting on: "&amp;IF($K212="","this item",$K212),TEXTJOIN(" • ",TRUE,IF($F212="High","High Priority",""),IF(AND($I212&lt;&gt;"",$I212&lt;TODAY()),"Overdue",""),IF(AND($I212&lt;&gt;"",$I212&gt;=TODAY(),$I212&lt;=TODAY()+7),"Due This Week",""),IF($M212&lt;=VLOOKUP(Home!$C$7,Lists!$N$2:$O$6,2,FALSE),$H212&amp;" Task",""),IF($G212=Home!$E$7,"Fits Current Energy",""),"No Blockers"))))</f>
        <v/>
      </c>
      <c r="P212" s="88">
        <f>IF($D212="","",SWITCH('Task Finder'!$C$6,"High Priority",AND($F212="High",$E212&lt;&gt;"Done",$E212&lt;&gt;"Archive"),"Due This Week",AND($I212&lt;&gt;"",$I212&gt;=TODAY(),$I212&lt;=TODAY()+7,$E212&lt;&gt;"Done"),"Quick Wins (15 mins or less)",AND($M212&lt;=15,$E212&lt;&gt;"Done",$E212&lt;&gt;"Blocked"),"Deep Thinking",AND($G212="Deep Thinking",$E212&lt;&gt;"Done"),"Processing",AND($G212="Processing",$E212&lt;&gt;"Done"),"Blocked",$E212="Blocked","Waiting",$E212="Waiting","Recently Updated",AND($L212&lt;&gt;"",$L212&gt;=TODAY()-7),"Keyword",AND('Task Finder'!$C$7&lt;&gt;"",OR(ISNUMBER(SEARCH('Task Finder'!$C$7,$A212)),ISNUMBER(SEARCH('Task Finder'!$C$7,$B212)),ISNUMBER(SEARCH('Task Finder'!$C$7,$C212)),ISNUMBER(SEARCH('Task Finder'!$C$7,$D212)),ISNUMBER(SEARCH('Task Finder'!$C$7,$K212)))),TRUE))</f>
        <v/>
      </c>
    </row>
    <row r="213">
      <c r="A213" s="19" t="n"/>
      <c r="B213" s="19" t="n"/>
      <c r="C213" s="19" t="n"/>
      <c r="D213" s="19" t="n"/>
      <c r="E213" s="19" t="n"/>
      <c r="F213" s="19" t="n"/>
      <c r="G213" s="19" t="n"/>
      <c r="H213" s="19" t="n"/>
      <c r="I213" s="19" t="n"/>
      <c r="J213" s="19" t="n"/>
      <c r="K213" s="19" t="n"/>
      <c r="L213" s="125" t="n"/>
      <c r="M213" s="88">
        <f>IF($D213="","",IFERROR(VLOOKUP($H213,Lists!$N$2:$O$6,2,FALSE),0))</f>
        <v/>
      </c>
      <c r="N213" s="88">
        <f>IF($D213="","",IF(OR($E213="Blocked",$E213="Done",$E213="Archive"),-9999,IF(AND($E213="Waiting",SUMPRODUCT((($E$5:$E$500="Next")+($E$5:$E$500="In Progress")+($E$5:$E$500="Captured"))*($D$5:$D$500&lt;&gt;""))&gt;0),-500,VLOOKUP($F213,Lists!$L$2:$M$4,2,FALSE)+IF($E213="In Progress",10,0)+IF(AND($I213&lt;&gt;"",$I213&lt;TODAY()),25,0)+IF(AND($I213&lt;&gt;"",$I213&gt;=TODAY(),$I213&lt;=TODAY()+7),15,0)+IF($M213&lt;=VLOOKUP(Home!$C$7,Lists!$N$2:$O$6,2,FALSE),20,-10)+IF($G213=Home!$E$7,15,IF(Home!$E$7="",0,-5))-ROW()/100000)))</f>
        <v/>
      </c>
      <c r="O213" s="88">
        <f>IF($D213="","",IF($N213&lt;=-500,"Not recommended right now",IF($E213="Waiting","Nothing else actionable right now — Waiting on: "&amp;IF($K213="","this item",$K213),TEXTJOIN(" • ",TRUE,IF($F213="High","High Priority",""),IF(AND($I213&lt;&gt;"",$I213&lt;TODAY()),"Overdue",""),IF(AND($I213&lt;&gt;"",$I213&gt;=TODAY(),$I213&lt;=TODAY()+7),"Due This Week",""),IF($M213&lt;=VLOOKUP(Home!$C$7,Lists!$N$2:$O$6,2,FALSE),$H213&amp;" Task",""),IF($G213=Home!$E$7,"Fits Current Energy",""),"No Blockers"))))</f>
        <v/>
      </c>
      <c r="P213" s="88">
        <f>IF($D213="","",SWITCH('Task Finder'!$C$6,"High Priority",AND($F213="High",$E213&lt;&gt;"Done",$E213&lt;&gt;"Archive"),"Due This Week",AND($I213&lt;&gt;"",$I213&gt;=TODAY(),$I213&lt;=TODAY()+7,$E213&lt;&gt;"Done"),"Quick Wins (15 mins or less)",AND($M213&lt;=15,$E213&lt;&gt;"Done",$E213&lt;&gt;"Blocked"),"Deep Thinking",AND($G213="Deep Thinking",$E213&lt;&gt;"Done"),"Processing",AND($G213="Processing",$E213&lt;&gt;"Done"),"Blocked",$E213="Blocked","Waiting",$E213="Waiting","Recently Updated",AND($L213&lt;&gt;"",$L213&gt;=TODAY()-7),"Keyword",AND('Task Finder'!$C$7&lt;&gt;"",OR(ISNUMBER(SEARCH('Task Finder'!$C$7,$A213)),ISNUMBER(SEARCH('Task Finder'!$C$7,$B213)),ISNUMBER(SEARCH('Task Finder'!$C$7,$C213)),ISNUMBER(SEARCH('Task Finder'!$C$7,$D213)),ISNUMBER(SEARCH('Task Finder'!$C$7,$K213)))),TRUE))</f>
        <v/>
      </c>
    </row>
    <row r="214">
      <c r="A214" s="19" t="n"/>
      <c r="B214" s="19" t="n"/>
      <c r="C214" s="19" t="n"/>
      <c r="D214" s="19" t="n"/>
      <c r="E214" s="19" t="n"/>
      <c r="F214" s="19" t="n"/>
      <c r="G214" s="19" t="n"/>
      <c r="H214" s="19" t="n"/>
      <c r="I214" s="19" t="n"/>
      <c r="J214" s="19" t="n"/>
      <c r="K214" s="19" t="n"/>
      <c r="L214" s="125" t="n"/>
      <c r="M214" s="88">
        <f>IF($D214="","",IFERROR(VLOOKUP($H214,Lists!$N$2:$O$6,2,FALSE),0))</f>
        <v/>
      </c>
      <c r="N214" s="88">
        <f>IF($D214="","",IF(OR($E214="Blocked",$E214="Done",$E214="Archive"),-9999,IF(AND($E214="Waiting",SUMPRODUCT((($E$5:$E$500="Next")+($E$5:$E$500="In Progress")+($E$5:$E$500="Captured"))*($D$5:$D$500&lt;&gt;""))&gt;0),-500,VLOOKUP($F214,Lists!$L$2:$M$4,2,FALSE)+IF($E214="In Progress",10,0)+IF(AND($I214&lt;&gt;"",$I214&lt;TODAY()),25,0)+IF(AND($I214&lt;&gt;"",$I214&gt;=TODAY(),$I214&lt;=TODAY()+7),15,0)+IF($M214&lt;=VLOOKUP(Home!$C$7,Lists!$N$2:$O$6,2,FALSE),20,-10)+IF($G214=Home!$E$7,15,IF(Home!$E$7="",0,-5))-ROW()/100000)))</f>
        <v/>
      </c>
      <c r="O214" s="88">
        <f>IF($D214="","",IF($N214&lt;=-500,"Not recommended right now",IF($E214="Waiting","Nothing else actionable right now — Waiting on: "&amp;IF($K214="","this item",$K214),TEXTJOIN(" • ",TRUE,IF($F214="High","High Priority",""),IF(AND($I214&lt;&gt;"",$I214&lt;TODAY()),"Overdue",""),IF(AND($I214&lt;&gt;"",$I214&gt;=TODAY(),$I214&lt;=TODAY()+7),"Due This Week",""),IF($M214&lt;=VLOOKUP(Home!$C$7,Lists!$N$2:$O$6,2,FALSE),$H214&amp;" Task",""),IF($G214=Home!$E$7,"Fits Current Energy",""),"No Blockers"))))</f>
        <v/>
      </c>
      <c r="P214" s="88">
        <f>IF($D214="","",SWITCH('Task Finder'!$C$6,"High Priority",AND($F214="High",$E214&lt;&gt;"Done",$E214&lt;&gt;"Archive"),"Due This Week",AND($I214&lt;&gt;"",$I214&gt;=TODAY(),$I214&lt;=TODAY()+7,$E214&lt;&gt;"Done"),"Quick Wins (15 mins or less)",AND($M214&lt;=15,$E214&lt;&gt;"Done",$E214&lt;&gt;"Blocked"),"Deep Thinking",AND($G214="Deep Thinking",$E214&lt;&gt;"Done"),"Processing",AND($G214="Processing",$E214&lt;&gt;"Done"),"Blocked",$E214="Blocked","Waiting",$E214="Waiting","Recently Updated",AND($L214&lt;&gt;"",$L214&gt;=TODAY()-7),"Keyword",AND('Task Finder'!$C$7&lt;&gt;"",OR(ISNUMBER(SEARCH('Task Finder'!$C$7,$A214)),ISNUMBER(SEARCH('Task Finder'!$C$7,$B214)),ISNUMBER(SEARCH('Task Finder'!$C$7,$C214)),ISNUMBER(SEARCH('Task Finder'!$C$7,$D214)),ISNUMBER(SEARCH('Task Finder'!$C$7,$K214)))),TRUE))</f>
        <v/>
      </c>
    </row>
    <row r="215">
      <c r="A215" s="19" t="n"/>
      <c r="B215" s="19" t="n"/>
      <c r="C215" s="19" t="n"/>
      <c r="D215" s="19" t="n"/>
      <c r="E215" s="19" t="n"/>
      <c r="F215" s="19" t="n"/>
      <c r="G215" s="19" t="n"/>
      <c r="H215" s="19" t="n"/>
      <c r="I215" s="19" t="n"/>
      <c r="J215" s="19" t="n"/>
      <c r="K215" s="19" t="n"/>
      <c r="L215" s="125" t="n"/>
      <c r="M215" s="88">
        <f>IF($D215="","",IFERROR(VLOOKUP($H215,Lists!$N$2:$O$6,2,FALSE),0))</f>
        <v/>
      </c>
      <c r="N215" s="88">
        <f>IF($D215="","",IF(OR($E215="Blocked",$E215="Done",$E215="Archive"),-9999,IF(AND($E215="Waiting",SUMPRODUCT((($E$5:$E$500="Next")+($E$5:$E$500="In Progress")+($E$5:$E$500="Captured"))*($D$5:$D$500&lt;&gt;""))&gt;0),-500,VLOOKUP($F215,Lists!$L$2:$M$4,2,FALSE)+IF($E215="In Progress",10,0)+IF(AND($I215&lt;&gt;"",$I215&lt;TODAY()),25,0)+IF(AND($I215&lt;&gt;"",$I215&gt;=TODAY(),$I215&lt;=TODAY()+7),15,0)+IF($M215&lt;=VLOOKUP(Home!$C$7,Lists!$N$2:$O$6,2,FALSE),20,-10)+IF($G215=Home!$E$7,15,IF(Home!$E$7="",0,-5))-ROW()/100000)))</f>
        <v/>
      </c>
      <c r="O215" s="88">
        <f>IF($D215="","",IF($N215&lt;=-500,"Not recommended right now",IF($E215="Waiting","Nothing else actionable right now — Waiting on: "&amp;IF($K215="","this item",$K215),TEXTJOIN(" • ",TRUE,IF($F215="High","High Priority",""),IF(AND($I215&lt;&gt;"",$I215&lt;TODAY()),"Overdue",""),IF(AND($I215&lt;&gt;"",$I215&gt;=TODAY(),$I215&lt;=TODAY()+7),"Due This Week",""),IF($M215&lt;=VLOOKUP(Home!$C$7,Lists!$N$2:$O$6,2,FALSE),$H215&amp;" Task",""),IF($G215=Home!$E$7,"Fits Current Energy",""),"No Blockers"))))</f>
        <v/>
      </c>
      <c r="P215" s="88">
        <f>IF($D215="","",SWITCH('Task Finder'!$C$6,"High Priority",AND($F215="High",$E215&lt;&gt;"Done",$E215&lt;&gt;"Archive"),"Due This Week",AND($I215&lt;&gt;"",$I215&gt;=TODAY(),$I215&lt;=TODAY()+7,$E215&lt;&gt;"Done"),"Quick Wins (15 mins or less)",AND($M215&lt;=15,$E215&lt;&gt;"Done",$E215&lt;&gt;"Blocked"),"Deep Thinking",AND($G215="Deep Thinking",$E215&lt;&gt;"Done"),"Processing",AND($G215="Processing",$E215&lt;&gt;"Done"),"Blocked",$E215="Blocked","Waiting",$E215="Waiting","Recently Updated",AND($L215&lt;&gt;"",$L215&gt;=TODAY()-7),"Keyword",AND('Task Finder'!$C$7&lt;&gt;"",OR(ISNUMBER(SEARCH('Task Finder'!$C$7,$A215)),ISNUMBER(SEARCH('Task Finder'!$C$7,$B215)),ISNUMBER(SEARCH('Task Finder'!$C$7,$C215)),ISNUMBER(SEARCH('Task Finder'!$C$7,$D215)),ISNUMBER(SEARCH('Task Finder'!$C$7,$K215)))),TRUE))</f>
        <v/>
      </c>
    </row>
    <row r="216">
      <c r="A216" s="19" t="n"/>
      <c r="B216" s="19" t="n"/>
      <c r="C216" s="19" t="n"/>
      <c r="D216" s="19" t="n"/>
      <c r="E216" s="19" t="n"/>
      <c r="F216" s="19" t="n"/>
      <c r="G216" s="19" t="n"/>
      <c r="H216" s="19" t="n"/>
      <c r="I216" s="19" t="n"/>
      <c r="J216" s="19" t="n"/>
      <c r="K216" s="19" t="n"/>
      <c r="L216" s="125" t="n"/>
      <c r="M216" s="88">
        <f>IF($D216="","",IFERROR(VLOOKUP($H216,Lists!$N$2:$O$6,2,FALSE),0))</f>
        <v/>
      </c>
      <c r="N216" s="88">
        <f>IF($D216="","",IF(OR($E216="Blocked",$E216="Done",$E216="Archive"),-9999,IF(AND($E216="Waiting",SUMPRODUCT((($E$5:$E$500="Next")+($E$5:$E$500="In Progress")+($E$5:$E$500="Captured"))*($D$5:$D$500&lt;&gt;""))&gt;0),-500,VLOOKUP($F216,Lists!$L$2:$M$4,2,FALSE)+IF($E216="In Progress",10,0)+IF(AND($I216&lt;&gt;"",$I216&lt;TODAY()),25,0)+IF(AND($I216&lt;&gt;"",$I216&gt;=TODAY(),$I216&lt;=TODAY()+7),15,0)+IF($M216&lt;=VLOOKUP(Home!$C$7,Lists!$N$2:$O$6,2,FALSE),20,-10)+IF($G216=Home!$E$7,15,IF(Home!$E$7="",0,-5))-ROW()/100000)))</f>
        <v/>
      </c>
      <c r="O216" s="88">
        <f>IF($D216="","",IF($N216&lt;=-500,"Not recommended right now",IF($E216="Waiting","Nothing else actionable right now — Waiting on: "&amp;IF($K216="","this item",$K216),TEXTJOIN(" • ",TRUE,IF($F216="High","High Priority",""),IF(AND($I216&lt;&gt;"",$I216&lt;TODAY()),"Overdue",""),IF(AND($I216&lt;&gt;"",$I216&gt;=TODAY(),$I216&lt;=TODAY()+7),"Due This Week",""),IF($M216&lt;=VLOOKUP(Home!$C$7,Lists!$N$2:$O$6,2,FALSE),$H216&amp;" Task",""),IF($G216=Home!$E$7,"Fits Current Energy",""),"No Blockers"))))</f>
        <v/>
      </c>
      <c r="P216" s="88">
        <f>IF($D216="","",SWITCH('Task Finder'!$C$6,"High Priority",AND($F216="High",$E216&lt;&gt;"Done",$E216&lt;&gt;"Archive"),"Due This Week",AND($I216&lt;&gt;"",$I216&gt;=TODAY(),$I216&lt;=TODAY()+7,$E216&lt;&gt;"Done"),"Quick Wins (15 mins or less)",AND($M216&lt;=15,$E216&lt;&gt;"Done",$E216&lt;&gt;"Blocked"),"Deep Thinking",AND($G216="Deep Thinking",$E216&lt;&gt;"Done"),"Processing",AND($G216="Processing",$E216&lt;&gt;"Done"),"Blocked",$E216="Blocked","Waiting",$E216="Waiting","Recently Updated",AND($L216&lt;&gt;"",$L216&gt;=TODAY()-7),"Keyword",AND('Task Finder'!$C$7&lt;&gt;"",OR(ISNUMBER(SEARCH('Task Finder'!$C$7,$A216)),ISNUMBER(SEARCH('Task Finder'!$C$7,$B216)),ISNUMBER(SEARCH('Task Finder'!$C$7,$C216)),ISNUMBER(SEARCH('Task Finder'!$C$7,$D216)),ISNUMBER(SEARCH('Task Finder'!$C$7,$K216)))),TRUE))</f>
        <v/>
      </c>
    </row>
    <row r="217">
      <c r="A217" s="19" t="n"/>
      <c r="B217" s="19" t="n"/>
      <c r="C217" s="19" t="n"/>
      <c r="D217" s="19" t="n"/>
      <c r="E217" s="19" t="n"/>
      <c r="F217" s="19" t="n"/>
      <c r="G217" s="19" t="n"/>
      <c r="H217" s="19" t="n"/>
      <c r="I217" s="19" t="n"/>
      <c r="J217" s="19" t="n"/>
      <c r="K217" s="19" t="n"/>
      <c r="L217" s="125" t="n"/>
      <c r="M217" s="88">
        <f>IF($D217="","",IFERROR(VLOOKUP($H217,Lists!$N$2:$O$6,2,FALSE),0))</f>
        <v/>
      </c>
      <c r="N217" s="88">
        <f>IF($D217="","",IF(OR($E217="Blocked",$E217="Done",$E217="Archive"),-9999,IF(AND($E217="Waiting",SUMPRODUCT((($E$5:$E$500="Next")+($E$5:$E$500="In Progress")+($E$5:$E$500="Captured"))*($D$5:$D$500&lt;&gt;""))&gt;0),-500,VLOOKUP($F217,Lists!$L$2:$M$4,2,FALSE)+IF($E217="In Progress",10,0)+IF(AND($I217&lt;&gt;"",$I217&lt;TODAY()),25,0)+IF(AND($I217&lt;&gt;"",$I217&gt;=TODAY(),$I217&lt;=TODAY()+7),15,0)+IF($M217&lt;=VLOOKUP(Home!$C$7,Lists!$N$2:$O$6,2,FALSE),20,-10)+IF($G217=Home!$E$7,15,IF(Home!$E$7="",0,-5))-ROW()/100000)))</f>
        <v/>
      </c>
      <c r="O217" s="88">
        <f>IF($D217="","",IF($N217&lt;=-500,"Not recommended right now",IF($E217="Waiting","Nothing else actionable right now — Waiting on: "&amp;IF($K217="","this item",$K217),TEXTJOIN(" • ",TRUE,IF($F217="High","High Priority",""),IF(AND($I217&lt;&gt;"",$I217&lt;TODAY()),"Overdue",""),IF(AND($I217&lt;&gt;"",$I217&gt;=TODAY(),$I217&lt;=TODAY()+7),"Due This Week",""),IF($M217&lt;=VLOOKUP(Home!$C$7,Lists!$N$2:$O$6,2,FALSE),$H217&amp;" Task",""),IF($G217=Home!$E$7,"Fits Current Energy",""),"No Blockers"))))</f>
        <v/>
      </c>
      <c r="P217" s="88">
        <f>IF($D217="","",SWITCH('Task Finder'!$C$6,"High Priority",AND($F217="High",$E217&lt;&gt;"Done",$E217&lt;&gt;"Archive"),"Due This Week",AND($I217&lt;&gt;"",$I217&gt;=TODAY(),$I217&lt;=TODAY()+7,$E217&lt;&gt;"Done"),"Quick Wins (15 mins or less)",AND($M217&lt;=15,$E217&lt;&gt;"Done",$E217&lt;&gt;"Blocked"),"Deep Thinking",AND($G217="Deep Thinking",$E217&lt;&gt;"Done"),"Processing",AND($G217="Processing",$E217&lt;&gt;"Done"),"Blocked",$E217="Blocked","Waiting",$E217="Waiting","Recently Updated",AND($L217&lt;&gt;"",$L217&gt;=TODAY()-7),"Keyword",AND('Task Finder'!$C$7&lt;&gt;"",OR(ISNUMBER(SEARCH('Task Finder'!$C$7,$A217)),ISNUMBER(SEARCH('Task Finder'!$C$7,$B217)),ISNUMBER(SEARCH('Task Finder'!$C$7,$C217)),ISNUMBER(SEARCH('Task Finder'!$C$7,$D217)),ISNUMBER(SEARCH('Task Finder'!$C$7,$K217)))),TRUE))</f>
        <v/>
      </c>
    </row>
    <row r="218">
      <c r="A218" s="19" t="n"/>
      <c r="B218" s="19" t="n"/>
      <c r="C218" s="19" t="n"/>
      <c r="D218" s="19" t="n"/>
      <c r="E218" s="19" t="n"/>
      <c r="F218" s="19" t="n"/>
      <c r="G218" s="19" t="n"/>
      <c r="H218" s="19" t="n"/>
      <c r="I218" s="19" t="n"/>
      <c r="J218" s="19" t="n"/>
      <c r="K218" s="19" t="n"/>
      <c r="L218" s="125" t="n"/>
      <c r="M218" s="88">
        <f>IF($D218="","",IFERROR(VLOOKUP($H218,Lists!$N$2:$O$6,2,FALSE),0))</f>
        <v/>
      </c>
      <c r="N218" s="88">
        <f>IF($D218="","",IF(OR($E218="Blocked",$E218="Done",$E218="Archive"),-9999,IF(AND($E218="Waiting",SUMPRODUCT((($E$5:$E$500="Next")+($E$5:$E$500="In Progress")+($E$5:$E$500="Captured"))*($D$5:$D$500&lt;&gt;""))&gt;0),-500,VLOOKUP($F218,Lists!$L$2:$M$4,2,FALSE)+IF($E218="In Progress",10,0)+IF(AND($I218&lt;&gt;"",$I218&lt;TODAY()),25,0)+IF(AND($I218&lt;&gt;"",$I218&gt;=TODAY(),$I218&lt;=TODAY()+7),15,0)+IF($M218&lt;=VLOOKUP(Home!$C$7,Lists!$N$2:$O$6,2,FALSE),20,-10)+IF($G218=Home!$E$7,15,IF(Home!$E$7="",0,-5))-ROW()/100000)))</f>
        <v/>
      </c>
      <c r="O218" s="88">
        <f>IF($D218="","",IF($N218&lt;=-500,"Not recommended right now",IF($E218="Waiting","Nothing else actionable right now — Waiting on: "&amp;IF($K218="","this item",$K218),TEXTJOIN(" • ",TRUE,IF($F218="High","High Priority",""),IF(AND($I218&lt;&gt;"",$I218&lt;TODAY()),"Overdue",""),IF(AND($I218&lt;&gt;"",$I218&gt;=TODAY(),$I218&lt;=TODAY()+7),"Due This Week",""),IF($M218&lt;=VLOOKUP(Home!$C$7,Lists!$N$2:$O$6,2,FALSE),$H218&amp;" Task",""),IF($G218=Home!$E$7,"Fits Current Energy",""),"No Blockers"))))</f>
        <v/>
      </c>
      <c r="P218" s="88">
        <f>IF($D218="","",SWITCH('Task Finder'!$C$6,"High Priority",AND($F218="High",$E218&lt;&gt;"Done",$E218&lt;&gt;"Archive"),"Due This Week",AND($I218&lt;&gt;"",$I218&gt;=TODAY(),$I218&lt;=TODAY()+7,$E218&lt;&gt;"Done"),"Quick Wins (15 mins or less)",AND($M218&lt;=15,$E218&lt;&gt;"Done",$E218&lt;&gt;"Blocked"),"Deep Thinking",AND($G218="Deep Thinking",$E218&lt;&gt;"Done"),"Processing",AND($G218="Processing",$E218&lt;&gt;"Done"),"Blocked",$E218="Blocked","Waiting",$E218="Waiting","Recently Updated",AND($L218&lt;&gt;"",$L218&gt;=TODAY()-7),"Keyword",AND('Task Finder'!$C$7&lt;&gt;"",OR(ISNUMBER(SEARCH('Task Finder'!$C$7,$A218)),ISNUMBER(SEARCH('Task Finder'!$C$7,$B218)),ISNUMBER(SEARCH('Task Finder'!$C$7,$C218)),ISNUMBER(SEARCH('Task Finder'!$C$7,$D218)),ISNUMBER(SEARCH('Task Finder'!$C$7,$K218)))),TRUE))</f>
        <v/>
      </c>
    </row>
    <row r="219">
      <c r="A219" s="19" t="n"/>
      <c r="B219" s="19" t="n"/>
      <c r="C219" s="19" t="n"/>
      <c r="D219" s="19" t="n"/>
      <c r="E219" s="19" t="n"/>
      <c r="F219" s="19" t="n"/>
      <c r="G219" s="19" t="n"/>
      <c r="H219" s="19" t="n"/>
      <c r="I219" s="19" t="n"/>
      <c r="J219" s="19" t="n"/>
      <c r="K219" s="19" t="n"/>
      <c r="L219" s="125" t="n"/>
      <c r="M219" s="88">
        <f>IF($D219="","",IFERROR(VLOOKUP($H219,Lists!$N$2:$O$6,2,FALSE),0))</f>
        <v/>
      </c>
      <c r="N219" s="88">
        <f>IF($D219="","",IF(OR($E219="Blocked",$E219="Done",$E219="Archive"),-9999,IF(AND($E219="Waiting",SUMPRODUCT((($E$5:$E$500="Next")+($E$5:$E$500="In Progress")+($E$5:$E$500="Captured"))*($D$5:$D$500&lt;&gt;""))&gt;0),-500,VLOOKUP($F219,Lists!$L$2:$M$4,2,FALSE)+IF($E219="In Progress",10,0)+IF(AND($I219&lt;&gt;"",$I219&lt;TODAY()),25,0)+IF(AND($I219&lt;&gt;"",$I219&gt;=TODAY(),$I219&lt;=TODAY()+7),15,0)+IF($M219&lt;=VLOOKUP(Home!$C$7,Lists!$N$2:$O$6,2,FALSE),20,-10)+IF($G219=Home!$E$7,15,IF(Home!$E$7="",0,-5))-ROW()/100000)))</f>
        <v/>
      </c>
      <c r="O219" s="88">
        <f>IF($D219="","",IF($N219&lt;=-500,"Not recommended right now",IF($E219="Waiting","Nothing else actionable right now — Waiting on: "&amp;IF($K219="","this item",$K219),TEXTJOIN(" • ",TRUE,IF($F219="High","High Priority",""),IF(AND($I219&lt;&gt;"",$I219&lt;TODAY()),"Overdue",""),IF(AND($I219&lt;&gt;"",$I219&gt;=TODAY(),$I219&lt;=TODAY()+7),"Due This Week",""),IF($M219&lt;=VLOOKUP(Home!$C$7,Lists!$N$2:$O$6,2,FALSE),$H219&amp;" Task",""),IF($G219=Home!$E$7,"Fits Current Energy",""),"No Blockers"))))</f>
        <v/>
      </c>
      <c r="P219" s="88">
        <f>IF($D219="","",SWITCH('Task Finder'!$C$6,"High Priority",AND($F219="High",$E219&lt;&gt;"Done",$E219&lt;&gt;"Archive"),"Due This Week",AND($I219&lt;&gt;"",$I219&gt;=TODAY(),$I219&lt;=TODAY()+7,$E219&lt;&gt;"Done"),"Quick Wins (15 mins or less)",AND($M219&lt;=15,$E219&lt;&gt;"Done",$E219&lt;&gt;"Blocked"),"Deep Thinking",AND($G219="Deep Thinking",$E219&lt;&gt;"Done"),"Processing",AND($G219="Processing",$E219&lt;&gt;"Done"),"Blocked",$E219="Blocked","Waiting",$E219="Waiting","Recently Updated",AND($L219&lt;&gt;"",$L219&gt;=TODAY()-7),"Keyword",AND('Task Finder'!$C$7&lt;&gt;"",OR(ISNUMBER(SEARCH('Task Finder'!$C$7,$A219)),ISNUMBER(SEARCH('Task Finder'!$C$7,$B219)),ISNUMBER(SEARCH('Task Finder'!$C$7,$C219)),ISNUMBER(SEARCH('Task Finder'!$C$7,$D219)),ISNUMBER(SEARCH('Task Finder'!$C$7,$K219)))),TRUE))</f>
        <v/>
      </c>
    </row>
    <row r="220">
      <c r="A220" s="19" t="n"/>
      <c r="B220" s="19" t="n"/>
      <c r="C220" s="19" t="n"/>
      <c r="D220" s="19" t="n"/>
      <c r="E220" s="19" t="n"/>
      <c r="F220" s="19" t="n"/>
      <c r="G220" s="19" t="n"/>
      <c r="H220" s="19" t="n"/>
      <c r="I220" s="19" t="n"/>
      <c r="J220" s="19" t="n"/>
      <c r="K220" s="19" t="n"/>
      <c r="L220" s="125" t="n"/>
      <c r="M220" s="88">
        <f>IF($D220="","",IFERROR(VLOOKUP($H220,Lists!$N$2:$O$6,2,FALSE),0))</f>
        <v/>
      </c>
      <c r="N220" s="88">
        <f>IF($D220="","",IF(OR($E220="Blocked",$E220="Done",$E220="Archive"),-9999,IF(AND($E220="Waiting",SUMPRODUCT((($E$5:$E$500="Next")+($E$5:$E$500="In Progress")+($E$5:$E$500="Captured"))*($D$5:$D$500&lt;&gt;""))&gt;0),-500,VLOOKUP($F220,Lists!$L$2:$M$4,2,FALSE)+IF($E220="In Progress",10,0)+IF(AND($I220&lt;&gt;"",$I220&lt;TODAY()),25,0)+IF(AND($I220&lt;&gt;"",$I220&gt;=TODAY(),$I220&lt;=TODAY()+7),15,0)+IF($M220&lt;=VLOOKUP(Home!$C$7,Lists!$N$2:$O$6,2,FALSE),20,-10)+IF($G220=Home!$E$7,15,IF(Home!$E$7="",0,-5))-ROW()/100000)))</f>
        <v/>
      </c>
      <c r="O220" s="88">
        <f>IF($D220="","",IF($N220&lt;=-500,"Not recommended right now",IF($E220="Waiting","Nothing else actionable right now — Waiting on: "&amp;IF($K220="","this item",$K220),TEXTJOIN(" • ",TRUE,IF($F220="High","High Priority",""),IF(AND($I220&lt;&gt;"",$I220&lt;TODAY()),"Overdue",""),IF(AND($I220&lt;&gt;"",$I220&gt;=TODAY(),$I220&lt;=TODAY()+7),"Due This Week",""),IF($M220&lt;=VLOOKUP(Home!$C$7,Lists!$N$2:$O$6,2,FALSE),$H220&amp;" Task",""),IF($G220=Home!$E$7,"Fits Current Energy",""),"No Blockers"))))</f>
        <v/>
      </c>
      <c r="P220" s="88">
        <f>IF($D220="","",SWITCH('Task Finder'!$C$6,"High Priority",AND($F220="High",$E220&lt;&gt;"Done",$E220&lt;&gt;"Archive"),"Due This Week",AND($I220&lt;&gt;"",$I220&gt;=TODAY(),$I220&lt;=TODAY()+7,$E220&lt;&gt;"Done"),"Quick Wins (15 mins or less)",AND($M220&lt;=15,$E220&lt;&gt;"Done",$E220&lt;&gt;"Blocked"),"Deep Thinking",AND($G220="Deep Thinking",$E220&lt;&gt;"Done"),"Processing",AND($G220="Processing",$E220&lt;&gt;"Done"),"Blocked",$E220="Blocked","Waiting",$E220="Waiting","Recently Updated",AND($L220&lt;&gt;"",$L220&gt;=TODAY()-7),"Keyword",AND('Task Finder'!$C$7&lt;&gt;"",OR(ISNUMBER(SEARCH('Task Finder'!$C$7,$A220)),ISNUMBER(SEARCH('Task Finder'!$C$7,$B220)),ISNUMBER(SEARCH('Task Finder'!$C$7,$C220)),ISNUMBER(SEARCH('Task Finder'!$C$7,$D220)),ISNUMBER(SEARCH('Task Finder'!$C$7,$K220)))),TRUE))</f>
        <v/>
      </c>
    </row>
    <row r="221">
      <c r="A221" s="19" t="n"/>
      <c r="B221" s="19" t="n"/>
      <c r="C221" s="19" t="n"/>
      <c r="D221" s="19" t="n"/>
      <c r="E221" s="19" t="n"/>
      <c r="F221" s="19" t="n"/>
      <c r="G221" s="19" t="n"/>
      <c r="H221" s="19" t="n"/>
      <c r="I221" s="19" t="n"/>
      <c r="J221" s="19" t="n"/>
      <c r="K221" s="19" t="n"/>
      <c r="L221" s="125" t="n"/>
      <c r="M221" s="88">
        <f>IF($D221="","",IFERROR(VLOOKUP($H221,Lists!$N$2:$O$6,2,FALSE),0))</f>
        <v/>
      </c>
      <c r="N221" s="88">
        <f>IF($D221="","",IF(OR($E221="Blocked",$E221="Done",$E221="Archive"),-9999,IF(AND($E221="Waiting",SUMPRODUCT((($E$5:$E$500="Next")+($E$5:$E$500="In Progress")+($E$5:$E$500="Captured"))*($D$5:$D$500&lt;&gt;""))&gt;0),-500,VLOOKUP($F221,Lists!$L$2:$M$4,2,FALSE)+IF($E221="In Progress",10,0)+IF(AND($I221&lt;&gt;"",$I221&lt;TODAY()),25,0)+IF(AND($I221&lt;&gt;"",$I221&gt;=TODAY(),$I221&lt;=TODAY()+7),15,0)+IF($M221&lt;=VLOOKUP(Home!$C$7,Lists!$N$2:$O$6,2,FALSE),20,-10)+IF($G221=Home!$E$7,15,IF(Home!$E$7="",0,-5))-ROW()/100000)))</f>
        <v/>
      </c>
      <c r="O221" s="88">
        <f>IF($D221="","",IF($N221&lt;=-500,"Not recommended right now",IF($E221="Waiting","Nothing else actionable right now — Waiting on: "&amp;IF($K221="","this item",$K221),TEXTJOIN(" • ",TRUE,IF($F221="High","High Priority",""),IF(AND($I221&lt;&gt;"",$I221&lt;TODAY()),"Overdue",""),IF(AND($I221&lt;&gt;"",$I221&gt;=TODAY(),$I221&lt;=TODAY()+7),"Due This Week",""),IF($M221&lt;=VLOOKUP(Home!$C$7,Lists!$N$2:$O$6,2,FALSE),$H221&amp;" Task",""),IF($G221=Home!$E$7,"Fits Current Energy",""),"No Blockers"))))</f>
        <v/>
      </c>
      <c r="P221" s="88">
        <f>IF($D221="","",SWITCH('Task Finder'!$C$6,"High Priority",AND($F221="High",$E221&lt;&gt;"Done",$E221&lt;&gt;"Archive"),"Due This Week",AND($I221&lt;&gt;"",$I221&gt;=TODAY(),$I221&lt;=TODAY()+7,$E221&lt;&gt;"Done"),"Quick Wins (15 mins or less)",AND($M221&lt;=15,$E221&lt;&gt;"Done",$E221&lt;&gt;"Blocked"),"Deep Thinking",AND($G221="Deep Thinking",$E221&lt;&gt;"Done"),"Processing",AND($G221="Processing",$E221&lt;&gt;"Done"),"Blocked",$E221="Blocked","Waiting",$E221="Waiting","Recently Updated",AND($L221&lt;&gt;"",$L221&gt;=TODAY()-7),"Keyword",AND('Task Finder'!$C$7&lt;&gt;"",OR(ISNUMBER(SEARCH('Task Finder'!$C$7,$A221)),ISNUMBER(SEARCH('Task Finder'!$C$7,$B221)),ISNUMBER(SEARCH('Task Finder'!$C$7,$C221)),ISNUMBER(SEARCH('Task Finder'!$C$7,$D221)),ISNUMBER(SEARCH('Task Finder'!$C$7,$K221)))),TRUE))</f>
        <v/>
      </c>
    </row>
    <row r="222">
      <c r="A222" s="19" t="n"/>
      <c r="B222" s="19" t="n"/>
      <c r="C222" s="19" t="n"/>
      <c r="D222" s="19" t="n"/>
      <c r="E222" s="19" t="n"/>
      <c r="F222" s="19" t="n"/>
      <c r="G222" s="19" t="n"/>
      <c r="H222" s="19" t="n"/>
      <c r="I222" s="19" t="n"/>
      <c r="J222" s="19" t="n"/>
      <c r="K222" s="19" t="n"/>
      <c r="L222" s="125" t="n"/>
      <c r="M222" s="88">
        <f>IF($D222="","",IFERROR(VLOOKUP($H222,Lists!$N$2:$O$6,2,FALSE),0))</f>
        <v/>
      </c>
      <c r="N222" s="88">
        <f>IF($D222="","",IF(OR($E222="Blocked",$E222="Done",$E222="Archive"),-9999,IF(AND($E222="Waiting",SUMPRODUCT((($E$5:$E$500="Next")+($E$5:$E$500="In Progress")+($E$5:$E$500="Captured"))*($D$5:$D$500&lt;&gt;""))&gt;0),-500,VLOOKUP($F222,Lists!$L$2:$M$4,2,FALSE)+IF($E222="In Progress",10,0)+IF(AND($I222&lt;&gt;"",$I222&lt;TODAY()),25,0)+IF(AND($I222&lt;&gt;"",$I222&gt;=TODAY(),$I222&lt;=TODAY()+7),15,0)+IF($M222&lt;=VLOOKUP(Home!$C$7,Lists!$N$2:$O$6,2,FALSE),20,-10)+IF($G222=Home!$E$7,15,IF(Home!$E$7="",0,-5))-ROW()/100000)))</f>
        <v/>
      </c>
      <c r="O222" s="88">
        <f>IF($D222="","",IF($N222&lt;=-500,"Not recommended right now",IF($E222="Waiting","Nothing else actionable right now — Waiting on: "&amp;IF($K222="","this item",$K222),TEXTJOIN(" • ",TRUE,IF($F222="High","High Priority",""),IF(AND($I222&lt;&gt;"",$I222&lt;TODAY()),"Overdue",""),IF(AND($I222&lt;&gt;"",$I222&gt;=TODAY(),$I222&lt;=TODAY()+7),"Due This Week",""),IF($M222&lt;=VLOOKUP(Home!$C$7,Lists!$N$2:$O$6,2,FALSE),$H222&amp;" Task",""),IF($G222=Home!$E$7,"Fits Current Energy",""),"No Blockers"))))</f>
        <v/>
      </c>
      <c r="P222" s="88">
        <f>IF($D222="","",SWITCH('Task Finder'!$C$6,"High Priority",AND($F222="High",$E222&lt;&gt;"Done",$E222&lt;&gt;"Archive"),"Due This Week",AND($I222&lt;&gt;"",$I222&gt;=TODAY(),$I222&lt;=TODAY()+7,$E222&lt;&gt;"Done"),"Quick Wins (15 mins or less)",AND($M222&lt;=15,$E222&lt;&gt;"Done",$E222&lt;&gt;"Blocked"),"Deep Thinking",AND($G222="Deep Thinking",$E222&lt;&gt;"Done"),"Processing",AND($G222="Processing",$E222&lt;&gt;"Done"),"Blocked",$E222="Blocked","Waiting",$E222="Waiting","Recently Updated",AND($L222&lt;&gt;"",$L222&gt;=TODAY()-7),"Keyword",AND('Task Finder'!$C$7&lt;&gt;"",OR(ISNUMBER(SEARCH('Task Finder'!$C$7,$A222)),ISNUMBER(SEARCH('Task Finder'!$C$7,$B222)),ISNUMBER(SEARCH('Task Finder'!$C$7,$C222)),ISNUMBER(SEARCH('Task Finder'!$C$7,$D222)),ISNUMBER(SEARCH('Task Finder'!$C$7,$K222)))),TRUE))</f>
        <v/>
      </c>
    </row>
    <row r="223">
      <c r="A223" s="19" t="n"/>
      <c r="B223" s="19" t="n"/>
      <c r="C223" s="19" t="n"/>
      <c r="D223" s="19" t="n"/>
      <c r="E223" s="19" t="n"/>
      <c r="F223" s="19" t="n"/>
      <c r="G223" s="19" t="n"/>
      <c r="H223" s="19" t="n"/>
      <c r="I223" s="19" t="n"/>
      <c r="J223" s="19" t="n"/>
      <c r="K223" s="19" t="n"/>
      <c r="L223" s="125" t="n"/>
      <c r="M223" s="88">
        <f>IF($D223="","",IFERROR(VLOOKUP($H223,Lists!$N$2:$O$6,2,FALSE),0))</f>
        <v/>
      </c>
      <c r="N223" s="88">
        <f>IF($D223="","",IF(OR($E223="Blocked",$E223="Done",$E223="Archive"),-9999,IF(AND($E223="Waiting",SUMPRODUCT((($E$5:$E$500="Next")+($E$5:$E$500="In Progress")+($E$5:$E$500="Captured"))*($D$5:$D$500&lt;&gt;""))&gt;0),-500,VLOOKUP($F223,Lists!$L$2:$M$4,2,FALSE)+IF($E223="In Progress",10,0)+IF(AND($I223&lt;&gt;"",$I223&lt;TODAY()),25,0)+IF(AND($I223&lt;&gt;"",$I223&gt;=TODAY(),$I223&lt;=TODAY()+7),15,0)+IF($M223&lt;=VLOOKUP(Home!$C$7,Lists!$N$2:$O$6,2,FALSE),20,-10)+IF($G223=Home!$E$7,15,IF(Home!$E$7="",0,-5))-ROW()/100000)))</f>
        <v/>
      </c>
      <c r="O223" s="88">
        <f>IF($D223="","",IF($N223&lt;=-500,"Not recommended right now",IF($E223="Waiting","Nothing else actionable right now — Waiting on: "&amp;IF($K223="","this item",$K223),TEXTJOIN(" • ",TRUE,IF($F223="High","High Priority",""),IF(AND($I223&lt;&gt;"",$I223&lt;TODAY()),"Overdue",""),IF(AND($I223&lt;&gt;"",$I223&gt;=TODAY(),$I223&lt;=TODAY()+7),"Due This Week",""),IF($M223&lt;=VLOOKUP(Home!$C$7,Lists!$N$2:$O$6,2,FALSE),$H223&amp;" Task",""),IF($G223=Home!$E$7,"Fits Current Energy",""),"No Blockers"))))</f>
        <v/>
      </c>
      <c r="P223" s="88">
        <f>IF($D223="","",SWITCH('Task Finder'!$C$6,"High Priority",AND($F223="High",$E223&lt;&gt;"Done",$E223&lt;&gt;"Archive"),"Due This Week",AND($I223&lt;&gt;"",$I223&gt;=TODAY(),$I223&lt;=TODAY()+7,$E223&lt;&gt;"Done"),"Quick Wins (15 mins or less)",AND($M223&lt;=15,$E223&lt;&gt;"Done",$E223&lt;&gt;"Blocked"),"Deep Thinking",AND($G223="Deep Thinking",$E223&lt;&gt;"Done"),"Processing",AND($G223="Processing",$E223&lt;&gt;"Done"),"Blocked",$E223="Blocked","Waiting",$E223="Waiting","Recently Updated",AND($L223&lt;&gt;"",$L223&gt;=TODAY()-7),"Keyword",AND('Task Finder'!$C$7&lt;&gt;"",OR(ISNUMBER(SEARCH('Task Finder'!$C$7,$A223)),ISNUMBER(SEARCH('Task Finder'!$C$7,$B223)),ISNUMBER(SEARCH('Task Finder'!$C$7,$C223)),ISNUMBER(SEARCH('Task Finder'!$C$7,$D223)),ISNUMBER(SEARCH('Task Finder'!$C$7,$K223)))),TRUE))</f>
        <v/>
      </c>
    </row>
    <row r="224">
      <c r="A224" s="19" t="n"/>
      <c r="B224" s="19" t="n"/>
      <c r="C224" s="19" t="n"/>
      <c r="D224" s="19" t="n"/>
      <c r="E224" s="19" t="n"/>
      <c r="F224" s="19" t="n"/>
      <c r="G224" s="19" t="n"/>
      <c r="H224" s="19" t="n"/>
      <c r="I224" s="19" t="n"/>
      <c r="J224" s="19" t="n"/>
      <c r="K224" s="19" t="n"/>
      <c r="L224" s="125" t="n"/>
      <c r="M224" s="88">
        <f>IF($D224="","",IFERROR(VLOOKUP($H224,Lists!$N$2:$O$6,2,FALSE),0))</f>
        <v/>
      </c>
      <c r="N224" s="88">
        <f>IF($D224="","",IF(OR($E224="Blocked",$E224="Done",$E224="Archive"),-9999,IF(AND($E224="Waiting",SUMPRODUCT((($E$5:$E$500="Next")+($E$5:$E$500="In Progress")+($E$5:$E$500="Captured"))*($D$5:$D$500&lt;&gt;""))&gt;0),-500,VLOOKUP($F224,Lists!$L$2:$M$4,2,FALSE)+IF($E224="In Progress",10,0)+IF(AND($I224&lt;&gt;"",$I224&lt;TODAY()),25,0)+IF(AND($I224&lt;&gt;"",$I224&gt;=TODAY(),$I224&lt;=TODAY()+7),15,0)+IF($M224&lt;=VLOOKUP(Home!$C$7,Lists!$N$2:$O$6,2,FALSE),20,-10)+IF($G224=Home!$E$7,15,IF(Home!$E$7="",0,-5))-ROW()/100000)))</f>
        <v/>
      </c>
      <c r="O224" s="88">
        <f>IF($D224="","",IF($N224&lt;=-500,"Not recommended right now",IF($E224="Waiting","Nothing else actionable right now — Waiting on: "&amp;IF($K224="","this item",$K224),TEXTJOIN(" • ",TRUE,IF($F224="High","High Priority",""),IF(AND($I224&lt;&gt;"",$I224&lt;TODAY()),"Overdue",""),IF(AND($I224&lt;&gt;"",$I224&gt;=TODAY(),$I224&lt;=TODAY()+7),"Due This Week",""),IF($M224&lt;=VLOOKUP(Home!$C$7,Lists!$N$2:$O$6,2,FALSE),$H224&amp;" Task",""),IF($G224=Home!$E$7,"Fits Current Energy",""),"No Blockers"))))</f>
        <v/>
      </c>
      <c r="P224" s="88">
        <f>IF($D224="","",SWITCH('Task Finder'!$C$6,"High Priority",AND($F224="High",$E224&lt;&gt;"Done",$E224&lt;&gt;"Archive"),"Due This Week",AND($I224&lt;&gt;"",$I224&gt;=TODAY(),$I224&lt;=TODAY()+7,$E224&lt;&gt;"Done"),"Quick Wins (15 mins or less)",AND($M224&lt;=15,$E224&lt;&gt;"Done",$E224&lt;&gt;"Blocked"),"Deep Thinking",AND($G224="Deep Thinking",$E224&lt;&gt;"Done"),"Processing",AND($G224="Processing",$E224&lt;&gt;"Done"),"Blocked",$E224="Blocked","Waiting",$E224="Waiting","Recently Updated",AND($L224&lt;&gt;"",$L224&gt;=TODAY()-7),"Keyword",AND('Task Finder'!$C$7&lt;&gt;"",OR(ISNUMBER(SEARCH('Task Finder'!$C$7,$A224)),ISNUMBER(SEARCH('Task Finder'!$C$7,$B224)),ISNUMBER(SEARCH('Task Finder'!$C$7,$C224)),ISNUMBER(SEARCH('Task Finder'!$C$7,$D224)),ISNUMBER(SEARCH('Task Finder'!$C$7,$K224)))),TRUE))</f>
        <v/>
      </c>
    </row>
    <row r="225">
      <c r="A225" s="19" t="n"/>
      <c r="B225" s="19" t="n"/>
      <c r="C225" s="19" t="n"/>
      <c r="D225" s="19" t="n"/>
      <c r="E225" s="19" t="n"/>
      <c r="F225" s="19" t="n"/>
      <c r="G225" s="19" t="n"/>
      <c r="H225" s="19" t="n"/>
      <c r="I225" s="19" t="n"/>
      <c r="J225" s="19" t="n"/>
      <c r="K225" s="19" t="n"/>
      <c r="L225" s="125" t="n"/>
      <c r="M225" s="88">
        <f>IF($D225="","",IFERROR(VLOOKUP($H225,Lists!$N$2:$O$6,2,FALSE),0))</f>
        <v/>
      </c>
      <c r="N225" s="88">
        <f>IF($D225="","",IF(OR($E225="Blocked",$E225="Done",$E225="Archive"),-9999,IF(AND($E225="Waiting",SUMPRODUCT((($E$5:$E$500="Next")+($E$5:$E$500="In Progress")+($E$5:$E$500="Captured"))*($D$5:$D$500&lt;&gt;""))&gt;0),-500,VLOOKUP($F225,Lists!$L$2:$M$4,2,FALSE)+IF($E225="In Progress",10,0)+IF(AND($I225&lt;&gt;"",$I225&lt;TODAY()),25,0)+IF(AND($I225&lt;&gt;"",$I225&gt;=TODAY(),$I225&lt;=TODAY()+7),15,0)+IF($M225&lt;=VLOOKUP(Home!$C$7,Lists!$N$2:$O$6,2,FALSE),20,-10)+IF($G225=Home!$E$7,15,IF(Home!$E$7="",0,-5))-ROW()/100000)))</f>
        <v/>
      </c>
      <c r="O225" s="88">
        <f>IF($D225="","",IF($N225&lt;=-500,"Not recommended right now",IF($E225="Waiting","Nothing else actionable right now — Waiting on: "&amp;IF($K225="","this item",$K225),TEXTJOIN(" • ",TRUE,IF($F225="High","High Priority",""),IF(AND($I225&lt;&gt;"",$I225&lt;TODAY()),"Overdue",""),IF(AND($I225&lt;&gt;"",$I225&gt;=TODAY(),$I225&lt;=TODAY()+7),"Due This Week",""),IF($M225&lt;=VLOOKUP(Home!$C$7,Lists!$N$2:$O$6,2,FALSE),$H225&amp;" Task",""),IF($G225=Home!$E$7,"Fits Current Energy",""),"No Blockers"))))</f>
        <v/>
      </c>
      <c r="P225" s="88">
        <f>IF($D225="","",SWITCH('Task Finder'!$C$6,"High Priority",AND($F225="High",$E225&lt;&gt;"Done",$E225&lt;&gt;"Archive"),"Due This Week",AND($I225&lt;&gt;"",$I225&gt;=TODAY(),$I225&lt;=TODAY()+7,$E225&lt;&gt;"Done"),"Quick Wins (15 mins or less)",AND($M225&lt;=15,$E225&lt;&gt;"Done",$E225&lt;&gt;"Blocked"),"Deep Thinking",AND($G225="Deep Thinking",$E225&lt;&gt;"Done"),"Processing",AND($G225="Processing",$E225&lt;&gt;"Done"),"Blocked",$E225="Blocked","Waiting",$E225="Waiting","Recently Updated",AND($L225&lt;&gt;"",$L225&gt;=TODAY()-7),"Keyword",AND('Task Finder'!$C$7&lt;&gt;"",OR(ISNUMBER(SEARCH('Task Finder'!$C$7,$A225)),ISNUMBER(SEARCH('Task Finder'!$C$7,$B225)),ISNUMBER(SEARCH('Task Finder'!$C$7,$C225)),ISNUMBER(SEARCH('Task Finder'!$C$7,$D225)),ISNUMBER(SEARCH('Task Finder'!$C$7,$K225)))),TRUE))</f>
        <v/>
      </c>
    </row>
    <row r="226">
      <c r="A226" s="19" t="n"/>
      <c r="B226" s="19" t="n"/>
      <c r="C226" s="19" t="n"/>
      <c r="D226" s="19" t="n"/>
      <c r="E226" s="19" t="n"/>
      <c r="F226" s="19" t="n"/>
      <c r="G226" s="19" t="n"/>
      <c r="H226" s="19" t="n"/>
      <c r="I226" s="19" t="n"/>
      <c r="J226" s="19" t="n"/>
      <c r="K226" s="19" t="n"/>
      <c r="L226" s="125" t="n"/>
      <c r="M226" s="88">
        <f>IF($D226="","",IFERROR(VLOOKUP($H226,Lists!$N$2:$O$6,2,FALSE),0))</f>
        <v/>
      </c>
      <c r="N226" s="88">
        <f>IF($D226="","",IF(OR($E226="Blocked",$E226="Done",$E226="Archive"),-9999,IF(AND($E226="Waiting",SUMPRODUCT((($E$5:$E$500="Next")+($E$5:$E$500="In Progress")+($E$5:$E$500="Captured"))*($D$5:$D$500&lt;&gt;""))&gt;0),-500,VLOOKUP($F226,Lists!$L$2:$M$4,2,FALSE)+IF($E226="In Progress",10,0)+IF(AND($I226&lt;&gt;"",$I226&lt;TODAY()),25,0)+IF(AND($I226&lt;&gt;"",$I226&gt;=TODAY(),$I226&lt;=TODAY()+7),15,0)+IF($M226&lt;=VLOOKUP(Home!$C$7,Lists!$N$2:$O$6,2,FALSE),20,-10)+IF($G226=Home!$E$7,15,IF(Home!$E$7="",0,-5))-ROW()/100000)))</f>
        <v/>
      </c>
      <c r="O226" s="88">
        <f>IF($D226="","",IF($N226&lt;=-500,"Not recommended right now",IF($E226="Waiting","Nothing else actionable right now — Waiting on: "&amp;IF($K226="","this item",$K226),TEXTJOIN(" • ",TRUE,IF($F226="High","High Priority",""),IF(AND($I226&lt;&gt;"",$I226&lt;TODAY()),"Overdue",""),IF(AND($I226&lt;&gt;"",$I226&gt;=TODAY(),$I226&lt;=TODAY()+7),"Due This Week",""),IF($M226&lt;=VLOOKUP(Home!$C$7,Lists!$N$2:$O$6,2,FALSE),$H226&amp;" Task",""),IF($G226=Home!$E$7,"Fits Current Energy",""),"No Blockers"))))</f>
        <v/>
      </c>
      <c r="P226" s="88">
        <f>IF($D226="","",SWITCH('Task Finder'!$C$6,"High Priority",AND($F226="High",$E226&lt;&gt;"Done",$E226&lt;&gt;"Archive"),"Due This Week",AND($I226&lt;&gt;"",$I226&gt;=TODAY(),$I226&lt;=TODAY()+7,$E226&lt;&gt;"Done"),"Quick Wins (15 mins or less)",AND($M226&lt;=15,$E226&lt;&gt;"Done",$E226&lt;&gt;"Blocked"),"Deep Thinking",AND($G226="Deep Thinking",$E226&lt;&gt;"Done"),"Processing",AND($G226="Processing",$E226&lt;&gt;"Done"),"Blocked",$E226="Blocked","Waiting",$E226="Waiting","Recently Updated",AND($L226&lt;&gt;"",$L226&gt;=TODAY()-7),"Keyword",AND('Task Finder'!$C$7&lt;&gt;"",OR(ISNUMBER(SEARCH('Task Finder'!$C$7,$A226)),ISNUMBER(SEARCH('Task Finder'!$C$7,$B226)),ISNUMBER(SEARCH('Task Finder'!$C$7,$C226)),ISNUMBER(SEARCH('Task Finder'!$C$7,$D226)),ISNUMBER(SEARCH('Task Finder'!$C$7,$K226)))),TRUE))</f>
        <v/>
      </c>
    </row>
    <row r="227">
      <c r="A227" s="19" t="n"/>
      <c r="B227" s="19" t="n"/>
      <c r="C227" s="19" t="n"/>
      <c r="D227" s="19" t="n"/>
      <c r="E227" s="19" t="n"/>
      <c r="F227" s="19" t="n"/>
      <c r="G227" s="19" t="n"/>
      <c r="H227" s="19" t="n"/>
      <c r="I227" s="19" t="n"/>
      <c r="J227" s="19" t="n"/>
      <c r="K227" s="19" t="n"/>
      <c r="L227" s="125" t="n"/>
      <c r="M227" s="88">
        <f>IF($D227="","",IFERROR(VLOOKUP($H227,Lists!$N$2:$O$6,2,FALSE),0))</f>
        <v/>
      </c>
      <c r="N227" s="88">
        <f>IF($D227="","",IF(OR($E227="Blocked",$E227="Done",$E227="Archive"),-9999,IF(AND($E227="Waiting",SUMPRODUCT((($E$5:$E$500="Next")+($E$5:$E$500="In Progress")+($E$5:$E$500="Captured"))*($D$5:$D$500&lt;&gt;""))&gt;0),-500,VLOOKUP($F227,Lists!$L$2:$M$4,2,FALSE)+IF($E227="In Progress",10,0)+IF(AND($I227&lt;&gt;"",$I227&lt;TODAY()),25,0)+IF(AND($I227&lt;&gt;"",$I227&gt;=TODAY(),$I227&lt;=TODAY()+7),15,0)+IF($M227&lt;=VLOOKUP(Home!$C$7,Lists!$N$2:$O$6,2,FALSE),20,-10)+IF($G227=Home!$E$7,15,IF(Home!$E$7="",0,-5))-ROW()/100000)))</f>
        <v/>
      </c>
      <c r="O227" s="88">
        <f>IF($D227="","",IF($N227&lt;=-500,"Not recommended right now",IF($E227="Waiting","Nothing else actionable right now — Waiting on: "&amp;IF($K227="","this item",$K227),TEXTJOIN(" • ",TRUE,IF($F227="High","High Priority",""),IF(AND($I227&lt;&gt;"",$I227&lt;TODAY()),"Overdue",""),IF(AND($I227&lt;&gt;"",$I227&gt;=TODAY(),$I227&lt;=TODAY()+7),"Due This Week",""),IF($M227&lt;=VLOOKUP(Home!$C$7,Lists!$N$2:$O$6,2,FALSE),$H227&amp;" Task",""),IF($G227=Home!$E$7,"Fits Current Energy",""),"No Blockers"))))</f>
        <v/>
      </c>
      <c r="P227" s="88">
        <f>IF($D227="","",SWITCH('Task Finder'!$C$6,"High Priority",AND($F227="High",$E227&lt;&gt;"Done",$E227&lt;&gt;"Archive"),"Due This Week",AND($I227&lt;&gt;"",$I227&gt;=TODAY(),$I227&lt;=TODAY()+7,$E227&lt;&gt;"Done"),"Quick Wins (15 mins or less)",AND($M227&lt;=15,$E227&lt;&gt;"Done",$E227&lt;&gt;"Blocked"),"Deep Thinking",AND($G227="Deep Thinking",$E227&lt;&gt;"Done"),"Processing",AND($G227="Processing",$E227&lt;&gt;"Done"),"Blocked",$E227="Blocked","Waiting",$E227="Waiting","Recently Updated",AND($L227&lt;&gt;"",$L227&gt;=TODAY()-7),"Keyword",AND('Task Finder'!$C$7&lt;&gt;"",OR(ISNUMBER(SEARCH('Task Finder'!$C$7,$A227)),ISNUMBER(SEARCH('Task Finder'!$C$7,$B227)),ISNUMBER(SEARCH('Task Finder'!$C$7,$C227)),ISNUMBER(SEARCH('Task Finder'!$C$7,$D227)),ISNUMBER(SEARCH('Task Finder'!$C$7,$K227)))),TRUE))</f>
        <v/>
      </c>
    </row>
    <row r="228">
      <c r="A228" s="19" t="n"/>
      <c r="B228" s="19" t="n"/>
      <c r="C228" s="19" t="n"/>
      <c r="D228" s="19" t="n"/>
      <c r="E228" s="19" t="n"/>
      <c r="F228" s="19" t="n"/>
      <c r="G228" s="19" t="n"/>
      <c r="H228" s="19" t="n"/>
      <c r="I228" s="19" t="n"/>
      <c r="J228" s="19" t="n"/>
      <c r="K228" s="19" t="n"/>
      <c r="L228" s="125" t="n"/>
      <c r="M228" s="88">
        <f>IF($D228="","",IFERROR(VLOOKUP($H228,Lists!$N$2:$O$6,2,FALSE),0))</f>
        <v/>
      </c>
      <c r="N228" s="88">
        <f>IF($D228="","",IF(OR($E228="Blocked",$E228="Done",$E228="Archive"),-9999,IF(AND($E228="Waiting",SUMPRODUCT((($E$5:$E$500="Next")+($E$5:$E$500="In Progress")+($E$5:$E$500="Captured"))*($D$5:$D$500&lt;&gt;""))&gt;0),-500,VLOOKUP($F228,Lists!$L$2:$M$4,2,FALSE)+IF($E228="In Progress",10,0)+IF(AND($I228&lt;&gt;"",$I228&lt;TODAY()),25,0)+IF(AND($I228&lt;&gt;"",$I228&gt;=TODAY(),$I228&lt;=TODAY()+7),15,0)+IF($M228&lt;=VLOOKUP(Home!$C$7,Lists!$N$2:$O$6,2,FALSE),20,-10)+IF($G228=Home!$E$7,15,IF(Home!$E$7="",0,-5))-ROW()/100000)))</f>
        <v/>
      </c>
      <c r="O228" s="88">
        <f>IF($D228="","",IF($N228&lt;=-500,"Not recommended right now",IF($E228="Waiting","Nothing else actionable right now — Waiting on: "&amp;IF($K228="","this item",$K228),TEXTJOIN(" • ",TRUE,IF($F228="High","High Priority",""),IF(AND($I228&lt;&gt;"",$I228&lt;TODAY()),"Overdue",""),IF(AND($I228&lt;&gt;"",$I228&gt;=TODAY(),$I228&lt;=TODAY()+7),"Due This Week",""),IF($M228&lt;=VLOOKUP(Home!$C$7,Lists!$N$2:$O$6,2,FALSE),$H228&amp;" Task",""),IF($G228=Home!$E$7,"Fits Current Energy",""),"No Blockers"))))</f>
        <v/>
      </c>
      <c r="P228" s="88">
        <f>IF($D228="","",SWITCH('Task Finder'!$C$6,"High Priority",AND($F228="High",$E228&lt;&gt;"Done",$E228&lt;&gt;"Archive"),"Due This Week",AND($I228&lt;&gt;"",$I228&gt;=TODAY(),$I228&lt;=TODAY()+7,$E228&lt;&gt;"Done"),"Quick Wins (15 mins or less)",AND($M228&lt;=15,$E228&lt;&gt;"Done",$E228&lt;&gt;"Blocked"),"Deep Thinking",AND($G228="Deep Thinking",$E228&lt;&gt;"Done"),"Processing",AND($G228="Processing",$E228&lt;&gt;"Done"),"Blocked",$E228="Blocked","Waiting",$E228="Waiting","Recently Updated",AND($L228&lt;&gt;"",$L228&gt;=TODAY()-7),"Keyword",AND('Task Finder'!$C$7&lt;&gt;"",OR(ISNUMBER(SEARCH('Task Finder'!$C$7,$A228)),ISNUMBER(SEARCH('Task Finder'!$C$7,$B228)),ISNUMBER(SEARCH('Task Finder'!$C$7,$C228)),ISNUMBER(SEARCH('Task Finder'!$C$7,$D228)),ISNUMBER(SEARCH('Task Finder'!$C$7,$K228)))),TRUE))</f>
        <v/>
      </c>
    </row>
    <row r="229">
      <c r="A229" s="19" t="n"/>
      <c r="B229" s="19" t="n"/>
      <c r="C229" s="19" t="n"/>
      <c r="D229" s="19" t="n"/>
      <c r="E229" s="19" t="n"/>
      <c r="F229" s="19" t="n"/>
      <c r="G229" s="19" t="n"/>
      <c r="H229" s="19" t="n"/>
      <c r="I229" s="19" t="n"/>
      <c r="J229" s="19" t="n"/>
      <c r="K229" s="19" t="n"/>
      <c r="L229" s="125" t="n"/>
      <c r="M229" s="88">
        <f>IF($D229="","",IFERROR(VLOOKUP($H229,Lists!$N$2:$O$6,2,FALSE),0))</f>
        <v/>
      </c>
      <c r="N229" s="88">
        <f>IF($D229="","",IF(OR($E229="Blocked",$E229="Done",$E229="Archive"),-9999,IF(AND($E229="Waiting",SUMPRODUCT((($E$5:$E$500="Next")+($E$5:$E$500="In Progress")+($E$5:$E$500="Captured"))*($D$5:$D$500&lt;&gt;""))&gt;0),-500,VLOOKUP($F229,Lists!$L$2:$M$4,2,FALSE)+IF($E229="In Progress",10,0)+IF(AND($I229&lt;&gt;"",$I229&lt;TODAY()),25,0)+IF(AND($I229&lt;&gt;"",$I229&gt;=TODAY(),$I229&lt;=TODAY()+7),15,0)+IF($M229&lt;=VLOOKUP(Home!$C$7,Lists!$N$2:$O$6,2,FALSE),20,-10)+IF($G229=Home!$E$7,15,IF(Home!$E$7="",0,-5))-ROW()/100000)))</f>
        <v/>
      </c>
      <c r="O229" s="88">
        <f>IF($D229="","",IF($N229&lt;=-500,"Not recommended right now",IF($E229="Waiting","Nothing else actionable right now — Waiting on: "&amp;IF($K229="","this item",$K229),TEXTJOIN(" • ",TRUE,IF($F229="High","High Priority",""),IF(AND($I229&lt;&gt;"",$I229&lt;TODAY()),"Overdue",""),IF(AND($I229&lt;&gt;"",$I229&gt;=TODAY(),$I229&lt;=TODAY()+7),"Due This Week",""),IF($M229&lt;=VLOOKUP(Home!$C$7,Lists!$N$2:$O$6,2,FALSE),$H229&amp;" Task",""),IF($G229=Home!$E$7,"Fits Current Energy",""),"No Blockers"))))</f>
        <v/>
      </c>
      <c r="P229" s="88">
        <f>IF($D229="","",SWITCH('Task Finder'!$C$6,"High Priority",AND($F229="High",$E229&lt;&gt;"Done",$E229&lt;&gt;"Archive"),"Due This Week",AND($I229&lt;&gt;"",$I229&gt;=TODAY(),$I229&lt;=TODAY()+7,$E229&lt;&gt;"Done"),"Quick Wins (15 mins or less)",AND($M229&lt;=15,$E229&lt;&gt;"Done",$E229&lt;&gt;"Blocked"),"Deep Thinking",AND($G229="Deep Thinking",$E229&lt;&gt;"Done"),"Processing",AND($G229="Processing",$E229&lt;&gt;"Done"),"Blocked",$E229="Blocked","Waiting",$E229="Waiting","Recently Updated",AND($L229&lt;&gt;"",$L229&gt;=TODAY()-7),"Keyword",AND('Task Finder'!$C$7&lt;&gt;"",OR(ISNUMBER(SEARCH('Task Finder'!$C$7,$A229)),ISNUMBER(SEARCH('Task Finder'!$C$7,$B229)),ISNUMBER(SEARCH('Task Finder'!$C$7,$C229)),ISNUMBER(SEARCH('Task Finder'!$C$7,$D229)),ISNUMBER(SEARCH('Task Finder'!$C$7,$K229)))),TRUE))</f>
        <v/>
      </c>
    </row>
    <row r="230">
      <c r="A230" s="19" t="n"/>
      <c r="B230" s="19" t="n"/>
      <c r="C230" s="19" t="n"/>
      <c r="D230" s="19" t="n"/>
      <c r="E230" s="19" t="n"/>
      <c r="F230" s="19" t="n"/>
      <c r="G230" s="19" t="n"/>
      <c r="H230" s="19" t="n"/>
      <c r="I230" s="19" t="n"/>
      <c r="J230" s="19" t="n"/>
      <c r="K230" s="19" t="n"/>
      <c r="L230" s="125" t="n"/>
      <c r="M230" s="88">
        <f>IF($D230="","",IFERROR(VLOOKUP($H230,Lists!$N$2:$O$6,2,FALSE),0))</f>
        <v/>
      </c>
      <c r="N230" s="88">
        <f>IF($D230="","",IF(OR($E230="Blocked",$E230="Done",$E230="Archive"),-9999,IF(AND($E230="Waiting",SUMPRODUCT((($E$5:$E$500="Next")+($E$5:$E$500="In Progress")+($E$5:$E$500="Captured"))*($D$5:$D$500&lt;&gt;""))&gt;0),-500,VLOOKUP($F230,Lists!$L$2:$M$4,2,FALSE)+IF($E230="In Progress",10,0)+IF(AND($I230&lt;&gt;"",$I230&lt;TODAY()),25,0)+IF(AND($I230&lt;&gt;"",$I230&gt;=TODAY(),$I230&lt;=TODAY()+7),15,0)+IF($M230&lt;=VLOOKUP(Home!$C$7,Lists!$N$2:$O$6,2,FALSE),20,-10)+IF($G230=Home!$E$7,15,IF(Home!$E$7="",0,-5))-ROW()/100000)))</f>
        <v/>
      </c>
      <c r="O230" s="88">
        <f>IF($D230="","",IF($N230&lt;=-500,"Not recommended right now",IF($E230="Waiting","Nothing else actionable right now — Waiting on: "&amp;IF($K230="","this item",$K230),TEXTJOIN(" • ",TRUE,IF($F230="High","High Priority",""),IF(AND($I230&lt;&gt;"",$I230&lt;TODAY()),"Overdue",""),IF(AND($I230&lt;&gt;"",$I230&gt;=TODAY(),$I230&lt;=TODAY()+7),"Due This Week",""),IF($M230&lt;=VLOOKUP(Home!$C$7,Lists!$N$2:$O$6,2,FALSE),$H230&amp;" Task",""),IF($G230=Home!$E$7,"Fits Current Energy",""),"No Blockers"))))</f>
        <v/>
      </c>
      <c r="P230" s="88">
        <f>IF($D230="","",SWITCH('Task Finder'!$C$6,"High Priority",AND($F230="High",$E230&lt;&gt;"Done",$E230&lt;&gt;"Archive"),"Due This Week",AND($I230&lt;&gt;"",$I230&gt;=TODAY(),$I230&lt;=TODAY()+7,$E230&lt;&gt;"Done"),"Quick Wins (15 mins or less)",AND($M230&lt;=15,$E230&lt;&gt;"Done",$E230&lt;&gt;"Blocked"),"Deep Thinking",AND($G230="Deep Thinking",$E230&lt;&gt;"Done"),"Processing",AND($G230="Processing",$E230&lt;&gt;"Done"),"Blocked",$E230="Blocked","Waiting",$E230="Waiting","Recently Updated",AND($L230&lt;&gt;"",$L230&gt;=TODAY()-7),"Keyword",AND('Task Finder'!$C$7&lt;&gt;"",OR(ISNUMBER(SEARCH('Task Finder'!$C$7,$A230)),ISNUMBER(SEARCH('Task Finder'!$C$7,$B230)),ISNUMBER(SEARCH('Task Finder'!$C$7,$C230)),ISNUMBER(SEARCH('Task Finder'!$C$7,$D230)),ISNUMBER(SEARCH('Task Finder'!$C$7,$K230)))),TRUE))</f>
        <v/>
      </c>
    </row>
    <row r="231">
      <c r="A231" s="19" t="n"/>
      <c r="B231" s="19" t="n"/>
      <c r="C231" s="19" t="n"/>
      <c r="D231" s="19" t="n"/>
      <c r="E231" s="19" t="n"/>
      <c r="F231" s="19" t="n"/>
      <c r="G231" s="19" t="n"/>
      <c r="H231" s="19" t="n"/>
      <c r="I231" s="19" t="n"/>
      <c r="J231" s="19" t="n"/>
      <c r="K231" s="19" t="n"/>
      <c r="L231" s="125" t="n"/>
      <c r="M231" s="88">
        <f>IF($D231="","",IFERROR(VLOOKUP($H231,Lists!$N$2:$O$6,2,FALSE),0))</f>
        <v/>
      </c>
      <c r="N231" s="88">
        <f>IF($D231="","",IF(OR($E231="Blocked",$E231="Done",$E231="Archive"),-9999,IF(AND($E231="Waiting",SUMPRODUCT((($E$5:$E$500="Next")+($E$5:$E$500="In Progress")+($E$5:$E$500="Captured"))*($D$5:$D$500&lt;&gt;""))&gt;0),-500,VLOOKUP($F231,Lists!$L$2:$M$4,2,FALSE)+IF($E231="In Progress",10,0)+IF(AND($I231&lt;&gt;"",$I231&lt;TODAY()),25,0)+IF(AND($I231&lt;&gt;"",$I231&gt;=TODAY(),$I231&lt;=TODAY()+7),15,0)+IF($M231&lt;=VLOOKUP(Home!$C$7,Lists!$N$2:$O$6,2,FALSE),20,-10)+IF($G231=Home!$E$7,15,IF(Home!$E$7="",0,-5))-ROW()/100000)))</f>
        <v/>
      </c>
      <c r="O231" s="88">
        <f>IF($D231="","",IF($N231&lt;=-500,"Not recommended right now",IF($E231="Waiting","Nothing else actionable right now — Waiting on: "&amp;IF($K231="","this item",$K231),TEXTJOIN(" • ",TRUE,IF($F231="High","High Priority",""),IF(AND($I231&lt;&gt;"",$I231&lt;TODAY()),"Overdue",""),IF(AND($I231&lt;&gt;"",$I231&gt;=TODAY(),$I231&lt;=TODAY()+7),"Due This Week",""),IF($M231&lt;=VLOOKUP(Home!$C$7,Lists!$N$2:$O$6,2,FALSE),$H231&amp;" Task",""),IF($G231=Home!$E$7,"Fits Current Energy",""),"No Blockers"))))</f>
        <v/>
      </c>
      <c r="P231" s="88">
        <f>IF($D231="","",SWITCH('Task Finder'!$C$6,"High Priority",AND($F231="High",$E231&lt;&gt;"Done",$E231&lt;&gt;"Archive"),"Due This Week",AND($I231&lt;&gt;"",$I231&gt;=TODAY(),$I231&lt;=TODAY()+7,$E231&lt;&gt;"Done"),"Quick Wins (15 mins or less)",AND($M231&lt;=15,$E231&lt;&gt;"Done",$E231&lt;&gt;"Blocked"),"Deep Thinking",AND($G231="Deep Thinking",$E231&lt;&gt;"Done"),"Processing",AND($G231="Processing",$E231&lt;&gt;"Done"),"Blocked",$E231="Blocked","Waiting",$E231="Waiting","Recently Updated",AND($L231&lt;&gt;"",$L231&gt;=TODAY()-7),"Keyword",AND('Task Finder'!$C$7&lt;&gt;"",OR(ISNUMBER(SEARCH('Task Finder'!$C$7,$A231)),ISNUMBER(SEARCH('Task Finder'!$C$7,$B231)),ISNUMBER(SEARCH('Task Finder'!$C$7,$C231)),ISNUMBER(SEARCH('Task Finder'!$C$7,$D231)),ISNUMBER(SEARCH('Task Finder'!$C$7,$K231)))),TRUE))</f>
        <v/>
      </c>
    </row>
    <row r="232">
      <c r="A232" s="19" t="n"/>
      <c r="B232" s="19" t="n"/>
      <c r="C232" s="19" t="n"/>
      <c r="D232" s="19" t="n"/>
      <c r="E232" s="19" t="n"/>
      <c r="F232" s="19" t="n"/>
      <c r="G232" s="19" t="n"/>
      <c r="H232" s="19" t="n"/>
      <c r="I232" s="19" t="n"/>
      <c r="J232" s="19" t="n"/>
      <c r="K232" s="19" t="n"/>
      <c r="L232" s="125" t="n"/>
      <c r="M232" s="88">
        <f>IF($D232="","",IFERROR(VLOOKUP($H232,Lists!$N$2:$O$6,2,FALSE),0))</f>
        <v/>
      </c>
      <c r="N232" s="88">
        <f>IF($D232="","",IF(OR($E232="Blocked",$E232="Done",$E232="Archive"),-9999,IF(AND($E232="Waiting",SUMPRODUCT((($E$5:$E$500="Next")+($E$5:$E$500="In Progress")+($E$5:$E$500="Captured"))*($D$5:$D$500&lt;&gt;""))&gt;0),-500,VLOOKUP($F232,Lists!$L$2:$M$4,2,FALSE)+IF($E232="In Progress",10,0)+IF(AND($I232&lt;&gt;"",$I232&lt;TODAY()),25,0)+IF(AND($I232&lt;&gt;"",$I232&gt;=TODAY(),$I232&lt;=TODAY()+7),15,0)+IF($M232&lt;=VLOOKUP(Home!$C$7,Lists!$N$2:$O$6,2,FALSE),20,-10)+IF($G232=Home!$E$7,15,IF(Home!$E$7="",0,-5))-ROW()/100000)))</f>
        <v/>
      </c>
      <c r="O232" s="88">
        <f>IF($D232="","",IF($N232&lt;=-500,"Not recommended right now",IF($E232="Waiting","Nothing else actionable right now — Waiting on: "&amp;IF($K232="","this item",$K232),TEXTJOIN(" • ",TRUE,IF($F232="High","High Priority",""),IF(AND($I232&lt;&gt;"",$I232&lt;TODAY()),"Overdue",""),IF(AND($I232&lt;&gt;"",$I232&gt;=TODAY(),$I232&lt;=TODAY()+7),"Due This Week",""),IF($M232&lt;=VLOOKUP(Home!$C$7,Lists!$N$2:$O$6,2,FALSE),$H232&amp;" Task",""),IF($G232=Home!$E$7,"Fits Current Energy",""),"No Blockers"))))</f>
        <v/>
      </c>
      <c r="P232" s="88">
        <f>IF($D232="","",SWITCH('Task Finder'!$C$6,"High Priority",AND($F232="High",$E232&lt;&gt;"Done",$E232&lt;&gt;"Archive"),"Due This Week",AND($I232&lt;&gt;"",$I232&gt;=TODAY(),$I232&lt;=TODAY()+7,$E232&lt;&gt;"Done"),"Quick Wins (15 mins or less)",AND($M232&lt;=15,$E232&lt;&gt;"Done",$E232&lt;&gt;"Blocked"),"Deep Thinking",AND($G232="Deep Thinking",$E232&lt;&gt;"Done"),"Processing",AND($G232="Processing",$E232&lt;&gt;"Done"),"Blocked",$E232="Blocked","Waiting",$E232="Waiting","Recently Updated",AND($L232&lt;&gt;"",$L232&gt;=TODAY()-7),"Keyword",AND('Task Finder'!$C$7&lt;&gt;"",OR(ISNUMBER(SEARCH('Task Finder'!$C$7,$A232)),ISNUMBER(SEARCH('Task Finder'!$C$7,$B232)),ISNUMBER(SEARCH('Task Finder'!$C$7,$C232)),ISNUMBER(SEARCH('Task Finder'!$C$7,$D232)),ISNUMBER(SEARCH('Task Finder'!$C$7,$K232)))),TRUE))</f>
        <v/>
      </c>
    </row>
    <row r="233">
      <c r="A233" s="19" t="n"/>
      <c r="B233" s="19" t="n"/>
      <c r="C233" s="19" t="n"/>
      <c r="D233" s="19" t="n"/>
      <c r="E233" s="19" t="n"/>
      <c r="F233" s="19" t="n"/>
      <c r="G233" s="19" t="n"/>
      <c r="H233" s="19" t="n"/>
      <c r="I233" s="19" t="n"/>
      <c r="J233" s="19" t="n"/>
      <c r="K233" s="19" t="n"/>
      <c r="L233" s="125" t="n"/>
      <c r="M233" s="88">
        <f>IF($D233="","",IFERROR(VLOOKUP($H233,Lists!$N$2:$O$6,2,FALSE),0))</f>
        <v/>
      </c>
      <c r="N233" s="88">
        <f>IF($D233="","",IF(OR($E233="Blocked",$E233="Done",$E233="Archive"),-9999,IF(AND($E233="Waiting",SUMPRODUCT((($E$5:$E$500="Next")+($E$5:$E$500="In Progress")+($E$5:$E$500="Captured"))*($D$5:$D$500&lt;&gt;""))&gt;0),-500,VLOOKUP($F233,Lists!$L$2:$M$4,2,FALSE)+IF($E233="In Progress",10,0)+IF(AND($I233&lt;&gt;"",$I233&lt;TODAY()),25,0)+IF(AND($I233&lt;&gt;"",$I233&gt;=TODAY(),$I233&lt;=TODAY()+7),15,0)+IF($M233&lt;=VLOOKUP(Home!$C$7,Lists!$N$2:$O$6,2,FALSE),20,-10)+IF($G233=Home!$E$7,15,IF(Home!$E$7="",0,-5))-ROW()/100000)))</f>
        <v/>
      </c>
      <c r="O233" s="88">
        <f>IF($D233="","",IF($N233&lt;=-500,"Not recommended right now",IF($E233="Waiting","Nothing else actionable right now — Waiting on: "&amp;IF($K233="","this item",$K233),TEXTJOIN(" • ",TRUE,IF($F233="High","High Priority",""),IF(AND($I233&lt;&gt;"",$I233&lt;TODAY()),"Overdue",""),IF(AND($I233&lt;&gt;"",$I233&gt;=TODAY(),$I233&lt;=TODAY()+7),"Due This Week",""),IF($M233&lt;=VLOOKUP(Home!$C$7,Lists!$N$2:$O$6,2,FALSE),$H233&amp;" Task",""),IF($G233=Home!$E$7,"Fits Current Energy",""),"No Blockers"))))</f>
        <v/>
      </c>
      <c r="P233" s="88">
        <f>IF($D233="","",SWITCH('Task Finder'!$C$6,"High Priority",AND($F233="High",$E233&lt;&gt;"Done",$E233&lt;&gt;"Archive"),"Due This Week",AND($I233&lt;&gt;"",$I233&gt;=TODAY(),$I233&lt;=TODAY()+7,$E233&lt;&gt;"Done"),"Quick Wins (15 mins or less)",AND($M233&lt;=15,$E233&lt;&gt;"Done",$E233&lt;&gt;"Blocked"),"Deep Thinking",AND($G233="Deep Thinking",$E233&lt;&gt;"Done"),"Processing",AND($G233="Processing",$E233&lt;&gt;"Done"),"Blocked",$E233="Blocked","Waiting",$E233="Waiting","Recently Updated",AND($L233&lt;&gt;"",$L233&gt;=TODAY()-7),"Keyword",AND('Task Finder'!$C$7&lt;&gt;"",OR(ISNUMBER(SEARCH('Task Finder'!$C$7,$A233)),ISNUMBER(SEARCH('Task Finder'!$C$7,$B233)),ISNUMBER(SEARCH('Task Finder'!$C$7,$C233)),ISNUMBER(SEARCH('Task Finder'!$C$7,$D233)),ISNUMBER(SEARCH('Task Finder'!$C$7,$K233)))),TRUE))</f>
        <v/>
      </c>
    </row>
    <row r="234">
      <c r="A234" s="19" t="n"/>
      <c r="B234" s="19" t="n"/>
      <c r="C234" s="19" t="n"/>
      <c r="D234" s="19" t="n"/>
      <c r="E234" s="19" t="n"/>
      <c r="F234" s="19" t="n"/>
      <c r="G234" s="19" t="n"/>
      <c r="H234" s="19" t="n"/>
      <c r="I234" s="19" t="n"/>
      <c r="J234" s="19" t="n"/>
      <c r="K234" s="19" t="n"/>
      <c r="L234" s="125" t="n"/>
      <c r="M234" s="88">
        <f>IF($D234="","",IFERROR(VLOOKUP($H234,Lists!$N$2:$O$6,2,FALSE),0))</f>
        <v/>
      </c>
      <c r="N234" s="88">
        <f>IF($D234="","",IF(OR($E234="Blocked",$E234="Done",$E234="Archive"),-9999,IF(AND($E234="Waiting",SUMPRODUCT((($E$5:$E$500="Next")+($E$5:$E$500="In Progress")+($E$5:$E$500="Captured"))*($D$5:$D$500&lt;&gt;""))&gt;0),-500,VLOOKUP($F234,Lists!$L$2:$M$4,2,FALSE)+IF($E234="In Progress",10,0)+IF(AND($I234&lt;&gt;"",$I234&lt;TODAY()),25,0)+IF(AND($I234&lt;&gt;"",$I234&gt;=TODAY(),$I234&lt;=TODAY()+7),15,0)+IF($M234&lt;=VLOOKUP(Home!$C$7,Lists!$N$2:$O$6,2,FALSE),20,-10)+IF($G234=Home!$E$7,15,IF(Home!$E$7="",0,-5))-ROW()/100000)))</f>
        <v/>
      </c>
      <c r="O234" s="88">
        <f>IF($D234="","",IF($N234&lt;=-500,"Not recommended right now",IF($E234="Waiting","Nothing else actionable right now — Waiting on: "&amp;IF($K234="","this item",$K234),TEXTJOIN(" • ",TRUE,IF($F234="High","High Priority",""),IF(AND($I234&lt;&gt;"",$I234&lt;TODAY()),"Overdue",""),IF(AND($I234&lt;&gt;"",$I234&gt;=TODAY(),$I234&lt;=TODAY()+7),"Due This Week",""),IF($M234&lt;=VLOOKUP(Home!$C$7,Lists!$N$2:$O$6,2,FALSE),$H234&amp;" Task",""),IF($G234=Home!$E$7,"Fits Current Energy",""),"No Blockers"))))</f>
        <v/>
      </c>
      <c r="P234" s="88">
        <f>IF($D234="","",SWITCH('Task Finder'!$C$6,"High Priority",AND($F234="High",$E234&lt;&gt;"Done",$E234&lt;&gt;"Archive"),"Due This Week",AND($I234&lt;&gt;"",$I234&gt;=TODAY(),$I234&lt;=TODAY()+7,$E234&lt;&gt;"Done"),"Quick Wins (15 mins or less)",AND($M234&lt;=15,$E234&lt;&gt;"Done",$E234&lt;&gt;"Blocked"),"Deep Thinking",AND($G234="Deep Thinking",$E234&lt;&gt;"Done"),"Processing",AND($G234="Processing",$E234&lt;&gt;"Done"),"Blocked",$E234="Blocked","Waiting",$E234="Waiting","Recently Updated",AND($L234&lt;&gt;"",$L234&gt;=TODAY()-7),"Keyword",AND('Task Finder'!$C$7&lt;&gt;"",OR(ISNUMBER(SEARCH('Task Finder'!$C$7,$A234)),ISNUMBER(SEARCH('Task Finder'!$C$7,$B234)),ISNUMBER(SEARCH('Task Finder'!$C$7,$C234)),ISNUMBER(SEARCH('Task Finder'!$C$7,$D234)),ISNUMBER(SEARCH('Task Finder'!$C$7,$K234)))),TRUE))</f>
        <v/>
      </c>
    </row>
    <row r="235">
      <c r="A235" s="19" t="n"/>
      <c r="B235" s="19" t="n"/>
      <c r="C235" s="19" t="n"/>
      <c r="D235" s="19" t="n"/>
      <c r="E235" s="19" t="n"/>
      <c r="F235" s="19" t="n"/>
      <c r="G235" s="19" t="n"/>
      <c r="H235" s="19" t="n"/>
      <c r="I235" s="19" t="n"/>
      <c r="J235" s="19" t="n"/>
      <c r="K235" s="19" t="n"/>
      <c r="L235" s="125" t="n"/>
      <c r="M235" s="88">
        <f>IF($D235="","",IFERROR(VLOOKUP($H235,Lists!$N$2:$O$6,2,FALSE),0))</f>
        <v/>
      </c>
      <c r="N235" s="88">
        <f>IF($D235="","",IF(OR($E235="Blocked",$E235="Done",$E235="Archive"),-9999,IF(AND($E235="Waiting",SUMPRODUCT((($E$5:$E$500="Next")+($E$5:$E$500="In Progress")+($E$5:$E$500="Captured"))*($D$5:$D$500&lt;&gt;""))&gt;0),-500,VLOOKUP($F235,Lists!$L$2:$M$4,2,FALSE)+IF($E235="In Progress",10,0)+IF(AND($I235&lt;&gt;"",$I235&lt;TODAY()),25,0)+IF(AND($I235&lt;&gt;"",$I235&gt;=TODAY(),$I235&lt;=TODAY()+7),15,0)+IF($M235&lt;=VLOOKUP(Home!$C$7,Lists!$N$2:$O$6,2,FALSE),20,-10)+IF($G235=Home!$E$7,15,IF(Home!$E$7="",0,-5))-ROW()/100000)))</f>
        <v/>
      </c>
      <c r="O235" s="88">
        <f>IF($D235="","",IF($N235&lt;=-500,"Not recommended right now",IF($E235="Waiting","Nothing else actionable right now — Waiting on: "&amp;IF($K235="","this item",$K235),TEXTJOIN(" • ",TRUE,IF($F235="High","High Priority",""),IF(AND($I235&lt;&gt;"",$I235&lt;TODAY()),"Overdue",""),IF(AND($I235&lt;&gt;"",$I235&gt;=TODAY(),$I235&lt;=TODAY()+7),"Due This Week",""),IF($M235&lt;=VLOOKUP(Home!$C$7,Lists!$N$2:$O$6,2,FALSE),$H235&amp;" Task",""),IF($G235=Home!$E$7,"Fits Current Energy",""),"No Blockers"))))</f>
        <v/>
      </c>
      <c r="P235" s="88">
        <f>IF($D235="","",SWITCH('Task Finder'!$C$6,"High Priority",AND($F235="High",$E235&lt;&gt;"Done",$E235&lt;&gt;"Archive"),"Due This Week",AND($I235&lt;&gt;"",$I235&gt;=TODAY(),$I235&lt;=TODAY()+7,$E235&lt;&gt;"Done"),"Quick Wins (15 mins or less)",AND($M235&lt;=15,$E235&lt;&gt;"Done",$E235&lt;&gt;"Blocked"),"Deep Thinking",AND($G235="Deep Thinking",$E235&lt;&gt;"Done"),"Processing",AND($G235="Processing",$E235&lt;&gt;"Done"),"Blocked",$E235="Blocked","Waiting",$E235="Waiting","Recently Updated",AND($L235&lt;&gt;"",$L235&gt;=TODAY()-7),"Keyword",AND('Task Finder'!$C$7&lt;&gt;"",OR(ISNUMBER(SEARCH('Task Finder'!$C$7,$A235)),ISNUMBER(SEARCH('Task Finder'!$C$7,$B235)),ISNUMBER(SEARCH('Task Finder'!$C$7,$C235)),ISNUMBER(SEARCH('Task Finder'!$C$7,$D235)),ISNUMBER(SEARCH('Task Finder'!$C$7,$K235)))),TRUE))</f>
        <v/>
      </c>
    </row>
    <row r="236">
      <c r="A236" s="19" t="n"/>
      <c r="B236" s="19" t="n"/>
      <c r="C236" s="19" t="n"/>
      <c r="D236" s="19" t="n"/>
      <c r="E236" s="19" t="n"/>
      <c r="F236" s="19" t="n"/>
      <c r="G236" s="19" t="n"/>
      <c r="H236" s="19" t="n"/>
      <c r="I236" s="19" t="n"/>
      <c r="J236" s="19" t="n"/>
      <c r="K236" s="19" t="n"/>
      <c r="L236" s="125" t="n"/>
      <c r="M236" s="88">
        <f>IF($D236="","",IFERROR(VLOOKUP($H236,Lists!$N$2:$O$6,2,FALSE),0))</f>
        <v/>
      </c>
      <c r="N236" s="88">
        <f>IF($D236="","",IF(OR($E236="Blocked",$E236="Done",$E236="Archive"),-9999,IF(AND($E236="Waiting",SUMPRODUCT((($E$5:$E$500="Next")+($E$5:$E$500="In Progress")+($E$5:$E$500="Captured"))*($D$5:$D$500&lt;&gt;""))&gt;0),-500,VLOOKUP($F236,Lists!$L$2:$M$4,2,FALSE)+IF($E236="In Progress",10,0)+IF(AND($I236&lt;&gt;"",$I236&lt;TODAY()),25,0)+IF(AND($I236&lt;&gt;"",$I236&gt;=TODAY(),$I236&lt;=TODAY()+7),15,0)+IF($M236&lt;=VLOOKUP(Home!$C$7,Lists!$N$2:$O$6,2,FALSE),20,-10)+IF($G236=Home!$E$7,15,IF(Home!$E$7="",0,-5))-ROW()/100000)))</f>
        <v/>
      </c>
      <c r="O236" s="88">
        <f>IF($D236="","",IF($N236&lt;=-500,"Not recommended right now",IF($E236="Waiting","Nothing else actionable right now — Waiting on: "&amp;IF($K236="","this item",$K236),TEXTJOIN(" • ",TRUE,IF($F236="High","High Priority",""),IF(AND($I236&lt;&gt;"",$I236&lt;TODAY()),"Overdue",""),IF(AND($I236&lt;&gt;"",$I236&gt;=TODAY(),$I236&lt;=TODAY()+7),"Due This Week",""),IF($M236&lt;=VLOOKUP(Home!$C$7,Lists!$N$2:$O$6,2,FALSE),$H236&amp;" Task",""),IF($G236=Home!$E$7,"Fits Current Energy",""),"No Blockers"))))</f>
        <v/>
      </c>
      <c r="P236" s="88">
        <f>IF($D236="","",SWITCH('Task Finder'!$C$6,"High Priority",AND($F236="High",$E236&lt;&gt;"Done",$E236&lt;&gt;"Archive"),"Due This Week",AND($I236&lt;&gt;"",$I236&gt;=TODAY(),$I236&lt;=TODAY()+7,$E236&lt;&gt;"Done"),"Quick Wins (15 mins or less)",AND($M236&lt;=15,$E236&lt;&gt;"Done",$E236&lt;&gt;"Blocked"),"Deep Thinking",AND($G236="Deep Thinking",$E236&lt;&gt;"Done"),"Processing",AND($G236="Processing",$E236&lt;&gt;"Done"),"Blocked",$E236="Blocked","Waiting",$E236="Waiting","Recently Updated",AND($L236&lt;&gt;"",$L236&gt;=TODAY()-7),"Keyword",AND('Task Finder'!$C$7&lt;&gt;"",OR(ISNUMBER(SEARCH('Task Finder'!$C$7,$A236)),ISNUMBER(SEARCH('Task Finder'!$C$7,$B236)),ISNUMBER(SEARCH('Task Finder'!$C$7,$C236)),ISNUMBER(SEARCH('Task Finder'!$C$7,$D236)),ISNUMBER(SEARCH('Task Finder'!$C$7,$K236)))),TRUE))</f>
        <v/>
      </c>
    </row>
    <row r="237">
      <c r="A237" s="19" t="n"/>
      <c r="B237" s="19" t="n"/>
      <c r="C237" s="19" t="n"/>
      <c r="D237" s="19" t="n"/>
      <c r="E237" s="19" t="n"/>
      <c r="F237" s="19" t="n"/>
      <c r="G237" s="19" t="n"/>
      <c r="H237" s="19" t="n"/>
      <c r="I237" s="19" t="n"/>
      <c r="J237" s="19" t="n"/>
      <c r="K237" s="19" t="n"/>
      <c r="L237" s="125" t="n"/>
      <c r="M237" s="88">
        <f>IF($D237="","",IFERROR(VLOOKUP($H237,Lists!$N$2:$O$6,2,FALSE),0))</f>
        <v/>
      </c>
      <c r="N237" s="88">
        <f>IF($D237="","",IF(OR($E237="Blocked",$E237="Done",$E237="Archive"),-9999,IF(AND($E237="Waiting",SUMPRODUCT((($E$5:$E$500="Next")+($E$5:$E$500="In Progress")+($E$5:$E$500="Captured"))*($D$5:$D$500&lt;&gt;""))&gt;0),-500,VLOOKUP($F237,Lists!$L$2:$M$4,2,FALSE)+IF($E237="In Progress",10,0)+IF(AND($I237&lt;&gt;"",$I237&lt;TODAY()),25,0)+IF(AND($I237&lt;&gt;"",$I237&gt;=TODAY(),$I237&lt;=TODAY()+7),15,0)+IF($M237&lt;=VLOOKUP(Home!$C$7,Lists!$N$2:$O$6,2,FALSE),20,-10)+IF($G237=Home!$E$7,15,IF(Home!$E$7="",0,-5))-ROW()/100000)))</f>
        <v/>
      </c>
      <c r="O237" s="88">
        <f>IF($D237="","",IF($N237&lt;=-500,"Not recommended right now",IF($E237="Waiting","Nothing else actionable right now — Waiting on: "&amp;IF($K237="","this item",$K237),TEXTJOIN(" • ",TRUE,IF($F237="High","High Priority",""),IF(AND($I237&lt;&gt;"",$I237&lt;TODAY()),"Overdue",""),IF(AND($I237&lt;&gt;"",$I237&gt;=TODAY(),$I237&lt;=TODAY()+7),"Due This Week",""),IF($M237&lt;=VLOOKUP(Home!$C$7,Lists!$N$2:$O$6,2,FALSE),$H237&amp;" Task",""),IF($G237=Home!$E$7,"Fits Current Energy",""),"No Blockers"))))</f>
        <v/>
      </c>
      <c r="P237" s="88">
        <f>IF($D237="","",SWITCH('Task Finder'!$C$6,"High Priority",AND($F237="High",$E237&lt;&gt;"Done",$E237&lt;&gt;"Archive"),"Due This Week",AND($I237&lt;&gt;"",$I237&gt;=TODAY(),$I237&lt;=TODAY()+7,$E237&lt;&gt;"Done"),"Quick Wins (15 mins or less)",AND($M237&lt;=15,$E237&lt;&gt;"Done",$E237&lt;&gt;"Blocked"),"Deep Thinking",AND($G237="Deep Thinking",$E237&lt;&gt;"Done"),"Processing",AND($G237="Processing",$E237&lt;&gt;"Done"),"Blocked",$E237="Blocked","Waiting",$E237="Waiting","Recently Updated",AND($L237&lt;&gt;"",$L237&gt;=TODAY()-7),"Keyword",AND('Task Finder'!$C$7&lt;&gt;"",OR(ISNUMBER(SEARCH('Task Finder'!$C$7,$A237)),ISNUMBER(SEARCH('Task Finder'!$C$7,$B237)),ISNUMBER(SEARCH('Task Finder'!$C$7,$C237)),ISNUMBER(SEARCH('Task Finder'!$C$7,$D237)),ISNUMBER(SEARCH('Task Finder'!$C$7,$K237)))),TRUE))</f>
        <v/>
      </c>
    </row>
    <row r="238">
      <c r="A238" s="19" t="n"/>
      <c r="B238" s="19" t="n"/>
      <c r="C238" s="19" t="n"/>
      <c r="D238" s="19" t="n"/>
      <c r="E238" s="19" t="n"/>
      <c r="F238" s="19" t="n"/>
      <c r="G238" s="19" t="n"/>
      <c r="H238" s="19" t="n"/>
      <c r="I238" s="19" t="n"/>
      <c r="J238" s="19" t="n"/>
      <c r="K238" s="19" t="n"/>
      <c r="L238" s="125" t="n"/>
      <c r="M238" s="88">
        <f>IF($D238="","",IFERROR(VLOOKUP($H238,Lists!$N$2:$O$6,2,FALSE),0))</f>
        <v/>
      </c>
      <c r="N238" s="88">
        <f>IF($D238="","",IF(OR($E238="Blocked",$E238="Done",$E238="Archive"),-9999,IF(AND($E238="Waiting",SUMPRODUCT((($E$5:$E$500="Next")+($E$5:$E$500="In Progress")+($E$5:$E$500="Captured"))*($D$5:$D$500&lt;&gt;""))&gt;0),-500,VLOOKUP($F238,Lists!$L$2:$M$4,2,FALSE)+IF($E238="In Progress",10,0)+IF(AND($I238&lt;&gt;"",$I238&lt;TODAY()),25,0)+IF(AND($I238&lt;&gt;"",$I238&gt;=TODAY(),$I238&lt;=TODAY()+7),15,0)+IF($M238&lt;=VLOOKUP(Home!$C$7,Lists!$N$2:$O$6,2,FALSE),20,-10)+IF($G238=Home!$E$7,15,IF(Home!$E$7="",0,-5))-ROW()/100000)))</f>
        <v/>
      </c>
      <c r="O238" s="88">
        <f>IF($D238="","",IF($N238&lt;=-500,"Not recommended right now",IF($E238="Waiting","Nothing else actionable right now — Waiting on: "&amp;IF($K238="","this item",$K238),TEXTJOIN(" • ",TRUE,IF($F238="High","High Priority",""),IF(AND($I238&lt;&gt;"",$I238&lt;TODAY()),"Overdue",""),IF(AND($I238&lt;&gt;"",$I238&gt;=TODAY(),$I238&lt;=TODAY()+7),"Due This Week",""),IF($M238&lt;=VLOOKUP(Home!$C$7,Lists!$N$2:$O$6,2,FALSE),$H238&amp;" Task",""),IF($G238=Home!$E$7,"Fits Current Energy",""),"No Blockers"))))</f>
        <v/>
      </c>
      <c r="P238" s="88">
        <f>IF($D238="","",SWITCH('Task Finder'!$C$6,"High Priority",AND($F238="High",$E238&lt;&gt;"Done",$E238&lt;&gt;"Archive"),"Due This Week",AND($I238&lt;&gt;"",$I238&gt;=TODAY(),$I238&lt;=TODAY()+7,$E238&lt;&gt;"Done"),"Quick Wins (15 mins or less)",AND($M238&lt;=15,$E238&lt;&gt;"Done",$E238&lt;&gt;"Blocked"),"Deep Thinking",AND($G238="Deep Thinking",$E238&lt;&gt;"Done"),"Processing",AND($G238="Processing",$E238&lt;&gt;"Done"),"Blocked",$E238="Blocked","Waiting",$E238="Waiting","Recently Updated",AND($L238&lt;&gt;"",$L238&gt;=TODAY()-7),"Keyword",AND('Task Finder'!$C$7&lt;&gt;"",OR(ISNUMBER(SEARCH('Task Finder'!$C$7,$A238)),ISNUMBER(SEARCH('Task Finder'!$C$7,$B238)),ISNUMBER(SEARCH('Task Finder'!$C$7,$C238)),ISNUMBER(SEARCH('Task Finder'!$C$7,$D238)),ISNUMBER(SEARCH('Task Finder'!$C$7,$K238)))),TRUE))</f>
        <v/>
      </c>
    </row>
    <row r="239">
      <c r="A239" s="19" t="n"/>
      <c r="B239" s="19" t="n"/>
      <c r="C239" s="19" t="n"/>
      <c r="D239" s="19" t="n"/>
      <c r="E239" s="19" t="n"/>
      <c r="F239" s="19" t="n"/>
      <c r="G239" s="19" t="n"/>
      <c r="H239" s="19" t="n"/>
      <c r="I239" s="19" t="n"/>
      <c r="J239" s="19" t="n"/>
      <c r="K239" s="19" t="n"/>
      <c r="L239" s="125" t="n"/>
      <c r="M239" s="88">
        <f>IF($D239="","",IFERROR(VLOOKUP($H239,Lists!$N$2:$O$6,2,FALSE),0))</f>
        <v/>
      </c>
      <c r="N239" s="88">
        <f>IF($D239="","",IF(OR($E239="Blocked",$E239="Done",$E239="Archive"),-9999,IF(AND($E239="Waiting",SUMPRODUCT((($E$5:$E$500="Next")+($E$5:$E$500="In Progress")+($E$5:$E$500="Captured"))*($D$5:$D$500&lt;&gt;""))&gt;0),-500,VLOOKUP($F239,Lists!$L$2:$M$4,2,FALSE)+IF($E239="In Progress",10,0)+IF(AND($I239&lt;&gt;"",$I239&lt;TODAY()),25,0)+IF(AND($I239&lt;&gt;"",$I239&gt;=TODAY(),$I239&lt;=TODAY()+7),15,0)+IF($M239&lt;=VLOOKUP(Home!$C$7,Lists!$N$2:$O$6,2,FALSE),20,-10)+IF($G239=Home!$E$7,15,IF(Home!$E$7="",0,-5))-ROW()/100000)))</f>
        <v/>
      </c>
      <c r="O239" s="88">
        <f>IF($D239="","",IF($N239&lt;=-500,"Not recommended right now",IF($E239="Waiting","Nothing else actionable right now — Waiting on: "&amp;IF($K239="","this item",$K239),TEXTJOIN(" • ",TRUE,IF($F239="High","High Priority",""),IF(AND($I239&lt;&gt;"",$I239&lt;TODAY()),"Overdue",""),IF(AND($I239&lt;&gt;"",$I239&gt;=TODAY(),$I239&lt;=TODAY()+7),"Due This Week",""),IF($M239&lt;=VLOOKUP(Home!$C$7,Lists!$N$2:$O$6,2,FALSE),$H239&amp;" Task",""),IF($G239=Home!$E$7,"Fits Current Energy",""),"No Blockers"))))</f>
        <v/>
      </c>
      <c r="P239" s="88">
        <f>IF($D239="","",SWITCH('Task Finder'!$C$6,"High Priority",AND($F239="High",$E239&lt;&gt;"Done",$E239&lt;&gt;"Archive"),"Due This Week",AND($I239&lt;&gt;"",$I239&gt;=TODAY(),$I239&lt;=TODAY()+7,$E239&lt;&gt;"Done"),"Quick Wins (15 mins or less)",AND($M239&lt;=15,$E239&lt;&gt;"Done",$E239&lt;&gt;"Blocked"),"Deep Thinking",AND($G239="Deep Thinking",$E239&lt;&gt;"Done"),"Processing",AND($G239="Processing",$E239&lt;&gt;"Done"),"Blocked",$E239="Blocked","Waiting",$E239="Waiting","Recently Updated",AND($L239&lt;&gt;"",$L239&gt;=TODAY()-7),"Keyword",AND('Task Finder'!$C$7&lt;&gt;"",OR(ISNUMBER(SEARCH('Task Finder'!$C$7,$A239)),ISNUMBER(SEARCH('Task Finder'!$C$7,$B239)),ISNUMBER(SEARCH('Task Finder'!$C$7,$C239)),ISNUMBER(SEARCH('Task Finder'!$C$7,$D239)),ISNUMBER(SEARCH('Task Finder'!$C$7,$K239)))),TRUE))</f>
        <v/>
      </c>
    </row>
    <row r="240">
      <c r="A240" s="19" t="n"/>
      <c r="B240" s="19" t="n"/>
      <c r="C240" s="19" t="n"/>
      <c r="D240" s="19" t="n"/>
      <c r="E240" s="19" t="n"/>
      <c r="F240" s="19" t="n"/>
      <c r="G240" s="19" t="n"/>
      <c r="H240" s="19" t="n"/>
      <c r="I240" s="19" t="n"/>
      <c r="J240" s="19" t="n"/>
      <c r="K240" s="19" t="n"/>
      <c r="L240" s="125" t="n"/>
      <c r="M240" s="88">
        <f>IF($D240="","",IFERROR(VLOOKUP($H240,Lists!$N$2:$O$6,2,FALSE),0))</f>
        <v/>
      </c>
      <c r="N240" s="88">
        <f>IF($D240="","",IF(OR($E240="Blocked",$E240="Done",$E240="Archive"),-9999,IF(AND($E240="Waiting",SUMPRODUCT((($E$5:$E$500="Next")+($E$5:$E$500="In Progress")+($E$5:$E$500="Captured"))*($D$5:$D$500&lt;&gt;""))&gt;0),-500,VLOOKUP($F240,Lists!$L$2:$M$4,2,FALSE)+IF($E240="In Progress",10,0)+IF(AND($I240&lt;&gt;"",$I240&lt;TODAY()),25,0)+IF(AND($I240&lt;&gt;"",$I240&gt;=TODAY(),$I240&lt;=TODAY()+7),15,0)+IF($M240&lt;=VLOOKUP(Home!$C$7,Lists!$N$2:$O$6,2,FALSE),20,-10)+IF($G240=Home!$E$7,15,IF(Home!$E$7="",0,-5))-ROW()/100000)))</f>
        <v/>
      </c>
      <c r="O240" s="88">
        <f>IF($D240="","",IF($N240&lt;=-500,"Not recommended right now",IF($E240="Waiting","Nothing else actionable right now — Waiting on: "&amp;IF($K240="","this item",$K240),TEXTJOIN(" • ",TRUE,IF($F240="High","High Priority",""),IF(AND($I240&lt;&gt;"",$I240&lt;TODAY()),"Overdue",""),IF(AND($I240&lt;&gt;"",$I240&gt;=TODAY(),$I240&lt;=TODAY()+7),"Due This Week",""),IF($M240&lt;=VLOOKUP(Home!$C$7,Lists!$N$2:$O$6,2,FALSE),$H240&amp;" Task",""),IF($G240=Home!$E$7,"Fits Current Energy",""),"No Blockers"))))</f>
        <v/>
      </c>
      <c r="P240" s="88">
        <f>IF($D240="","",SWITCH('Task Finder'!$C$6,"High Priority",AND($F240="High",$E240&lt;&gt;"Done",$E240&lt;&gt;"Archive"),"Due This Week",AND($I240&lt;&gt;"",$I240&gt;=TODAY(),$I240&lt;=TODAY()+7,$E240&lt;&gt;"Done"),"Quick Wins (15 mins or less)",AND($M240&lt;=15,$E240&lt;&gt;"Done",$E240&lt;&gt;"Blocked"),"Deep Thinking",AND($G240="Deep Thinking",$E240&lt;&gt;"Done"),"Processing",AND($G240="Processing",$E240&lt;&gt;"Done"),"Blocked",$E240="Blocked","Waiting",$E240="Waiting","Recently Updated",AND($L240&lt;&gt;"",$L240&gt;=TODAY()-7),"Keyword",AND('Task Finder'!$C$7&lt;&gt;"",OR(ISNUMBER(SEARCH('Task Finder'!$C$7,$A240)),ISNUMBER(SEARCH('Task Finder'!$C$7,$B240)),ISNUMBER(SEARCH('Task Finder'!$C$7,$C240)),ISNUMBER(SEARCH('Task Finder'!$C$7,$D240)),ISNUMBER(SEARCH('Task Finder'!$C$7,$K240)))),TRUE))</f>
        <v/>
      </c>
    </row>
    <row r="241">
      <c r="A241" s="19" t="n"/>
      <c r="B241" s="19" t="n"/>
      <c r="C241" s="19" t="n"/>
      <c r="D241" s="19" t="n"/>
      <c r="E241" s="19" t="n"/>
      <c r="F241" s="19" t="n"/>
      <c r="G241" s="19" t="n"/>
      <c r="H241" s="19" t="n"/>
      <c r="I241" s="19" t="n"/>
      <c r="J241" s="19" t="n"/>
      <c r="K241" s="19" t="n"/>
      <c r="L241" s="125" t="n"/>
      <c r="M241" s="88">
        <f>IF($D241="","",IFERROR(VLOOKUP($H241,Lists!$N$2:$O$6,2,FALSE),0))</f>
        <v/>
      </c>
      <c r="N241" s="88">
        <f>IF($D241="","",IF(OR($E241="Blocked",$E241="Done",$E241="Archive"),-9999,IF(AND($E241="Waiting",SUMPRODUCT((($E$5:$E$500="Next")+($E$5:$E$500="In Progress")+($E$5:$E$500="Captured"))*($D$5:$D$500&lt;&gt;""))&gt;0),-500,VLOOKUP($F241,Lists!$L$2:$M$4,2,FALSE)+IF($E241="In Progress",10,0)+IF(AND($I241&lt;&gt;"",$I241&lt;TODAY()),25,0)+IF(AND($I241&lt;&gt;"",$I241&gt;=TODAY(),$I241&lt;=TODAY()+7),15,0)+IF($M241&lt;=VLOOKUP(Home!$C$7,Lists!$N$2:$O$6,2,FALSE),20,-10)+IF($G241=Home!$E$7,15,IF(Home!$E$7="",0,-5))-ROW()/100000)))</f>
        <v/>
      </c>
      <c r="O241" s="88">
        <f>IF($D241="","",IF($N241&lt;=-500,"Not recommended right now",IF($E241="Waiting","Nothing else actionable right now — Waiting on: "&amp;IF($K241="","this item",$K241),TEXTJOIN(" • ",TRUE,IF($F241="High","High Priority",""),IF(AND($I241&lt;&gt;"",$I241&lt;TODAY()),"Overdue",""),IF(AND($I241&lt;&gt;"",$I241&gt;=TODAY(),$I241&lt;=TODAY()+7),"Due This Week",""),IF($M241&lt;=VLOOKUP(Home!$C$7,Lists!$N$2:$O$6,2,FALSE),$H241&amp;" Task",""),IF($G241=Home!$E$7,"Fits Current Energy",""),"No Blockers"))))</f>
        <v/>
      </c>
      <c r="P241" s="88">
        <f>IF($D241="","",SWITCH('Task Finder'!$C$6,"High Priority",AND($F241="High",$E241&lt;&gt;"Done",$E241&lt;&gt;"Archive"),"Due This Week",AND($I241&lt;&gt;"",$I241&gt;=TODAY(),$I241&lt;=TODAY()+7,$E241&lt;&gt;"Done"),"Quick Wins (15 mins or less)",AND($M241&lt;=15,$E241&lt;&gt;"Done",$E241&lt;&gt;"Blocked"),"Deep Thinking",AND($G241="Deep Thinking",$E241&lt;&gt;"Done"),"Processing",AND($G241="Processing",$E241&lt;&gt;"Done"),"Blocked",$E241="Blocked","Waiting",$E241="Waiting","Recently Updated",AND($L241&lt;&gt;"",$L241&gt;=TODAY()-7),"Keyword",AND('Task Finder'!$C$7&lt;&gt;"",OR(ISNUMBER(SEARCH('Task Finder'!$C$7,$A241)),ISNUMBER(SEARCH('Task Finder'!$C$7,$B241)),ISNUMBER(SEARCH('Task Finder'!$C$7,$C241)),ISNUMBER(SEARCH('Task Finder'!$C$7,$D241)),ISNUMBER(SEARCH('Task Finder'!$C$7,$K241)))),TRUE))</f>
        <v/>
      </c>
    </row>
    <row r="242">
      <c r="A242" s="19" t="n"/>
      <c r="B242" s="19" t="n"/>
      <c r="C242" s="19" t="n"/>
      <c r="D242" s="19" t="n"/>
      <c r="E242" s="19" t="n"/>
      <c r="F242" s="19" t="n"/>
      <c r="G242" s="19" t="n"/>
      <c r="H242" s="19" t="n"/>
      <c r="I242" s="19" t="n"/>
      <c r="J242" s="19" t="n"/>
      <c r="K242" s="19" t="n"/>
      <c r="L242" s="125" t="n"/>
      <c r="M242" s="88">
        <f>IF($D242="","",IFERROR(VLOOKUP($H242,Lists!$N$2:$O$6,2,FALSE),0))</f>
        <v/>
      </c>
      <c r="N242" s="88">
        <f>IF($D242="","",IF(OR($E242="Blocked",$E242="Done",$E242="Archive"),-9999,IF(AND($E242="Waiting",SUMPRODUCT((($E$5:$E$500="Next")+($E$5:$E$500="In Progress")+($E$5:$E$500="Captured"))*($D$5:$D$500&lt;&gt;""))&gt;0),-500,VLOOKUP($F242,Lists!$L$2:$M$4,2,FALSE)+IF($E242="In Progress",10,0)+IF(AND($I242&lt;&gt;"",$I242&lt;TODAY()),25,0)+IF(AND($I242&lt;&gt;"",$I242&gt;=TODAY(),$I242&lt;=TODAY()+7),15,0)+IF($M242&lt;=VLOOKUP(Home!$C$7,Lists!$N$2:$O$6,2,FALSE),20,-10)+IF($G242=Home!$E$7,15,IF(Home!$E$7="",0,-5))-ROW()/100000)))</f>
        <v/>
      </c>
      <c r="O242" s="88">
        <f>IF($D242="","",IF($N242&lt;=-500,"Not recommended right now",IF($E242="Waiting","Nothing else actionable right now — Waiting on: "&amp;IF($K242="","this item",$K242),TEXTJOIN(" • ",TRUE,IF($F242="High","High Priority",""),IF(AND($I242&lt;&gt;"",$I242&lt;TODAY()),"Overdue",""),IF(AND($I242&lt;&gt;"",$I242&gt;=TODAY(),$I242&lt;=TODAY()+7),"Due This Week",""),IF($M242&lt;=VLOOKUP(Home!$C$7,Lists!$N$2:$O$6,2,FALSE),$H242&amp;" Task",""),IF($G242=Home!$E$7,"Fits Current Energy",""),"No Blockers"))))</f>
        <v/>
      </c>
      <c r="P242" s="88">
        <f>IF($D242="","",SWITCH('Task Finder'!$C$6,"High Priority",AND($F242="High",$E242&lt;&gt;"Done",$E242&lt;&gt;"Archive"),"Due This Week",AND($I242&lt;&gt;"",$I242&gt;=TODAY(),$I242&lt;=TODAY()+7,$E242&lt;&gt;"Done"),"Quick Wins (15 mins or less)",AND($M242&lt;=15,$E242&lt;&gt;"Done",$E242&lt;&gt;"Blocked"),"Deep Thinking",AND($G242="Deep Thinking",$E242&lt;&gt;"Done"),"Processing",AND($G242="Processing",$E242&lt;&gt;"Done"),"Blocked",$E242="Blocked","Waiting",$E242="Waiting","Recently Updated",AND($L242&lt;&gt;"",$L242&gt;=TODAY()-7),"Keyword",AND('Task Finder'!$C$7&lt;&gt;"",OR(ISNUMBER(SEARCH('Task Finder'!$C$7,$A242)),ISNUMBER(SEARCH('Task Finder'!$C$7,$B242)),ISNUMBER(SEARCH('Task Finder'!$C$7,$C242)),ISNUMBER(SEARCH('Task Finder'!$C$7,$D242)),ISNUMBER(SEARCH('Task Finder'!$C$7,$K242)))),TRUE))</f>
        <v/>
      </c>
    </row>
    <row r="243">
      <c r="A243" s="19" t="n"/>
      <c r="B243" s="19" t="n"/>
      <c r="C243" s="19" t="n"/>
      <c r="D243" s="19" t="n"/>
      <c r="E243" s="19" t="n"/>
      <c r="F243" s="19" t="n"/>
      <c r="G243" s="19" t="n"/>
      <c r="H243" s="19" t="n"/>
      <c r="I243" s="19" t="n"/>
      <c r="J243" s="19" t="n"/>
      <c r="K243" s="19" t="n"/>
      <c r="L243" s="125" t="n"/>
      <c r="M243" s="88">
        <f>IF($D243="","",IFERROR(VLOOKUP($H243,Lists!$N$2:$O$6,2,FALSE),0))</f>
        <v/>
      </c>
      <c r="N243" s="88">
        <f>IF($D243="","",IF(OR($E243="Blocked",$E243="Done",$E243="Archive"),-9999,IF(AND($E243="Waiting",SUMPRODUCT((($E$5:$E$500="Next")+($E$5:$E$500="In Progress")+($E$5:$E$500="Captured"))*($D$5:$D$500&lt;&gt;""))&gt;0),-500,VLOOKUP($F243,Lists!$L$2:$M$4,2,FALSE)+IF($E243="In Progress",10,0)+IF(AND($I243&lt;&gt;"",$I243&lt;TODAY()),25,0)+IF(AND($I243&lt;&gt;"",$I243&gt;=TODAY(),$I243&lt;=TODAY()+7),15,0)+IF($M243&lt;=VLOOKUP(Home!$C$7,Lists!$N$2:$O$6,2,FALSE),20,-10)+IF($G243=Home!$E$7,15,IF(Home!$E$7="",0,-5))-ROW()/100000)))</f>
        <v/>
      </c>
      <c r="O243" s="88">
        <f>IF($D243="","",IF($N243&lt;=-500,"Not recommended right now",IF($E243="Waiting","Nothing else actionable right now — Waiting on: "&amp;IF($K243="","this item",$K243),TEXTJOIN(" • ",TRUE,IF($F243="High","High Priority",""),IF(AND($I243&lt;&gt;"",$I243&lt;TODAY()),"Overdue",""),IF(AND($I243&lt;&gt;"",$I243&gt;=TODAY(),$I243&lt;=TODAY()+7),"Due This Week",""),IF($M243&lt;=VLOOKUP(Home!$C$7,Lists!$N$2:$O$6,2,FALSE),$H243&amp;" Task",""),IF($G243=Home!$E$7,"Fits Current Energy",""),"No Blockers"))))</f>
        <v/>
      </c>
      <c r="P243" s="88">
        <f>IF($D243="","",SWITCH('Task Finder'!$C$6,"High Priority",AND($F243="High",$E243&lt;&gt;"Done",$E243&lt;&gt;"Archive"),"Due This Week",AND($I243&lt;&gt;"",$I243&gt;=TODAY(),$I243&lt;=TODAY()+7,$E243&lt;&gt;"Done"),"Quick Wins (15 mins or less)",AND($M243&lt;=15,$E243&lt;&gt;"Done",$E243&lt;&gt;"Blocked"),"Deep Thinking",AND($G243="Deep Thinking",$E243&lt;&gt;"Done"),"Processing",AND($G243="Processing",$E243&lt;&gt;"Done"),"Blocked",$E243="Blocked","Waiting",$E243="Waiting","Recently Updated",AND($L243&lt;&gt;"",$L243&gt;=TODAY()-7),"Keyword",AND('Task Finder'!$C$7&lt;&gt;"",OR(ISNUMBER(SEARCH('Task Finder'!$C$7,$A243)),ISNUMBER(SEARCH('Task Finder'!$C$7,$B243)),ISNUMBER(SEARCH('Task Finder'!$C$7,$C243)),ISNUMBER(SEARCH('Task Finder'!$C$7,$D243)),ISNUMBER(SEARCH('Task Finder'!$C$7,$K243)))),TRUE))</f>
        <v/>
      </c>
    </row>
    <row r="244">
      <c r="A244" s="19" t="n"/>
      <c r="B244" s="19" t="n"/>
      <c r="C244" s="19" t="n"/>
      <c r="D244" s="19" t="n"/>
      <c r="E244" s="19" t="n"/>
      <c r="F244" s="19" t="n"/>
      <c r="G244" s="19" t="n"/>
      <c r="H244" s="19" t="n"/>
      <c r="I244" s="19" t="n"/>
      <c r="J244" s="19" t="n"/>
      <c r="K244" s="19" t="n"/>
      <c r="L244" s="125" t="n"/>
      <c r="M244" s="88">
        <f>IF($D244="","",IFERROR(VLOOKUP($H244,Lists!$N$2:$O$6,2,FALSE),0))</f>
        <v/>
      </c>
      <c r="N244" s="88">
        <f>IF($D244="","",IF(OR($E244="Blocked",$E244="Done",$E244="Archive"),-9999,IF(AND($E244="Waiting",SUMPRODUCT((($E$5:$E$500="Next")+($E$5:$E$500="In Progress")+($E$5:$E$500="Captured"))*($D$5:$D$500&lt;&gt;""))&gt;0),-500,VLOOKUP($F244,Lists!$L$2:$M$4,2,FALSE)+IF($E244="In Progress",10,0)+IF(AND($I244&lt;&gt;"",$I244&lt;TODAY()),25,0)+IF(AND($I244&lt;&gt;"",$I244&gt;=TODAY(),$I244&lt;=TODAY()+7),15,0)+IF($M244&lt;=VLOOKUP(Home!$C$7,Lists!$N$2:$O$6,2,FALSE),20,-10)+IF($G244=Home!$E$7,15,IF(Home!$E$7="",0,-5))-ROW()/100000)))</f>
        <v/>
      </c>
      <c r="O244" s="88">
        <f>IF($D244="","",IF($N244&lt;=-500,"Not recommended right now",IF($E244="Waiting","Nothing else actionable right now — Waiting on: "&amp;IF($K244="","this item",$K244),TEXTJOIN(" • ",TRUE,IF($F244="High","High Priority",""),IF(AND($I244&lt;&gt;"",$I244&lt;TODAY()),"Overdue",""),IF(AND($I244&lt;&gt;"",$I244&gt;=TODAY(),$I244&lt;=TODAY()+7),"Due This Week",""),IF($M244&lt;=VLOOKUP(Home!$C$7,Lists!$N$2:$O$6,2,FALSE),$H244&amp;" Task",""),IF($G244=Home!$E$7,"Fits Current Energy",""),"No Blockers"))))</f>
        <v/>
      </c>
      <c r="P244" s="88">
        <f>IF($D244="","",SWITCH('Task Finder'!$C$6,"High Priority",AND($F244="High",$E244&lt;&gt;"Done",$E244&lt;&gt;"Archive"),"Due This Week",AND($I244&lt;&gt;"",$I244&gt;=TODAY(),$I244&lt;=TODAY()+7,$E244&lt;&gt;"Done"),"Quick Wins (15 mins or less)",AND($M244&lt;=15,$E244&lt;&gt;"Done",$E244&lt;&gt;"Blocked"),"Deep Thinking",AND($G244="Deep Thinking",$E244&lt;&gt;"Done"),"Processing",AND($G244="Processing",$E244&lt;&gt;"Done"),"Blocked",$E244="Blocked","Waiting",$E244="Waiting","Recently Updated",AND($L244&lt;&gt;"",$L244&gt;=TODAY()-7),"Keyword",AND('Task Finder'!$C$7&lt;&gt;"",OR(ISNUMBER(SEARCH('Task Finder'!$C$7,$A244)),ISNUMBER(SEARCH('Task Finder'!$C$7,$B244)),ISNUMBER(SEARCH('Task Finder'!$C$7,$C244)),ISNUMBER(SEARCH('Task Finder'!$C$7,$D244)),ISNUMBER(SEARCH('Task Finder'!$C$7,$K244)))),TRUE))</f>
        <v/>
      </c>
    </row>
    <row r="245">
      <c r="A245" s="19" t="n"/>
      <c r="B245" s="19" t="n"/>
      <c r="C245" s="19" t="n"/>
      <c r="D245" s="19" t="n"/>
      <c r="E245" s="19" t="n"/>
      <c r="F245" s="19" t="n"/>
      <c r="G245" s="19" t="n"/>
      <c r="H245" s="19" t="n"/>
      <c r="I245" s="19" t="n"/>
      <c r="J245" s="19" t="n"/>
      <c r="K245" s="19" t="n"/>
      <c r="L245" s="125" t="n"/>
      <c r="M245" s="88">
        <f>IF($D245="","",IFERROR(VLOOKUP($H245,Lists!$N$2:$O$6,2,FALSE),0))</f>
        <v/>
      </c>
      <c r="N245" s="88">
        <f>IF($D245="","",IF(OR($E245="Blocked",$E245="Done",$E245="Archive"),-9999,IF(AND($E245="Waiting",SUMPRODUCT((($E$5:$E$500="Next")+($E$5:$E$500="In Progress")+($E$5:$E$500="Captured"))*($D$5:$D$500&lt;&gt;""))&gt;0),-500,VLOOKUP($F245,Lists!$L$2:$M$4,2,FALSE)+IF($E245="In Progress",10,0)+IF(AND($I245&lt;&gt;"",$I245&lt;TODAY()),25,0)+IF(AND($I245&lt;&gt;"",$I245&gt;=TODAY(),$I245&lt;=TODAY()+7),15,0)+IF($M245&lt;=VLOOKUP(Home!$C$7,Lists!$N$2:$O$6,2,FALSE),20,-10)+IF($G245=Home!$E$7,15,IF(Home!$E$7="",0,-5))-ROW()/100000)))</f>
        <v/>
      </c>
      <c r="O245" s="88">
        <f>IF($D245="","",IF($N245&lt;=-500,"Not recommended right now",IF($E245="Waiting","Nothing else actionable right now — Waiting on: "&amp;IF($K245="","this item",$K245),TEXTJOIN(" • ",TRUE,IF($F245="High","High Priority",""),IF(AND($I245&lt;&gt;"",$I245&lt;TODAY()),"Overdue",""),IF(AND($I245&lt;&gt;"",$I245&gt;=TODAY(),$I245&lt;=TODAY()+7),"Due This Week",""),IF($M245&lt;=VLOOKUP(Home!$C$7,Lists!$N$2:$O$6,2,FALSE),$H245&amp;" Task",""),IF($G245=Home!$E$7,"Fits Current Energy",""),"No Blockers"))))</f>
        <v/>
      </c>
      <c r="P245" s="88">
        <f>IF($D245="","",SWITCH('Task Finder'!$C$6,"High Priority",AND($F245="High",$E245&lt;&gt;"Done",$E245&lt;&gt;"Archive"),"Due This Week",AND($I245&lt;&gt;"",$I245&gt;=TODAY(),$I245&lt;=TODAY()+7,$E245&lt;&gt;"Done"),"Quick Wins (15 mins or less)",AND($M245&lt;=15,$E245&lt;&gt;"Done",$E245&lt;&gt;"Blocked"),"Deep Thinking",AND($G245="Deep Thinking",$E245&lt;&gt;"Done"),"Processing",AND($G245="Processing",$E245&lt;&gt;"Done"),"Blocked",$E245="Blocked","Waiting",$E245="Waiting","Recently Updated",AND($L245&lt;&gt;"",$L245&gt;=TODAY()-7),"Keyword",AND('Task Finder'!$C$7&lt;&gt;"",OR(ISNUMBER(SEARCH('Task Finder'!$C$7,$A245)),ISNUMBER(SEARCH('Task Finder'!$C$7,$B245)),ISNUMBER(SEARCH('Task Finder'!$C$7,$C245)),ISNUMBER(SEARCH('Task Finder'!$C$7,$D245)),ISNUMBER(SEARCH('Task Finder'!$C$7,$K245)))),TRUE))</f>
        <v/>
      </c>
    </row>
    <row r="246">
      <c r="A246" s="19" t="n"/>
      <c r="B246" s="19" t="n"/>
      <c r="C246" s="19" t="n"/>
      <c r="D246" s="19" t="n"/>
      <c r="E246" s="19" t="n"/>
      <c r="F246" s="19" t="n"/>
      <c r="G246" s="19" t="n"/>
      <c r="H246" s="19" t="n"/>
      <c r="I246" s="19" t="n"/>
      <c r="J246" s="19" t="n"/>
      <c r="K246" s="19" t="n"/>
      <c r="L246" s="125" t="n"/>
      <c r="M246" s="88">
        <f>IF($D246="","",IFERROR(VLOOKUP($H246,Lists!$N$2:$O$6,2,FALSE),0))</f>
        <v/>
      </c>
      <c r="N246" s="88">
        <f>IF($D246="","",IF(OR($E246="Blocked",$E246="Done",$E246="Archive"),-9999,IF(AND($E246="Waiting",SUMPRODUCT((($E$5:$E$500="Next")+($E$5:$E$500="In Progress")+($E$5:$E$500="Captured"))*($D$5:$D$500&lt;&gt;""))&gt;0),-500,VLOOKUP($F246,Lists!$L$2:$M$4,2,FALSE)+IF($E246="In Progress",10,0)+IF(AND($I246&lt;&gt;"",$I246&lt;TODAY()),25,0)+IF(AND($I246&lt;&gt;"",$I246&gt;=TODAY(),$I246&lt;=TODAY()+7),15,0)+IF($M246&lt;=VLOOKUP(Home!$C$7,Lists!$N$2:$O$6,2,FALSE),20,-10)+IF($G246=Home!$E$7,15,IF(Home!$E$7="",0,-5))-ROW()/100000)))</f>
        <v/>
      </c>
      <c r="O246" s="88">
        <f>IF($D246="","",IF($N246&lt;=-500,"Not recommended right now",IF($E246="Waiting","Nothing else actionable right now — Waiting on: "&amp;IF($K246="","this item",$K246),TEXTJOIN(" • ",TRUE,IF($F246="High","High Priority",""),IF(AND($I246&lt;&gt;"",$I246&lt;TODAY()),"Overdue",""),IF(AND($I246&lt;&gt;"",$I246&gt;=TODAY(),$I246&lt;=TODAY()+7),"Due This Week",""),IF($M246&lt;=VLOOKUP(Home!$C$7,Lists!$N$2:$O$6,2,FALSE),$H246&amp;" Task",""),IF($G246=Home!$E$7,"Fits Current Energy",""),"No Blockers"))))</f>
        <v/>
      </c>
      <c r="P246" s="88">
        <f>IF($D246="","",SWITCH('Task Finder'!$C$6,"High Priority",AND($F246="High",$E246&lt;&gt;"Done",$E246&lt;&gt;"Archive"),"Due This Week",AND($I246&lt;&gt;"",$I246&gt;=TODAY(),$I246&lt;=TODAY()+7,$E246&lt;&gt;"Done"),"Quick Wins (15 mins or less)",AND($M246&lt;=15,$E246&lt;&gt;"Done",$E246&lt;&gt;"Blocked"),"Deep Thinking",AND($G246="Deep Thinking",$E246&lt;&gt;"Done"),"Processing",AND($G246="Processing",$E246&lt;&gt;"Done"),"Blocked",$E246="Blocked","Waiting",$E246="Waiting","Recently Updated",AND($L246&lt;&gt;"",$L246&gt;=TODAY()-7),"Keyword",AND('Task Finder'!$C$7&lt;&gt;"",OR(ISNUMBER(SEARCH('Task Finder'!$C$7,$A246)),ISNUMBER(SEARCH('Task Finder'!$C$7,$B246)),ISNUMBER(SEARCH('Task Finder'!$C$7,$C246)),ISNUMBER(SEARCH('Task Finder'!$C$7,$D246)),ISNUMBER(SEARCH('Task Finder'!$C$7,$K246)))),TRUE))</f>
        <v/>
      </c>
    </row>
    <row r="247">
      <c r="A247" s="19" t="n"/>
      <c r="B247" s="19" t="n"/>
      <c r="C247" s="19" t="n"/>
      <c r="D247" s="19" t="n"/>
      <c r="E247" s="19" t="n"/>
      <c r="F247" s="19" t="n"/>
      <c r="G247" s="19" t="n"/>
      <c r="H247" s="19" t="n"/>
      <c r="I247" s="19" t="n"/>
      <c r="J247" s="19" t="n"/>
      <c r="K247" s="19" t="n"/>
      <c r="L247" s="125" t="n"/>
      <c r="M247" s="88">
        <f>IF($D247="","",IFERROR(VLOOKUP($H247,Lists!$N$2:$O$6,2,FALSE),0))</f>
        <v/>
      </c>
      <c r="N247" s="88">
        <f>IF($D247="","",IF(OR($E247="Blocked",$E247="Done",$E247="Archive"),-9999,IF(AND($E247="Waiting",SUMPRODUCT((($E$5:$E$500="Next")+($E$5:$E$500="In Progress")+($E$5:$E$500="Captured"))*($D$5:$D$500&lt;&gt;""))&gt;0),-500,VLOOKUP($F247,Lists!$L$2:$M$4,2,FALSE)+IF($E247="In Progress",10,0)+IF(AND($I247&lt;&gt;"",$I247&lt;TODAY()),25,0)+IF(AND($I247&lt;&gt;"",$I247&gt;=TODAY(),$I247&lt;=TODAY()+7),15,0)+IF($M247&lt;=VLOOKUP(Home!$C$7,Lists!$N$2:$O$6,2,FALSE),20,-10)+IF($G247=Home!$E$7,15,IF(Home!$E$7="",0,-5))-ROW()/100000)))</f>
        <v/>
      </c>
      <c r="O247" s="88">
        <f>IF($D247="","",IF($N247&lt;=-500,"Not recommended right now",IF($E247="Waiting","Nothing else actionable right now — Waiting on: "&amp;IF($K247="","this item",$K247),TEXTJOIN(" • ",TRUE,IF($F247="High","High Priority",""),IF(AND($I247&lt;&gt;"",$I247&lt;TODAY()),"Overdue",""),IF(AND($I247&lt;&gt;"",$I247&gt;=TODAY(),$I247&lt;=TODAY()+7),"Due This Week",""),IF($M247&lt;=VLOOKUP(Home!$C$7,Lists!$N$2:$O$6,2,FALSE),$H247&amp;" Task",""),IF($G247=Home!$E$7,"Fits Current Energy",""),"No Blockers"))))</f>
        <v/>
      </c>
      <c r="P247" s="88">
        <f>IF($D247="","",SWITCH('Task Finder'!$C$6,"High Priority",AND($F247="High",$E247&lt;&gt;"Done",$E247&lt;&gt;"Archive"),"Due This Week",AND($I247&lt;&gt;"",$I247&gt;=TODAY(),$I247&lt;=TODAY()+7,$E247&lt;&gt;"Done"),"Quick Wins (15 mins or less)",AND($M247&lt;=15,$E247&lt;&gt;"Done",$E247&lt;&gt;"Blocked"),"Deep Thinking",AND($G247="Deep Thinking",$E247&lt;&gt;"Done"),"Processing",AND($G247="Processing",$E247&lt;&gt;"Done"),"Blocked",$E247="Blocked","Waiting",$E247="Waiting","Recently Updated",AND($L247&lt;&gt;"",$L247&gt;=TODAY()-7),"Keyword",AND('Task Finder'!$C$7&lt;&gt;"",OR(ISNUMBER(SEARCH('Task Finder'!$C$7,$A247)),ISNUMBER(SEARCH('Task Finder'!$C$7,$B247)),ISNUMBER(SEARCH('Task Finder'!$C$7,$C247)),ISNUMBER(SEARCH('Task Finder'!$C$7,$D247)),ISNUMBER(SEARCH('Task Finder'!$C$7,$K247)))),TRUE))</f>
        <v/>
      </c>
    </row>
    <row r="248">
      <c r="A248" s="19" t="n"/>
      <c r="B248" s="19" t="n"/>
      <c r="C248" s="19" t="n"/>
      <c r="D248" s="19" t="n"/>
      <c r="E248" s="19" t="n"/>
      <c r="F248" s="19" t="n"/>
      <c r="G248" s="19" t="n"/>
      <c r="H248" s="19" t="n"/>
      <c r="I248" s="19" t="n"/>
      <c r="J248" s="19" t="n"/>
      <c r="K248" s="19" t="n"/>
      <c r="L248" s="125" t="n"/>
      <c r="M248" s="88">
        <f>IF($D248="","",IFERROR(VLOOKUP($H248,Lists!$N$2:$O$6,2,FALSE),0))</f>
        <v/>
      </c>
      <c r="N248" s="88">
        <f>IF($D248="","",IF(OR($E248="Blocked",$E248="Done",$E248="Archive"),-9999,IF(AND($E248="Waiting",SUMPRODUCT((($E$5:$E$500="Next")+($E$5:$E$500="In Progress")+($E$5:$E$500="Captured"))*($D$5:$D$500&lt;&gt;""))&gt;0),-500,VLOOKUP($F248,Lists!$L$2:$M$4,2,FALSE)+IF($E248="In Progress",10,0)+IF(AND($I248&lt;&gt;"",$I248&lt;TODAY()),25,0)+IF(AND($I248&lt;&gt;"",$I248&gt;=TODAY(),$I248&lt;=TODAY()+7),15,0)+IF($M248&lt;=VLOOKUP(Home!$C$7,Lists!$N$2:$O$6,2,FALSE),20,-10)+IF($G248=Home!$E$7,15,IF(Home!$E$7="",0,-5))-ROW()/100000)))</f>
        <v/>
      </c>
      <c r="O248" s="88">
        <f>IF($D248="","",IF($N248&lt;=-500,"Not recommended right now",IF($E248="Waiting","Nothing else actionable right now — Waiting on: "&amp;IF($K248="","this item",$K248),TEXTJOIN(" • ",TRUE,IF($F248="High","High Priority",""),IF(AND($I248&lt;&gt;"",$I248&lt;TODAY()),"Overdue",""),IF(AND($I248&lt;&gt;"",$I248&gt;=TODAY(),$I248&lt;=TODAY()+7),"Due This Week",""),IF($M248&lt;=VLOOKUP(Home!$C$7,Lists!$N$2:$O$6,2,FALSE),$H248&amp;" Task",""),IF($G248=Home!$E$7,"Fits Current Energy",""),"No Blockers"))))</f>
        <v/>
      </c>
      <c r="P248" s="88">
        <f>IF($D248="","",SWITCH('Task Finder'!$C$6,"High Priority",AND($F248="High",$E248&lt;&gt;"Done",$E248&lt;&gt;"Archive"),"Due This Week",AND($I248&lt;&gt;"",$I248&gt;=TODAY(),$I248&lt;=TODAY()+7,$E248&lt;&gt;"Done"),"Quick Wins (15 mins or less)",AND($M248&lt;=15,$E248&lt;&gt;"Done",$E248&lt;&gt;"Blocked"),"Deep Thinking",AND($G248="Deep Thinking",$E248&lt;&gt;"Done"),"Processing",AND($G248="Processing",$E248&lt;&gt;"Done"),"Blocked",$E248="Blocked","Waiting",$E248="Waiting","Recently Updated",AND($L248&lt;&gt;"",$L248&gt;=TODAY()-7),"Keyword",AND('Task Finder'!$C$7&lt;&gt;"",OR(ISNUMBER(SEARCH('Task Finder'!$C$7,$A248)),ISNUMBER(SEARCH('Task Finder'!$C$7,$B248)),ISNUMBER(SEARCH('Task Finder'!$C$7,$C248)),ISNUMBER(SEARCH('Task Finder'!$C$7,$D248)),ISNUMBER(SEARCH('Task Finder'!$C$7,$K248)))),TRUE))</f>
        <v/>
      </c>
    </row>
    <row r="249">
      <c r="A249" s="19" t="n"/>
      <c r="B249" s="19" t="n"/>
      <c r="C249" s="19" t="n"/>
      <c r="D249" s="19" t="n"/>
      <c r="E249" s="19" t="n"/>
      <c r="F249" s="19" t="n"/>
      <c r="G249" s="19" t="n"/>
      <c r="H249" s="19" t="n"/>
      <c r="I249" s="19" t="n"/>
      <c r="J249" s="19" t="n"/>
      <c r="K249" s="19" t="n"/>
      <c r="L249" s="125" t="n"/>
      <c r="M249" s="88">
        <f>IF($D249="","",IFERROR(VLOOKUP($H249,Lists!$N$2:$O$6,2,FALSE),0))</f>
        <v/>
      </c>
      <c r="N249" s="88">
        <f>IF($D249="","",IF(OR($E249="Blocked",$E249="Done",$E249="Archive"),-9999,IF(AND($E249="Waiting",SUMPRODUCT((($E$5:$E$500="Next")+($E$5:$E$500="In Progress")+($E$5:$E$500="Captured"))*($D$5:$D$500&lt;&gt;""))&gt;0),-500,VLOOKUP($F249,Lists!$L$2:$M$4,2,FALSE)+IF($E249="In Progress",10,0)+IF(AND($I249&lt;&gt;"",$I249&lt;TODAY()),25,0)+IF(AND($I249&lt;&gt;"",$I249&gt;=TODAY(),$I249&lt;=TODAY()+7),15,0)+IF($M249&lt;=VLOOKUP(Home!$C$7,Lists!$N$2:$O$6,2,FALSE),20,-10)+IF($G249=Home!$E$7,15,IF(Home!$E$7="",0,-5))-ROW()/100000)))</f>
        <v/>
      </c>
      <c r="O249" s="88">
        <f>IF($D249="","",IF($N249&lt;=-500,"Not recommended right now",IF($E249="Waiting","Nothing else actionable right now — Waiting on: "&amp;IF($K249="","this item",$K249),TEXTJOIN(" • ",TRUE,IF($F249="High","High Priority",""),IF(AND($I249&lt;&gt;"",$I249&lt;TODAY()),"Overdue",""),IF(AND($I249&lt;&gt;"",$I249&gt;=TODAY(),$I249&lt;=TODAY()+7),"Due This Week",""),IF($M249&lt;=VLOOKUP(Home!$C$7,Lists!$N$2:$O$6,2,FALSE),$H249&amp;" Task",""),IF($G249=Home!$E$7,"Fits Current Energy",""),"No Blockers"))))</f>
        <v/>
      </c>
      <c r="P249" s="88">
        <f>IF($D249="","",SWITCH('Task Finder'!$C$6,"High Priority",AND($F249="High",$E249&lt;&gt;"Done",$E249&lt;&gt;"Archive"),"Due This Week",AND($I249&lt;&gt;"",$I249&gt;=TODAY(),$I249&lt;=TODAY()+7,$E249&lt;&gt;"Done"),"Quick Wins (15 mins or less)",AND($M249&lt;=15,$E249&lt;&gt;"Done",$E249&lt;&gt;"Blocked"),"Deep Thinking",AND($G249="Deep Thinking",$E249&lt;&gt;"Done"),"Processing",AND($G249="Processing",$E249&lt;&gt;"Done"),"Blocked",$E249="Blocked","Waiting",$E249="Waiting","Recently Updated",AND($L249&lt;&gt;"",$L249&gt;=TODAY()-7),"Keyword",AND('Task Finder'!$C$7&lt;&gt;"",OR(ISNUMBER(SEARCH('Task Finder'!$C$7,$A249)),ISNUMBER(SEARCH('Task Finder'!$C$7,$B249)),ISNUMBER(SEARCH('Task Finder'!$C$7,$C249)),ISNUMBER(SEARCH('Task Finder'!$C$7,$D249)),ISNUMBER(SEARCH('Task Finder'!$C$7,$K249)))),TRUE))</f>
        <v/>
      </c>
    </row>
    <row r="250">
      <c r="A250" s="19" t="n"/>
      <c r="B250" s="19" t="n"/>
      <c r="C250" s="19" t="n"/>
      <c r="D250" s="19" t="n"/>
      <c r="E250" s="19" t="n"/>
      <c r="F250" s="19" t="n"/>
      <c r="G250" s="19" t="n"/>
      <c r="H250" s="19" t="n"/>
      <c r="I250" s="19" t="n"/>
      <c r="J250" s="19" t="n"/>
      <c r="K250" s="19" t="n"/>
      <c r="L250" s="125" t="n"/>
      <c r="M250" s="88">
        <f>IF($D250="","",IFERROR(VLOOKUP($H250,Lists!$N$2:$O$6,2,FALSE),0))</f>
        <v/>
      </c>
      <c r="N250" s="88">
        <f>IF($D250="","",IF(OR($E250="Blocked",$E250="Done",$E250="Archive"),-9999,IF(AND($E250="Waiting",SUMPRODUCT((($E$5:$E$500="Next")+($E$5:$E$500="In Progress")+($E$5:$E$500="Captured"))*($D$5:$D$500&lt;&gt;""))&gt;0),-500,VLOOKUP($F250,Lists!$L$2:$M$4,2,FALSE)+IF($E250="In Progress",10,0)+IF(AND($I250&lt;&gt;"",$I250&lt;TODAY()),25,0)+IF(AND($I250&lt;&gt;"",$I250&gt;=TODAY(),$I250&lt;=TODAY()+7),15,0)+IF($M250&lt;=VLOOKUP(Home!$C$7,Lists!$N$2:$O$6,2,FALSE),20,-10)+IF($G250=Home!$E$7,15,IF(Home!$E$7="",0,-5))-ROW()/100000)))</f>
        <v/>
      </c>
      <c r="O250" s="88">
        <f>IF($D250="","",IF($N250&lt;=-500,"Not recommended right now",IF($E250="Waiting","Nothing else actionable right now — Waiting on: "&amp;IF($K250="","this item",$K250),TEXTJOIN(" • ",TRUE,IF($F250="High","High Priority",""),IF(AND($I250&lt;&gt;"",$I250&lt;TODAY()),"Overdue",""),IF(AND($I250&lt;&gt;"",$I250&gt;=TODAY(),$I250&lt;=TODAY()+7),"Due This Week",""),IF($M250&lt;=VLOOKUP(Home!$C$7,Lists!$N$2:$O$6,2,FALSE),$H250&amp;" Task",""),IF($G250=Home!$E$7,"Fits Current Energy",""),"No Blockers"))))</f>
        <v/>
      </c>
      <c r="P250" s="88">
        <f>IF($D250="","",SWITCH('Task Finder'!$C$6,"High Priority",AND($F250="High",$E250&lt;&gt;"Done",$E250&lt;&gt;"Archive"),"Due This Week",AND($I250&lt;&gt;"",$I250&gt;=TODAY(),$I250&lt;=TODAY()+7,$E250&lt;&gt;"Done"),"Quick Wins (15 mins or less)",AND($M250&lt;=15,$E250&lt;&gt;"Done",$E250&lt;&gt;"Blocked"),"Deep Thinking",AND($G250="Deep Thinking",$E250&lt;&gt;"Done"),"Processing",AND($G250="Processing",$E250&lt;&gt;"Done"),"Blocked",$E250="Blocked","Waiting",$E250="Waiting","Recently Updated",AND($L250&lt;&gt;"",$L250&gt;=TODAY()-7),"Keyword",AND('Task Finder'!$C$7&lt;&gt;"",OR(ISNUMBER(SEARCH('Task Finder'!$C$7,$A250)),ISNUMBER(SEARCH('Task Finder'!$C$7,$B250)),ISNUMBER(SEARCH('Task Finder'!$C$7,$C250)),ISNUMBER(SEARCH('Task Finder'!$C$7,$D250)),ISNUMBER(SEARCH('Task Finder'!$C$7,$K250)))),TRUE))</f>
        <v/>
      </c>
    </row>
    <row r="251">
      <c r="A251" s="19" t="n"/>
      <c r="B251" s="19" t="n"/>
      <c r="C251" s="19" t="n"/>
      <c r="D251" s="19" t="n"/>
      <c r="E251" s="19" t="n"/>
      <c r="F251" s="19" t="n"/>
      <c r="G251" s="19" t="n"/>
      <c r="H251" s="19" t="n"/>
      <c r="I251" s="19" t="n"/>
      <c r="J251" s="19" t="n"/>
      <c r="K251" s="19" t="n"/>
      <c r="L251" s="125" t="n"/>
      <c r="M251" s="88">
        <f>IF($D251="","",IFERROR(VLOOKUP($H251,Lists!$N$2:$O$6,2,FALSE),0))</f>
        <v/>
      </c>
      <c r="N251" s="88">
        <f>IF($D251="","",IF(OR($E251="Blocked",$E251="Done",$E251="Archive"),-9999,IF(AND($E251="Waiting",SUMPRODUCT((($E$5:$E$500="Next")+($E$5:$E$500="In Progress")+($E$5:$E$500="Captured"))*($D$5:$D$500&lt;&gt;""))&gt;0),-500,VLOOKUP($F251,Lists!$L$2:$M$4,2,FALSE)+IF($E251="In Progress",10,0)+IF(AND($I251&lt;&gt;"",$I251&lt;TODAY()),25,0)+IF(AND($I251&lt;&gt;"",$I251&gt;=TODAY(),$I251&lt;=TODAY()+7),15,0)+IF($M251&lt;=VLOOKUP(Home!$C$7,Lists!$N$2:$O$6,2,FALSE),20,-10)+IF($G251=Home!$E$7,15,IF(Home!$E$7="",0,-5))-ROW()/100000)))</f>
        <v/>
      </c>
      <c r="O251" s="88">
        <f>IF($D251="","",IF($N251&lt;=-500,"Not recommended right now",IF($E251="Waiting","Nothing else actionable right now — Waiting on: "&amp;IF($K251="","this item",$K251),TEXTJOIN(" • ",TRUE,IF($F251="High","High Priority",""),IF(AND($I251&lt;&gt;"",$I251&lt;TODAY()),"Overdue",""),IF(AND($I251&lt;&gt;"",$I251&gt;=TODAY(),$I251&lt;=TODAY()+7),"Due This Week",""),IF($M251&lt;=VLOOKUP(Home!$C$7,Lists!$N$2:$O$6,2,FALSE),$H251&amp;" Task",""),IF($G251=Home!$E$7,"Fits Current Energy",""),"No Blockers"))))</f>
        <v/>
      </c>
      <c r="P251" s="88">
        <f>IF($D251="","",SWITCH('Task Finder'!$C$6,"High Priority",AND($F251="High",$E251&lt;&gt;"Done",$E251&lt;&gt;"Archive"),"Due This Week",AND($I251&lt;&gt;"",$I251&gt;=TODAY(),$I251&lt;=TODAY()+7,$E251&lt;&gt;"Done"),"Quick Wins (15 mins or less)",AND($M251&lt;=15,$E251&lt;&gt;"Done",$E251&lt;&gt;"Blocked"),"Deep Thinking",AND($G251="Deep Thinking",$E251&lt;&gt;"Done"),"Processing",AND($G251="Processing",$E251&lt;&gt;"Done"),"Blocked",$E251="Blocked","Waiting",$E251="Waiting","Recently Updated",AND($L251&lt;&gt;"",$L251&gt;=TODAY()-7),"Keyword",AND('Task Finder'!$C$7&lt;&gt;"",OR(ISNUMBER(SEARCH('Task Finder'!$C$7,$A251)),ISNUMBER(SEARCH('Task Finder'!$C$7,$B251)),ISNUMBER(SEARCH('Task Finder'!$C$7,$C251)),ISNUMBER(SEARCH('Task Finder'!$C$7,$D251)),ISNUMBER(SEARCH('Task Finder'!$C$7,$K251)))),TRUE))</f>
        <v/>
      </c>
    </row>
    <row r="252">
      <c r="A252" s="19" t="n"/>
      <c r="B252" s="19" t="n"/>
      <c r="C252" s="19" t="n"/>
      <c r="D252" s="19" t="n"/>
      <c r="E252" s="19" t="n"/>
      <c r="F252" s="19" t="n"/>
      <c r="G252" s="19" t="n"/>
      <c r="H252" s="19" t="n"/>
      <c r="I252" s="19" t="n"/>
      <c r="J252" s="19" t="n"/>
      <c r="K252" s="19" t="n"/>
      <c r="L252" s="125" t="n"/>
      <c r="M252" s="88">
        <f>IF($D252="","",IFERROR(VLOOKUP($H252,Lists!$N$2:$O$6,2,FALSE),0))</f>
        <v/>
      </c>
      <c r="N252" s="88">
        <f>IF($D252="","",IF(OR($E252="Blocked",$E252="Done",$E252="Archive"),-9999,IF(AND($E252="Waiting",SUMPRODUCT((($E$5:$E$500="Next")+($E$5:$E$500="In Progress")+($E$5:$E$500="Captured"))*($D$5:$D$500&lt;&gt;""))&gt;0),-500,VLOOKUP($F252,Lists!$L$2:$M$4,2,FALSE)+IF($E252="In Progress",10,0)+IF(AND($I252&lt;&gt;"",$I252&lt;TODAY()),25,0)+IF(AND($I252&lt;&gt;"",$I252&gt;=TODAY(),$I252&lt;=TODAY()+7),15,0)+IF($M252&lt;=VLOOKUP(Home!$C$7,Lists!$N$2:$O$6,2,FALSE),20,-10)+IF($G252=Home!$E$7,15,IF(Home!$E$7="",0,-5))-ROW()/100000)))</f>
        <v/>
      </c>
      <c r="O252" s="88">
        <f>IF($D252="","",IF($N252&lt;=-500,"Not recommended right now",IF($E252="Waiting","Nothing else actionable right now — Waiting on: "&amp;IF($K252="","this item",$K252),TEXTJOIN(" • ",TRUE,IF($F252="High","High Priority",""),IF(AND($I252&lt;&gt;"",$I252&lt;TODAY()),"Overdue",""),IF(AND($I252&lt;&gt;"",$I252&gt;=TODAY(),$I252&lt;=TODAY()+7),"Due This Week",""),IF($M252&lt;=VLOOKUP(Home!$C$7,Lists!$N$2:$O$6,2,FALSE),$H252&amp;" Task",""),IF($G252=Home!$E$7,"Fits Current Energy",""),"No Blockers"))))</f>
        <v/>
      </c>
      <c r="P252" s="88">
        <f>IF($D252="","",SWITCH('Task Finder'!$C$6,"High Priority",AND($F252="High",$E252&lt;&gt;"Done",$E252&lt;&gt;"Archive"),"Due This Week",AND($I252&lt;&gt;"",$I252&gt;=TODAY(),$I252&lt;=TODAY()+7,$E252&lt;&gt;"Done"),"Quick Wins (15 mins or less)",AND($M252&lt;=15,$E252&lt;&gt;"Done",$E252&lt;&gt;"Blocked"),"Deep Thinking",AND($G252="Deep Thinking",$E252&lt;&gt;"Done"),"Processing",AND($G252="Processing",$E252&lt;&gt;"Done"),"Blocked",$E252="Blocked","Waiting",$E252="Waiting","Recently Updated",AND($L252&lt;&gt;"",$L252&gt;=TODAY()-7),"Keyword",AND('Task Finder'!$C$7&lt;&gt;"",OR(ISNUMBER(SEARCH('Task Finder'!$C$7,$A252)),ISNUMBER(SEARCH('Task Finder'!$C$7,$B252)),ISNUMBER(SEARCH('Task Finder'!$C$7,$C252)),ISNUMBER(SEARCH('Task Finder'!$C$7,$D252)),ISNUMBER(SEARCH('Task Finder'!$C$7,$K252)))),TRUE))</f>
        <v/>
      </c>
    </row>
    <row r="253">
      <c r="A253" s="19" t="n"/>
      <c r="B253" s="19" t="n"/>
      <c r="C253" s="19" t="n"/>
      <c r="D253" s="19" t="n"/>
      <c r="E253" s="19" t="n"/>
      <c r="F253" s="19" t="n"/>
      <c r="G253" s="19" t="n"/>
      <c r="H253" s="19" t="n"/>
      <c r="I253" s="19" t="n"/>
      <c r="J253" s="19" t="n"/>
      <c r="K253" s="19" t="n"/>
      <c r="L253" s="125" t="n"/>
      <c r="M253" s="88">
        <f>IF($D253="","",IFERROR(VLOOKUP($H253,Lists!$N$2:$O$6,2,FALSE),0))</f>
        <v/>
      </c>
      <c r="N253" s="88">
        <f>IF($D253="","",IF(OR($E253="Blocked",$E253="Done",$E253="Archive"),-9999,IF(AND($E253="Waiting",SUMPRODUCT((($E$5:$E$500="Next")+($E$5:$E$500="In Progress")+($E$5:$E$500="Captured"))*($D$5:$D$500&lt;&gt;""))&gt;0),-500,VLOOKUP($F253,Lists!$L$2:$M$4,2,FALSE)+IF($E253="In Progress",10,0)+IF(AND($I253&lt;&gt;"",$I253&lt;TODAY()),25,0)+IF(AND($I253&lt;&gt;"",$I253&gt;=TODAY(),$I253&lt;=TODAY()+7),15,0)+IF($M253&lt;=VLOOKUP(Home!$C$7,Lists!$N$2:$O$6,2,FALSE),20,-10)+IF($G253=Home!$E$7,15,IF(Home!$E$7="",0,-5))-ROW()/100000)))</f>
        <v/>
      </c>
      <c r="O253" s="88">
        <f>IF($D253="","",IF($N253&lt;=-500,"Not recommended right now",IF($E253="Waiting","Nothing else actionable right now — Waiting on: "&amp;IF($K253="","this item",$K253),TEXTJOIN(" • ",TRUE,IF($F253="High","High Priority",""),IF(AND($I253&lt;&gt;"",$I253&lt;TODAY()),"Overdue",""),IF(AND($I253&lt;&gt;"",$I253&gt;=TODAY(),$I253&lt;=TODAY()+7),"Due This Week",""),IF($M253&lt;=VLOOKUP(Home!$C$7,Lists!$N$2:$O$6,2,FALSE),$H253&amp;" Task",""),IF($G253=Home!$E$7,"Fits Current Energy",""),"No Blockers"))))</f>
        <v/>
      </c>
      <c r="P253" s="88">
        <f>IF($D253="","",SWITCH('Task Finder'!$C$6,"High Priority",AND($F253="High",$E253&lt;&gt;"Done",$E253&lt;&gt;"Archive"),"Due This Week",AND($I253&lt;&gt;"",$I253&gt;=TODAY(),$I253&lt;=TODAY()+7,$E253&lt;&gt;"Done"),"Quick Wins (15 mins or less)",AND($M253&lt;=15,$E253&lt;&gt;"Done",$E253&lt;&gt;"Blocked"),"Deep Thinking",AND($G253="Deep Thinking",$E253&lt;&gt;"Done"),"Processing",AND($G253="Processing",$E253&lt;&gt;"Done"),"Blocked",$E253="Blocked","Waiting",$E253="Waiting","Recently Updated",AND($L253&lt;&gt;"",$L253&gt;=TODAY()-7),"Keyword",AND('Task Finder'!$C$7&lt;&gt;"",OR(ISNUMBER(SEARCH('Task Finder'!$C$7,$A253)),ISNUMBER(SEARCH('Task Finder'!$C$7,$B253)),ISNUMBER(SEARCH('Task Finder'!$C$7,$C253)),ISNUMBER(SEARCH('Task Finder'!$C$7,$D253)),ISNUMBER(SEARCH('Task Finder'!$C$7,$K253)))),TRUE))</f>
        <v/>
      </c>
    </row>
    <row r="254">
      <c r="A254" s="19" t="n"/>
      <c r="B254" s="19" t="n"/>
      <c r="C254" s="19" t="n"/>
      <c r="D254" s="19" t="n"/>
      <c r="E254" s="19" t="n"/>
      <c r="F254" s="19" t="n"/>
      <c r="G254" s="19" t="n"/>
      <c r="H254" s="19" t="n"/>
      <c r="I254" s="19" t="n"/>
      <c r="J254" s="19" t="n"/>
      <c r="K254" s="19" t="n"/>
      <c r="L254" s="125" t="n"/>
      <c r="M254" s="88">
        <f>IF($D254="","",IFERROR(VLOOKUP($H254,Lists!$N$2:$O$6,2,FALSE),0))</f>
        <v/>
      </c>
      <c r="N254" s="88">
        <f>IF($D254="","",IF(OR($E254="Blocked",$E254="Done",$E254="Archive"),-9999,IF(AND($E254="Waiting",SUMPRODUCT((($E$5:$E$500="Next")+($E$5:$E$500="In Progress")+($E$5:$E$500="Captured"))*($D$5:$D$500&lt;&gt;""))&gt;0),-500,VLOOKUP($F254,Lists!$L$2:$M$4,2,FALSE)+IF($E254="In Progress",10,0)+IF(AND($I254&lt;&gt;"",$I254&lt;TODAY()),25,0)+IF(AND($I254&lt;&gt;"",$I254&gt;=TODAY(),$I254&lt;=TODAY()+7),15,0)+IF($M254&lt;=VLOOKUP(Home!$C$7,Lists!$N$2:$O$6,2,FALSE),20,-10)+IF($G254=Home!$E$7,15,IF(Home!$E$7="",0,-5))-ROW()/100000)))</f>
        <v/>
      </c>
      <c r="O254" s="88">
        <f>IF($D254="","",IF($N254&lt;=-500,"Not recommended right now",IF($E254="Waiting","Nothing else actionable right now — Waiting on: "&amp;IF($K254="","this item",$K254),TEXTJOIN(" • ",TRUE,IF($F254="High","High Priority",""),IF(AND($I254&lt;&gt;"",$I254&lt;TODAY()),"Overdue",""),IF(AND($I254&lt;&gt;"",$I254&gt;=TODAY(),$I254&lt;=TODAY()+7),"Due This Week",""),IF($M254&lt;=VLOOKUP(Home!$C$7,Lists!$N$2:$O$6,2,FALSE),$H254&amp;" Task",""),IF($G254=Home!$E$7,"Fits Current Energy",""),"No Blockers"))))</f>
        <v/>
      </c>
      <c r="P254" s="88">
        <f>IF($D254="","",SWITCH('Task Finder'!$C$6,"High Priority",AND($F254="High",$E254&lt;&gt;"Done",$E254&lt;&gt;"Archive"),"Due This Week",AND($I254&lt;&gt;"",$I254&gt;=TODAY(),$I254&lt;=TODAY()+7,$E254&lt;&gt;"Done"),"Quick Wins (15 mins or less)",AND($M254&lt;=15,$E254&lt;&gt;"Done",$E254&lt;&gt;"Blocked"),"Deep Thinking",AND($G254="Deep Thinking",$E254&lt;&gt;"Done"),"Processing",AND($G254="Processing",$E254&lt;&gt;"Done"),"Blocked",$E254="Blocked","Waiting",$E254="Waiting","Recently Updated",AND($L254&lt;&gt;"",$L254&gt;=TODAY()-7),"Keyword",AND('Task Finder'!$C$7&lt;&gt;"",OR(ISNUMBER(SEARCH('Task Finder'!$C$7,$A254)),ISNUMBER(SEARCH('Task Finder'!$C$7,$B254)),ISNUMBER(SEARCH('Task Finder'!$C$7,$C254)),ISNUMBER(SEARCH('Task Finder'!$C$7,$D254)),ISNUMBER(SEARCH('Task Finder'!$C$7,$K254)))),TRUE))</f>
        <v/>
      </c>
    </row>
    <row r="255">
      <c r="A255" s="19" t="n"/>
      <c r="B255" s="19" t="n"/>
      <c r="C255" s="19" t="n"/>
      <c r="D255" s="19" t="n"/>
      <c r="E255" s="19" t="n"/>
      <c r="F255" s="19" t="n"/>
      <c r="G255" s="19" t="n"/>
      <c r="H255" s="19" t="n"/>
      <c r="I255" s="19" t="n"/>
      <c r="J255" s="19" t="n"/>
      <c r="K255" s="19" t="n"/>
      <c r="L255" s="125" t="n"/>
      <c r="M255" s="88">
        <f>IF($D255="","",IFERROR(VLOOKUP($H255,Lists!$N$2:$O$6,2,FALSE),0))</f>
        <v/>
      </c>
      <c r="N255" s="88">
        <f>IF($D255="","",IF(OR($E255="Blocked",$E255="Done",$E255="Archive"),-9999,IF(AND($E255="Waiting",SUMPRODUCT((($E$5:$E$500="Next")+($E$5:$E$500="In Progress")+($E$5:$E$500="Captured"))*($D$5:$D$500&lt;&gt;""))&gt;0),-500,VLOOKUP($F255,Lists!$L$2:$M$4,2,FALSE)+IF($E255="In Progress",10,0)+IF(AND($I255&lt;&gt;"",$I255&lt;TODAY()),25,0)+IF(AND($I255&lt;&gt;"",$I255&gt;=TODAY(),$I255&lt;=TODAY()+7),15,0)+IF($M255&lt;=VLOOKUP(Home!$C$7,Lists!$N$2:$O$6,2,FALSE),20,-10)+IF($G255=Home!$E$7,15,IF(Home!$E$7="",0,-5))-ROW()/100000)))</f>
        <v/>
      </c>
      <c r="O255" s="88">
        <f>IF($D255="","",IF($N255&lt;=-500,"Not recommended right now",IF($E255="Waiting","Nothing else actionable right now — Waiting on: "&amp;IF($K255="","this item",$K255),TEXTJOIN(" • ",TRUE,IF($F255="High","High Priority",""),IF(AND($I255&lt;&gt;"",$I255&lt;TODAY()),"Overdue",""),IF(AND($I255&lt;&gt;"",$I255&gt;=TODAY(),$I255&lt;=TODAY()+7),"Due This Week",""),IF($M255&lt;=VLOOKUP(Home!$C$7,Lists!$N$2:$O$6,2,FALSE),$H255&amp;" Task",""),IF($G255=Home!$E$7,"Fits Current Energy",""),"No Blockers"))))</f>
        <v/>
      </c>
      <c r="P255" s="88">
        <f>IF($D255="","",SWITCH('Task Finder'!$C$6,"High Priority",AND($F255="High",$E255&lt;&gt;"Done",$E255&lt;&gt;"Archive"),"Due This Week",AND($I255&lt;&gt;"",$I255&gt;=TODAY(),$I255&lt;=TODAY()+7,$E255&lt;&gt;"Done"),"Quick Wins (15 mins or less)",AND($M255&lt;=15,$E255&lt;&gt;"Done",$E255&lt;&gt;"Blocked"),"Deep Thinking",AND($G255="Deep Thinking",$E255&lt;&gt;"Done"),"Processing",AND($G255="Processing",$E255&lt;&gt;"Done"),"Blocked",$E255="Blocked","Waiting",$E255="Waiting","Recently Updated",AND($L255&lt;&gt;"",$L255&gt;=TODAY()-7),"Keyword",AND('Task Finder'!$C$7&lt;&gt;"",OR(ISNUMBER(SEARCH('Task Finder'!$C$7,$A255)),ISNUMBER(SEARCH('Task Finder'!$C$7,$B255)),ISNUMBER(SEARCH('Task Finder'!$C$7,$C255)),ISNUMBER(SEARCH('Task Finder'!$C$7,$D255)),ISNUMBER(SEARCH('Task Finder'!$C$7,$K255)))),TRUE))</f>
        <v/>
      </c>
    </row>
    <row r="256">
      <c r="A256" s="19" t="n"/>
      <c r="B256" s="19" t="n"/>
      <c r="C256" s="19" t="n"/>
      <c r="D256" s="19" t="n"/>
      <c r="E256" s="19" t="n"/>
      <c r="F256" s="19" t="n"/>
      <c r="G256" s="19" t="n"/>
      <c r="H256" s="19" t="n"/>
      <c r="I256" s="19" t="n"/>
      <c r="J256" s="19" t="n"/>
      <c r="K256" s="19" t="n"/>
      <c r="L256" s="125" t="n"/>
      <c r="M256" s="88">
        <f>IF($D256="","",IFERROR(VLOOKUP($H256,Lists!$N$2:$O$6,2,FALSE),0))</f>
        <v/>
      </c>
      <c r="N256" s="88">
        <f>IF($D256="","",IF(OR($E256="Blocked",$E256="Done",$E256="Archive"),-9999,IF(AND($E256="Waiting",SUMPRODUCT((($E$5:$E$500="Next")+($E$5:$E$500="In Progress")+($E$5:$E$500="Captured"))*($D$5:$D$500&lt;&gt;""))&gt;0),-500,VLOOKUP($F256,Lists!$L$2:$M$4,2,FALSE)+IF($E256="In Progress",10,0)+IF(AND($I256&lt;&gt;"",$I256&lt;TODAY()),25,0)+IF(AND($I256&lt;&gt;"",$I256&gt;=TODAY(),$I256&lt;=TODAY()+7),15,0)+IF($M256&lt;=VLOOKUP(Home!$C$7,Lists!$N$2:$O$6,2,FALSE),20,-10)+IF($G256=Home!$E$7,15,IF(Home!$E$7="",0,-5))-ROW()/100000)))</f>
        <v/>
      </c>
      <c r="O256" s="88">
        <f>IF($D256="","",IF($N256&lt;=-500,"Not recommended right now",IF($E256="Waiting","Nothing else actionable right now — Waiting on: "&amp;IF($K256="","this item",$K256),TEXTJOIN(" • ",TRUE,IF($F256="High","High Priority",""),IF(AND($I256&lt;&gt;"",$I256&lt;TODAY()),"Overdue",""),IF(AND($I256&lt;&gt;"",$I256&gt;=TODAY(),$I256&lt;=TODAY()+7),"Due This Week",""),IF($M256&lt;=VLOOKUP(Home!$C$7,Lists!$N$2:$O$6,2,FALSE),$H256&amp;" Task",""),IF($G256=Home!$E$7,"Fits Current Energy",""),"No Blockers"))))</f>
        <v/>
      </c>
      <c r="P256" s="88">
        <f>IF($D256="","",SWITCH('Task Finder'!$C$6,"High Priority",AND($F256="High",$E256&lt;&gt;"Done",$E256&lt;&gt;"Archive"),"Due This Week",AND($I256&lt;&gt;"",$I256&gt;=TODAY(),$I256&lt;=TODAY()+7,$E256&lt;&gt;"Done"),"Quick Wins (15 mins or less)",AND($M256&lt;=15,$E256&lt;&gt;"Done",$E256&lt;&gt;"Blocked"),"Deep Thinking",AND($G256="Deep Thinking",$E256&lt;&gt;"Done"),"Processing",AND($G256="Processing",$E256&lt;&gt;"Done"),"Blocked",$E256="Blocked","Waiting",$E256="Waiting","Recently Updated",AND($L256&lt;&gt;"",$L256&gt;=TODAY()-7),"Keyword",AND('Task Finder'!$C$7&lt;&gt;"",OR(ISNUMBER(SEARCH('Task Finder'!$C$7,$A256)),ISNUMBER(SEARCH('Task Finder'!$C$7,$B256)),ISNUMBER(SEARCH('Task Finder'!$C$7,$C256)),ISNUMBER(SEARCH('Task Finder'!$C$7,$D256)),ISNUMBER(SEARCH('Task Finder'!$C$7,$K256)))),TRUE))</f>
        <v/>
      </c>
    </row>
    <row r="257">
      <c r="A257" s="19" t="n"/>
      <c r="B257" s="19" t="n"/>
      <c r="C257" s="19" t="n"/>
      <c r="D257" s="19" t="n"/>
      <c r="E257" s="19" t="n"/>
      <c r="F257" s="19" t="n"/>
      <c r="G257" s="19" t="n"/>
      <c r="H257" s="19" t="n"/>
      <c r="I257" s="19" t="n"/>
      <c r="J257" s="19" t="n"/>
      <c r="K257" s="19" t="n"/>
      <c r="L257" s="125" t="n"/>
      <c r="M257" s="88">
        <f>IF($D257="","",IFERROR(VLOOKUP($H257,Lists!$N$2:$O$6,2,FALSE),0))</f>
        <v/>
      </c>
      <c r="N257" s="88">
        <f>IF($D257="","",IF(OR($E257="Blocked",$E257="Done",$E257="Archive"),-9999,IF(AND($E257="Waiting",SUMPRODUCT((($E$5:$E$500="Next")+($E$5:$E$500="In Progress")+($E$5:$E$500="Captured"))*($D$5:$D$500&lt;&gt;""))&gt;0),-500,VLOOKUP($F257,Lists!$L$2:$M$4,2,FALSE)+IF($E257="In Progress",10,0)+IF(AND($I257&lt;&gt;"",$I257&lt;TODAY()),25,0)+IF(AND($I257&lt;&gt;"",$I257&gt;=TODAY(),$I257&lt;=TODAY()+7),15,0)+IF($M257&lt;=VLOOKUP(Home!$C$7,Lists!$N$2:$O$6,2,FALSE),20,-10)+IF($G257=Home!$E$7,15,IF(Home!$E$7="",0,-5))-ROW()/100000)))</f>
        <v/>
      </c>
      <c r="O257" s="88">
        <f>IF($D257="","",IF($N257&lt;=-500,"Not recommended right now",IF($E257="Waiting","Nothing else actionable right now — Waiting on: "&amp;IF($K257="","this item",$K257),TEXTJOIN(" • ",TRUE,IF($F257="High","High Priority",""),IF(AND($I257&lt;&gt;"",$I257&lt;TODAY()),"Overdue",""),IF(AND($I257&lt;&gt;"",$I257&gt;=TODAY(),$I257&lt;=TODAY()+7),"Due This Week",""),IF($M257&lt;=VLOOKUP(Home!$C$7,Lists!$N$2:$O$6,2,FALSE),$H257&amp;" Task",""),IF($G257=Home!$E$7,"Fits Current Energy",""),"No Blockers"))))</f>
        <v/>
      </c>
      <c r="P257" s="88">
        <f>IF($D257="","",SWITCH('Task Finder'!$C$6,"High Priority",AND($F257="High",$E257&lt;&gt;"Done",$E257&lt;&gt;"Archive"),"Due This Week",AND($I257&lt;&gt;"",$I257&gt;=TODAY(),$I257&lt;=TODAY()+7,$E257&lt;&gt;"Done"),"Quick Wins (15 mins or less)",AND($M257&lt;=15,$E257&lt;&gt;"Done",$E257&lt;&gt;"Blocked"),"Deep Thinking",AND($G257="Deep Thinking",$E257&lt;&gt;"Done"),"Processing",AND($G257="Processing",$E257&lt;&gt;"Done"),"Blocked",$E257="Blocked","Waiting",$E257="Waiting","Recently Updated",AND($L257&lt;&gt;"",$L257&gt;=TODAY()-7),"Keyword",AND('Task Finder'!$C$7&lt;&gt;"",OR(ISNUMBER(SEARCH('Task Finder'!$C$7,$A257)),ISNUMBER(SEARCH('Task Finder'!$C$7,$B257)),ISNUMBER(SEARCH('Task Finder'!$C$7,$C257)),ISNUMBER(SEARCH('Task Finder'!$C$7,$D257)),ISNUMBER(SEARCH('Task Finder'!$C$7,$K257)))),TRUE))</f>
        <v/>
      </c>
    </row>
    <row r="258">
      <c r="A258" s="19" t="n"/>
      <c r="B258" s="19" t="n"/>
      <c r="C258" s="19" t="n"/>
      <c r="D258" s="19" t="n"/>
      <c r="E258" s="19" t="n"/>
      <c r="F258" s="19" t="n"/>
      <c r="G258" s="19" t="n"/>
      <c r="H258" s="19" t="n"/>
      <c r="I258" s="19" t="n"/>
      <c r="J258" s="19" t="n"/>
      <c r="K258" s="19" t="n"/>
      <c r="L258" s="125" t="n"/>
      <c r="M258" s="88">
        <f>IF($D258="","",IFERROR(VLOOKUP($H258,Lists!$N$2:$O$6,2,FALSE),0))</f>
        <v/>
      </c>
      <c r="N258" s="88">
        <f>IF($D258="","",IF(OR($E258="Blocked",$E258="Done",$E258="Archive"),-9999,IF(AND($E258="Waiting",SUMPRODUCT((($E$5:$E$500="Next")+($E$5:$E$500="In Progress")+($E$5:$E$500="Captured"))*($D$5:$D$500&lt;&gt;""))&gt;0),-500,VLOOKUP($F258,Lists!$L$2:$M$4,2,FALSE)+IF($E258="In Progress",10,0)+IF(AND($I258&lt;&gt;"",$I258&lt;TODAY()),25,0)+IF(AND($I258&lt;&gt;"",$I258&gt;=TODAY(),$I258&lt;=TODAY()+7),15,0)+IF($M258&lt;=VLOOKUP(Home!$C$7,Lists!$N$2:$O$6,2,FALSE),20,-10)+IF($G258=Home!$E$7,15,IF(Home!$E$7="",0,-5))-ROW()/100000)))</f>
        <v/>
      </c>
      <c r="O258" s="88">
        <f>IF($D258="","",IF($N258&lt;=-500,"Not recommended right now",IF($E258="Waiting","Nothing else actionable right now — Waiting on: "&amp;IF($K258="","this item",$K258),TEXTJOIN(" • ",TRUE,IF($F258="High","High Priority",""),IF(AND($I258&lt;&gt;"",$I258&lt;TODAY()),"Overdue",""),IF(AND($I258&lt;&gt;"",$I258&gt;=TODAY(),$I258&lt;=TODAY()+7),"Due This Week",""),IF($M258&lt;=VLOOKUP(Home!$C$7,Lists!$N$2:$O$6,2,FALSE),$H258&amp;" Task",""),IF($G258=Home!$E$7,"Fits Current Energy",""),"No Blockers"))))</f>
        <v/>
      </c>
      <c r="P258" s="88">
        <f>IF($D258="","",SWITCH('Task Finder'!$C$6,"High Priority",AND($F258="High",$E258&lt;&gt;"Done",$E258&lt;&gt;"Archive"),"Due This Week",AND($I258&lt;&gt;"",$I258&gt;=TODAY(),$I258&lt;=TODAY()+7,$E258&lt;&gt;"Done"),"Quick Wins (15 mins or less)",AND($M258&lt;=15,$E258&lt;&gt;"Done",$E258&lt;&gt;"Blocked"),"Deep Thinking",AND($G258="Deep Thinking",$E258&lt;&gt;"Done"),"Processing",AND($G258="Processing",$E258&lt;&gt;"Done"),"Blocked",$E258="Blocked","Waiting",$E258="Waiting","Recently Updated",AND($L258&lt;&gt;"",$L258&gt;=TODAY()-7),"Keyword",AND('Task Finder'!$C$7&lt;&gt;"",OR(ISNUMBER(SEARCH('Task Finder'!$C$7,$A258)),ISNUMBER(SEARCH('Task Finder'!$C$7,$B258)),ISNUMBER(SEARCH('Task Finder'!$C$7,$C258)),ISNUMBER(SEARCH('Task Finder'!$C$7,$D258)),ISNUMBER(SEARCH('Task Finder'!$C$7,$K258)))),TRUE))</f>
        <v/>
      </c>
    </row>
    <row r="259">
      <c r="A259" s="19" t="n"/>
      <c r="B259" s="19" t="n"/>
      <c r="C259" s="19" t="n"/>
      <c r="D259" s="19" t="n"/>
      <c r="E259" s="19" t="n"/>
      <c r="F259" s="19" t="n"/>
      <c r="G259" s="19" t="n"/>
      <c r="H259" s="19" t="n"/>
      <c r="I259" s="19" t="n"/>
      <c r="J259" s="19" t="n"/>
      <c r="K259" s="19" t="n"/>
      <c r="L259" s="125" t="n"/>
      <c r="M259" s="88">
        <f>IF($D259="","",IFERROR(VLOOKUP($H259,Lists!$N$2:$O$6,2,FALSE),0))</f>
        <v/>
      </c>
      <c r="N259" s="88">
        <f>IF($D259="","",IF(OR($E259="Blocked",$E259="Done",$E259="Archive"),-9999,IF(AND($E259="Waiting",SUMPRODUCT((($E$5:$E$500="Next")+($E$5:$E$500="In Progress")+($E$5:$E$500="Captured"))*($D$5:$D$500&lt;&gt;""))&gt;0),-500,VLOOKUP($F259,Lists!$L$2:$M$4,2,FALSE)+IF($E259="In Progress",10,0)+IF(AND($I259&lt;&gt;"",$I259&lt;TODAY()),25,0)+IF(AND($I259&lt;&gt;"",$I259&gt;=TODAY(),$I259&lt;=TODAY()+7),15,0)+IF($M259&lt;=VLOOKUP(Home!$C$7,Lists!$N$2:$O$6,2,FALSE),20,-10)+IF($G259=Home!$E$7,15,IF(Home!$E$7="",0,-5))-ROW()/100000)))</f>
        <v/>
      </c>
      <c r="O259" s="88">
        <f>IF($D259="","",IF($N259&lt;=-500,"Not recommended right now",IF($E259="Waiting","Nothing else actionable right now — Waiting on: "&amp;IF($K259="","this item",$K259),TEXTJOIN(" • ",TRUE,IF($F259="High","High Priority",""),IF(AND($I259&lt;&gt;"",$I259&lt;TODAY()),"Overdue",""),IF(AND($I259&lt;&gt;"",$I259&gt;=TODAY(),$I259&lt;=TODAY()+7),"Due This Week",""),IF($M259&lt;=VLOOKUP(Home!$C$7,Lists!$N$2:$O$6,2,FALSE),$H259&amp;" Task",""),IF($G259=Home!$E$7,"Fits Current Energy",""),"No Blockers"))))</f>
        <v/>
      </c>
      <c r="P259" s="88">
        <f>IF($D259="","",SWITCH('Task Finder'!$C$6,"High Priority",AND($F259="High",$E259&lt;&gt;"Done",$E259&lt;&gt;"Archive"),"Due This Week",AND($I259&lt;&gt;"",$I259&gt;=TODAY(),$I259&lt;=TODAY()+7,$E259&lt;&gt;"Done"),"Quick Wins (15 mins or less)",AND($M259&lt;=15,$E259&lt;&gt;"Done",$E259&lt;&gt;"Blocked"),"Deep Thinking",AND($G259="Deep Thinking",$E259&lt;&gt;"Done"),"Processing",AND($G259="Processing",$E259&lt;&gt;"Done"),"Blocked",$E259="Blocked","Waiting",$E259="Waiting","Recently Updated",AND($L259&lt;&gt;"",$L259&gt;=TODAY()-7),"Keyword",AND('Task Finder'!$C$7&lt;&gt;"",OR(ISNUMBER(SEARCH('Task Finder'!$C$7,$A259)),ISNUMBER(SEARCH('Task Finder'!$C$7,$B259)),ISNUMBER(SEARCH('Task Finder'!$C$7,$C259)),ISNUMBER(SEARCH('Task Finder'!$C$7,$D259)),ISNUMBER(SEARCH('Task Finder'!$C$7,$K259)))),TRUE))</f>
        <v/>
      </c>
    </row>
    <row r="260">
      <c r="A260" s="19" t="n"/>
      <c r="B260" s="19" t="n"/>
      <c r="C260" s="19" t="n"/>
      <c r="D260" s="19" t="n"/>
      <c r="E260" s="19" t="n"/>
      <c r="F260" s="19" t="n"/>
      <c r="G260" s="19" t="n"/>
      <c r="H260" s="19" t="n"/>
      <c r="I260" s="19" t="n"/>
      <c r="J260" s="19" t="n"/>
      <c r="K260" s="19" t="n"/>
      <c r="L260" s="125" t="n"/>
      <c r="M260" s="88">
        <f>IF($D260="","",IFERROR(VLOOKUP($H260,Lists!$N$2:$O$6,2,FALSE),0))</f>
        <v/>
      </c>
      <c r="N260" s="88">
        <f>IF($D260="","",IF(OR($E260="Blocked",$E260="Done",$E260="Archive"),-9999,IF(AND($E260="Waiting",SUMPRODUCT((($E$5:$E$500="Next")+($E$5:$E$500="In Progress")+($E$5:$E$500="Captured"))*($D$5:$D$500&lt;&gt;""))&gt;0),-500,VLOOKUP($F260,Lists!$L$2:$M$4,2,FALSE)+IF($E260="In Progress",10,0)+IF(AND($I260&lt;&gt;"",$I260&lt;TODAY()),25,0)+IF(AND($I260&lt;&gt;"",$I260&gt;=TODAY(),$I260&lt;=TODAY()+7),15,0)+IF($M260&lt;=VLOOKUP(Home!$C$7,Lists!$N$2:$O$6,2,FALSE),20,-10)+IF($G260=Home!$E$7,15,IF(Home!$E$7="",0,-5))-ROW()/100000)))</f>
        <v/>
      </c>
      <c r="O260" s="88">
        <f>IF($D260="","",IF($N260&lt;=-500,"Not recommended right now",IF($E260="Waiting","Nothing else actionable right now — Waiting on: "&amp;IF($K260="","this item",$K260),TEXTJOIN(" • ",TRUE,IF($F260="High","High Priority",""),IF(AND($I260&lt;&gt;"",$I260&lt;TODAY()),"Overdue",""),IF(AND($I260&lt;&gt;"",$I260&gt;=TODAY(),$I260&lt;=TODAY()+7),"Due This Week",""),IF($M260&lt;=VLOOKUP(Home!$C$7,Lists!$N$2:$O$6,2,FALSE),$H260&amp;" Task",""),IF($G260=Home!$E$7,"Fits Current Energy",""),"No Blockers"))))</f>
        <v/>
      </c>
      <c r="P260" s="88">
        <f>IF($D260="","",SWITCH('Task Finder'!$C$6,"High Priority",AND($F260="High",$E260&lt;&gt;"Done",$E260&lt;&gt;"Archive"),"Due This Week",AND($I260&lt;&gt;"",$I260&gt;=TODAY(),$I260&lt;=TODAY()+7,$E260&lt;&gt;"Done"),"Quick Wins (15 mins or less)",AND($M260&lt;=15,$E260&lt;&gt;"Done",$E260&lt;&gt;"Blocked"),"Deep Thinking",AND($G260="Deep Thinking",$E260&lt;&gt;"Done"),"Processing",AND($G260="Processing",$E260&lt;&gt;"Done"),"Blocked",$E260="Blocked","Waiting",$E260="Waiting","Recently Updated",AND($L260&lt;&gt;"",$L260&gt;=TODAY()-7),"Keyword",AND('Task Finder'!$C$7&lt;&gt;"",OR(ISNUMBER(SEARCH('Task Finder'!$C$7,$A260)),ISNUMBER(SEARCH('Task Finder'!$C$7,$B260)),ISNUMBER(SEARCH('Task Finder'!$C$7,$C260)),ISNUMBER(SEARCH('Task Finder'!$C$7,$D260)),ISNUMBER(SEARCH('Task Finder'!$C$7,$K260)))),TRUE))</f>
        <v/>
      </c>
    </row>
    <row r="261">
      <c r="A261" s="19" t="n"/>
      <c r="B261" s="19" t="n"/>
      <c r="C261" s="19" t="n"/>
      <c r="D261" s="19" t="n"/>
      <c r="E261" s="19" t="n"/>
      <c r="F261" s="19" t="n"/>
      <c r="G261" s="19" t="n"/>
      <c r="H261" s="19" t="n"/>
      <c r="I261" s="19" t="n"/>
      <c r="J261" s="19" t="n"/>
      <c r="K261" s="19" t="n"/>
      <c r="L261" s="125" t="n"/>
      <c r="M261" s="88">
        <f>IF($D261="","",IFERROR(VLOOKUP($H261,Lists!$N$2:$O$6,2,FALSE),0))</f>
        <v/>
      </c>
      <c r="N261" s="88">
        <f>IF($D261="","",IF(OR($E261="Blocked",$E261="Done",$E261="Archive"),-9999,IF(AND($E261="Waiting",SUMPRODUCT((($E$5:$E$500="Next")+($E$5:$E$500="In Progress")+($E$5:$E$500="Captured"))*($D$5:$D$500&lt;&gt;""))&gt;0),-500,VLOOKUP($F261,Lists!$L$2:$M$4,2,FALSE)+IF($E261="In Progress",10,0)+IF(AND($I261&lt;&gt;"",$I261&lt;TODAY()),25,0)+IF(AND($I261&lt;&gt;"",$I261&gt;=TODAY(),$I261&lt;=TODAY()+7),15,0)+IF($M261&lt;=VLOOKUP(Home!$C$7,Lists!$N$2:$O$6,2,FALSE),20,-10)+IF($G261=Home!$E$7,15,IF(Home!$E$7="",0,-5))-ROW()/100000)))</f>
        <v/>
      </c>
      <c r="O261" s="88">
        <f>IF($D261="","",IF($N261&lt;=-500,"Not recommended right now",IF($E261="Waiting","Nothing else actionable right now — Waiting on: "&amp;IF($K261="","this item",$K261),TEXTJOIN(" • ",TRUE,IF($F261="High","High Priority",""),IF(AND($I261&lt;&gt;"",$I261&lt;TODAY()),"Overdue",""),IF(AND($I261&lt;&gt;"",$I261&gt;=TODAY(),$I261&lt;=TODAY()+7),"Due This Week",""),IF($M261&lt;=VLOOKUP(Home!$C$7,Lists!$N$2:$O$6,2,FALSE),$H261&amp;" Task",""),IF($G261=Home!$E$7,"Fits Current Energy",""),"No Blockers"))))</f>
        <v/>
      </c>
      <c r="P261" s="88">
        <f>IF($D261="","",SWITCH('Task Finder'!$C$6,"High Priority",AND($F261="High",$E261&lt;&gt;"Done",$E261&lt;&gt;"Archive"),"Due This Week",AND($I261&lt;&gt;"",$I261&gt;=TODAY(),$I261&lt;=TODAY()+7,$E261&lt;&gt;"Done"),"Quick Wins (15 mins or less)",AND($M261&lt;=15,$E261&lt;&gt;"Done",$E261&lt;&gt;"Blocked"),"Deep Thinking",AND($G261="Deep Thinking",$E261&lt;&gt;"Done"),"Processing",AND($G261="Processing",$E261&lt;&gt;"Done"),"Blocked",$E261="Blocked","Waiting",$E261="Waiting","Recently Updated",AND($L261&lt;&gt;"",$L261&gt;=TODAY()-7),"Keyword",AND('Task Finder'!$C$7&lt;&gt;"",OR(ISNUMBER(SEARCH('Task Finder'!$C$7,$A261)),ISNUMBER(SEARCH('Task Finder'!$C$7,$B261)),ISNUMBER(SEARCH('Task Finder'!$C$7,$C261)),ISNUMBER(SEARCH('Task Finder'!$C$7,$D261)),ISNUMBER(SEARCH('Task Finder'!$C$7,$K261)))),TRUE))</f>
        <v/>
      </c>
    </row>
    <row r="262">
      <c r="A262" s="19" t="n"/>
      <c r="B262" s="19" t="n"/>
      <c r="C262" s="19" t="n"/>
      <c r="D262" s="19" t="n"/>
      <c r="E262" s="19" t="n"/>
      <c r="F262" s="19" t="n"/>
      <c r="G262" s="19" t="n"/>
      <c r="H262" s="19" t="n"/>
      <c r="I262" s="19" t="n"/>
      <c r="J262" s="19" t="n"/>
      <c r="K262" s="19" t="n"/>
      <c r="L262" s="125" t="n"/>
      <c r="M262" s="88">
        <f>IF($D262="","",IFERROR(VLOOKUP($H262,Lists!$N$2:$O$6,2,FALSE),0))</f>
        <v/>
      </c>
      <c r="N262" s="88">
        <f>IF($D262="","",IF(OR($E262="Blocked",$E262="Done",$E262="Archive"),-9999,IF(AND($E262="Waiting",SUMPRODUCT((($E$5:$E$500="Next")+($E$5:$E$500="In Progress")+($E$5:$E$500="Captured"))*($D$5:$D$500&lt;&gt;""))&gt;0),-500,VLOOKUP($F262,Lists!$L$2:$M$4,2,FALSE)+IF($E262="In Progress",10,0)+IF(AND($I262&lt;&gt;"",$I262&lt;TODAY()),25,0)+IF(AND($I262&lt;&gt;"",$I262&gt;=TODAY(),$I262&lt;=TODAY()+7),15,0)+IF($M262&lt;=VLOOKUP(Home!$C$7,Lists!$N$2:$O$6,2,FALSE),20,-10)+IF($G262=Home!$E$7,15,IF(Home!$E$7="",0,-5))-ROW()/100000)))</f>
        <v/>
      </c>
      <c r="O262" s="88">
        <f>IF($D262="","",IF($N262&lt;=-500,"Not recommended right now",IF($E262="Waiting","Nothing else actionable right now — Waiting on: "&amp;IF($K262="","this item",$K262),TEXTJOIN(" • ",TRUE,IF($F262="High","High Priority",""),IF(AND($I262&lt;&gt;"",$I262&lt;TODAY()),"Overdue",""),IF(AND($I262&lt;&gt;"",$I262&gt;=TODAY(),$I262&lt;=TODAY()+7),"Due This Week",""),IF($M262&lt;=VLOOKUP(Home!$C$7,Lists!$N$2:$O$6,2,FALSE),$H262&amp;" Task",""),IF($G262=Home!$E$7,"Fits Current Energy",""),"No Blockers"))))</f>
        <v/>
      </c>
      <c r="P262" s="88">
        <f>IF($D262="","",SWITCH('Task Finder'!$C$6,"High Priority",AND($F262="High",$E262&lt;&gt;"Done",$E262&lt;&gt;"Archive"),"Due This Week",AND($I262&lt;&gt;"",$I262&gt;=TODAY(),$I262&lt;=TODAY()+7,$E262&lt;&gt;"Done"),"Quick Wins (15 mins or less)",AND($M262&lt;=15,$E262&lt;&gt;"Done",$E262&lt;&gt;"Blocked"),"Deep Thinking",AND($G262="Deep Thinking",$E262&lt;&gt;"Done"),"Processing",AND($G262="Processing",$E262&lt;&gt;"Done"),"Blocked",$E262="Blocked","Waiting",$E262="Waiting","Recently Updated",AND($L262&lt;&gt;"",$L262&gt;=TODAY()-7),"Keyword",AND('Task Finder'!$C$7&lt;&gt;"",OR(ISNUMBER(SEARCH('Task Finder'!$C$7,$A262)),ISNUMBER(SEARCH('Task Finder'!$C$7,$B262)),ISNUMBER(SEARCH('Task Finder'!$C$7,$C262)),ISNUMBER(SEARCH('Task Finder'!$C$7,$D262)),ISNUMBER(SEARCH('Task Finder'!$C$7,$K262)))),TRUE))</f>
        <v/>
      </c>
    </row>
    <row r="263">
      <c r="A263" s="19" t="n"/>
      <c r="B263" s="19" t="n"/>
      <c r="C263" s="19" t="n"/>
      <c r="D263" s="19" t="n"/>
      <c r="E263" s="19" t="n"/>
      <c r="F263" s="19" t="n"/>
      <c r="G263" s="19" t="n"/>
      <c r="H263" s="19" t="n"/>
      <c r="I263" s="19" t="n"/>
      <c r="J263" s="19" t="n"/>
      <c r="K263" s="19" t="n"/>
      <c r="L263" s="125" t="n"/>
      <c r="M263" s="88">
        <f>IF($D263="","",IFERROR(VLOOKUP($H263,Lists!$N$2:$O$6,2,FALSE),0))</f>
        <v/>
      </c>
      <c r="N263" s="88">
        <f>IF($D263="","",IF(OR($E263="Blocked",$E263="Done",$E263="Archive"),-9999,IF(AND($E263="Waiting",SUMPRODUCT((($E$5:$E$500="Next")+($E$5:$E$500="In Progress")+($E$5:$E$500="Captured"))*($D$5:$D$500&lt;&gt;""))&gt;0),-500,VLOOKUP($F263,Lists!$L$2:$M$4,2,FALSE)+IF($E263="In Progress",10,0)+IF(AND($I263&lt;&gt;"",$I263&lt;TODAY()),25,0)+IF(AND($I263&lt;&gt;"",$I263&gt;=TODAY(),$I263&lt;=TODAY()+7),15,0)+IF($M263&lt;=VLOOKUP(Home!$C$7,Lists!$N$2:$O$6,2,FALSE),20,-10)+IF($G263=Home!$E$7,15,IF(Home!$E$7="",0,-5))-ROW()/100000)))</f>
        <v/>
      </c>
      <c r="O263" s="88">
        <f>IF($D263="","",IF($N263&lt;=-500,"Not recommended right now",IF($E263="Waiting","Nothing else actionable right now — Waiting on: "&amp;IF($K263="","this item",$K263),TEXTJOIN(" • ",TRUE,IF($F263="High","High Priority",""),IF(AND($I263&lt;&gt;"",$I263&lt;TODAY()),"Overdue",""),IF(AND($I263&lt;&gt;"",$I263&gt;=TODAY(),$I263&lt;=TODAY()+7),"Due This Week",""),IF($M263&lt;=VLOOKUP(Home!$C$7,Lists!$N$2:$O$6,2,FALSE),$H263&amp;" Task",""),IF($G263=Home!$E$7,"Fits Current Energy",""),"No Blockers"))))</f>
        <v/>
      </c>
      <c r="P263" s="88">
        <f>IF($D263="","",SWITCH('Task Finder'!$C$6,"High Priority",AND($F263="High",$E263&lt;&gt;"Done",$E263&lt;&gt;"Archive"),"Due This Week",AND($I263&lt;&gt;"",$I263&gt;=TODAY(),$I263&lt;=TODAY()+7,$E263&lt;&gt;"Done"),"Quick Wins (15 mins or less)",AND($M263&lt;=15,$E263&lt;&gt;"Done",$E263&lt;&gt;"Blocked"),"Deep Thinking",AND($G263="Deep Thinking",$E263&lt;&gt;"Done"),"Processing",AND($G263="Processing",$E263&lt;&gt;"Done"),"Blocked",$E263="Blocked","Waiting",$E263="Waiting","Recently Updated",AND($L263&lt;&gt;"",$L263&gt;=TODAY()-7),"Keyword",AND('Task Finder'!$C$7&lt;&gt;"",OR(ISNUMBER(SEARCH('Task Finder'!$C$7,$A263)),ISNUMBER(SEARCH('Task Finder'!$C$7,$B263)),ISNUMBER(SEARCH('Task Finder'!$C$7,$C263)),ISNUMBER(SEARCH('Task Finder'!$C$7,$D263)),ISNUMBER(SEARCH('Task Finder'!$C$7,$K263)))),TRUE))</f>
        <v/>
      </c>
    </row>
    <row r="264">
      <c r="A264" s="19" t="n"/>
      <c r="B264" s="19" t="n"/>
      <c r="C264" s="19" t="n"/>
      <c r="D264" s="19" t="n"/>
      <c r="E264" s="19" t="n"/>
      <c r="F264" s="19" t="n"/>
      <c r="G264" s="19" t="n"/>
      <c r="H264" s="19" t="n"/>
      <c r="I264" s="19" t="n"/>
      <c r="J264" s="19" t="n"/>
      <c r="K264" s="19" t="n"/>
      <c r="L264" s="125" t="n"/>
      <c r="M264" s="88">
        <f>IF($D264="","",IFERROR(VLOOKUP($H264,Lists!$N$2:$O$6,2,FALSE),0))</f>
        <v/>
      </c>
      <c r="N264" s="88">
        <f>IF($D264="","",IF(OR($E264="Blocked",$E264="Done",$E264="Archive"),-9999,IF(AND($E264="Waiting",SUMPRODUCT((($E$5:$E$500="Next")+($E$5:$E$500="In Progress")+($E$5:$E$500="Captured"))*($D$5:$D$500&lt;&gt;""))&gt;0),-500,VLOOKUP($F264,Lists!$L$2:$M$4,2,FALSE)+IF($E264="In Progress",10,0)+IF(AND($I264&lt;&gt;"",$I264&lt;TODAY()),25,0)+IF(AND($I264&lt;&gt;"",$I264&gt;=TODAY(),$I264&lt;=TODAY()+7),15,0)+IF($M264&lt;=VLOOKUP(Home!$C$7,Lists!$N$2:$O$6,2,FALSE),20,-10)+IF($G264=Home!$E$7,15,IF(Home!$E$7="",0,-5))-ROW()/100000)))</f>
        <v/>
      </c>
      <c r="O264" s="88">
        <f>IF($D264="","",IF($N264&lt;=-500,"Not recommended right now",IF($E264="Waiting","Nothing else actionable right now — Waiting on: "&amp;IF($K264="","this item",$K264),TEXTJOIN(" • ",TRUE,IF($F264="High","High Priority",""),IF(AND($I264&lt;&gt;"",$I264&lt;TODAY()),"Overdue",""),IF(AND($I264&lt;&gt;"",$I264&gt;=TODAY(),$I264&lt;=TODAY()+7),"Due This Week",""),IF($M264&lt;=VLOOKUP(Home!$C$7,Lists!$N$2:$O$6,2,FALSE),$H264&amp;" Task",""),IF($G264=Home!$E$7,"Fits Current Energy",""),"No Blockers"))))</f>
        <v/>
      </c>
      <c r="P264" s="88">
        <f>IF($D264="","",SWITCH('Task Finder'!$C$6,"High Priority",AND($F264="High",$E264&lt;&gt;"Done",$E264&lt;&gt;"Archive"),"Due This Week",AND($I264&lt;&gt;"",$I264&gt;=TODAY(),$I264&lt;=TODAY()+7,$E264&lt;&gt;"Done"),"Quick Wins (15 mins or less)",AND($M264&lt;=15,$E264&lt;&gt;"Done",$E264&lt;&gt;"Blocked"),"Deep Thinking",AND($G264="Deep Thinking",$E264&lt;&gt;"Done"),"Processing",AND($G264="Processing",$E264&lt;&gt;"Done"),"Blocked",$E264="Blocked","Waiting",$E264="Waiting","Recently Updated",AND($L264&lt;&gt;"",$L264&gt;=TODAY()-7),"Keyword",AND('Task Finder'!$C$7&lt;&gt;"",OR(ISNUMBER(SEARCH('Task Finder'!$C$7,$A264)),ISNUMBER(SEARCH('Task Finder'!$C$7,$B264)),ISNUMBER(SEARCH('Task Finder'!$C$7,$C264)),ISNUMBER(SEARCH('Task Finder'!$C$7,$D264)),ISNUMBER(SEARCH('Task Finder'!$C$7,$K264)))),TRUE))</f>
        <v/>
      </c>
    </row>
    <row r="265">
      <c r="A265" s="19" t="n"/>
      <c r="B265" s="19" t="n"/>
      <c r="C265" s="19" t="n"/>
      <c r="D265" s="19" t="n"/>
      <c r="E265" s="19" t="n"/>
      <c r="F265" s="19" t="n"/>
      <c r="G265" s="19" t="n"/>
      <c r="H265" s="19" t="n"/>
      <c r="I265" s="19" t="n"/>
      <c r="J265" s="19" t="n"/>
      <c r="K265" s="19" t="n"/>
      <c r="L265" s="125" t="n"/>
      <c r="M265" s="88">
        <f>IF($D265="","",IFERROR(VLOOKUP($H265,Lists!$N$2:$O$6,2,FALSE),0))</f>
        <v/>
      </c>
      <c r="N265" s="88">
        <f>IF($D265="","",IF(OR($E265="Blocked",$E265="Done",$E265="Archive"),-9999,IF(AND($E265="Waiting",SUMPRODUCT((($E$5:$E$500="Next")+($E$5:$E$500="In Progress")+($E$5:$E$500="Captured"))*($D$5:$D$500&lt;&gt;""))&gt;0),-500,VLOOKUP($F265,Lists!$L$2:$M$4,2,FALSE)+IF($E265="In Progress",10,0)+IF(AND($I265&lt;&gt;"",$I265&lt;TODAY()),25,0)+IF(AND($I265&lt;&gt;"",$I265&gt;=TODAY(),$I265&lt;=TODAY()+7),15,0)+IF($M265&lt;=VLOOKUP(Home!$C$7,Lists!$N$2:$O$6,2,FALSE),20,-10)+IF($G265=Home!$E$7,15,IF(Home!$E$7="",0,-5))-ROW()/100000)))</f>
        <v/>
      </c>
      <c r="O265" s="88">
        <f>IF($D265="","",IF($N265&lt;=-500,"Not recommended right now",IF($E265="Waiting","Nothing else actionable right now — Waiting on: "&amp;IF($K265="","this item",$K265),TEXTJOIN(" • ",TRUE,IF($F265="High","High Priority",""),IF(AND($I265&lt;&gt;"",$I265&lt;TODAY()),"Overdue",""),IF(AND($I265&lt;&gt;"",$I265&gt;=TODAY(),$I265&lt;=TODAY()+7),"Due This Week",""),IF($M265&lt;=VLOOKUP(Home!$C$7,Lists!$N$2:$O$6,2,FALSE),$H265&amp;" Task",""),IF($G265=Home!$E$7,"Fits Current Energy",""),"No Blockers"))))</f>
        <v/>
      </c>
      <c r="P265" s="88">
        <f>IF($D265="","",SWITCH('Task Finder'!$C$6,"High Priority",AND($F265="High",$E265&lt;&gt;"Done",$E265&lt;&gt;"Archive"),"Due This Week",AND($I265&lt;&gt;"",$I265&gt;=TODAY(),$I265&lt;=TODAY()+7,$E265&lt;&gt;"Done"),"Quick Wins (15 mins or less)",AND($M265&lt;=15,$E265&lt;&gt;"Done",$E265&lt;&gt;"Blocked"),"Deep Thinking",AND($G265="Deep Thinking",$E265&lt;&gt;"Done"),"Processing",AND($G265="Processing",$E265&lt;&gt;"Done"),"Blocked",$E265="Blocked","Waiting",$E265="Waiting","Recently Updated",AND($L265&lt;&gt;"",$L265&gt;=TODAY()-7),"Keyword",AND('Task Finder'!$C$7&lt;&gt;"",OR(ISNUMBER(SEARCH('Task Finder'!$C$7,$A265)),ISNUMBER(SEARCH('Task Finder'!$C$7,$B265)),ISNUMBER(SEARCH('Task Finder'!$C$7,$C265)),ISNUMBER(SEARCH('Task Finder'!$C$7,$D265)),ISNUMBER(SEARCH('Task Finder'!$C$7,$K265)))),TRUE))</f>
        <v/>
      </c>
    </row>
    <row r="266">
      <c r="A266" s="19" t="n"/>
      <c r="B266" s="19" t="n"/>
      <c r="C266" s="19" t="n"/>
      <c r="D266" s="19" t="n"/>
      <c r="E266" s="19" t="n"/>
      <c r="F266" s="19" t="n"/>
      <c r="G266" s="19" t="n"/>
      <c r="H266" s="19" t="n"/>
      <c r="I266" s="19" t="n"/>
      <c r="J266" s="19" t="n"/>
      <c r="K266" s="19" t="n"/>
      <c r="L266" s="125" t="n"/>
      <c r="M266" s="88">
        <f>IF($D266="","",IFERROR(VLOOKUP($H266,Lists!$N$2:$O$6,2,FALSE),0))</f>
        <v/>
      </c>
      <c r="N266" s="88">
        <f>IF($D266="","",IF(OR($E266="Blocked",$E266="Done",$E266="Archive"),-9999,IF(AND($E266="Waiting",SUMPRODUCT((($E$5:$E$500="Next")+($E$5:$E$500="In Progress")+($E$5:$E$500="Captured"))*($D$5:$D$500&lt;&gt;""))&gt;0),-500,VLOOKUP($F266,Lists!$L$2:$M$4,2,FALSE)+IF($E266="In Progress",10,0)+IF(AND($I266&lt;&gt;"",$I266&lt;TODAY()),25,0)+IF(AND($I266&lt;&gt;"",$I266&gt;=TODAY(),$I266&lt;=TODAY()+7),15,0)+IF($M266&lt;=VLOOKUP(Home!$C$7,Lists!$N$2:$O$6,2,FALSE),20,-10)+IF($G266=Home!$E$7,15,IF(Home!$E$7="",0,-5))-ROW()/100000)))</f>
        <v/>
      </c>
      <c r="O266" s="88">
        <f>IF($D266="","",IF($N266&lt;=-500,"Not recommended right now",IF($E266="Waiting","Nothing else actionable right now — Waiting on: "&amp;IF($K266="","this item",$K266),TEXTJOIN(" • ",TRUE,IF($F266="High","High Priority",""),IF(AND($I266&lt;&gt;"",$I266&lt;TODAY()),"Overdue",""),IF(AND($I266&lt;&gt;"",$I266&gt;=TODAY(),$I266&lt;=TODAY()+7),"Due This Week",""),IF($M266&lt;=VLOOKUP(Home!$C$7,Lists!$N$2:$O$6,2,FALSE),$H266&amp;" Task",""),IF($G266=Home!$E$7,"Fits Current Energy",""),"No Blockers"))))</f>
        <v/>
      </c>
      <c r="P266" s="88">
        <f>IF($D266="","",SWITCH('Task Finder'!$C$6,"High Priority",AND($F266="High",$E266&lt;&gt;"Done",$E266&lt;&gt;"Archive"),"Due This Week",AND($I266&lt;&gt;"",$I266&gt;=TODAY(),$I266&lt;=TODAY()+7,$E266&lt;&gt;"Done"),"Quick Wins (15 mins or less)",AND($M266&lt;=15,$E266&lt;&gt;"Done",$E266&lt;&gt;"Blocked"),"Deep Thinking",AND($G266="Deep Thinking",$E266&lt;&gt;"Done"),"Processing",AND($G266="Processing",$E266&lt;&gt;"Done"),"Blocked",$E266="Blocked","Waiting",$E266="Waiting","Recently Updated",AND($L266&lt;&gt;"",$L266&gt;=TODAY()-7),"Keyword",AND('Task Finder'!$C$7&lt;&gt;"",OR(ISNUMBER(SEARCH('Task Finder'!$C$7,$A266)),ISNUMBER(SEARCH('Task Finder'!$C$7,$B266)),ISNUMBER(SEARCH('Task Finder'!$C$7,$C266)),ISNUMBER(SEARCH('Task Finder'!$C$7,$D266)),ISNUMBER(SEARCH('Task Finder'!$C$7,$K266)))),TRUE))</f>
        <v/>
      </c>
    </row>
    <row r="267">
      <c r="A267" s="19" t="n"/>
      <c r="B267" s="19" t="n"/>
      <c r="C267" s="19" t="n"/>
      <c r="D267" s="19" t="n"/>
      <c r="E267" s="19" t="n"/>
      <c r="F267" s="19" t="n"/>
      <c r="G267" s="19" t="n"/>
      <c r="H267" s="19" t="n"/>
      <c r="I267" s="19" t="n"/>
      <c r="J267" s="19" t="n"/>
      <c r="K267" s="19" t="n"/>
      <c r="L267" s="125" t="n"/>
      <c r="M267" s="88">
        <f>IF($D267="","",IFERROR(VLOOKUP($H267,Lists!$N$2:$O$6,2,FALSE),0))</f>
        <v/>
      </c>
      <c r="N267" s="88">
        <f>IF($D267="","",IF(OR($E267="Blocked",$E267="Done",$E267="Archive"),-9999,IF(AND($E267="Waiting",SUMPRODUCT((($E$5:$E$500="Next")+($E$5:$E$500="In Progress")+($E$5:$E$500="Captured"))*($D$5:$D$500&lt;&gt;""))&gt;0),-500,VLOOKUP($F267,Lists!$L$2:$M$4,2,FALSE)+IF($E267="In Progress",10,0)+IF(AND($I267&lt;&gt;"",$I267&lt;TODAY()),25,0)+IF(AND($I267&lt;&gt;"",$I267&gt;=TODAY(),$I267&lt;=TODAY()+7),15,0)+IF($M267&lt;=VLOOKUP(Home!$C$7,Lists!$N$2:$O$6,2,FALSE),20,-10)+IF($G267=Home!$E$7,15,IF(Home!$E$7="",0,-5))-ROW()/100000)))</f>
        <v/>
      </c>
      <c r="O267" s="88">
        <f>IF($D267="","",IF($N267&lt;=-500,"Not recommended right now",IF($E267="Waiting","Nothing else actionable right now — Waiting on: "&amp;IF($K267="","this item",$K267),TEXTJOIN(" • ",TRUE,IF($F267="High","High Priority",""),IF(AND($I267&lt;&gt;"",$I267&lt;TODAY()),"Overdue",""),IF(AND($I267&lt;&gt;"",$I267&gt;=TODAY(),$I267&lt;=TODAY()+7),"Due This Week",""),IF($M267&lt;=VLOOKUP(Home!$C$7,Lists!$N$2:$O$6,2,FALSE),$H267&amp;" Task",""),IF($G267=Home!$E$7,"Fits Current Energy",""),"No Blockers"))))</f>
        <v/>
      </c>
      <c r="P267" s="88">
        <f>IF($D267="","",SWITCH('Task Finder'!$C$6,"High Priority",AND($F267="High",$E267&lt;&gt;"Done",$E267&lt;&gt;"Archive"),"Due This Week",AND($I267&lt;&gt;"",$I267&gt;=TODAY(),$I267&lt;=TODAY()+7,$E267&lt;&gt;"Done"),"Quick Wins (15 mins or less)",AND($M267&lt;=15,$E267&lt;&gt;"Done",$E267&lt;&gt;"Blocked"),"Deep Thinking",AND($G267="Deep Thinking",$E267&lt;&gt;"Done"),"Processing",AND($G267="Processing",$E267&lt;&gt;"Done"),"Blocked",$E267="Blocked","Waiting",$E267="Waiting","Recently Updated",AND($L267&lt;&gt;"",$L267&gt;=TODAY()-7),"Keyword",AND('Task Finder'!$C$7&lt;&gt;"",OR(ISNUMBER(SEARCH('Task Finder'!$C$7,$A267)),ISNUMBER(SEARCH('Task Finder'!$C$7,$B267)),ISNUMBER(SEARCH('Task Finder'!$C$7,$C267)),ISNUMBER(SEARCH('Task Finder'!$C$7,$D267)),ISNUMBER(SEARCH('Task Finder'!$C$7,$K267)))),TRUE))</f>
        <v/>
      </c>
    </row>
    <row r="268">
      <c r="A268" s="19" t="n"/>
      <c r="B268" s="19" t="n"/>
      <c r="C268" s="19" t="n"/>
      <c r="D268" s="19" t="n"/>
      <c r="E268" s="19" t="n"/>
      <c r="F268" s="19" t="n"/>
      <c r="G268" s="19" t="n"/>
      <c r="H268" s="19" t="n"/>
      <c r="I268" s="19" t="n"/>
      <c r="J268" s="19" t="n"/>
      <c r="K268" s="19" t="n"/>
      <c r="L268" s="125" t="n"/>
      <c r="M268" s="88">
        <f>IF($D268="","",IFERROR(VLOOKUP($H268,Lists!$N$2:$O$6,2,FALSE),0))</f>
        <v/>
      </c>
      <c r="N268" s="88">
        <f>IF($D268="","",IF(OR($E268="Blocked",$E268="Done",$E268="Archive"),-9999,IF(AND($E268="Waiting",SUMPRODUCT((($E$5:$E$500="Next")+($E$5:$E$500="In Progress")+($E$5:$E$500="Captured"))*($D$5:$D$500&lt;&gt;""))&gt;0),-500,VLOOKUP($F268,Lists!$L$2:$M$4,2,FALSE)+IF($E268="In Progress",10,0)+IF(AND($I268&lt;&gt;"",$I268&lt;TODAY()),25,0)+IF(AND($I268&lt;&gt;"",$I268&gt;=TODAY(),$I268&lt;=TODAY()+7),15,0)+IF($M268&lt;=VLOOKUP(Home!$C$7,Lists!$N$2:$O$6,2,FALSE),20,-10)+IF($G268=Home!$E$7,15,IF(Home!$E$7="",0,-5))-ROW()/100000)))</f>
        <v/>
      </c>
      <c r="O268" s="88">
        <f>IF($D268="","",IF($N268&lt;=-500,"Not recommended right now",IF($E268="Waiting","Nothing else actionable right now — Waiting on: "&amp;IF($K268="","this item",$K268),TEXTJOIN(" • ",TRUE,IF($F268="High","High Priority",""),IF(AND($I268&lt;&gt;"",$I268&lt;TODAY()),"Overdue",""),IF(AND($I268&lt;&gt;"",$I268&gt;=TODAY(),$I268&lt;=TODAY()+7),"Due This Week",""),IF($M268&lt;=VLOOKUP(Home!$C$7,Lists!$N$2:$O$6,2,FALSE),$H268&amp;" Task",""),IF($G268=Home!$E$7,"Fits Current Energy",""),"No Blockers"))))</f>
        <v/>
      </c>
      <c r="P268" s="88">
        <f>IF($D268="","",SWITCH('Task Finder'!$C$6,"High Priority",AND($F268="High",$E268&lt;&gt;"Done",$E268&lt;&gt;"Archive"),"Due This Week",AND($I268&lt;&gt;"",$I268&gt;=TODAY(),$I268&lt;=TODAY()+7,$E268&lt;&gt;"Done"),"Quick Wins (15 mins or less)",AND($M268&lt;=15,$E268&lt;&gt;"Done",$E268&lt;&gt;"Blocked"),"Deep Thinking",AND($G268="Deep Thinking",$E268&lt;&gt;"Done"),"Processing",AND($G268="Processing",$E268&lt;&gt;"Done"),"Blocked",$E268="Blocked","Waiting",$E268="Waiting","Recently Updated",AND($L268&lt;&gt;"",$L268&gt;=TODAY()-7),"Keyword",AND('Task Finder'!$C$7&lt;&gt;"",OR(ISNUMBER(SEARCH('Task Finder'!$C$7,$A268)),ISNUMBER(SEARCH('Task Finder'!$C$7,$B268)),ISNUMBER(SEARCH('Task Finder'!$C$7,$C268)),ISNUMBER(SEARCH('Task Finder'!$C$7,$D268)),ISNUMBER(SEARCH('Task Finder'!$C$7,$K268)))),TRUE))</f>
        <v/>
      </c>
    </row>
    <row r="269">
      <c r="A269" s="19" t="n"/>
      <c r="B269" s="19" t="n"/>
      <c r="C269" s="19" t="n"/>
      <c r="D269" s="19" t="n"/>
      <c r="E269" s="19" t="n"/>
      <c r="F269" s="19" t="n"/>
      <c r="G269" s="19" t="n"/>
      <c r="H269" s="19" t="n"/>
      <c r="I269" s="19" t="n"/>
      <c r="J269" s="19" t="n"/>
      <c r="K269" s="19" t="n"/>
      <c r="L269" s="125" t="n"/>
      <c r="M269" s="88">
        <f>IF($D269="","",IFERROR(VLOOKUP($H269,Lists!$N$2:$O$6,2,FALSE),0))</f>
        <v/>
      </c>
      <c r="N269" s="88">
        <f>IF($D269="","",IF(OR($E269="Blocked",$E269="Done",$E269="Archive"),-9999,IF(AND($E269="Waiting",SUMPRODUCT((($E$5:$E$500="Next")+($E$5:$E$500="In Progress")+($E$5:$E$500="Captured"))*($D$5:$D$500&lt;&gt;""))&gt;0),-500,VLOOKUP($F269,Lists!$L$2:$M$4,2,FALSE)+IF($E269="In Progress",10,0)+IF(AND($I269&lt;&gt;"",$I269&lt;TODAY()),25,0)+IF(AND($I269&lt;&gt;"",$I269&gt;=TODAY(),$I269&lt;=TODAY()+7),15,0)+IF($M269&lt;=VLOOKUP(Home!$C$7,Lists!$N$2:$O$6,2,FALSE),20,-10)+IF($G269=Home!$E$7,15,IF(Home!$E$7="",0,-5))-ROW()/100000)))</f>
        <v/>
      </c>
      <c r="O269" s="88">
        <f>IF($D269="","",IF($N269&lt;=-500,"Not recommended right now",IF($E269="Waiting","Nothing else actionable right now — Waiting on: "&amp;IF($K269="","this item",$K269),TEXTJOIN(" • ",TRUE,IF($F269="High","High Priority",""),IF(AND($I269&lt;&gt;"",$I269&lt;TODAY()),"Overdue",""),IF(AND($I269&lt;&gt;"",$I269&gt;=TODAY(),$I269&lt;=TODAY()+7),"Due This Week",""),IF($M269&lt;=VLOOKUP(Home!$C$7,Lists!$N$2:$O$6,2,FALSE),$H269&amp;" Task",""),IF($G269=Home!$E$7,"Fits Current Energy",""),"No Blockers"))))</f>
        <v/>
      </c>
      <c r="P269" s="88">
        <f>IF($D269="","",SWITCH('Task Finder'!$C$6,"High Priority",AND($F269="High",$E269&lt;&gt;"Done",$E269&lt;&gt;"Archive"),"Due This Week",AND($I269&lt;&gt;"",$I269&gt;=TODAY(),$I269&lt;=TODAY()+7,$E269&lt;&gt;"Done"),"Quick Wins (15 mins or less)",AND($M269&lt;=15,$E269&lt;&gt;"Done",$E269&lt;&gt;"Blocked"),"Deep Thinking",AND($G269="Deep Thinking",$E269&lt;&gt;"Done"),"Processing",AND($G269="Processing",$E269&lt;&gt;"Done"),"Blocked",$E269="Blocked","Waiting",$E269="Waiting","Recently Updated",AND($L269&lt;&gt;"",$L269&gt;=TODAY()-7),"Keyword",AND('Task Finder'!$C$7&lt;&gt;"",OR(ISNUMBER(SEARCH('Task Finder'!$C$7,$A269)),ISNUMBER(SEARCH('Task Finder'!$C$7,$B269)),ISNUMBER(SEARCH('Task Finder'!$C$7,$C269)),ISNUMBER(SEARCH('Task Finder'!$C$7,$D269)),ISNUMBER(SEARCH('Task Finder'!$C$7,$K269)))),TRUE))</f>
        <v/>
      </c>
    </row>
    <row r="270">
      <c r="A270" s="19" t="n"/>
      <c r="B270" s="19" t="n"/>
      <c r="C270" s="19" t="n"/>
      <c r="D270" s="19" t="n"/>
      <c r="E270" s="19" t="n"/>
      <c r="F270" s="19" t="n"/>
      <c r="G270" s="19" t="n"/>
      <c r="H270" s="19" t="n"/>
      <c r="I270" s="19" t="n"/>
      <c r="J270" s="19" t="n"/>
      <c r="K270" s="19" t="n"/>
      <c r="L270" s="125" t="n"/>
      <c r="M270" s="88">
        <f>IF($D270="","",IFERROR(VLOOKUP($H270,Lists!$N$2:$O$6,2,FALSE),0))</f>
        <v/>
      </c>
      <c r="N270" s="88">
        <f>IF($D270="","",IF(OR($E270="Blocked",$E270="Done",$E270="Archive"),-9999,IF(AND($E270="Waiting",SUMPRODUCT((($E$5:$E$500="Next")+($E$5:$E$500="In Progress")+($E$5:$E$500="Captured"))*($D$5:$D$500&lt;&gt;""))&gt;0),-500,VLOOKUP($F270,Lists!$L$2:$M$4,2,FALSE)+IF($E270="In Progress",10,0)+IF(AND($I270&lt;&gt;"",$I270&lt;TODAY()),25,0)+IF(AND($I270&lt;&gt;"",$I270&gt;=TODAY(),$I270&lt;=TODAY()+7),15,0)+IF($M270&lt;=VLOOKUP(Home!$C$7,Lists!$N$2:$O$6,2,FALSE),20,-10)+IF($G270=Home!$E$7,15,IF(Home!$E$7="",0,-5))-ROW()/100000)))</f>
        <v/>
      </c>
      <c r="O270" s="88">
        <f>IF($D270="","",IF($N270&lt;=-500,"Not recommended right now",IF($E270="Waiting","Nothing else actionable right now — Waiting on: "&amp;IF($K270="","this item",$K270),TEXTJOIN(" • ",TRUE,IF($F270="High","High Priority",""),IF(AND($I270&lt;&gt;"",$I270&lt;TODAY()),"Overdue",""),IF(AND($I270&lt;&gt;"",$I270&gt;=TODAY(),$I270&lt;=TODAY()+7),"Due This Week",""),IF($M270&lt;=VLOOKUP(Home!$C$7,Lists!$N$2:$O$6,2,FALSE),$H270&amp;" Task",""),IF($G270=Home!$E$7,"Fits Current Energy",""),"No Blockers"))))</f>
        <v/>
      </c>
      <c r="P270" s="88">
        <f>IF($D270="","",SWITCH('Task Finder'!$C$6,"High Priority",AND($F270="High",$E270&lt;&gt;"Done",$E270&lt;&gt;"Archive"),"Due This Week",AND($I270&lt;&gt;"",$I270&gt;=TODAY(),$I270&lt;=TODAY()+7,$E270&lt;&gt;"Done"),"Quick Wins (15 mins or less)",AND($M270&lt;=15,$E270&lt;&gt;"Done",$E270&lt;&gt;"Blocked"),"Deep Thinking",AND($G270="Deep Thinking",$E270&lt;&gt;"Done"),"Processing",AND($G270="Processing",$E270&lt;&gt;"Done"),"Blocked",$E270="Blocked","Waiting",$E270="Waiting","Recently Updated",AND($L270&lt;&gt;"",$L270&gt;=TODAY()-7),"Keyword",AND('Task Finder'!$C$7&lt;&gt;"",OR(ISNUMBER(SEARCH('Task Finder'!$C$7,$A270)),ISNUMBER(SEARCH('Task Finder'!$C$7,$B270)),ISNUMBER(SEARCH('Task Finder'!$C$7,$C270)),ISNUMBER(SEARCH('Task Finder'!$C$7,$D270)),ISNUMBER(SEARCH('Task Finder'!$C$7,$K270)))),TRUE))</f>
        <v/>
      </c>
    </row>
    <row r="271">
      <c r="A271" s="19" t="n"/>
      <c r="B271" s="19" t="n"/>
      <c r="C271" s="19" t="n"/>
      <c r="D271" s="19" t="n"/>
      <c r="E271" s="19" t="n"/>
      <c r="F271" s="19" t="n"/>
      <c r="G271" s="19" t="n"/>
      <c r="H271" s="19" t="n"/>
      <c r="I271" s="19" t="n"/>
      <c r="J271" s="19" t="n"/>
      <c r="K271" s="19" t="n"/>
      <c r="L271" s="125" t="n"/>
      <c r="M271" s="88">
        <f>IF($D271="","",IFERROR(VLOOKUP($H271,Lists!$N$2:$O$6,2,FALSE),0))</f>
        <v/>
      </c>
      <c r="N271" s="88">
        <f>IF($D271="","",IF(OR($E271="Blocked",$E271="Done",$E271="Archive"),-9999,IF(AND($E271="Waiting",SUMPRODUCT((($E$5:$E$500="Next")+($E$5:$E$500="In Progress")+($E$5:$E$500="Captured"))*($D$5:$D$500&lt;&gt;""))&gt;0),-500,VLOOKUP($F271,Lists!$L$2:$M$4,2,FALSE)+IF($E271="In Progress",10,0)+IF(AND($I271&lt;&gt;"",$I271&lt;TODAY()),25,0)+IF(AND($I271&lt;&gt;"",$I271&gt;=TODAY(),$I271&lt;=TODAY()+7),15,0)+IF($M271&lt;=VLOOKUP(Home!$C$7,Lists!$N$2:$O$6,2,FALSE),20,-10)+IF($G271=Home!$E$7,15,IF(Home!$E$7="",0,-5))-ROW()/100000)))</f>
        <v/>
      </c>
      <c r="O271" s="88">
        <f>IF($D271="","",IF($N271&lt;=-500,"Not recommended right now",IF($E271="Waiting","Nothing else actionable right now — Waiting on: "&amp;IF($K271="","this item",$K271),TEXTJOIN(" • ",TRUE,IF($F271="High","High Priority",""),IF(AND($I271&lt;&gt;"",$I271&lt;TODAY()),"Overdue",""),IF(AND($I271&lt;&gt;"",$I271&gt;=TODAY(),$I271&lt;=TODAY()+7),"Due This Week",""),IF($M271&lt;=VLOOKUP(Home!$C$7,Lists!$N$2:$O$6,2,FALSE),$H271&amp;" Task",""),IF($G271=Home!$E$7,"Fits Current Energy",""),"No Blockers"))))</f>
        <v/>
      </c>
      <c r="P271" s="88">
        <f>IF($D271="","",SWITCH('Task Finder'!$C$6,"High Priority",AND($F271="High",$E271&lt;&gt;"Done",$E271&lt;&gt;"Archive"),"Due This Week",AND($I271&lt;&gt;"",$I271&gt;=TODAY(),$I271&lt;=TODAY()+7,$E271&lt;&gt;"Done"),"Quick Wins (15 mins or less)",AND($M271&lt;=15,$E271&lt;&gt;"Done",$E271&lt;&gt;"Blocked"),"Deep Thinking",AND($G271="Deep Thinking",$E271&lt;&gt;"Done"),"Processing",AND($G271="Processing",$E271&lt;&gt;"Done"),"Blocked",$E271="Blocked","Waiting",$E271="Waiting","Recently Updated",AND($L271&lt;&gt;"",$L271&gt;=TODAY()-7),"Keyword",AND('Task Finder'!$C$7&lt;&gt;"",OR(ISNUMBER(SEARCH('Task Finder'!$C$7,$A271)),ISNUMBER(SEARCH('Task Finder'!$C$7,$B271)),ISNUMBER(SEARCH('Task Finder'!$C$7,$C271)),ISNUMBER(SEARCH('Task Finder'!$C$7,$D271)),ISNUMBER(SEARCH('Task Finder'!$C$7,$K271)))),TRUE))</f>
        <v/>
      </c>
    </row>
    <row r="272">
      <c r="A272" s="19" t="n"/>
      <c r="B272" s="19" t="n"/>
      <c r="C272" s="19" t="n"/>
      <c r="D272" s="19" t="n"/>
      <c r="E272" s="19" t="n"/>
      <c r="F272" s="19" t="n"/>
      <c r="G272" s="19" t="n"/>
      <c r="H272" s="19" t="n"/>
      <c r="I272" s="19" t="n"/>
      <c r="J272" s="19" t="n"/>
      <c r="K272" s="19" t="n"/>
      <c r="L272" s="125" t="n"/>
      <c r="M272" s="88">
        <f>IF($D272="","",IFERROR(VLOOKUP($H272,Lists!$N$2:$O$6,2,FALSE),0))</f>
        <v/>
      </c>
      <c r="N272" s="88">
        <f>IF($D272="","",IF(OR($E272="Blocked",$E272="Done",$E272="Archive"),-9999,IF(AND($E272="Waiting",SUMPRODUCT((($E$5:$E$500="Next")+($E$5:$E$500="In Progress")+($E$5:$E$500="Captured"))*($D$5:$D$500&lt;&gt;""))&gt;0),-500,VLOOKUP($F272,Lists!$L$2:$M$4,2,FALSE)+IF($E272="In Progress",10,0)+IF(AND($I272&lt;&gt;"",$I272&lt;TODAY()),25,0)+IF(AND($I272&lt;&gt;"",$I272&gt;=TODAY(),$I272&lt;=TODAY()+7),15,0)+IF($M272&lt;=VLOOKUP(Home!$C$7,Lists!$N$2:$O$6,2,FALSE),20,-10)+IF($G272=Home!$E$7,15,IF(Home!$E$7="",0,-5))-ROW()/100000)))</f>
        <v/>
      </c>
      <c r="O272" s="88">
        <f>IF($D272="","",IF($N272&lt;=-500,"Not recommended right now",IF($E272="Waiting","Nothing else actionable right now — Waiting on: "&amp;IF($K272="","this item",$K272),TEXTJOIN(" • ",TRUE,IF($F272="High","High Priority",""),IF(AND($I272&lt;&gt;"",$I272&lt;TODAY()),"Overdue",""),IF(AND($I272&lt;&gt;"",$I272&gt;=TODAY(),$I272&lt;=TODAY()+7),"Due This Week",""),IF($M272&lt;=VLOOKUP(Home!$C$7,Lists!$N$2:$O$6,2,FALSE),$H272&amp;" Task",""),IF($G272=Home!$E$7,"Fits Current Energy",""),"No Blockers"))))</f>
        <v/>
      </c>
      <c r="P272" s="88">
        <f>IF($D272="","",SWITCH('Task Finder'!$C$6,"High Priority",AND($F272="High",$E272&lt;&gt;"Done",$E272&lt;&gt;"Archive"),"Due This Week",AND($I272&lt;&gt;"",$I272&gt;=TODAY(),$I272&lt;=TODAY()+7,$E272&lt;&gt;"Done"),"Quick Wins (15 mins or less)",AND($M272&lt;=15,$E272&lt;&gt;"Done",$E272&lt;&gt;"Blocked"),"Deep Thinking",AND($G272="Deep Thinking",$E272&lt;&gt;"Done"),"Processing",AND($G272="Processing",$E272&lt;&gt;"Done"),"Blocked",$E272="Blocked","Waiting",$E272="Waiting","Recently Updated",AND($L272&lt;&gt;"",$L272&gt;=TODAY()-7),"Keyword",AND('Task Finder'!$C$7&lt;&gt;"",OR(ISNUMBER(SEARCH('Task Finder'!$C$7,$A272)),ISNUMBER(SEARCH('Task Finder'!$C$7,$B272)),ISNUMBER(SEARCH('Task Finder'!$C$7,$C272)),ISNUMBER(SEARCH('Task Finder'!$C$7,$D272)),ISNUMBER(SEARCH('Task Finder'!$C$7,$K272)))),TRUE))</f>
        <v/>
      </c>
    </row>
    <row r="273">
      <c r="A273" s="19" t="n"/>
      <c r="B273" s="19" t="n"/>
      <c r="C273" s="19" t="n"/>
      <c r="D273" s="19" t="n"/>
      <c r="E273" s="19" t="n"/>
      <c r="F273" s="19" t="n"/>
      <c r="G273" s="19" t="n"/>
      <c r="H273" s="19" t="n"/>
      <c r="I273" s="19" t="n"/>
      <c r="J273" s="19" t="n"/>
      <c r="K273" s="19" t="n"/>
      <c r="L273" s="125" t="n"/>
      <c r="M273" s="88">
        <f>IF($D273="","",IFERROR(VLOOKUP($H273,Lists!$N$2:$O$6,2,FALSE),0))</f>
        <v/>
      </c>
      <c r="N273" s="88">
        <f>IF($D273="","",IF(OR($E273="Blocked",$E273="Done",$E273="Archive"),-9999,IF(AND($E273="Waiting",SUMPRODUCT((($E$5:$E$500="Next")+($E$5:$E$500="In Progress")+($E$5:$E$500="Captured"))*($D$5:$D$500&lt;&gt;""))&gt;0),-500,VLOOKUP($F273,Lists!$L$2:$M$4,2,FALSE)+IF($E273="In Progress",10,0)+IF(AND($I273&lt;&gt;"",$I273&lt;TODAY()),25,0)+IF(AND($I273&lt;&gt;"",$I273&gt;=TODAY(),$I273&lt;=TODAY()+7),15,0)+IF($M273&lt;=VLOOKUP(Home!$C$7,Lists!$N$2:$O$6,2,FALSE),20,-10)+IF($G273=Home!$E$7,15,IF(Home!$E$7="",0,-5))-ROW()/100000)))</f>
        <v/>
      </c>
      <c r="O273" s="88">
        <f>IF($D273="","",IF($N273&lt;=-500,"Not recommended right now",IF($E273="Waiting","Nothing else actionable right now — Waiting on: "&amp;IF($K273="","this item",$K273),TEXTJOIN(" • ",TRUE,IF($F273="High","High Priority",""),IF(AND($I273&lt;&gt;"",$I273&lt;TODAY()),"Overdue",""),IF(AND($I273&lt;&gt;"",$I273&gt;=TODAY(),$I273&lt;=TODAY()+7),"Due This Week",""),IF($M273&lt;=VLOOKUP(Home!$C$7,Lists!$N$2:$O$6,2,FALSE),$H273&amp;" Task",""),IF($G273=Home!$E$7,"Fits Current Energy",""),"No Blockers"))))</f>
        <v/>
      </c>
      <c r="P273" s="88">
        <f>IF($D273="","",SWITCH('Task Finder'!$C$6,"High Priority",AND($F273="High",$E273&lt;&gt;"Done",$E273&lt;&gt;"Archive"),"Due This Week",AND($I273&lt;&gt;"",$I273&gt;=TODAY(),$I273&lt;=TODAY()+7,$E273&lt;&gt;"Done"),"Quick Wins (15 mins or less)",AND($M273&lt;=15,$E273&lt;&gt;"Done",$E273&lt;&gt;"Blocked"),"Deep Thinking",AND($G273="Deep Thinking",$E273&lt;&gt;"Done"),"Processing",AND($G273="Processing",$E273&lt;&gt;"Done"),"Blocked",$E273="Blocked","Waiting",$E273="Waiting","Recently Updated",AND($L273&lt;&gt;"",$L273&gt;=TODAY()-7),"Keyword",AND('Task Finder'!$C$7&lt;&gt;"",OR(ISNUMBER(SEARCH('Task Finder'!$C$7,$A273)),ISNUMBER(SEARCH('Task Finder'!$C$7,$B273)),ISNUMBER(SEARCH('Task Finder'!$C$7,$C273)),ISNUMBER(SEARCH('Task Finder'!$C$7,$D273)),ISNUMBER(SEARCH('Task Finder'!$C$7,$K273)))),TRUE))</f>
        <v/>
      </c>
    </row>
    <row r="274">
      <c r="A274" s="19" t="n"/>
      <c r="B274" s="19" t="n"/>
      <c r="C274" s="19" t="n"/>
      <c r="D274" s="19" t="n"/>
      <c r="E274" s="19" t="n"/>
      <c r="F274" s="19" t="n"/>
      <c r="G274" s="19" t="n"/>
      <c r="H274" s="19" t="n"/>
      <c r="I274" s="19" t="n"/>
      <c r="J274" s="19" t="n"/>
      <c r="K274" s="19" t="n"/>
      <c r="L274" s="125" t="n"/>
      <c r="M274" s="88">
        <f>IF($D274="","",IFERROR(VLOOKUP($H274,Lists!$N$2:$O$6,2,FALSE),0))</f>
        <v/>
      </c>
      <c r="N274" s="88">
        <f>IF($D274="","",IF(OR($E274="Blocked",$E274="Done",$E274="Archive"),-9999,IF(AND($E274="Waiting",SUMPRODUCT((($E$5:$E$500="Next")+($E$5:$E$500="In Progress")+($E$5:$E$500="Captured"))*($D$5:$D$500&lt;&gt;""))&gt;0),-500,VLOOKUP($F274,Lists!$L$2:$M$4,2,FALSE)+IF($E274="In Progress",10,0)+IF(AND($I274&lt;&gt;"",$I274&lt;TODAY()),25,0)+IF(AND($I274&lt;&gt;"",$I274&gt;=TODAY(),$I274&lt;=TODAY()+7),15,0)+IF($M274&lt;=VLOOKUP(Home!$C$7,Lists!$N$2:$O$6,2,FALSE),20,-10)+IF($G274=Home!$E$7,15,IF(Home!$E$7="",0,-5))-ROW()/100000)))</f>
        <v/>
      </c>
      <c r="O274" s="88">
        <f>IF($D274="","",IF($N274&lt;=-500,"Not recommended right now",IF($E274="Waiting","Nothing else actionable right now — Waiting on: "&amp;IF($K274="","this item",$K274),TEXTJOIN(" • ",TRUE,IF($F274="High","High Priority",""),IF(AND($I274&lt;&gt;"",$I274&lt;TODAY()),"Overdue",""),IF(AND($I274&lt;&gt;"",$I274&gt;=TODAY(),$I274&lt;=TODAY()+7),"Due This Week",""),IF($M274&lt;=VLOOKUP(Home!$C$7,Lists!$N$2:$O$6,2,FALSE),$H274&amp;" Task",""),IF($G274=Home!$E$7,"Fits Current Energy",""),"No Blockers"))))</f>
        <v/>
      </c>
      <c r="P274" s="88">
        <f>IF($D274="","",SWITCH('Task Finder'!$C$6,"High Priority",AND($F274="High",$E274&lt;&gt;"Done",$E274&lt;&gt;"Archive"),"Due This Week",AND($I274&lt;&gt;"",$I274&gt;=TODAY(),$I274&lt;=TODAY()+7,$E274&lt;&gt;"Done"),"Quick Wins (15 mins or less)",AND($M274&lt;=15,$E274&lt;&gt;"Done",$E274&lt;&gt;"Blocked"),"Deep Thinking",AND($G274="Deep Thinking",$E274&lt;&gt;"Done"),"Processing",AND($G274="Processing",$E274&lt;&gt;"Done"),"Blocked",$E274="Blocked","Waiting",$E274="Waiting","Recently Updated",AND($L274&lt;&gt;"",$L274&gt;=TODAY()-7),"Keyword",AND('Task Finder'!$C$7&lt;&gt;"",OR(ISNUMBER(SEARCH('Task Finder'!$C$7,$A274)),ISNUMBER(SEARCH('Task Finder'!$C$7,$B274)),ISNUMBER(SEARCH('Task Finder'!$C$7,$C274)),ISNUMBER(SEARCH('Task Finder'!$C$7,$D274)),ISNUMBER(SEARCH('Task Finder'!$C$7,$K274)))),TRUE))</f>
        <v/>
      </c>
    </row>
    <row r="275">
      <c r="A275" s="19" t="n"/>
      <c r="B275" s="19" t="n"/>
      <c r="C275" s="19" t="n"/>
      <c r="D275" s="19" t="n"/>
      <c r="E275" s="19" t="n"/>
      <c r="F275" s="19" t="n"/>
      <c r="G275" s="19" t="n"/>
      <c r="H275" s="19" t="n"/>
      <c r="I275" s="19" t="n"/>
      <c r="J275" s="19" t="n"/>
      <c r="K275" s="19" t="n"/>
      <c r="L275" s="125" t="n"/>
      <c r="M275" s="88">
        <f>IF($D275="","",IFERROR(VLOOKUP($H275,Lists!$N$2:$O$6,2,FALSE),0))</f>
        <v/>
      </c>
      <c r="N275" s="88">
        <f>IF($D275="","",IF(OR($E275="Blocked",$E275="Done",$E275="Archive"),-9999,IF(AND($E275="Waiting",SUMPRODUCT((($E$5:$E$500="Next")+($E$5:$E$500="In Progress")+($E$5:$E$500="Captured"))*($D$5:$D$500&lt;&gt;""))&gt;0),-500,VLOOKUP($F275,Lists!$L$2:$M$4,2,FALSE)+IF($E275="In Progress",10,0)+IF(AND($I275&lt;&gt;"",$I275&lt;TODAY()),25,0)+IF(AND($I275&lt;&gt;"",$I275&gt;=TODAY(),$I275&lt;=TODAY()+7),15,0)+IF($M275&lt;=VLOOKUP(Home!$C$7,Lists!$N$2:$O$6,2,FALSE),20,-10)+IF($G275=Home!$E$7,15,IF(Home!$E$7="",0,-5))-ROW()/100000)))</f>
        <v/>
      </c>
      <c r="O275" s="88">
        <f>IF($D275="","",IF($N275&lt;=-500,"Not recommended right now",IF($E275="Waiting","Nothing else actionable right now — Waiting on: "&amp;IF($K275="","this item",$K275),TEXTJOIN(" • ",TRUE,IF($F275="High","High Priority",""),IF(AND($I275&lt;&gt;"",$I275&lt;TODAY()),"Overdue",""),IF(AND($I275&lt;&gt;"",$I275&gt;=TODAY(),$I275&lt;=TODAY()+7),"Due This Week",""),IF($M275&lt;=VLOOKUP(Home!$C$7,Lists!$N$2:$O$6,2,FALSE),$H275&amp;" Task",""),IF($G275=Home!$E$7,"Fits Current Energy",""),"No Blockers"))))</f>
        <v/>
      </c>
      <c r="P275" s="88">
        <f>IF($D275="","",SWITCH('Task Finder'!$C$6,"High Priority",AND($F275="High",$E275&lt;&gt;"Done",$E275&lt;&gt;"Archive"),"Due This Week",AND($I275&lt;&gt;"",$I275&gt;=TODAY(),$I275&lt;=TODAY()+7,$E275&lt;&gt;"Done"),"Quick Wins (15 mins or less)",AND($M275&lt;=15,$E275&lt;&gt;"Done",$E275&lt;&gt;"Blocked"),"Deep Thinking",AND($G275="Deep Thinking",$E275&lt;&gt;"Done"),"Processing",AND($G275="Processing",$E275&lt;&gt;"Done"),"Blocked",$E275="Blocked","Waiting",$E275="Waiting","Recently Updated",AND($L275&lt;&gt;"",$L275&gt;=TODAY()-7),"Keyword",AND('Task Finder'!$C$7&lt;&gt;"",OR(ISNUMBER(SEARCH('Task Finder'!$C$7,$A275)),ISNUMBER(SEARCH('Task Finder'!$C$7,$B275)),ISNUMBER(SEARCH('Task Finder'!$C$7,$C275)),ISNUMBER(SEARCH('Task Finder'!$C$7,$D275)),ISNUMBER(SEARCH('Task Finder'!$C$7,$K275)))),TRUE))</f>
        <v/>
      </c>
    </row>
    <row r="276">
      <c r="A276" s="19" t="n"/>
      <c r="B276" s="19" t="n"/>
      <c r="C276" s="19" t="n"/>
      <c r="D276" s="19" t="n"/>
      <c r="E276" s="19" t="n"/>
      <c r="F276" s="19" t="n"/>
      <c r="G276" s="19" t="n"/>
      <c r="H276" s="19" t="n"/>
      <c r="I276" s="19" t="n"/>
      <c r="J276" s="19" t="n"/>
      <c r="K276" s="19" t="n"/>
      <c r="L276" s="125" t="n"/>
      <c r="M276" s="88">
        <f>IF($D276="","",IFERROR(VLOOKUP($H276,Lists!$N$2:$O$6,2,FALSE),0))</f>
        <v/>
      </c>
      <c r="N276" s="88">
        <f>IF($D276="","",IF(OR($E276="Blocked",$E276="Done",$E276="Archive"),-9999,IF(AND($E276="Waiting",SUMPRODUCT((($E$5:$E$500="Next")+($E$5:$E$500="In Progress")+($E$5:$E$500="Captured"))*($D$5:$D$500&lt;&gt;""))&gt;0),-500,VLOOKUP($F276,Lists!$L$2:$M$4,2,FALSE)+IF($E276="In Progress",10,0)+IF(AND($I276&lt;&gt;"",$I276&lt;TODAY()),25,0)+IF(AND($I276&lt;&gt;"",$I276&gt;=TODAY(),$I276&lt;=TODAY()+7),15,0)+IF($M276&lt;=VLOOKUP(Home!$C$7,Lists!$N$2:$O$6,2,FALSE),20,-10)+IF($G276=Home!$E$7,15,IF(Home!$E$7="",0,-5))-ROW()/100000)))</f>
        <v/>
      </c>
      <c r="O276" s="88">
        <f>IF($D276="","",IF($N276&lt;=-500,"Not recommended right now",IF($E276="Waiting","Nothing else actionable right now — Waiting on: "&amp;IF($K276="","this item",$K276),TEXTJOIN(" • ",TRUE,IF($F276="High","High Priority",""),IF(AND($I276&lt;&gt;"",$I276&lt;TODAY()),"Overdue",""),IF(AND($I276&lt;&gt;"",$I276&gt;=TODAY(),$I276&lt;=TODAY()+7),"Due This Week",""),IF($M276&lt;=VLOOKUP(Home!$C$7,Lists!$N$2:$O$6,2,FALSE),$H276&amp;" Task",""),IF($G276=Home!$E$7,"Fits Current Energy",""),"No Blockers"))))</f>
        <v/>
      </c>
      <c r="P276" s="88">
        <f>IF($D276="","",SWITCH('Task Finder'!$C$6,"High Priority",AND($F276="High",$E276&lt;&gt;"Done",$E276&lt;&gt;"Archive"),"Due This Week",AND($I276&lt;&gt;"",$I276&gt;=TODAY(),$I276&lt;=TODAY()+7,$E276&lt;&gt;"Done"),"Quick Wins (15 mins or less)",AND($M276&lt;=15,$E276&lt;&gt;"Done",$E276&lt;&gt;"Blocked"),"Deep Thinking",AND($G276="Deep Thinking",$E276&lt;&gt;"Done"),"Processing",AND($G276="Processing",$E276&lt;&gt;"Done"),"Blocked",$E276="Blocked","Waiting",$E276="Waiting","Recently Updated",AND($L276&lt;&gt;"",$L276&gt;=TODAY()-7),"Keyword",AND('Task Finder'!$C$7&lt;&gt;"",OR(ISNUMBER(SEARCH('Task Finder'!$C$7,$A276)),ISNUMBER(SEARCH('Task Finder'!$C$7,$B276)),ISNUMBER(SEARCH('Task Finder'!$C$7,$C276)),ISNUMBER(SEARCH('Task Finder'!$C$7,$D276)),ISNUMBER(SEARCH('Task Finder'!$C$7,$K276)))),TRUE))</f>
        <v/>
      </c>
    </row>
    <row r="277">
      <c r="A277" s="19" t="n"/>
      <c r="B277" s="19" t="n"/>
      <c r="C277" s="19" t="n"/>
      <c r="D277" s="19" t="n"/>
      <c r="E277" s="19" t="n"/>
      <c r="F277" s="19" t="n"/>
      <c r="G277" s="19" t="n"/>
      <c r="H277" s="19" t="n"/>
      <c r="I277" s="19" t="n"/>
      <c r="J277" s="19" t="n"/>
      <c r="K277" s="19" t="n"/>
      <c r="L277" s="125" t="n"/>
      <c r="M277" s="88">
        <f>IF($D277="","",IFERROR(VLOOKUP($H277,Lists!$N$2:$O$6,2,FALSE),0))</f>
        <v/>
      </c>
      <c r="N277" s="88">
        <f>IF($D277="","",IF(OR($E277="Blocked",$E277="Done",$E277="Archive"),-9999,IF(AND($E277="Waiting",SUMPRODUCT((($E$5:$E$500="Next")+($E$5:$E$500="In Progress")+($E$5:$E$500="Captured"))*($D$5:$D$500&lt;&gt;""))&gt;0),-500,VLOOKUP($F277,Lists!$L$2:$M$4,2,FALSE)+IF($E277="In Progress",10,0)+IF(AND($I277&lt;&gt;"",$I277&lt;TODAY()),25,0)+IF(AND($I277&lt;&gt;"",$I277&gt;=TODAY(),$I277&lt;=TODAY()+7),15,0)+IF($M277&lt;=VLOOKUP(Home!$C$7,Lists!$N$2:$O$6,2,FALSE),20,-10)+IF($G277=Home!$E$7,15,IF(Home!$E$7="",0,-5))-ROW()/100000)))</f>
        <v/>
      </c>
      <c r="O277" s="88">
        <f>IF($D277="","",IF($N277&lt;=-500,"Not recommended right now",IF($E277="Waiting","Nothing else actionable right now — Waiting on: "&amp;IF($K277="","this item",$K277),TEXTJOIN(" • ",TRUE,IF($F277="High","High Priority",""),IF(AND($I277&lt;&gt;"",$I277&lt;TODAY()),"Overdue",""),IF(AND($I277&lt;&gt;"",$I277&gt;=TODAY(),$I277&lt;=TODAY()+7),"Due This Week",""),IF($M277&lt;=VLOOKUP(Home!$C$7,Lists!$N$2:$O$6,2,FALSE),$H277&amp;" Task",""),IF($G277=Home!$E$7,"Fits Current Energy",""),"No Blockers"))))</f>
        <v/>
      </c>
      <c r="P277" s="88">
        <f>IF($D277="","",SWITCH('Task Finder'!$C$6,"High Priority",AND($F277="High",$E277&lt;&gt;"Done",$E277&lt;&gt;"Archive"),"Due This Week",AND($I277&lt;&gt;"",$I277&gt;=TODAY(),$I277&lt;=TODAY()+7,$E277&lt;&gt;"Done"),"Quick Wins (15 mins or less)",AND($M277&lt;=15,$E277&lt;&gt;"Done",$E277&lt;&gt;"Blocked"),"Deep Thinking",AND($G277="Deep Thinking",$E277&lt;&gt;"Done"),"Processing",AND($G277="Processing",$E277&lt;&gt;"Done"),"Blocked",$E277="Blocked","Waiting",$E277="Waiting","Recently Updated",AND($L277&lt;&gt;"",$L277&gt;=TODAY()-7),"Keyword",AND('Task Finder'!$C$7&lt;&gt;"",OR(ISNUMBER(SEARCH('Task Finder'!$C$7,$A277)),ISNUMBER(SEARCH('Task Finder'!$C$7,$B277)),ISNUMBER(SEARCH('Task Finder'!$C$7,$C277)),ISNUMBER(SEARCH('Task Finder'!$C$7,$D277)),ISNUMBER(SEARCH('Task Finder'!$C$7,$K277)))),TRUE))</f>
        <v/>
      </c>
    </row>
    <row r="278">
      <c r="A278" s="19" t="n"/>
      <c r="B278" s="19" t="n"/>
      <c r="C278" s="19" t="n"/>
      <c r="D278" s="19" t="n"/>
      <c r="E278" s="19" t="n"/>
      <c r="F278" s="19" t="n"/>
      <c r="G278" s="19" t="n"/>
      <c r="H278" s="19" t="n"/>
      <c r="I278" s="19" t="n"/>
      <c r="J278" s="19" t="n"/>
      <c r="K278" s="19" t="n"/>
      <c r="L278" s="125" t="n"/>
      <c r="M278" s="88">
        <f>IF($D278="","",IFERROR(VLOOKUP($H278,Lists!$N$2:$O$6,2,FALSE),0))</f>
        <v/>
      </c>
      <c r="N278" s="88">
        <f>IF($D278="","",IF(OR($E278="Blocked",$E278="Done",$E278="Archive"),-9999,IF(AND($E278="Waiting",SUMPRODUCT((($E$5:$E$500="Next")+($E$5:$E$500="In Progress")+($E$5:$E$500="Captured"))*($D$5:$D$500&lt;&gt;""))&gt;0),-500,VLOOKUP($F278,Lists!$L$2:$M$4,2,FALSE)+IF($E278="In Progress",10,0)+IF(AND($I278&lt;&gt;"",$I278&lt;TODAY()),25,0)+IF(AND($I278&lt;&gt;"",$I278&gt;=TODAY(),$I278&lt;=TODAY()+7),15,0)+IF($M278&lt;=VLOOKUP(Home!$C$7,Lists!$N$2:$O$6,2,FALSE),20,-10)+IF($G278=Home!$E$7,15,IF(Home!$E$7="",0,-5))-ROW()/100000)))</f>
        <v/>
      </c>
      <c r="O278" s="88">
        <f>IF($D278="","",IF($N278&lt;=-500,"Not recommended right now",IF($E278="Waiting","Nothing else actionable right now — Waiting on: "&amp;IF($K278="","this item",$K278),TEXTJOIN(" • ",TRUE,IF($F278="High","High Priority",""),IF(AND($I278&lt;&gt;"",$I278&lt;TODAY()),"Overdue",""),IF(AND($I278&lt;&gt;"",$I278&gt;=TODAY(),$I278&lt;=TODAY()+7),"Due This Week",""),IF($M278&lt;=VLOOKUP(Home!$C$7,Lists!$N$2:$O$6,2,FALSE),$H278&amp;" Task",""),IF($G278=Home!$E$7,"Fits Current Energy",""),"No Blockers"))))</f>
        <v/>
      </c>
      <c r="P278" s="88">
        <f>IF($D278="","",SWITCH('Task Finder'!$C$6,"High Priority",AND($F278="High",$E278&lt;&gt;"Done",$E278&lt;&gt;"Archive"),"Due This Week",AND($I278&lt;&gt;"",$I278&gt;=TODAY(),$I278&lt;=TODAY()+7,$E278&lt;&gt;"Done"),"Quick Wins (15 mins or less)",AND($M278&lt;=15,$E278&lt;&gt;"Done",$E278&lt;&gt;"Blocked"),"Deep Thinking",AND($G278="Deep Thinking",$E278&lt;&gt;"Done"),"Processing",AND($G278="Processing",$E278&lt;&gt;"Done"),"Blocked",$E278="Blocked","Waiting",$E278="Waiting","Recently Updated",AND($L278&lt;&gt;"",$L278&gt;=TODAY()-7),"Keyword",AND('Task Finder'!$C$7&lt;&gt;"",OR(ISNUMBER(SEARCH('Task Finder'!$C$7,$A278)),ISNUMBER(SEARCH('Task Finder'!$C$7,$B278)),ISNUMBER(SEARCH('Task Finder'!$C$7,$C278)),ISNUMBER(SEARCH('Task Finder'!$C$7,$D278)),ISNUMBER(SEARCH('Task Finder'!$C$7,$K278)))),TRUE))</f>
        <v/>
      </c>
    </row>
    <row r="279">
      <c r="A279" s="19" t="n"/>
      <c r="B279" s="19" t="n"/>
      <c r="C279" s="19" t="n"/>
      <c r="D279" s="19" t="n"/>
      <c r="E279" s="19" t="n"/>
      <c r="F279" s="19" t="n"/>
      <c r="G279" s="19" t="n"/>
      <c r="H279" s="19" t="n"/>
      <c r="I279" s="19" t="n"/>
      <c r="J279" s="19" t="n"/>
      <c r="K279" s="19" t="n"/>
      <c r="L279" s="125" t="n"/>
      <c r="M279" s="88">
        <f>IF($D279="","",IFERROR(VLOOKUP($H279,Lists!$N$2:$O$6,2,FALSE),0))</f>
        <v/>
      </c>
      <c r="N279" s="88">
        <f>IF($D279="","",IF(OR($E279="Blocked",$E279="Done",$E279="Archive"),-9999,IF(AND($E279="Waiting",SUMPRODUCT((($E$5:$E$500="Next")+($E$5:$E$500="In Progress")+($E$5:$E$500="Captured"))*($D$5:$D$500&lt;&gt;""))&gt;0),-500,VLOOKUP($F279,Lists!$L$2:$M$4,2,FALSE)+IF($E279="In Progress",10,0)+IF(AND($I279&lt;&gt;"",$I279&lt;TODAY()),25,0)+IF(AND($I279&lt;&gt;"",$I279&gt;=TODAY(),$I279&lt;=TODAY()+7),15,0)+IF($M279&lt;=VLOOKUP(Home!$C$7,Lists!$N$2:$O$6,2,FALSE),20,-10)+IF($G279=Home!$E$7,15,IF(Home!$E$7="",0,-5))-ROW()/100000)))</f>
        <v/>
      </c>
      <c r="O279" s="88">
        <f>IF($D279="","",IF($N279&lt;=-500,"Not recommended right now",IF($E279="Waiting","Nothing else actionable right now — Waiting on: "&amp;IF($K279="","this item",$K279),TEXTJOIN(" • ",TRUE,IF($F279="High","High Priority",""),IF(AND($I279&lt;&gt;"",$I279&lt;TODAY()),"Overdue",""),IF(AND($I279&lt;&gt;"",$I279&gt;=TODAY(),$I279&lt;=TODAY()+7),"Due This Week",""),IF($M279&lt;=VLOOKUP(Home!$C$7,Lists!$N$2:$O$6,2,FALSE),$H279&amp;" Task",""),IF($G279=Home!$E$7,"Fits Current Energy",""),"No Blockers"))))</f>
        <v/>
      </c>
      <c r="P279" s="88">
        <f>IF($D279="","",SWITCH('Task Finder'!$C$6,"High Priority",AND($F279="High",$E279&lt;&gt;"Done",$E279&lt;&gt;"Archive"),"Due This Week",AND($I279&lt;&gt;"",$I279&gt;=TODAY(),$I279&lt;=TODAY()+7,$E279&lt;&gt;"Done"),"Quick Wins (15 mins or less)",AND($M279&lt;=15,$E279&lt;&gt;"Done",$E279&lt;&gt;"Blocked"),"Deep Thinking",AND($G279="Deep Thinking",$E279&lt;&gt;"Done"),"Processing",AND($G279="Processing",$E279&lt;&gt;"Done"),"Blocked",$E279="Blocked","Waiting",$E279="Waiting","Recently Updated",AND($L279&lt;&gt;"",$L279&gt;=TODAY()-7),"Keyword",AND('Task Finder'!$C$7&lt;&gt;"",OR(ISNUMBER(SEARCH('Task Finder'!$C$7,$A279)),ISNUMBER(SEARCH('Task Finder'!$C$7,$B279)),ISNUMBER(SEARCH('Task Finder'!$C$7,$C279)),ISNUMBER(SEARCH('Task Finder'!$C$7,$D279)),ISNUMBER(SEARCH('Task Finder'!$C$7,$K279)))),TRUE))</f>
        <v/>
      </c>
    </row>
    <row r="280">
      <c r="A280" s="19" t="n"/>
      <c r="B280" s="19" t="n"/>
      <c r="C280" s="19" t="n"/>
      <c r="D280" s="19" t="n"/>
      <c r="E280" s="19" t="n"/>
      <c r="F280" s="19" t="n"/>
      <c r="G280" s="19" t="n"/>
      <c r="H280" s="19" t="n"/>
      <c r="I280" s="19" t="n"/>
      <c r="J280" s="19" t="n"/>
      <c r="K280" s="19" t="n"/>
      <c r="L280" s="125" t="n"/>
      <c r="M280" s="88">
        <f>IF($D280="","",IFERROR(VLOOKUP($H280,Lists!$N$2:$O$6,2,FALSE),0))</f>
        <v/>
      </c>
      <c r="N280" s="88">
        <f>IF($D280="","",IF(OR($E280="Blocked",$E280="Done",$E280="Archive"),-9999,IF(AND($E280="Waiting",SUMPRODUCT((($E$5:$E$500="Next")+($E$5:$E$500="In Progress")+($E$5:$E$500="Captured"))*($D$5:$D$500&lt;&gt;""))&gt;0),-500,VLOOKUP($F280,Lists!$L$2:$M$4,2,FALSE)+IF($E280="In Progress",10,0)+IF(AND($I280&lt;&gt;"",$I280&lt;TODAY()),25,0)+IF(AND($I280&lt;&gt;"",$I280&gt;=TODAY(),$I280&lt;=TODAY()+7),15,0)+IF($M280&lt;=VLOOKUP(Home!$C$7,Lists!$N$2:$O$6,2,FALSE),20,-10)+IF($G280=Home!$E$7,15,IF(Home!$E$7="",0,-5))-ROW()/100000)))</f>
        <v/>
      </c>
      <c r="O280" s="88">
        <f>IF($D280="","",IF($N280&lt;=-500,"Not recommended right now",IF($E280="Waiting","Nothing else actionable right now — Waiting on: "&amp;IF($K280="","this item",$K280),TEXTJOIN(" • ",TRUE,IF($F280="High","High Priority",""),IF(AND($I280&lt;&gt;"",$I280&lt;TODAY()),"Overdue",""),IF(AND($I280&lt;&gt;"",$I280&gt;=TODAY(),$I280&lt;=TODAY()+7),"Due This Week",""),IF($M280&lt;=VLOOKUP(Home!$C$7,Lists!$N$2:$O$6,2,FALSE),$H280&amp;" Task",""),IF($G280=Home!$E$7,"Fits Current Energy",""),"No Blockers"))))</f>
        <v/>
      </c>
      <c r="P280" s="88">
        <f>IF($D280="","",SWITCH('Task Finder'!$C$6,"High Priority",AND($F280="High",$E280&lt;&gt;"Done",$E280&lt;&gt;"Archive"),"Due This Week",AND($I280&lt;&gt;"",$I280&gt;=TODAY(),$I280&lt;=TODAY()+7,$E280&lt;&gt;"Done"),"Quick Wins (15 mins or less)",AND($M280&lt;=15,$E280&lt;&gt;"Done",$E280&lt;&gt;"Blocked"),"Deep Thinking",AND($G280="Deep Thinking",$E280&lt;&gt;"Done"),"Processing",AND($G280="Processing",$E280&lt;&gt;"Done"),"Blocked",$E280="Blocked","Waiting",$E280="Waiting","Recently Updated",AND($L280&lt;&gt;"",$L280&gt;=TODAY()-7),"Keyword",AND('Task Finder'!$C$7&lt;&gt;"",OR(ISNUMBER(SEARCH('Task Finder'!$C$7,$A280)),ISNUMBER(SEARCH('Task Finder'!$C$7,$B280)),ISNUMBER(SEARCH('Task Finder'!$C$7,$C280)),ISNUMBER(SEARCH('Task Finder'!$C$7,$D280)),ISNUMBER(SEARCH('Task Finder'!$C$7,$K280)))),TRUE))</f>
        <v/>
      </c>
    </row>
    <row r="281">
      <c r="A281" s="19" t="n"/>
      <c r="B281" s="19" t="n"/>
      <c r="C281" s="19" t="n"/>
      <c r="D281" s="19" t="n"/>
      <c r="E281" s="19" t="n"/>
      <c r="F281" s="19" t="n"/>
      <c r="G281" s="19" t="n"/>
      <c r="H281" s="19" t="n"/>
      <c r="I281" s="19" t="n"/>
      <c r="J281" s="19" t="n"/>
      <c r="K281" s="19" t="n"/>
      <c r="L281" s="125" t="n"/>
      <c r="M281" s="88">
        <f>IF($D281="","",IFERROR(VLOOKUP($H281,Lists!$N$2:$O$6,2,FALSE),0))</f>
        <v/>
      </c>
      <c r="N281" s="88">
        <f>IF($D281="","",IF(OR($E281="Blocked",$E281="Done",$E281="Archive"),-9999,IF(AND($E281="Waiting",SUMPRODUCT((($E$5:$E$500="Next")+($E$5:$E$500="In Progress")+($E$5:$E$500="Captured"))*($D$5:$D$500&lt;&gt;""))&gt;0),-500,VLOOKUP($F281,Lists!$L$2:$M$4,2,FALSE)+IF($E281="In Progress",10,0)+IF(AND($I281&lt;&gt;"",$I281&lt;TODAY()),25,0)+IF(AND($I281&lt;&gt;"",$I281&gt;=TODAY(),$I281&lt;=TODAY()+7),15,0)+IF($M281&lt;=VLOOKUP(Home!$C$7,Lists!$N$2:$O$6,2,FALSE),20,-10)+IF($G281=Home!$E$7,15,IF(Home!$E$7="",0,-5))-ROW()/100000)))</f>
        <v/>
      </c>
      <c r="O281" s="88">
        <f>IF($D281="","",IF($N281&lt;=-500,"Not recommended right now",IF($E281="Waiting","Nothing else actionable right now — Waiting on: "&amp;IF($K281="","this item",$K281),TEXTJOIN(" • ",TRUE,IF($F281="High","High Priority",""),IF(AND($I281&lt;&gt;"",$I281&lt;TODAY()),"Overdue",""),IF(AND($I281&lt;&gt;"",$I281&gt;=TODAY(),$I281&lt;=TODAY()+7),"Due This Week",""),IF($M281&lt;=VLOOKUP(Home!$C$7,Lists!$N$2:$O$6,2,FALSE),$H281&amp;" Task",""),IF($G281=Home!$E$7,"Fits Current Energy",""),"No Blockers"))))</f>
        <v/>
      </c>
      <c r="P281" s="88">
        <f>IF($D281="","",SWITCH('Task Finder'!$C$6,"High Priority",AND($F281="High",$E281&lt;&gt;"Done",$E281&lt;&gt;"Archive"),"Due This Week",AND($I281&lt;&gt;"",$I281&gt;=TODAY(),$I281&lt;=TODAY()+7,$E281&lt;&gt;"Done"),"Quick Wins (15 mins or less)",AND($M281&lt;=15,$E281&lt;&gt;"Done",$E281&lt;&gt;"Blocked"),"Deep Thinking",AND($G281="Deep Thinking",$E281&lt;&gt;"Done"),"Processing",AND($G281="Processing",$E281&lt;&gt;"Done"),"Blocked",$E281="Blocked","Waiting",$E281="Waiting","Recently Updated",AND($L281&lt;&gt;"",$L281&gt;=TODAY()-7),"Keyword",AND('Task Finder'!$C$7&lt;&gt;"",OR(ISNUMBER(SEARCH('Task Finder'!$C$7,$A281)),ISNUMBER(SEARCH('Task Finder'!$C$7,$B281)),ISNUMBER(SEARCH('Task Finder'!$C$7,$C281)),ISNUMBER(SEARCH('Task Finder'!$C$7,$D281)),ISNUMBER(SEARCH('Task Finder'!$C$7,$K281)))),TRUE))</f>
        <v/>
      </c>
    </row>
    <row r="282">
      <c r="A282" s="19" t="n"/>
      <c r="B282" s="19" t="n"/>
      <c r="C282" s="19" t="n"/>
      <c r="D282" s="19" t="n"/>
      <c r="E282" s="19" t="n"/>
      <c r="F282" s="19" t="n"/>
      <c r="G282" s="19" t="n"/>
      <c r="H282" s="19" t="n"/>
      <c r="I282" s="19" t="n"/>
      <c r="J282" s="19" t="n"/>
      <c r="K282" s="19" t="n"/>
      <c r="L282" s="125" t="n"/>
      <c r="M282" s="88">
        <f>IF($D282="","",IFERROR(VLOOKUP($H282,Lists!$N$2:$O$6,2,FALSE),0))</f>
        <v/>
      </c>
      <c r="N282" s="88">
        <f>IF($D282="","",IF(OR($E282="Blocked",$E282="Done",$E282="Archive"),-9999,IF(AND($E282="Waiting",SUMPRODUCT((($E$5:$E$500="Next")+($E$5:$E$500="In Progress")+($E$5:$E$500="Captured"))*($D$5:$D$500&lt;&gt;""))&gt;0),-500,VLOOKUP($F282,Lists!$L$2:$M$4,2,FALSE)+IF($E282="In Progress",10,0)+IF(AND($I282&lt;&gt;"",$I282&lt;TODAY()),25,0)+IF(AND($I282&lt;&gt;"",$I282&gt;=TODAY(),$I282&lt;=TODAY()+7),15,0)+IF($M282&lt;=VLOOKUP(Home!$C$7,Lists!$N$2:$O$6,2,FALSE),20,-10)+IF($G282=Home!$E$7,15,IF(Home!$E$7="",0,-5))-ROW()/100000)))</f>
        <v/>
      </c>
      <c r="O282" s="88">
        <f>IF($D282="","",IF($N282&lt;=-500,"Not recommended right now",IF($E282="Waiting","Nothing else actionable right now — Waiting on: "&amp;IF($K282="","this item",$K282),TEXTJOIN(" • ",TRUE,IF($F282="High","High Priority",""),IF(AND($I282&lt;&gt;"",$I282&lt;TODAY()),"Overdue",""),IF(AND($I282&lt;&gt;"",$I282&gt;=TODAY(),$I282&lt;=TODAY()+7),"Due This Week",""),IF($M282&lt;=VLOOKUP(Home!$C$7,Lists!$N$2:$O$6,2,FALSE),$H282&amp;" Task",""),IF($G282=Home!$E$7,"Fits Current Energy",""),"No Blockers"))))</f>
        <v/>
      </c>
      <c r="P282" s="88">
        <f>IF($D282="","",SWITCH('Task Finder'!$C$6,"High Priority",AND($F282="High",$E282&lt;&gt;"Done",$E282&lt;&gt;"Archive"),"Due This Week",AND($I282&lt;&gt;"",$I282&gt;=TODAY(),$I282&lt;=TODAY()+7,$E282&lt;&gt;"Done"),"Quick Wins (15 mins or less)",AND($M282&lt;=15,$E282&lt;&gt;"Done",$E282&lt;&gt;"Blocked"),"Deep Thinking",AND($G282="Deep Thinking",$E282&lt;&gt;"Done"),"Processing",AND($G282="Processing",$E282&lt;&gt;"Done"),"Blocked",$E282="Blocked","Waiting",$E282="Waiting","Recently Updated",AND($L282&lt;&gt;"",$L282&gt;=TODAY()-7),"Keyword",AND('Task Finder'!$C$7&lt;&gt;"",OR(ISNUMBER(SEARCH('Task Finder'!$C$7,$A282)),ISNUMBER(SEARCH('Task Finder'!$C$7,$B282)),ISNUMBER(SEARCH('Task Finder'!$C$7,$C282)),ISNUMBER(SEARCH('Task Finder'!$C$7,$D282)),ISNUMBER(SEARCH('Task Finder'!$C$7,$K282)))),TRUE))</f>
        <v/>
      </c>
    </row>
    <row r="283">
      <c r="A283" s="19" t="n"/>
      <c r="B283" s="19" t="n"/>
      <c r="C283" s="19" t="n"/>
      <c r="D283" s="19" t="n"/>
      <c r="E283" s="19" t="n"/>
      <c r="F283" s="19" t="n"/>
      <c r="G283" s="19" t="n"/>
      <c r="H283" s="19" t="n"/>
      <c r="I283" s="19" t="n"/>
      <c r="J283" s="19" t="n"/>
      <c r="K283" s="19" t="n"/>
      <c r="L283" s="125" t="n"/>
      <c r="M283" s="88">
        <f>IF($D283="","",IFERROR(VLOOKUP($H283,Lists!$N$2:$O$6,2,FALSE),0))</f>
        <v/>
      </c>
      <c r="N283" s="88">
        <f>IF($D283="","",IF(OR($E283="Blocked",$E283="Done",$E283="Archive"),-9999,IF(AND($E283="Waiting",SUMPRODUCT((($E$5:$E$500="Next")+($E$5:$E$500="In Progress")+($E$5:$E$500="Captured"))*($D$5:$D$500&lt;&gt;""))&gt;0),-500,VLOOKUP($F283,Lists!$L$2:$M$4,2,FALSE)+IF($E283="In Progress",10,0)+IF(AND($I283&lt;&gt;"",$I283&lt;TODAY()),25,0)+IF(AND($I283&lt;&gt;"",$I283&gt;=TODAY(),$I283&lt;=TODAY()+7),15,0)+IF($M283&lt;=VLOOKUP(Home!$C$7,Lists!$N$2:$O$6,2,FALSE),20,-10)+IF($G283=Home!$E$7,15,IF(Home!$E$7="",0,-5))-ROW()/100000)))</f>
        <v/>
      </c>
      <c r="O283" s="88">
        <f>IF($D283="","",IF($N283&lt;=-500,"Not recommended right now",IF($E283="Waiting","Nothing else actionable right now — Waiting on: "&amp;IF($K283="","this item",$K283),TEXTJOIN(" • ",TRUE,IF($F283="High","High Priority",""),IF(AND($I283&lt;&gt;"",$I283&lt;TODAY()),"Overdue",""),IF(AND($I283&lt;&gt;"",$I283&gt;=TODAY(),$I283&lt;=TODAY()+7),"Due This Week",""),IF($M283&lt;=VLOOKUP(Home!$C$7,Lists!$N$2:$O$6,2,FALSE),$H283&amp;" Task",""),IF($G283=Home!$E$7,"Fits Current Energy",""),"No Blockers"))))</f>
        <v/>
      </c>
      <c r="P283" s="88">
        <f>IF($D283="","",SWITCH('Task Finder'!$C$6,"High Priority",AND($F283="High",$E283&lt;&gt;"Done",$E283&lt;&gt;"Archive"),"Due This Week",AND($I283&lt;&gt;"",$I283&gt;=TODAY(),$I283&lt;=TODAY()+7,$E283&lt;&gt;"Done"),"Quick Wins (15 mins or less)",AND($M283&lt;=15,$E283&lt;&gt;"Done",$E283&lt;&gt;"Blocked"),"Deep Thinking",AND($G283="Deep Thinking",$E283&lt;&gt;"Done"),"Processing",AND($G283="Processing",$E283&lt;&gt;"Done"),"Blocked",$E283="Blocked","Waiting",$E283="Waiting","Recently Updated",AND($L283&lt;&gt;"",$L283&gt;=TODAY()-7),"Keyword",AND('Task Finder'!$C$7&lt;&gt;"",OR(ISNUMBER(SEARCH('Task Finder'!$C$7,$A283)),ISNUMBER(SEARCH('Task Finder'!$C$7,$B283)),ISNUMBER(SEARCH('Task Finder'!$C$7,$C283)),ISNUMBER(SEARCH('Task Finder'!$C$7,$D283)),ISNUMBER(SEARCH('Task Finder'!$C$7,$K283)))),TRUE))</f>
        <v/>
      </c>
    </row>
    <row r="284">
      <c r="A284" s="19" t="n"/>
      <c r="B284" s="19" t="n"/>
      <c r="C284" s="19" t="n"/>
      <c r="D284" s="19" t="n"/>
      <c r="E284" s="19" t="n"/>
      <c r="F284" s="19" t="n"/>
      <c r="G284" s="19" t="n"/>
      <c r="H284" s="19" t="n"/>
      <c r="I284" s="19" t="n"/>
      <c r="J284" s="19" t="n"/>
      <c r="K284" s="19" t="n"/>
      <c r="L284" s="125" t="n"/>
      <c r="M284" s="88">
        <f>IF($D284="","",IFERROR(VLOOKUP($H284,Lists!$N$2:$O$6,2,FALSE),0))</f>
        <v/>
      </c>
      <c r="N284" s="88">
        <f>IF($D284="","",IF(OR($E284="Blocked",$E284="Done",$E284="Archive"),-9999,IF(AND($E284="Waiting",SUMPRODUCT((($E$5:$E$500="Next")+($E$5:$E$500="In Progress")+($E$5:$E$500="Captured"))*($D$5:$D$500&lt;&gt;""))&gt;0),-500,VLOOKUP($F284,Lists!$L$2:$M$4,2,FALSE)+IF($E284="In Progress",10,0)+IF(AND($I284&lt;&gt;"",$I284&lt;TODAY()),25,0)+IF(AND($I284&lt;&gt;"",$I284&gt;=TODAY(),$I284&lt;=TODAY()+7),15,0)+IF($M284&lt;=VLOOKUP(Home!$C$7,Lists!$N$2:$O$6,2,FALSE),20,-10)+IF($G284=Home!$E$7,15,IF(Home!$E$7="",0,-5))-ROW()/100000)))</f>
        <v/>
      </c>
      <c r="O284" s="88">
        <f>IF($D284="","",IF($N284&lt;=-500,"Not recommended right now",IF($E284="Waiting","Nothing else actionable right now — Waiting on: "&amp;IF($K284="","this item",$K284),TEXTJOIN(" • ",TRUE,IF($F284="High","High Priority",""),IF(AND($I284&lt;&gt;"",$I284&lt;TODAY()),"Overdue",""),IF(AND($I284&lt;&gt;"",$I284&gt;=TODAY(),$I284&lt;=TODAY()+7),"Due This Week",""),IF($M284&lt;=VLOOKUP(Home!$C$7,Lists!$N$2:$O$6,2,FALSE),$H284&amp;" Task",""),IF($G284=Home!$E$7,"Fits Current Energy",""),"No Blockers"))))</f>
        <v/>
      </c>
      <c r="P284" s="88">
        <f>IF($D284="","",SWITCH('Task Finder'!$C$6,"High Priority",AND($F284="High",$E284&lt;&gt;"Done",$E284&lt;&gt;"Archive"),"Due This Week",AND($I284&lt;&gt;"",$I284&gt;=TODAY(),$I284&lt;=TODAY()+7,$E284&lt;&gt;"Done"),"Quick Wins (15 mins or less)",AND($M284&lt;=15,$E284&lt;&gt;"Done",$E284&lt;&gt;"Blocked"),"Deep Thinking",AND($G284="Deep Thinking",$E284&lt;&gt;"Done"),"Processing",AND($G284="Processing",$E284&lt;&gt;"Done"),"Blocked",$E284="Blocked","Waiting",$E284="Waiting","Recently Updated",AND($L284&lt;&gt;"",$L284&gt;=TODAY()-7),"Keyword",AND('Task Finder'!$C$7&lt;&gt;"",OR(ISNUMBER(SEARCH('Task Finder'!$C$7,$A284)),ISNUMBER(SEARCH('Task Finder'!$C$7,$B284)),ISNUMBER(SEARCH('Task Finder'!$C$7,$C284)),ISNUMBER(SEARCH('Task Finder'!$C$7,$D284)),ISNUMBER(SEARCH('Task Finder'!$C$7,$K284)))),TRUE))</f>
        <v/>
      </c>
    </row>
    <row r="285">
      <c r="A285" s="19" t="n"/>
      <c r="B285" s="19" t="n"/>
      <c r="C285" s="19" t="n"/>
      <c r="D285" s="19" t="n"/>
      <c r="E285" s="19" t="n"/>
      <c r="F285" s="19" t="n"/>
      <c r="G285" s="19" t="n"/>
      <c r="H285" s="19" t="n"/>
      <c r="I285" s="19" t="n"/>
      <c r="J285" s="19" t="n"/>
      <c r="K285" s="19" t="n"/>
      <c r="L285" s="125" t="n"/>
      <c r="M285" s="88">
        <f>IF($D285="","",IFERROR(VLOOKUP($H285,Lists!$N$2:$O$6,2,FALSE),0))</f>
        <v/>
      </c>
      <c r="N285" s="88">
        <f>IF($D285="","",IF(OR($E285="Blocked",$E285="Done",$E285="Archive"),-9999,IF(AND($E285="Waiting",SUMPRODUCT((($E$5:$E$500="Next")+($E$5:$E$500="In Progress")+($E$5:$E$500="Captured"))*($D$5:$D$500&lt;&gt;""))&gt;0),-500,VLOOKUP($F285,Lists!$L$2:$M$4,2,FALSE)+IF($E285="In Progress",10,0)+IF(AND($I285&lt;&gt;"",$I285&lt;TODAY()),25,0)+IF(AND($I285&lt;&gt;"",$I285&gt;=TODAY(),$I285&lt;=TODAY()+7),15,0)+IF($M285&lt;=VLOOKUP(Home!$C$7,Lists!$N$2:$O$6,2,FALSE),20,-10)+IF($G285=Home!$E$7,15,IF(Home!$E$7="",0,-5))-ROW()/100000)))</f>
        <v/>
      </c>
      <c r="O285" s="88">
        <f>IF($D285="","",IF($N285&lt;=-500,"Not recommended right now",IF($E285="Waiting","Nothing else actionable right now — Waiting on: "&amp;IF($K285="","this item",$K285),TEXTJOIN(" • ",TRUE,IF($F285="High","High Priority",""),IF(AND($I285&lt;&gt;"",$I285&lt;TODAY()),"Overdue",""),IF(AND($I285&lt;&gt;"",$I285&gt;=TODAY(),$I285&lt;=TODAY()+7),"Due This Week",""),IF($M285&lt;=VLOOKUP(Home!$C$7,Lists!$N$2:$O$6,2,FALSE),$H285&amp;" Task",""),IF($G285=Home!$E$7,"Fits Current Energy",""),"No Blockers"))))</f>
        <v/>
      </c>
      <c r="P285" s="88">
        <f>IF($D285="","",SWITCH('Task Finder'!$C$6,"High Priority",AND($F285="High",$E285&lt;&gt;"Done",$E285&lt;&gt;"Archive"),"Due This Week",AND($I285&lt;&gt;"",$I285&gt;=TODAY(),$I285&lt;=TODAY()+7,$E285&lt;&gt;"Done"),"Quick Wins (15 mins or less)",AND($M285&lt;=15,$E285&lt;&gt;"Done",$E285&lt;&gt;"Blocked"),"Deep Thinking",AND($G285="Deep Thinking",$E285&lt;&gt;"Done"),"Processing",AND($G285="Processing",$E285&lt;&gt;"Done"),"Blocked",$E285="Blocked","Waiting",$E285="Waiting","Recently Updated",AND($L285&lt;&gt;"",$L285&gt;=TODAY()-7),"Keyword",AND('Task Finder'!$C$7&lt;&gt;"",OR(ISNUMBER(SEARCH('Task Finder'!$C$7,$A285)),ISNUMBER(SEARCH('Task Finder'!$C$7,$B285)),ISNUMBER(SEARCH('Task Finder'!$C$7,$C285)),ISNUMBER(SEARCH('Task Finder'!$C$7,$D285)),ISNUMBER(SEARCH('Task Finder'!$C$7,$K285)))),TRUE))</f>
        <v/>
      </c>
    </row>
    <row r="286">
      <c r="A286" s="19" t="n"/>
      <c r="B286" s="19" t="n"/>
      <c r="C286" s="19" t="n"/>
      <c r="D286" s="19" t="n"/>
      <c r="E286" s="19" t="n"/>
      <c r="F286" s="19" t="n"/>
      <c r="G286" s="19" t="n"/>
      <c r="H286" s="19" t="n"/>
      <c r="I286" s="19" t="n"/>
      <c r="J286" s="19" t="n"/>
      <c r="K286" s="19" t="n"/>
      <c r="L286" s="125" t="n"/>
      <c r="M286" s="88">
        <f>IF($D286="","",IFERROR(VLOOKUP($H286,Lists!$N$2:$O$6,2,FALSE),0))</f>
        <v/>
      </c>
      <c r="N286" s="88">
        <f>IF($D286="","",IF(OR($E286="Blocked",$E286="Done",$E286="Archive"),-9999,IF(AND($E286="Waiting",SUMPRODUCT((($E$5:$E$500="Next")+($E$5:$E$500="In Progress")+($E$5:$E$500="Captured"))*($D$5:$D$500&lt;&gt;""))&gt;0),-500,VLOOKUP($F286,Lists!$L$2:$M$4,2,FALSE)+IF($E286="In Progress",10,0)+IF(AND($I286&lt;&gt;"",$I286&lt;TODAY()),25,0)+IF(AND($I286&lt;&gt;"",$I286&gt;=TODAY(),$I286&lt;=TODAY()+7),15,0)+IF($M286&lt;=VLOOKUP(Home!$C$7,Lists!$N$2:$O$6,2,FALSE),20,-10)+IF($G286=Home!$E$7,15,IF(Home!$E$7="",0,-5))-ROW()/100000)))</f>
        <v/>
      </c>
      <c r="O286" s="88">
        <f>IF($D286="","",IF($N286&lt;=-500,"Not recommended right now",IF($E286="Waiting","Nothing else actionable right now — Waiting on: "&amp;IF($K286="","this item",$K286),TEXTJOIN(" • ",TRUE,IF($F286="High","High Priority",""),IF(AND($I286&lt;&gt;"",$I286&lt;TODAY()),"Overdue",""),IF(AND($I286&lt;&gt;"",$I286&gt;=TODAY(),$I286&lt;=TODAY()+7),"Due This Week",""),IF($M286&lt;=VLOOKUP(Home!$C$7,Lists!$N$2:$O$6,2,FALSE),$H286&amp;" Task",""),IF($G286=Home!$E$7,"Fits Current Energy",""),"No Blockers"))))</f>
        <v/>
      </c>
      <c r="P286" s="88">
        <f>IF($D286="","",SWITCH('Task Finder'!$C$6,"High Priority",AND($F286="High",$E286&lt;&gt;"Done",$E286&lt;&gt;"Archive"),"Due This Week",AND($I286&lt;&gt;"",$I286&gt;=TODAY(),$I286&lt;=TODAY()+7,$E286&lt;&gt;"Done"),"Quick Wins (15 mins or less)",AND($M286&lt;=15,$E286&lt;&gt;"Done",$E286&lt;&gt;"Blocked"),"Deep Thinking",AND($G286="Deep Thinking",$E286&lt;&gt;"Done"),"Processing",AND($G286="Processing",$E286&lt;&gt;"Done"),"Blocked",$E286="Blocked","Waiting",$E286="Waiting","Recently Updated",AND($L286&lt;&gt;"",$L286&gt;=TODAY()-7),"Keyword",AND('Task Finder'!$C$7&lt;&gt;"",OR(ISNUMBER(SEARCH('Task Finder'!$C$7,$A286)),ISNUMBER(SEARCH('Task Finder'!$C$7,$B286)),ISNUMBER(SEARCH('Task Finder'!$C$7,$C286)),ISNUMBER(SEARCH('Task Finder'!$C$7,$D286)),ISNUMBER(SEARCH('Task Finder'!$C$7,$K286)))),TRUE))</f>
        <v/>
      </c>
    </row>
    <row r="287">
      <c r="A287" s="19" t="n"/>
      <c r="B287" s="19" t="n"/>
      <c r="C287" s="19" t="n"/>
      <c r="D287" s="19" t="n"/>
      <c r="E287" s="19" t="n"/>
      <c r="F287" s="19" t="n"/>
      <c r="G287" s="19" t="n"/>
      <c r="H287" s="19" t="n"/>
      <c r="I287" s="19" t="n"/>
      <c r="J287" s="19" t="n"/>
      <c r="K287" s="19" t="n"/>
      <c r="L287" s="125" t="n"/>
      <c r="M287" s="88">
        <f>IF($D287="","",IFERROR(VLOOKUP($H287,Lists!$N$2:$O$6,2,FALSE),0))</f>
        <v/>
      </c>
      <c r="N287" s="88">
        <f>IF($D287="","",IF(OR($E287="Blocked",$E287="Done",$E287="Archive"),-9999,IF(AND($E287="Waiting",SUMPRODUCT((($E$5:$E$500="Next")+($E$5:$E$500="In Progress")+($E$5:$E$500="Captured"))*($D$5:$D$500&lt;&gt;""))&gt;0),-500,VLOOKUP($F287,Lists!$L$2:$M$4,2,FALSE)+IF($E287="In Progress",10,0)+IF(AND($I287&lt;&gt;"",$I287&lt;TODAY()),25,0)+IF(AND($I287&lt;&gt;"",$I287&gt;=TODAY(),$I287&lt;=TODAY()+7),15,0)+IF($M287&lt;=VLOOKUP(Home!$C$7,Lists!$N$2:$O$6,2,FALSE),20,-10)+IF($G287=Home!$E$7,15,IF(Home!$E$7="",0,-5))-ROW()/100000)))</f>
        <v/>
      </c>
      <c r="O287" s="88">
        <f>IF($D287="","",IF($N287&lt;=-500,"Not recommended right now",IF($E287="Waiting","Nothing else actionable right now — Waiting on: "&amp;IF($K287="","this item",$K287),TEXTJOIN(" • ",TRUE,IF($F287="High","High Priority",""),IF(AND($I287&lt;&gt;"",$I287&lt;TODAY()),"Overdue",""),IF(AND($I287&lt;&gt;"",$I287&gt;=TODAY(),$I287&lt;=TODAY()+7),"Due This Week",""),IF($M287&lt;=VLOOKUP(Home!$C$7,Lists!$N$2:$O$6,2,FALSE),$H287&amp;" Task",""),IF($G287=Home!$E$7,"Fits Current Energy",""),"No Blockers"))))</f>
        <v/>
      </c>
      <c r="P287" s="88">
        <f>IF($D287="","",SWITCH('Task Finder'!$C$6,"High Priority",AND($F287="High",$E287&lt;&gt;"Done",$E287&lt;&gt;"Archive"),"Due This Week",AND($I287&lt;&gt;"",$I287&gt;=TODAY(),$I287&lt;=TODAY()+7,$E287&lt;&gt;"Done"),"Quick Wins (15 mins or less)",AND($M287&lt;=15,$E287&lt;&gt;"Done",$E287&lt;&gt;"Blocked"),"Deep Thinking",AND($G287="Deep Thinking",$E287&lt;&gt;"Done"),"Processing",AND($G287="Processing",$E287&lt;&gt;"Done"),"Blocked",$E287="Blocked","Waiting",$E287="Waiting","Recently Updated",AND($L287&lt;&gt;"",$L287&gt;=TODAY()-7),"Keyword",AND('Task Finder'!$C$7&lt;&gt;"",OR(ISNUMBER(SEARCH('Task Finder'!$C$7,$A287)),ISNUMBER(SEARCH('Task Finder'!$C$7,$B287)),ISNUMBER(SEARCH('Task Finder'!$C$7,$C287)),ISNUMBER(SEARCH('Task Finder'!$C$7,$D287)),ISNUMBER(SEARCH('Task Finder'!$C$7,$K287)))),TRUE))</f>
        <v/>
      </c>
    </row>
    <row r="288">
      <c r="A288" s="19" t="n"/>
      <c r="B288" s="19" t="n"/>
      <c r="C288" s="19" t="n"/>
      <c r="D288" s="19" t="n"/>
      <c r="E288" s="19" t="n"/>
      <c r="F288" s="19" t="n"/>
      <c r="G288" s="19" t="n"/>
      <c r="H288" s="19" t="n"/>
      <c r="I288" s="19" t="n"/>
      <c r="J288" s="19" t="n"/>
      <c r="K288" s="19" t="n"/>
      <c r="L288" s="125" t="n"/>
      <c r="M288" s="88">
        <f>IF($D288="","",IFERROR(VLOOKUP($H288,Lists!$N$2:$O$6,2,FALSE),0))</f>
        <v/>
      </c>
      <c r="N288" s="88">
        <f>IF($D288="","",IF(OR($E288="Blocked",$E288="Done",$E288="Archive"),-9999,IF(AND($E288="Waiting",SUMPRODUCT((($E$5:$E$500="Next")+($E$5:$E$500="In Progress")+($E$5:$E$500="Captured"))*($D$5:$D$500&lt;&gt;""))&gt;0),-500,VLOOKUP($F288,Lists!$L$2:$M$4,2,FALSE)+IF($E288="In Progress",10,0)+IF(AND($I288&lt;&gt;"",$I288&lt;TODAY()),25,0)+IF(AND($I288&lt;&gt;"",$I288&gt;=TODAY(),$I288&lt;=TODAY()+7),15,0)+IF($M288&lt;=VLOOKUP(Home!$C$7,Lists!$N$2:$O$6,2,FALSE),20,-10)+IF($G288=Home!$E$7,15,IF(Home!$E$7="",0,-5))-ROW()/100000)))</f>
        <v/>
      </c>
      <c r="O288" s="88">
        <f>IF($D288="","",IF($N288&lt;=-500,"Not recommended right now",IF($E288="Waiting","Nothing else actionable right now — Waiting on: "&amp;IF($K288="","this item",$K288),TEXTJOIN(" • ",TRUE,IF($F288="High","High Priority",""),IF(AND($I288&lt;&gt;"",$I288&lt;TODAY()),"Overdue",""),IF(AND($I288&lt;&gt;"",$I288&gt;=TODAY(),$I288&lt;=TODAY()+7),"Due This Week",""),IF($M288&lt;=VLOOKUP(Home!$C$7,Lists!$N$2:$O$6,2,FALSE),$H288&amp;" Task",""),IF($G288=Home!$E$7,"Fits Current Energy",""),"No Blockers"))))</f>
        <v/>
      </c>
      <c r="P288" s="88">
        <f>IF($D288="","",SWITCH('Task Finder'!$C$6,"High Priority",AND($F288="High",$E288&lt;&gt;"Done",$E288&lt;&gt;"Archive"),"Due This Week",AND($I288&lt;&gt;"",$I288&gt;=TODAY(),$I288&lt;=TODAY()+7,$E288&lt;&gt;"Done"),"Quick Wins (15 mins or less)",AND($M288&lt;=15,$E288&lt;&gt;"Done",$E288&lt;&gt;"Blocked"),"Deep Thinking",AND($G288="Deep Thinking",$E288&lt;&gt;"Done"),"Processing",AND($G288="Processing",$E288&lt;&gt;"Done"),"Blocked",$E288="Blocked","Waiting",$E288="Waiting","Recently Updated",AND($L288&lt;&gt;"",$L288&gt;=TODAY()-7),"Keyword",AND('Task Finder'!$C$7&lt;&gt;"",OR(ISNUMBER(SEARCH('Task Finder'!$C$7,$A288)),ISNUMBER(SEARCH('Task Finder'!$C$7,$B288)),ISNUMBER(SEARCH('Task Finder'!$C$7,$C288)),ISNUMBER(SEARCH('Task Finder'!$C$7,$D288)),ISNUMBER(SEARCH('Task Finder'!$C$7,$K288)))),TRUE))</f>
        <v/>
      </c>
    </row>
    <row r="289">
      <c r="A289" s="19" t="n"/>
      <c r="B289" s="19" t="n"/>
      <c r="C289" s="19" t="n"/>
      <c r="D289" s="19" t="n"/>
      <c r="E289" s="19" t="n"/>
      <c r="F289" s="19" t="n"/>
      <c r="G289" s="19" t="n"/>
      <c r="H289" s="19" t="n"/>
      <c r="I289" s="19" t="n"/>
      <c r="J289" s="19" t="n"/>
      <c r="K289" s="19" t="n"/>
      <c r="L289" s="125" t="n"/>
      <c r="M289" s="88">
        <f>IF($D289="","",IFERROR(VLOOKUP($H289,Lists!$N$2:$O$6,2,FALSE),0))</f>
        <v/>
      </c>
      <c r="N289" s="88">
        <f>IF($D289="","",IF(OR($E289="Blocked",$E289="Done",$E289="Archive"),-9999,IF(AND($E289="Waiting",SUMPRODUCT((($E$5:$E$500="Next")+($E$5:$E$500="In Progress")+($E$5:$E$500="Captured"))*($D$5:$D$500&lt;&gt;""))&gt;0),-500,VLOOKUP($F289,Lists!$L$2:$M$4,2,FALSE)+IF($E289="In Progress",10,0)+IF(AND($I289&lt;&gt;"",$I289&lt;TODAY()),25,0)+IF(AND($I289&lt;&gt;"",$I289&gt;=TODAY(),$I289&lt;=TODAY()+7),15,0)+IF($M289&lt;=VLOOKUP(Home!$C$7,Lists!$N$2:$O$6,2,FALSE),20,-10)+IF($G289=Home!$E$7,15,IF(Home!$E$7="",0,-5))-ROW()/100000)))</f>
        <v/>
      </c>
      <c r="O289" s="88">
        <f>IF($D289="","",IF($N289&lt;=-500,"Not recommended right now",IF($E289="Waiting","Nothing else actionable right now — Waiting on: "&amp;IF($K289="","this item",$K289),TEXTJOIN(" • ",TRUE,IF($F289="High","High Priority",""),IF(AND($I289&lt;&gt;"",$I289&lt;TODAY()),"Overdue",""),IF(AND($I289&lt;&gt;"",$I289&gt;=TODAY(),$I289&lt;=TODAY()+7),"Due This Week",""),IF($M289&lt;=VLOOKUP(Home!$C$7,Lists!$N$2:$O$6,2,FALSE),$H289&amp;" Task",""),IF($G289=Home!$E$7,"Fits Current Energy",""),"No Blockers"))))</f>
        <v/>
      </c>
      <c r="P289" s="88">
        <f>IF($D289="","",SWITCH('Task Finder'!$C$6,"High Priority",AND($F289="High",$E289&lt;&gt;"Done",$E289&lt;&gt;"Archive"),"Due This Week",AND($I289&lt;&gt;"",$I289&gt;=TODAY(),$I289&lt;=TODAY()+7,$E289&lt;&gt;"Done"),"Quick Wins (15 mins or less)",AND($M289&lt;=15,$E289&lt;&gt;"Done",$E289&lt;&gt;"Blocked"),"Deep Thinking",AND($G289="Deep Thinking",$E289&lt;&gt;"Done"),"Processing",AND($G289="Processing",$E289&lt;&gt;"Done"),"Blocked",$E289="Blocked","Waiting",$E289="Waiting","Recently Updated",AND($L289&lt;&gt;"",$L289&gt;=TODAY()-7),"Keyword",AND('Task Finder'!$C$7&lt;&gt;"",OR(ISNUMBER(SEARCH('Task Finder'!$C$7,$A289)),ISNUMBER(SEARCH('Task Finder'!$C$7,$B289)),ISNUMBER(SEARCH('Task Finder'!$C$7,$C289)),ISNUMBER(SEARCH('Task Finder'!$C$7,$D289)),ISNUMBER(SEARCH('Task Finder'!$C$7,$K289)))),TRUE))</f>
        <v/>
      </c>
    </row>
    <row r="290">
      <c r="A290" s="19" t="n"/>
      <c r="B290" s="19" t="n"/>
      <c r="C290" s="19" t="n"/>
      <c r="D290" s="19" t="n"/>
      <c r="E290" s="19" t="n"/>
      <c r="F290" s="19" t="n"/>
      <c r="G290" s="19" t="n"/>
      <c r="H290" s="19" t="n"/>
      <c r="I290" s="19" t="n"/>
      <c r="J290" s="19" t="n"/>
      <c r="K290" s="19" t="n"/>
      <c r="L290" s="125" t="n"/>
      <c r="M290" s="88">
        <f>IF($D290="","",IFERROR(VLOOKUP($H290,Lists!$N$2:$O$6,2,FALSE),0))</f>
        <v/>
      </c>
      <c r="N290" s="88">
        <f>IF($D290="","",IF(OR($E290="Blocked",$E290="Done",$E290="Archive"),-9999,IF(AND($E290="Waiting",SUMPRODUCT((($E$5:$E$500="Next")+($E$5:$E$500="In Progress")+($E$5:$E$500="Captured"))*($D$5:$D$500&lt;&gt;""))&gt;0),-500,VLOOKUP($F290,Lists!$L$2:$M$4,2,FALSE)+IF($E290="In Progress",10,0)+IF(AND($I290&lt;&gt;"",$I290&lt;TODAY()),25,0)+IF(AND($I290&lt;&gt;"",$I290&gt;=TODAY(),$I290&lt;=TODAY()+7),15,0)+IF($M290&lt;=VLOOKUP(Home!$C$7,Lists!$N$2:$O$6,2,FALSE),20,-10)+IF($G290=Home!$E$7,15,IF(Home!$E$7="",0,-5))-ROW()/100000)))</f>
        <v/>
      </c>
      <c r="O290" s="88">
        <f>IF($D290="","",IF($N290&lt;=-500,"Not recommended right now",IF($E290="Waiting","Nothing else actionable right now — Waiting on: "&amp;IF($K290="","this item",$K290),TEXTJOIN(" • ",TRUE,IF($F290="High","High Priority",""),IF(AND($I290&lt;&gt;"",$I290&lt;TODAY()),"Overdue",""),IF(AND($I290&lt;&gt;"",$I290&gt;=TODAY(),$I290&lt;=TODAY()+7),"Due This Week",""),IF($M290&lt;=VLOOKUP(Home!$C$7,Lists!$N$2:$O$6,2,FALSE),$H290&amp;" Task",""),IF($G290=Home!$E$7,"Fits Current Energy",""),"No Blockers"))))</f>
        <v/>
      </c>
      <c r="P290" s="88">
        <f>IF($D290="","",SWITCH('Task Finder'!$C$6,"High Priority",AND($F290="High",$E290&lt;&gt;"Done",$E290&lt;&gt;"Archive"),"Due This Week",AND($I290&lt;&gt;"",$I290&gt;=TODAY(),$I290&lt;=TODAY()+7,$E290&lt;&gt;"Done"),"Quick Wins (15 mins or less)",AND($M290&lt;=15,$E290&lt;&gt;"Done",$E290&lt;&gt;"Blocked"),"Deep Thinking",AND($G290="Deep Thinking",$E290&lt;&gt;"Done"),"Processing",AND($G290="Processing",$E290&lt;&gt;"Done"),"Blocked",$E290="Blocked","Waiting",$E290="Waiting","Recently Updated",AND($L290&lt;&gt;"",$L290&gt;=TODAY()-7),"Keyword",AND('Task Finder'!$C$7&lt;&gt;"",OR(ISNUMBER(SEARCH('Task Finder'!$C$7,$A290)),ISNUMBER(SEARCH('Task Finder'!$C$7,$B290)),ISNUMBER(SEARCH('Task Finder'!$C$7,$C290)),ISNUMBER(SEARCH('Task Finder'!$C$7,$D290)),ISNUMBER(SEARCH('Task Finder'!$C$7,$K290)))),TRUE))</f>
        <v/>
      </c>
    </row>
    <row r="291">
      <c r="A291" s="19" t="n"/>
      <c r="B291" s="19" t="n"/>
      <c r="C291" s="19" t="n"/>
      <c r="D291" s="19" t="n"/>
      <c r="E291" s="19" t="n"/>
      <c r="F291" s="19" t="n"/>
      <c r="G291" s="19" t="n"/>
      <c r="H291" s="19" t="n"/>
      <c r="I291" s="19" t="n"/>
      <c r="J291" s="19" t="n"/>
      <c r="K291" s="19" t="n"/>
      <c r="L291" s="125" t="n"/>
      <c r="M291" s="88">
        <f>IF($D291="","",IFERROR(VLOOKUP($H291,Lists!$N$2:$O$6,2,FALSE),0))</f>
        <v/>
      </c>
      <c r="N291" s="88">
        <f>IF($D291="","",IF(OR($E291="Blocked",$E291="Done",$E291="Archive"),-9999,IF(AND($E291="Waiting",SUMPRODUCT((($E$5:$E$500="Next")+($E$5:$E$500="In Progress")+($E$5:$E$500="Captured"))*($D$5:$D$500&lt;&gt;""))&gt;0),-500,VLOOKUP($F291,Lists!$L$2:$M$4,2,FALSE)+IF($E291="In Progress",10,0)+IF(AND($I291&lt;&gt;"",$I291&lt;TODAY()),25,0)+IF(AND($I291&lt;&gt;"",$I291&gt;=TODAY(),$I291&lt;=TODAY()+7),15,0)+IF($M291&lt;=VLOOKUP(Home!$C$7,Lists!$N$2:$O$6,2,FALSE),20,-10)+IF($G291=Home!$E$7,15,IF(Home!$E$7="",0,-5))-ROW()/100000)))</f>
        <v/>
      </c>
      <c r="O291" s="88">
        <f>IF($D291="","",IF($N291&lt;=-500,"Not recommended right now",IF($E291="Waiting","Nothing else actionable right now — Waiting on: "&amp;IF($K291="","this item",$K291),TEXTJOIN(" • ",TRUE,IF($F291="High","High Priority",""),IF(AND($I291&lt;&gt;"",$I291&lt;TODAY()),"Overdue",""),IF(AND($I291&lt;&gt;"",$I291&gt;=TODAY(),$I291&lt;=TODAY()+7),"Due This Week",""),IF($M291&lt;=VLOOKUP(Home!$C$7,Lists!$N$2:$O$6,2,FALSE),$H291&amp;" Task",""),IF($G291=Home!$E$7,"Fits Current Energy",""),"No Blockers"))))</f>
        <v/>
      </c>
      <c r="P291" s="88">
        <f>IF($D291="","",SWITCH('Task Finder'!$C$6,"High Priority",AND($F291="High",$E291&lt;&gt;"Done",$E291&lt;&gt;"Archive"),"Due This Week",AND($I291&lt;&gt;"",$I291&gt;=TODAY(),$I291&lt;=TODAY()+7,$E291&lt;&gt;"Done"),"Quick Wins (15 mins or less)",AND($M291&lt;=15,$E291&lt;&gt;"Done",$E291&lt;&gt;"Blocked"),"Deep Thinking",AND($G291="Deep Thinking",$E291&lt;&gt;"Done"),"Processing",AND($G291="Processing",$E291&lt;&gt;"Done"),"Blocked",$E291="Blocked","Waiting",$E291="Waiting","Recently Updated",AND($L291&lt;&gt;"",$L291&gt;=TODAY()-7),"Keyword",AND('Task Finder'!$C$7&lt;&gt;"",OR(ISNUMBER(SEARCH('Task Finder'!$C$7,$A291)),ISNUMBER(SEARCH('Task Finder'!$C$7,$B291)),ISNUMBER(SEARCH('Task Finder'!$C$7,$C291)),ISNUMBER(SEARCH('Task Finder'!$C$7,$D291)),ISNUMBER(SEARCH('Task Finder'!$C$7,$K291)))),TRUE))</f>
        <v/>
      </c>
    </row>
    <row r="292">
      <c r="A292" s="19" t="n"/>
      <c r="B292" s="19" t="n"/>
      <c r="C292" s="19" t="n"/>
      <c r="D292" s="19" t="n"/>
      <c r="E292" s="19" t="n"/>
      <c r="F292" s="19" t="n"/>
      <c r="G292" s="19" t="n"/>
      <c r="H292" s="19" t="n"/>
      <c r="I292" s="19" t="n"/>
      <c r="J292" s="19" t="n"/>
      <c r="K292" s="19" t="n"/>
      <c r="L292" s="125" t="n"/>
      <c r="M292" s="88">
        <f>IF($D292="","",IFERROR(VLOOKUP($H292,Lists!$N$2:$O$6,2,FALSE),0))</f>
        <v/>
      </c>
      <c r="N292" s="88">
        <f>IF($D292="","",IF(OR($E292="Blocked",$E292="Done",$E292="Archive"),-9999,IF(AND($E292="Waiting",SUMPRODUCT((($E$5:$E$500="Next")+($E$5:$E$500="In Progress")+($E$5:$E$500="Captured"))*($D$5:$D$500&lt;&gt;""))&gt;0),-500,VLOOKUP($F292,Lists!$L$2:$M$4,2,FALSE)+IF($E292="In Progress",10,0)+IF(AND($I292&lt;&gt;"",$I292&lt;TODAY()),25,0)+IF(AND($I292&lt;&gt;"",$I292&gt;=TODAY(),$I292&lt;=TODAY()+7),15,0)+IF($M292&lt;=VLOOKUP(Home!$C$7,Lists!$N$2:$O$6,2,FALSE),20,-10)+IF($G292=Home!$E$7,15,IF(Home!$E$7="",0,-5))-ROW()/100000)))</f>
        <v/>
      </c>
      <c r="O292" s="88">
        <f>IF($D292="","",IF($N292&lt;=-500,"Not recommended right now",IF($E292="Waiting","Nothing else actionable right now — Waiting on: "&amp;IF($K292="","this item",$K292),TEXTJOIN(" • ",TRUE,IF($F292="High","High Priority",""),IF(AND($I292&lt;&gt;"",$I292&lt;TODAY()),"Overdue",""),IF(AND($I292&lt;&gt;"",$I292&gt;=TODAY(),$I292&lt;=TODAY()+7),"Due This Week",""),IF($M292&lt;=VLOOKUP(Home!$C$7,Lists!$N$2:$O$6,2,FALSE),$H292&amp;" Task",""),IF($G292=Home!$E$7,"Fits Current Energy",""),"No Blockers"))))</f>
        <v/>
      </c>
      <c r="P292" s="88">
        <f>IF($D292="","",SWITCH('Task Finder'!$C$6,"High Priority",AND($F292="High",$E292&lt;&gt;"Done",$E292&lt;&gt;"Archive"),"Due This Week",AND($I292&lt;&gt;"",$I292&gt;=TODAY(),$I292&lt;=TODAY()+7,$E292&lt;&gt;"Done"),"Quick Wins (15 mins or less)",AND($M292&lt;=15,$E292&lt;&gt;"Done",$E292&lt;&gt;"Blocked"),"Deep Thinking",AND($G292="Deep Thinking",$E292&lt;&gt;"Done"),"Processing",AND($G292="Processing",$E292&lt;&gt;"Done"),"Blocked",$E292="Blocked","Waiting",$E292="Waiting","Recently Updated",AND($L292&lt;&gt;"",$L292&gt;=TODAY()-7),"Keyword",AND('Task Finder'!$C$7&lt;&gt;"",OR(ISNUMBER(SEARCH('Task Finder'!$C$7,$A292)),ISNUMBER(SEARCH('Task Finder'!$C$7,$B292)),ISNUMBER(SEARCH('Task Finder'!$C$7,$C292)),ISNUMBER(SEARCH('Task Finder'!$C$7,$D292)),ISNUMBER(SEARCH('Task Finder'!$C$7,$K292)))),TRUE))</f>
        <v/>
      </c>
    </row>
    <row r="293">
      <c r="A293" s="19" t="n"/>
      <c r="B293" s="19" t="n"/>
      <c r="C293" s="19" t="n"/>
      <c r="D293" s="19" t="n"/>
      <c r="E293" s="19" t="n"/>
      <c r="F293" s="19" t="n"/>
      <c r="G293" s="19" t="n"/>
      <c r="H293" s="19" t="n"/>
      <c r="I293" s="19" t="n"/>
      <c r="J293" s="19" t="n"/>
      <c r="K293" s="19" t="n"/>
      <c r="L293" s="125" t="n"/>
      <c r="M293" s="88">
        <f>IF($D293="","",IFERROR(VLOOKUP($H293,Lists!$N$2:$O$6,2,FALSE),0))</f>
        <v/>
      </c>
      <c r="N293" s="88">
        <f>IF($D293="","",IF(OR($E293="Blocked",$E293="Done",$E293="Archive"),-9999,IF(AND($E293="Waiting",SUMPRODUCT((($E$5:$E$500="Next")+($E$5:$E$500="In Progress")+($E$5:$E$500="Captured"))*($D$5:$D$500&lt;&gt;""))&gt;0),-500,VLOOKUP($F293,Lists!$L$2:$M$4,2,FALSE)+IF($E293="In Progress",10,0)+IF(AND($I293&lt;&gt;"",$I293&lt;TODAY()),25,0)+IF(AND($I293&lt;&gt;"",$I293&gt;=TODAY(),$I293&lt;=TODAY()+7),15,0)+IF($M293&lt;=VLOOKUP(Home!$C$7,Lists!$N$2:$O$6,2,FALSE),20,-10)+IF($G293=Home!$E$7,15,IF(Home!$E$7="",0,-5))-ROW()/100000)))</f>
        <v/>
      </c>
      <c r="O293" s="88">
        <f>IF($D293="","",IF($N293&lt;=-500,"Not recommended right now",IF($E293="Waiting","Nothing else actionable right now — Waiting on: "&amp;IF($K293="","this item",$K293),TEXTJOIN(" • ",TRUE,IF($F293="High","High Priority",""),IF(AND($I293&lt;&gt;"",$I293&lt;TODAY()),"Overdue",""),IF(AND($I293&lt;&gt;"",$I293&gt;=TODAY(),$I293&lt;=TODAY()+7),"Due This Week",""),IF($M293&lt;=VLOOKUP(Home!$C$7,Lists!$N$2:$O$6,2,FALSE),$H293&amp;" Task",""),IF($G293=Home!$E$7,"Fits Current Energy",""),"No Blockers"))))</f>
        <v/>
      </c>
      <c r="P293" s="88">
        <f>IF($D293="","",SWITCH('Task Finder'!$C$6,"High Priority",AND($F293="High",$E293&lt;&gt;"Done",$E293&lt;&gt;"Archive"),"Due This Week",AND($I293&lt;&gt;"",$I293&gt;=TODAY(),$I293&lt;=TODAY()+7,$E293&lt;&gt;"Done"),"Quick Wins (15 mins or less)",AND($M293&lt;=15,$E293&lt;&gt;"Done",$E293&lt;&gt;"Blocked"),"Deep Thinking",AND($G293="Deep Thinking",$E293&lt;&gt;"Done"),"Processing",AND($G293="Processing",$E293&lt;&gt;"Done"),"Blocked",$E293="Blocked","Waiting",$E293="Waiting","Recently Updated",AND($L293&lt;&gt;"",$L293&gt;=TODAY()-7),"Keyword",AND('Task Finder'!$C$7&lt;&gt;"",OR(ISNUMBER(SEARCH('Task Finder'!$C$7,$A293)),ISNUMBER(SEARCH('Task Finder'!$C$7,$B293)),ISNUMBER(SEARCH('Task Finder'!$C$7,$C293)),ISNUMBER(SEARCH('Task Finder'!$C$7,$D293)),ISNUMBER(SEARCH('Task Finder'!$C$7,$K293)))),TRUE))</f>
        <v/>
      </c>
    </row>
    <row r="294">
      <c r="A294" s="19" t="n"/>
      <c r="B294" s="19" t="n"/>
      <c r="C294" s="19" t="n"/>
      <c r="D294" s="19" t="n"/>
      <c r="E294" s="19" t="n"/>
      <c r="F294" s="19" t="n"/>
      <c r="G294" s="19" t="n"/>
      <c r="H294" s="19" t="n"/>
      <c r="I294" s="19" t="n"/>
      <c r="J294" s="19" t="n"/>
      <c r="K294" s="19" t="n"/>
      <c r="L294" s="125" t="n"/>
      <c r="M294" s="88">
        <f>IF($D294="","",IFERROR(VLOOKUP($H294,Lists!$N$2:$O$6,2,FALSE),0))</f>
        <v/>
      </c>
      <c r="N294" s="88">
        <f>IF($D294="","",IF(OR($E294="Blocked",$E294="Done",$E294="Archive"),-9999,IF(AND($E294="Waiting",SUMPRODUCT((($E$5:$E$500="Next")+($E$5:$E$500="In Progress")+($E$5:$E$500="Captured"))*($D$5:$D$500&lt;&gt;""))&gt;0),-500,VLOOKUP($F294,Lists!$L$2:$M$4,2,FALSE)+IF($E294="In Progress",10,0)+IF(AND($I294&lt;&gt;"",$I294&lt;TODAY()),25,0)+IF(AND($I294&lt;&gt;"",$I294&gt;=TODAY(),$I294&lt;=TODAY()+7),15,0)+IF($M294&lt;=VLOOKUP(Home!$C$7,Lists!$N$2:$O$6,2,FALSE),20,-10)+IF($G294=Home!$E$7,15,IF(Home!$E$7="",0,-5))-ROW()/100000)))</f>
        <v/>
      </c>
      <c r="O294" s="88">
        <f>IF($D294="","",IF($N294&lt;=-500,"Not recommended right now",IF($E294="Waiting","Nothing else actionable right now — Waiting on: "&amp;IF($K294="","this item",$K294),TEXTJOIN(" • ",TRUE,IF($F294="High","High Priority",""),IF(AND($I294&lt;&gt;"",$I294&lt;TODAY()),"Overdue",""),IF(AND($I294&lt;&gt;"",$I294&gt;=TODAY(),$I294&lt;=TODAY()+7),"Due This Week",""),IF($M294&lt;=VLOOKUP(Home!$C$7,Lists!$N$2:$O$6,2,FALSE),$H294&amp;" Task",""),IF($G294=Home!$E$7,"Fits Current Energy",""),"No Blockers"))))</f>
        <v/>
      </c>
      <c r="P294" s="88">
        <f>IF($D294="","",SWITCH('Task Finder'!$C$6,"High Priority",AND($F294="High",$E294&lt;&gt;"Done",$E294&lt;&gt;"Archive"),"Due This Week",AND($I294&lt;&gt;"",$I294&gt;=TODAY(),$I294&lt;=TODAY()+7,$E294&lt;&gt;"Done"),"Quick Wins (15 mins or less)",AND($M294&lt;=15,$E294&lt;&gt;"Done",$E294&lt;&gt;"Blocked"),"Deep Thinking",AND($G294="Deep Thinking",$E294&lt;&gt;"Done"),"Processing",AND($G294="Processing",$E294&lt;&gt;"Done"),"Blocked",$E294="Blocked","Waiting",$E294="Waiting","Recently Updated",AND($L294&lt;&gt;"",$L294&gt;=TODAY()-7),"Keyword",AND('Task Finder'!$C$7&lt;&gt;"",OR(ISNUMBER(SEARCH('Task Finder'!$C$7,$A294)),ISNUMBER(SEARCH('Task Finder'!$C$7,$B294)),ISNUMBER(SEARCH('Task Finder'!$C$7,$C294)),ISNUMBER(SEARCH('Task Finder'!$C$7,$D294)),ISNUMBER(SEARCH('Task Finder'!$C$7,$K294)))),TRUE))</f>
        <v/>
      </c>
    </row>
    <row r="295">
      <c r="A295" s="19" t="n"/>
      <c r="B295" s="19" t="n"/>
      <c r="C295" s="19" t="n"/>
      <c r="D295" s="19" t="n"/>
      <c r="E295" s="19" t="n"/>
      <c r="F295" s="19" t="n"/>
      <c r="G295" s="19" t="n"/>
      <c r="H295" s="19" t="n"/>
      <c r="I295" s="19" t="n"/>
      <c r="J295" s="19" t="n"/>
      <c r="K295" s="19" t="n"/>
      <c r="L295" s="125" t="n"/>
      <c r="M295" s="88">
        <f>IF($D295="","",IFERROR(VLOOKUP($H295,Lists!$N$2:$O$6,2,FALSE),0))</f>
        <v/>
      </c>
      <c r="N295" s="88">
        <f>IF($D295="","",IF(OR($E295="Blocked",$E295="Done",$E295="Archive"),-9999,IF(AND($E295="Waiting",SUMPRODUCT((($E$5:$E$500="Next")+($E$5:$E$500="In Progress")+($E$5:$E$500="Captured"))*($D$5:$D$500&lt;&gt;""))&gt;0),-500,VLOOKUP($F295,Lists!$L$2:$M$4,2,FALSE)+IF($E295="In Progress",10,0)+IF(AND($I295&lt;&gt;"",$I295&lt;TODAY()),25,0)+IF(AND($I295&lt;&gt;"",$I295&gt;=TODAY(),$I295&lt;=TODAY()+7),15,0)+IF($M295&lt;=VLOOKUP(Home!$C$7,Lists!$N$2:$O$6,2,FALSE),20,-10)+IF($G295=Home!$E$7,15,IF(Home!$E$7="",0,-5))-ROW()/100000)))</f>
        <v/>
      </c>
      <c r="O295" s="88">
        <f>IF($D295="","",IF($N295&lt;=-500,"Not recommended right now",IF($E295="Waiting","Nothing else actionable right now — Waiting on: "&amp;IF($K295="","this item",$K295),TEXTJOIN(" • ",TRUE,IF($F295="High","High Priority",""),IF(AND($I295&lt;&gt;"",$I295&lt;TODAY()),"Overdue",""),IF(AND($I295&lt;&gt;"",$I295&gt;=TODAY(),$I295&lt;=TODAY()+7),"Due This Week",""),IF($M295&lt;=VLOOKUP(Home!$C$7,Lists!$N$2:$O$6,2,FALSE),$H295&amp;" Task",""),IF($G295=Home!$E$7,"Fits Current Energy",""),"No Blockers"))))</f>
        <v/>
      </c>
      <c r="P295" s="88">
        <f>IF($D295="","",SWITCH('Task Finder'!$C$6,"High Priority",AND($F295="High",$E295&lt;&gt;"Done",$E295&lt;&gt;"Archive"),"Due This Week",AND($I295&lt;&gt;"",$I295&gt;=TODAY(),$I295&lt;=TODAY()+7,$E295&lt;&gt;"Done"),"Quick Wins (15 mins or less)",AND($M295&lt;=15,$E295&lt;&gt;"Done",$E295&lt;&gt;"Blocked"),"Deep Thinking",AND($G295="Deep Thinking",$E295&lt;&gt;"Done"),"Processing",AND($G295="Processing",$E295&lt;&gt;"Done"),"Blocked",$E295="Blocked","Waiting",$E295="Waiting","Recently Updated",AND($L295&lt;&gt;"",$L295&gt;=TODAY()-7),"Keyword",AND('Task Finder'!$C$7&lt;&gt;"",OR(ISNUMBER(SEARCH('Task Finder'!$C$7,$A295)),ISNUMBER(SEARCH('Task Finder'!$C$7,$B295)),ISNUMBER(SEARCH('Task Finder'!$C$7,$C295)),ISNUMBER(SEARCH('Task Finder'!$C$7,$D295)),ISNUMBER(SEARCH('Task Finder'!$C$7,$K295)))),TRUE))</f>
        <v/>
      </c>
    </row>
    <row r="296">
      <c r="A296" s="19" t="n"/>
      <c r="B296" s="19" t="n"/>
      <c r="C296" s="19" t="n"/>
      <c r="D296" s="19" t="n"/>
      <c r="E296" s="19" t="n"/>
      <c r="F296" s="19" t="n"/>
      <c r="G296" s="19" t="n"/>
      <c r="H296" s="19" t="n"/>
      <c r="I296" s="19" t="n"/>
      <c r="J296" s="19" t="n"/>
      <c r="K296" s="19" t="n"/>
      <c r="L296" s="125" t="n"/>
      <c r="M296" s="88">
        <f>IF($D296="","",IFERROR(VLOOKUP($H296,Lists!$N$2:$O$6,2,FALSE),0))</f>
        <v/>
      </c>
      <c r="N296" s="88">
        <f>IF($D296="","",IF(OR($E296="Blocked",$E296="Done",$E296="Archive"),-9999,IF(AND($E296="Waiting",SUMPRODUCT((($E$5:$E$500="Next")+($E$5:$E$500="In Progress")+($E$5:$E$500="Captured"))*($D$5:$D$500&lt;&gt;""))&gt;0),-500,VLOOKUP($F296,Lists!$L$2:$M$4,2,FALSE)+IF($E296="In Progress",10,0)+IF(AND($I296&lt;&gt;"",$I296&lt;TODAY()),25,0)+IF(AND($I296&lt;&gt;"",$I296&gt;=TODAY(),$I296&lt;=TODAY()+7),15,0)+IF($M296&lt;=VLOOKUP(Home!$C$7,Lists!$N$2:$O$6,2,FALSE),20,-10)+IF($G296=Home!$E$7,15,IF(Home!$E$7="",0,-5))-ROW()/100000)))</f>
        <v/>
      </c>
      <c r="O296" s="88">
        <f>IF($D296="","",IF($N296&lt;=-500,"Not recommended right now",IF($E296="Waiting","Nothing else actionable right now — Waiting on: "&amp;IF($K296="","this item",$K296),TEXTJOIN(" • ",TRUE,IF($F296="High","High Priority",""),IF(AND($I296&lt;&gt;"",$I296&lt;TODAY()),"Overdue",""),IF(AND($I296&lt;&gt;"",$I296&gt;=TODAY(),$I296&lt;=TODAY()+7),"Due This Week",""),IF($M296&lt;=VLOOKUP(Home!$C$7,Lists!$N$2:$O$6,2,FALSE),$H296&amp;" Task",""),IF($G296=Home!$E$7,"Fits Current Energy",""),"No Blockers"))))</f>
        <v/>
      </c>
      <c r="P296" s="88">
        <f>IF($D296="","",SWITCH('Task Finder'!$C$6,"High Priority",AND($F296="High",$E296&lt;&gt;"Done",$E296&lt;&gt;"Archive"),"Due This Week",AND($I296&lt;&gt;"",$I296&gt;=TODAY(),$I296&lt;=TODAY()+7,$E296&lt;&gt;"Done"),"Quick Wins (15 mins or less)",AND($M296&lt;=15,$E296&lt;&gt;"Done",$E296&lt;&gt;"Blocked"),"Deep Thinking",AND($G296="Deep Thinking",$E296&lt;&gt;"Done"),"Processing",AND($G296="Processing",$E296&lt;&gt;"Done"),"Blocked",$E296="Blocked","Waiting",$E296="Waiting","Recently Updated",AND($L296&lt;&gt;"",$L296&gt;=TODAY()-7),"Keyword",AND('Task Finder'!$C$7&lt;&gt;"",OR(ISNUMBER(SEARCH('Task Finder'!$C$7,$A296)),ISNUMBER(SEARCH('Task Finder'!$C$7,$B296)),ISNUMBER(SEARCH('Task Finder'!$C$7,$C296)),ISNUMBER(SEARCH('Task Finder'!$C$7,$D296)),ISNUMBER(SEARCH('Task Finder'!$C$7,$K296)))),TRUE))</f>
        <v/>
      </c>
    </row>
    <row r="297">
      <c r="A297" s="19" t="n"/>
      <c r="B297" s="19" t="n"/>
      <c r="C297" s="19" t="n"/>
      <c r="D297" s="19" t="n"/>
      <c r="E297" s="19" t="n"/>
      <c r="F297" s="19" t="n"/>
      <c r="G297" s="19" t="n"/>
      <c r="H297" s="19" t="n"/>
      <c r="I297" s="19" t="n"/>
      <c r="J297" s="19" t="n"/>
      <c r="K297" s="19" t="n"/>
      <c r="L297" s="125" t="n"/>
      <c r="M297" s="88">
        <f>IF($D297="","",IFERROR(VLOOKUP($H297,Lists!$N$2:$O$6,2,FALSE),0))</f>
        <v/>
      </c>
      <c r="N297" s="88">
        <f>IF($D297="","",IF(OR($E297="Blocked",$E297="Done",$E297="Archive"),-9999,IF(AND($E297="Waiting",SUMPRODUCT((($E$5:$E$500="Next")+($E$5:$E$500="In Progress")+($E$5:$E$500="Captured"))*($D$5:$D$500&lt;&gt;""))&gt;0),-500,VLOOKUP($F297,Lists!$L$2:$M$4,2,FALSE)+IF($E297="In Progress",10,0)+IF(AND($I297&lt;&gt;"",$I297&lt;TODAY()),25,0)+IF(AND($I297&lt;&gt;"",$I297&gt;=TODAY(),$I297&lt;=TODAY()+7),15,0)+IF($M297&lt;=VLOOKUP(Home!$C$7,Lists!$N$2:$O$6,2,FALSE),20,-10)+IF($G297=Home!$E$7,15,IF(Home!$E$7="",0,-5))-ROW()/100000)))</f>
        <v/>
      </c>
      <c r="O297" s="88">
        <f>IF($D297="","",IF($N297&lt;=-500,"Not recommended right now",IF($E297="Waiting","Nothing else actionable right now — Waiting on: "&amp;IF($K297="","this item",$K297),TEXTJOIN(" • ",TRUE,IF($F297="High","High Priority",""),IF(AND($I297&lt;&gt;"",$I297&lt;TODAY()),"Overdue",""),IF(AND($I297&lt;&gt;"",$I297&gt;=TODAY(),$I297&lt;=TODAY()+7),"Due This Week",""),IF($M297&lt;=VLOOKUP(Home!$C$7,Lists!$N$2:$O$6,2,FALSE),$H297&amp;" Task",""),IF($G297=Home!$E$7,"Fits Current Energy",""),"No Blockers"))))</f>
        <v/>
      </c>
      <c r="P297" s="88">
        <f>IF($D297="","",SWITCH('Task Finder'!$C$6,"High Priority",AND($F297="High",$E297&lt;&gt;"Done",$E297&lt;&gt;"Archive"),"Due This Week",AND($I297&lt;&gt;"",$I297&gt;=TODAY(),$I297&lt;=TODAY()+7,$E297&lt;&gt;"Done"),"Quick Wins (15 mins or less)",AND($M297&lt;=15,$E297&lt;&gt;"Done",$E297&lt;&gt;"Blocked"),"Deep Thinking",AND($G297="Deep Thinking",$E297&lt;&gt;"Done"),"Processing",AND($G297="Processing",$E297&lt;&gt;"Done"),"Blocked",$E297="Blocked","Waiting",$E297="Waiting","Recently Updated",AND($L297&lt;&gt;"",$L297&gt;=TODAY()-7),"Keyword",AND('Task Finder'!$C$7&lt;&gt;"",OR(ISNUMBER(SEARCH('Task Finder'!$C$7,$A297)),ISNUMBER(SEARCH('Task Finder'!$C$7,$B297)),ISNUMBER(SEARCH('Task Finder'!$C$7,$C297)),ISNUMBER(SEARCH('Task Finder'!$C$7,$D297)),ISNUMBER(SEARCH('Task Finder'!$C$7,$K297)))),TRUE))</f>
        <v/>
      </c>
    </row>
    <row r="298">
      <c r="A298" s="19" t="n"/>
      <c r="B298" s="19" t="n"/>
      <c r="C298" s="19" t="n"/>
      <c r="D298" s="19" t="n"/>
      <c r="E298" s="19" t="n"/>
      <c r="F298" s="19" t="n"/>
      <c r="G298" s="19" t="n"/>
      <c r="H298" s="19" t="n"/>
      <c r="I298" s="19" t="n"/>
      <c r="J298" s="19" t="n"/>
      <c r="K298" s="19" t="n"/>
      <c r="L298" s="125" t="n"/>
      <c r="M298" s="88">
        <f>IF($D298="","",IFERROR(VLOOKUP($H298,Lists!$N$2:$O$6,2,FALSE),0))</f>
        <v/>
      </c>
      <c r="N298" s="88">
        <f>IF($D298="","",IF(OR($E298="Blocked",$E298="Done",$E298="Archive"),-9999,IF(AND($E298="Waiting",SUMPRODUCT((($E$5:$E$500="Next")+($E$5:$E$500="In Progress")+($E$5:$E$500="Captured"))*($D$5:$D$500&lt;&gt;""))&gt;0),-500,VLOOKUP($F298,Lists!$L$2:$M$4,2,FALSE)+IF($E298="In Progress",10,0)+IF(AND($I298&lt;&gt;"",$I298&lt;TODAY()),25,0)+IF(AND($I298&lt;&gt;"",$I298&gt;=TODAY(),$I298&lt;=TODAY()+7),15,0)+IF($M298&lt;=VLOOKUP(Home!$C$7,Lists!$N$2:$O$6,2,FALSE),20,-10)+IF($G298=Home!$E$7,15,IF(Home!$E$7="",0,-5))-ROW()/100000)))</f>
        <v/>
      </c>
      <c r="O298" s="88">
        <f>IF($D298="","",IF($N298&lt;=-500,"Not recommended right now",IF($E298="Waiting","Nothing else actionable right now — Waiting on: "&amp;IF($K298="","this item",$K298),TEXTJOIN(" • ",TRUE,IF($F298="High","High Priority",""),IF(AND($I298&lt;&gt;"",$I298&lt;TODAY()),"Overdue",""),IF(AND($I298&lt;&gt;"",$I298&gt;=TODAY(),$I298&lt;=TODAY()+7),"Due This Week",""),IF($M298&lt;=VLOOKUP(Home!$C$7,Lists!$N$2:$O$6,2,FALSE),$H298&amp;" Task",""),IF($G298=Home!$E$7,"Fits Current Energy",""),"No Blockers"))))</f>
        <v/>
      </c>
      <c r="P298" s="88">
        <f>IF($D298="","",SWITCH('Task Finder'!$C$6,"High Priority",AND($F298="High",$E298&lt;&gt;"Done",$E298&lt;&gt;"Archive"),"Due This Week",AND($I298&lt;&gt;"",$I298&gt;=TODAY(),$I298&lt;=TODAY()+7,$E298&lt;&gt;"Done"),"Quick Wins (15 mins or less)",AND($M298&lt;=15,$E298&lt;&gt;"Done",$E298&lt;&gt;"Blocked"),"Deep Thinking",AND($G298="Deep Thinking",$E298&lt;&gt;"Done"),"Processing",AND($G298="Processing",$E298&lt;&gt;"Done"),"Blocked",$E298="Blocked","Waiting",$E298="Waiting","Recently Updated",AND($L298&lt;&gt;"",$L298&gt;=TODAY()-7),"Keyword",AND('Task Finder'!$C$7&lt;&gt;"",OR(ISNUMBER(SEARCH('Task Finder'!$C$7,$A298)),ISNUMBER(SEARCH('Task Finder'!$C$7,$B298)),ISNUMBER(SEARCH('Task Finder'!$C$7,$C298)),ISNUMBER(SEARCH('Task Finder'!$C$7,$D298)),ISNUMBER(SEARCH('Task Finder'!$C$7,$K298)))),TRUE))</f>
        <v/>
      </c>
    </row>
    <row r="299">
      <c r="A299" s="19" t="n"/>
      <c r="B299" s="19" t="n"/>
      <c r="C299" s="19" t="n"/>
      <c r="D299" s="19" t="n"/>
      <c r="E299" s="19" t="n"/>
      <c r="F299" s="19" t="n"/>
      <c r="G299" s="19" t="n"/>
      <c r="H299" s="19" t="n"/>
      <c r="I299" s="19" t="n"/>
      <c r="J299" s="19" t="n"/>
      <c r="K299" s="19" t="n"/>
      <c r="L299" s="125" t="n"/>
      <c r="M299" s="88">
        <f>IF($D299="","",IFERROR(VLOOKUP($H299,Lists!$N$2:$O$6,2,FALSE),0))</f>
        <v/>
      </c>
      <c r="N299" s="88">
        <f>IF($D299="","",IF(OR($E299="Blocked",$E299="Done",$E299="Archive"),-9999,IF(AND($E299="Waiting",SUMPRODUCT((($E$5:$E$500="Next")+($E$5:$E$500="In Progress")+($E$5:$E$500="Captured"))*($D$5:$D$500&lt;&gt;""))&gt;0),-500,VLOOKUP($F299,Lists!$L$2:$M$4,2,FALSE)+IF($E299="In Progress",10,0)+IF(AND($I299&lt;&gt;"",$I299&lt;TODAY()),25,0)+IF(AND($I299&lt;&gt;"",$I299&gt;=TODAY(),$I299&lt;=TODAY()+7),15,0)+IF($M299&lt;=VLOOKUP(Home!$C$7,Lists!$N$2:$O$6,2,FALSE),20,-10)+IF($G299=Home!$E$7,15,IF(Home!$E$7="",0,-5))-ROW()/100000)))</f>
        <v/>
      </c>
      <c r="O299" s="88">
        <f>IF($D299="","",IF($N299&lt;=-500,"Not recommended right now",IF($E299="Waiting","Nothing else actionable right now — Waiting on: "&amp;IF($K299="","this item",$K299),TEXTJOIN(" • ",TRUE,IF($F299="High","High Priority",""),IF(AND($I299&lt;&gt;"",$I299&lt;TODAY()),"Overdue",""),IF(AND($I299&lt;&gt;"",$I299&gt;=TODAY(),$I299&lt;=TODAY()+7),"Due This Week",""),IF($M299&lt;=VLOOKUP(Home!$C$7,Lists!$N$2:$O$6,2,FALSE),$H299&amp;" Task",""),IF($G299=Home!$E$7,"Fits Current Energy",""),"No Blockers"))))</f>
        <v/>
      </c>
      <c r="P299" s="88">
        <f>IF($D299="","",SWITCH('Task Finder'!$C$6,"High Priority",AND($F299="High",$E299&lt;&gt;"Done",$E299&lt;&gt;"Archive"),"Due This Week",AND($I299&lt;&gt;"",$I299&gt;=TODAY(),$I299&lt;=TODAY()+7,$E299&lt;&gt;"Done"),"Quick Wins (15 mins or less)",AND($M299&lt;=15,$E299&lt;&gt;"Done",$E299&lt;&gt;"Blocked"),"Deep Thinking",AND($G299="Deep Thinking",$E299&lt;&gt;"Done"),"Processing",AND($G299="Processing",$E299&lt;&gt;"Done"),"Blocked",$E299="Blocked","Waiting",$E299="Waiting","Recently Updated",AND($L299&lt;&gt;"",$L299&gt;=TODAY()-7),"Keyword",AND('Task Finder'!$C$7&lt;&gt;"",OR(ISNUMBER(SEARCH('Task Finder'!$C$7,$A299)),ISNUMBER(SEARCH('Task Finder'!$C$7,$B299)),ISNUMBER(SEARCH('Task Finder'!$C$7,$C299)),ISNUMBER(SEARCH('Task Finder'!$C$7,$D299)),ISNUMBER(SEARCH('Task Finder'!$C$7,$K299)))),TRUE))</f>
        <v/>
      </c>
    </row>
    <row r="300">
      <c r="A300" s="19" t="n"/>
      <c r="B300" s="19" t="n"/>
      <c r="C300" s="19" t="n"/>
      <c r="D300" s="19" t="n"/>
      <c r="E300" s="19" t="n"/>
      <c r="F300" s="19" t="n"/>
      <c r="G300" s="19" t="n"/>
      <c r="H300" s="19" t="n"/>
      <c r="I300" s="19" t="n"/>
      <c r="J300" s="19" t="n"/>
      <c r="K300" s="19" t="n"/>
      <c r="L300" s="125" t="n"/>
      <c r="M300" s="88">
        <f>IF($D300="","",IFERROR(VLOOKUP($H300,Lists!$N$2:$O$6,2,FALSE),0))</f>
        <v/>
      </c>
      <c r="N300" s="88">
        <f>IF($D300="","",IF(OR($E300="Blocked",$E300="Done",$E300="Archive"),-9999,IF(AND($E300="Waiting",SUMPRODUCT((($E$5:$E$500="Next")+($E$5:$E$500="In Progress")+($E$5:$E$500="Captured"))*($D$5:$D$500&lt;&gt;""))&gt;0),-500,VLOOKUP($F300,Lists!$L$2:$M$4,2,FALSE)+IF($E300="In Progress",10,0)+IF(AND($I300&lt;&gt;"",$I300&lt;TODAY()),25,0)+IF(AND($I300&lt;&gt;"",$I300&gt;=TODAY(),$I300&lt;=TODAY()+7),15,0)+IF($M300&lt;=VLOOKUP(Home!$C$7,Lists!$N$2:$O$6,2,FALSE),20,-10)+IF($G300=Home!$E$7,15,IF(Home!$E$7="",0,-5))-ROW()/100000)))</f>
        <v/>
      </c>
      <c r="O300" s="88">
        <f>IF($D300="","",IF($N300&lt;=-500,"Not recommended right now",IF($E300="Waiting","Nothing else actionable right now — Waiting on: "&amp;IF($K300="","this item",$K300),TEXTJOIN(" • ",TRUE,IF($F300="High","High Priority",""),IF(AND($I300&lt;&gt;"",$I300&lt;TODAY()),"Overdue",""),IF(AND($I300&lt;&gt;"",$I300&gt;=TODAY(),$I300&lt;=TODAY()+7),"Due This Week",""),IF($M300&lt;=VLOOKUP(Home!$C$7,Lists!$N$2:$O$6,2,FALSE),$H300&amp;" Task",""),IF($G300=Home!$E$7,"Fits Current Energy",""),"No Blockers"))))</f>
        <v/>
      </c>
      <c r="P300" s="88">
        <f>IF($D300="","",SWITCH('Task Finder'!$C$6,"High Priority",AND($F300="High",$E300&lt;&gt;"Done",$E300&lt;&gt;"Archive"),"Due This Week",AND($I300&lt;&gt;"",$I300&gt;=TODAY(),$I300&lt;=TODAY()+7,$E300&lt;&gt;"Done"),"Quick Wins (15 mins or less)",AND($M300&lt;=15,$E300&lt;&gt;"Done",$E300&lt;&gt;"Blocked"),"Deep Thinking",AND($G300="Deep Thinking",$E300&lt;&gt;"Done"),"Processing",AND($G300="Processing",$E300&lt;&gt;"Done"),"Blocked",$E300="Blocked","Waiting",$E300="Waiting","Recently Updated",AND($L300&lt;&gt;"",$L300&gt;=TODAY()-7),"Keyword",AND('Task Finder'!$C$7&lt;&gt;"",OR(ISNUMBER(SEARCH('Task Finder'!$C$7,$A300)),ISNUMBER(SEARCH('Task Finder'!$C$7,$B300)),ISNUMBER(SEARCH('Task Finder'!$C$7,$C300)),ISNUMBER(SEARCH('Task Finder'!$C$7,$D300)),ISNUMBER(SEARCH('Task Finder'!$C$7,$K300)))),TRUE))</f>
        <v/>
      </c>
    </row>
    <row r="301">
      <c r="A301" s="19" t="n"/>
      <c r="B301" s="19" t="n"/>
      <c r="C301" s="19" t="n"/>
      <c r="D301" s="19" t="n"/>
      <c r="E301" s="19" t="n"/>
      <c r="F301" s="19" t="n"/>
      <c r="G301" s="19" t="n"/>
      <c r="H301" s="19" t="n"/>
      <c r="I301" s="19" t="n"/>
      <c r="J301" s="19" t="n"/>
      <c r="K301" s="19" t="n"/>
      <c r="L301" s="125" t="n"/>
      <c r="M301" s="88">
        <f>IF($D301="","",IFERROR(VLOOKUP($H301,Lists!$N$2:$O$6,2,FALSE),0))</f>
        <v/>
      </c>
      <c r="N301" s="88">
        <f>IF($D301="","",IF(OR($E301="Blocked",$E301="Done",$E301="Archive"),-9999,IF(AND($E301="Waiting",SUMPRODUCT((($E$5:$E$500="Next")+($E$5:$E$500="In Progress")+($E$5:$E$500="Captured"))*($D$5:$D$500&lt;&gt;""))&gt;0),-500,VLOOKUP($F301,Lists!$L$2:$M$4,2,FALSE)+IF($E301="In Progress",10,0)+IF(AND($I301&lt;&gt;"",$I301&lt;TODAY()),25,0)+IF(AND($I301&lt;&gt;"",$I301&gt;=TODAY(),$I301&lt;=TODAY()+7),15,0)+IF($M301&lt;=VLOOKUP(Home!$C$7,Lists!$N$2:$O$6,2,FALSE),20,-10)+IF($G301=Home!$E$7,15,IF(Home!$E$7="",0,-5))-ROW()/100000)))</f>
        <v/>
      </c>
      <c r="O301" s="88">
        <f>IF($D301="","",IF($N301&lt;=-500,"Not recommended right now",IF($E301="Waiting","Nothing else actionable right now — Waiting on: "&amp;IF($K301="","this item",$K301),TEXTJOIN(" • ",TRUE,IF($F301="High","High Priority",""),IF(AND($I301&lt;&gt;"",$I301&lt;TODAY()),"Overdue",""),IF(AND($I301&lt;&gt;"",$I301&gt;=TODAY(),$I301&lt;=TODAY()+7),"Due This Week",""),IF($M301&lt;=VLOOKUP(Home!$C$7,Lists!$N$2:$O$6,2,FALSE),$H301&amp;" Task",""),IF($G301=Home!$E$7,"Fits Current Energy",""),"No Blockers"))))</f>
        <v/>
      </c>
      <c r="P301" s="88">
        <f>IF($D301="","",SWITCH('Task Finder'!$C$6,"High Priority",AND($F301="High",$E301&lt;&gt;"Done",$E301&lt;&gt;"Archive"),"Due This Week",AND($I301&lt;&gt;"",$I301&gt;=TODAY(),$I301&lt;=TODAY()+7,$E301&lt;&gt;"Done"),"Quick Wins (15 mins or less)",AND($M301&lt;=15,$E301&lt;&gt;"Done",$E301&lt;&gt;"Blocked"),"Deep Thinking",AND($G301="Deep Thinking",$E301&lt;&gt;"Done"),"Processing",AND($G301="Processing",$E301&lt;&gt;"Done"),"Blocked",$E301="Blocked","Waiting",$E301="Waiting","Recently Updated",AND($L301&lt;&gt;"",$L301&gt;=TODAY()-7),"Keyword",AND('Task Finder'!$C$7&lt;&gt;"",OR(ISNUMBER(SEARCH('Task Finder'!$C$7,$A301)),ISNUMBER(SEARCH('Task Finder'!$C$7,$B301)),ISNUMBER(SEARCH('Task Finder'!$C$7,$C301)),ISNUMBER(SEARCH('Task Finder'!$C$7,$D301)),ISNUMBER(SEARCH('Task Finder'!$C$7,$K301)))),TRUE))</f>
        <v/>
      </c>
    </row>
    <row r="302">
      <c r="A302" s="19" t="n"/>
      <c r="B302" s="19" t="n"/>
      <c r="C302" s="19" t="n"/>
      <c r="D302" s="19" t="n"/>
      <c r="E302" s="19" t="n"/>
      <c r="F302" s="19" t="n"/>
      <c r="G302" s="19" t="n"/>
      <c r="H302" s="19" t="n"/>
      <c r="I302" s="19" t="n"/>
      <c r="J302" s="19" t="n"/>
      <c r="K302" s="19" t="n"/>
      <c r="L302" s="125" t="n"/>
      <c r="M302" s="88">
        <f>IF($D302="","",IFERROR(VLOOKUP($H302,Lists!$N$2:$O$6,2,FALSE),0))</f>
        <v/>
      </c>
      <c r="N302" s="88">
        <f>IF($D302="","",IF(OR($E302="Blocked",$E302="Done",$E302="Archive"),-9999,IF(AND($E302="Waiting",SUMPRODUCT((($E$5:$E$500="Next")+($E$5:$E$500="In Progress")+($E$5:$E$500="Captured"))*($D$5:$D$500&lt;&gt;""))&gt;0),-500,VLOOKUP($F302,Lists!$L$2:$M$4,2,FALSE)+IF($E302="In Progress",10,0)+IF(AND($I302&lt;&gt;"",$I302&lt;TODAY()),25,0)+IF(AND($I302&lt;&gt;"",$I302&gt;=TODAY(),$I302&lt;=TODAY()+7),15,0)+IF($M302&lt;=VLOOKUP(Home!$C$7,Lists!$N$2:$O$6,2,FALSE),20,-10)+IF($G302=Home!$E$7,15,IF(Home!$E$7="",0,-5))-ROW()/100000)))</f>
        <v/>
      </c>
      <c r="O302" s="88">
        <f>IF($D302="","",IF($N302&lt;=-500,"Not recommended right now",IF($E302="Waiting","Nothing else actionable right now — Waiting on: "&amp;IF($K302="","this item",$K302),TEXTJOIN(" • ",TRUE,IF($F302="High","High Priority",""),IF(AND($I302&lt;&gt;"",$I302&lt;TODAY()),"Overdue",""),IF(AND($I302&lt;&gt;"",$I302&gt;=TODAY(),$I302&lt;=TODAY()+7),"Due This Week",""),IF($M302&lt;=VLOOKUP(Home!$C$7,Lists!$N$2:$O$6,2,FALSE),$H302&amp;" Task",""),IF($G302=Home!$E$7,"Fits Current Energy",""),"No Blockers"))))</f>
        <v/>
      </c>
      <c r="P302" s="88">
        <f>IF($D302="","",SWITCH('Task Finder'!$C$6,"High Priority",AND($F302="High",$E302&lt;&gt;"Done",$E302&lt;&gt;"Archive"),"Due This Week",AND($I302&lt;&gt;"",$I302&gt;=TODAY(),$I302&lt;=TODAY()+7,$E302&lt;&gt;"Done"),"Quick Wins (15 mins or less)",AND($M302&lt;=15,$E302&lt;&gt;"Done",$E302&lt;&gt;"Blocked"),"Deep Thinking",AND($G302="Deep Thinking",$E302&lt;&gt;"Done"),"Processing",AND($G302="Processing",$E302&lt;&gt;"Done"),"Blocked",$E302="Blocked","Waiting",$E302="Waiting","Recently Updated",AND($L302&lt;&gt;"",$L302&gt;=TODAY()-7),"Keyword",AND('Task Finder'!$C$7&lt;&gt;"",OR(ISNUMBER(SEARCH('Task Finder'!$C$7,$A302)),ISNUMBER(SEARCH('Task Finder'!$C$7,$B302)),ISNUMBER(SEARCH('Task Finder'!$C$7,$C302)),ISNUMBER(SEARCH('Task Finder'!$C$7,$D302)),ISNUMBER(SEARCH('Task Finder'!$C$7,$K302)))),TRUE))</f>
        <v/>
      </c>
    </row>
    <row r="303">
      <c r="A303" s="19" t="n"/>
      <c r="B303" s="19" t="n"/>
      <c r="C303" s="19" t="n"/>
      <c r="D303" s="19" t="n"/>
      <c r="E303" s="19" t="n"/>
      <c r="F303" s="19" t="n"/>
      <c r="G303" s="19" t="n"/>
      <c r="H303" s="19" t="n"/>
      <c r="I303" s="19" t="n"/>
      <c r="J303" s="19" t="n"/>
      <c r="K303" s="19" t="n"/>
      <c r="L303" s="125" t="n"/>
      <c r="M303" s="88">
        <f>IF($D303="","",IFERROR(VLOOKUP($H303,Lists!$N$2:$O$6,2,FALSE),0))</f>
        <v/>
      </c>
      <c r="N303" s="88">
        <f>IF($D303="","",IF(OR($E303="Blocked",$E303="Done",$E303="Archive"),-9999,IF(AND($E303="Waiting",SUMPRODUCT((($E$5:$E$500="Next")+($E$5:$E$500="In Progress")+($E$5:$E$500="Captured"))*($D$5:$D$500&lt;&gt;""))&gt;0),-500,VLOOKUP($F303,Lists!$L$2:$M$4,2,FALSE)+IF($E303="In Progress",10,0)+IF(AND($I303&lt;&gt;"",$I303&lt;TODAY()),25,0)+IF(AND($I303&lt;&gt;"",$I303&gt;=TODAY(),$I303&lt;=TODAY()+7),15,0)+IF($M303&lt;=VLOOKUP(Home!$C$7,Lists!$N$2:$O$6,2,FALSE),20,-10)+IF($G303=Home!$E$7,15,IF(Home!$E$7="",0,-5))-ROW()/100000)))</f>
        <v/>
      </c>
      <c r="O303" s="88">
        <f>IF($D303="","",IF($N303&lt;=-500,"Not recommended right now",IF($E303="Waiting","Nothing else actionable right now — Waiting on: "&amp;IF($K303="","this item",$K303),TEXTJOIN(" • ",TRUE,IF($F303="High","High Priority",""),IF(AND($I303&lt;&gt;"",$I303&lt;TODAY()),"Overdue",""),IF(AND($I303&lt;&gt;"",$I303&gt;=TODAY(),$I303&lt;=TODAY()+7),"Due This Week",""),IF($M303&lt;=VLOOKUP(Home!$C$7,Lists!$N$2:$O$6,2,FALSE),$H303&amp;" Task",""),IF($G303=Home!$E$7,"Fits Current Energy",""),"No Blockers"))))</f>
        <v/>
      </c>
      <c r="P303" s="88">
        <f>IF($D303="","",SWITCH('Task Finder'!$C$6,"High Priority",AND($F303="High",$E303&lt;&gt;"Done",$E303&lt;&gt;"Archive"),"Due This Week",AND($I303&lt;&gt;"",$I303&gt;=TODAY(),$I303&lt;=TODAY()+7,$E303&lt;&gt;"Done"),"Quick Wins (15 mins or less)",AND($M303&lt;=15,$E303&lt;&gt;"Done",$E303&lt;&gt;"Blocked"),"Deep Thinking",AND($G303="Deep Thinking",$E303&lt;&gt;"Done"),"Processing",AND($G303="Processing",$E303&lt;&gt;"Done"),"Blocked",$E303="Blocked","Waiting",$E303="Waiting","Recently Updated",AND($L303&lt;&gt;"",$L303&gt;=TODAY()-7),"Keyword",AND('Task Finder'!$C$7&lt;&gt;"",OR(ISNUMBER(SEARCH('Task Finder'!$C$7,$A303)),ISNUMBER(SEARCH('Task Finder'!$C$7,$B303)),ISNUMBER(SEARCH('Task Finder'!$C$7,$C303)),ISNUMBER(SEARCH('Task Finder'!$C$7,$D303)),ISNUMBER(SEARCH('Task Finder'!$C$7,$K303)))),TRUE))</f>
        <v/>
      </c>
    </row>
    <row r="304">
      <c r="A304" s="19" t="n"/>
      <c r="B304" s="19" t="n"/>
      <c r="C304" s="19" t="n"/>
      <c r="D304" s="19" t="n"/>
      <c r="E304" s="19" t="n"/>
      <c r="F304" s="19" t="n"/>
      <c r="G304" s="19" t="n"/>
      <c r="H304" s="19" t="n"/>
      <c r="I304" s="19" t="n"/>
      <c r="J304" s="19" t="n"/>
      <c r="K304" s="19" t="n"/>
      <c r="L304" s="125" t="n"/>
      <c r="M304" s="88">
        <f>IF($D304="","",IFERROR(VLOOKUP($H304,Lists!$N$2:$O$6,2,FALSE),0))</f>
        <v/>
      </c>
      <c r="N304" s="88">
        <f>IF($D304="","",IF(OR($E304="Blocked",$E304="Done",$E304="Archive"),-9999,IF(AND($E304="Waiting",SUMPRODUCT((($E$5:$E$500="Next")+($E$5:$E$500="In Progress")+($E$5:$E$500="Captured"))*($D$5:$D$500&lt;&gt;""))&gt;0),-500,VLOOKUP($F304,Lists!$L$2:$M$4,2,FALSE)+IF($E304="In Progress",10,0)+IF(AND($I304&lt;&gt;"",$I304&lt;TODAY()),25,0)+IF(AND($I304&lt;&gt;"",$I304&gt;=TODAY(),$I304&lt;=TODAY()+7),15,0)+IF($M304&lt;=VLOOKUP(Home!$C$7,Lists!$N$2:$O$6,2,FALSE),20,-10)+IF($G304=Home!$E$7,15,IF(Home!$E$7="",0,-5))-ROW()/100000)))</f>
        <v/>
      </c>
      <c r="O304" s="88">
        <f>IF($D304="","",IF($N304&lt;=-500,"Not recommended right now",IF($E304="Waiting","Nothing else actionable right now — Waiting on: "&amp;IF($K304="","this item",$K304),TEXTJOIN(" • ",TRUE,IF($F304="High","High Priority",""),IF(AND($I304&lt;&gt;"",$I304&lt;TODAY()),"Overdue",""),IF(AND($I304&lt;&gt;"",$I304&gt;=TODAY(),$I304&lt;=TODAY()+7),"Due This Week",""),IF($M304&lt;=VLOOKUP(Home!$C$7,Lists!$N$2:$O$6,2,FALSE),$H304&amp;" Task",""),IF($G304=Home!$E$7,"Fits Current Energy",""),"No Blockers"))))</f>
        <v/>
      </c>
      <c r="P304" s="88">
        <f>IF($D304="","",SWITCH('Task Finder'!$C$6,"High Priority",AND($F304="High",$E304&lt;&gt;"Done",$E304&lt;&gt;"Archive"),"Due This Week",AND($I304&lt;&gt;"",$I304&gt;=TODAY(),$I304&lt;=TODAY()+7,$E304&lt;&gt;"Done"),"Quick Wins (15 mins or less)",AND($M304&lt;=15,$E304&lt;&gt;"Done",$E304&lt;&gt;"Blocked"),"Deep Thinking",AND($G304="Deep Thinking",$E304&lt;&gt;"Done"),"Processing",AND($G304="Processing",$E304&lt;&gt;"Done"),"Blocked",$E304="Blocked","Waiting",$E304="Waiting","Recently Updated",AND($L304&lt;&gt;"",$L304&gt;=TODAY()-7),"Keyword",AND('Task Finder'!$C$7&lt;&gt;"",OR(ISNUMBER(SEARCH('Task Finder'!$C$7,$A304)),ISNUMBER(SEARCH('Task Finder'!$C$7,$B304)),ISNUMBER(SEARCH('Task Finder'!$C$7,$C304)),ISNUMBER(SEARCH('Task Finder'!$C$7,$D304)),ISNUMBER(SEARCH('Task Finder'!$C$7,$K304)))),TRUE))</f>
        <v/>
      </c>
    </row>
    <row r="305">
      <c r="A305" s="19" t="n"/>
      <c r="B305" s="19" t="n"/>
      <c r="C305" s="19" t="n"/>
      <c r="D305" s="19" t="n"/>
      <c r="E305" s="19" t="n"/>
      <c r="F305" s="19" t="n"/>
      <c r="G305" s="19" t="n"/>
      <c r="H305" s="19" t="n"/>
      <c r="I305" s="19" t="n"/>
      <c r="J305" s="19" t="n"/>
      <c r="K305" s="19" t="n"/>
      <c r="L305" s="125" t="n"/>
      <c r="M305" s="88">
        <f>IF($D305="","",IFERROR(VLOOKUP($H305,Lists!$N$2:$O$6,2,FALSE),0))</f>
        <v/>
      </c>
      <c r="N305" s="88">
        <f>IF($D305="","",IF(OR($E305="Blocked",$E305="Done",$E305="Archive"),-9999,IF(AND($E305="Waiting",SUMPRODUCT((($E$5:$E$500="Next")+($E$5:$E$500="In Progress")+($E$5:$E$500="Captured"))*($D$5:$D$500&lt;&gt;""))&gt;0),-500,VLOOKUP($F305,Lists!$L$2:$M$4,2,FALSE)+IF($E305="In Progress",10,0)+IF(AND($I305&lt;&gt;"",$I305&lt;TODAY()),25,0)+IF(AND($I305&lt;&gt;"",$I305&gt;=TODAY(),$I305&lt;=TODAY()+7),15,0)+IF($M305&lt;=VLOOKUP(Home!$C$7,Lists!$N$2:$O$6,2,FALSE),20,-10)+IF($G305=Home!$E$7,15,IF(Home!$E$7="",0,-5))-ROW()/100000)))</f>
        <v/>
      </c>
      <c r="O305" s="88">
        <f>IF($D305="","",IF($N305&lt;=-500,"Not recommended right now",IF($E305="Waiting","Nothing else actionable right now — Waiting on: "&amp;IF($K305="","this item",$K305),TEXTJOIN(" • ",TRUE,IF($F305="High","High Priority",""),IF(AND($I305&lt;&gt;"",$I305&lt;TODAY()),"Overdue",""),IF(AND($I305&lt;&gt;"",$I305&gt;=TODAY(),$I305&lt;=TODAY()+7),"Due This Week",""),IF($M305&lt;=VLOOKUP(Home!$C$7,Lists!$N$2:$O$6,2,FALSE),$H305&amp;" Task",""),IF($G305=Home!$E$7,"Fits Current Energy",""),"No Blockers"))))</f>
        <v/>
      </c>
      <c r="P305" s="88">
        <f>IF($D305="","",SWITCH('Task Finder'!$C$6,"High Priority",AND($F305="High",$E305&lt;&gt;"Done",$E305&lt;&gt;"Archive"),"Due This Week",AND($I305&lt;&gt;"",$I305&gt;=TODAY(),$I305&lt;=TODAY()+7,$E305&lt;&gt;"Done"),"Quick Wins (15 mins or less)",AND($M305&lt;=15,$E305&lt;&gt;"Done",$E305&lt;&gt;"Blocked"),"Deep Thinking",AND($G305="Deep Thinking",$E305&lt;&gt;"Done"),"Processing",AND($G305="Processing",$E305&lt;&gt;"Done"),"Blocked",$E305="Blocked","Waiting",$E305="Waiting","Recently Updated",AND($L305&lt;&gt;"",$L305&gt;=TODAY()-7),"Keyword",AND('Task Finder'!$C$7&lt;&gt;"",OR(ISNUMBER(SEARCH('Task Finder'!$C$7,$A305)),ISNUMBER(SEARCH('Task Finder'!$C$7,$B305)),ISNUMBER(SEARCH('Task Finder'!$C$7,$C305)),ISNUMBER(SEARCH('Task Finder'!$C$7,$D305)),ISNUMBER(SEARCH('Task Finder'!$C$7,$K305)))),TRUE))</f>
        <v/>
      </c>
    </row>
    <row r="306">
      <c r="A306" s="19" t="n"/>
      <c r="B306" s="19" t="n"/>
      <c r="C306" s="19" t="n"/>
      <c r="D306" s="19" t="n"/>
      <c r="E306" s="19" t="n"/>
      <c r="F306" s="19" t="n"/>
      <c r="G306" s="19" t="n"/>
      <c r="H306" s="19" t="n"/>
      <c r="I306" s="19" t="n"/>
      <c r="J306" s="19" t="n"/>
      <c r="K306" s="19" t="n"/>
      <c r="L306" s="125" t="n"/>
      <c r="M306" s="88">
        <f>IF($D306="","",IFERROR(VLOOKUP($H306,Lists!$N$2:$O$6,2,FALSE),0))</f>
        <v/>
      </c>
      <c r="N306" s="88">
        <f>IF($D306="","",IF(OR($E306="Blocked",$E306="Done",$E306="Archive"),-9999,IF(AND($E306="Waiting",SUMPRODUCT((($E$5:$E$500="Next")+($E$5:$E$500="In Progress")+($E$5:$E$500="Captured"))*($D$5:$D$500&lt;&gt;""))&gt;0),-500,VLOOKUP($F306,Lists!$L$2:$M$4,2,FALSE)+IF($E306="In Progress",10,0)+IF(AND($I306&lt;&gt;"",$I306&lt;TODAY()),25,0)+IF(AND($I306&lt;&gt;"",$I306&gt;=TODAY(),$I306&lt;=TODAY()+7),15,0)+IF($M306&lt;=VLOOKUP(Home!$C$7,Lists!$N$2:$O$6,2,FALSE),20,-10)+IF($G306=Home!$E$7,15,IF(Home!$E$7="",0,-5))-ROW()/100000)))</f>
        <v/>
      </c>
      <c r="O306" s="88">
        <f>IF($D306="","",IF($N306&lt;=-500,"Not recommended right now",IF($E306="Waiting","Nothing else actionable right now — Waiting on: "&amp;IF($K306="","this item",$K306),TEXTJOIN(" • ",TRUE,IF($F306="High","High Priority",""),IF(AND($I306&lt;&gt;"",$I306&lt;TODAY()),"Overdue",""),IF(AND($I306&lt;&gt;"",$I306&gt;=TODAY(),$I306&lt;=TODAY()+7),"Due This Week",""),IF($M306&lt;=VLOOKUP(Home!$C$7,Lists!$N$2:$O$6,2,FALSE),$H306&amp;" Task",""),IF($G306=Home!$E$7,"Fits Current Energy",""),"No Blockers"))))</f>
        <v/>
      </c>
      <c r="P306" s="88">
        <f>IF($D306="","",SWITCH('Task Finder'!$C$6,"High Priority",AND($F306="High",$E306&lt;&gt;"Done",$E306&lt;&gt;"Archive"),"Due This Week",AND($I306&lt;&gt;"",$I306&gt;=TODAY(),$I306&lt;=TODAY()+7,$E306&lt;&gt;"Done"),"Quick Wins (15 mins or less)",AND($M306&lt;=15,$E306&lt;&gt;"Done",$E306&lt;&gt;"Blocked"),"Deep Thinking",AND($G306="Deep Thinking",$E306&lt;&gt;"Done"),"Processing",AND($G306="Processing",$E306&lt;&gt;"Done"),"Blocked",$E306="Blocked","Waiting",$E306="Waiting","Recently Updated",AND($L306&lt;&gt;"",$L306&gt;=TODAY()-7),"Keyword",AND('Task Finder'!$C$7&lt;&gt;"",OR(ISNUMBER(SEARCH('Task Finder'!$C$7,$A306)),ISNUMBER(SEARCH('Task Finder'!$C$7,$B306)),ISNUMBER(SEARCH('Task Finder'!$C$7,$C306)),ISNUMBER(SEARCH('Task Finder'!$C$7,$D306)),ISNUMBER(SEARCH('Task Finder'!$C$7,$K306)))),TRUE))</f>
        <v/>
      </c>
    </row>
    <row r="307">
      <c r="A307" s="19" t="n"/>
      <c r="B307" s="19" t="n"/>
      <c r="C307" s="19" t="n"/>
      <c r="D307" s="19" t="n"/>
      <c r="E307" s="19" t="n"/>
      <c r="F307" s="19" t="n"/>
      <c r="G307" s="19" t="n"/>
      <c r="H307" s="19" t="n"/>
      <c r="I307" s="19" t="n"/>
      <c r="J307" s="19" t="n"/>
      <c r="K307" s="19" t="n"/>
      <c r="L307" s="125" t="n"/>
      <c r="M307" s="88">
        <f>IF($D307="","",IFERROR(VLOOKUP($H307,Lists!$N$2:$O$6,2,FALSE),0))</f>
        <v/>
      </c>
      <c r="N307" s="88">
        <f>IF($D307="","",IF(OR($E307="Blocked",$E307="Done",$E307="Archive"),-9999,IF(AND($E307="Waiting",SUMPRODUCT((($E$5:$E$500="Next")+($E$5:$E$500="In Progress")+($E$5:$E$500="Captured"))*($D$5:$D$500&lt;&gt;""))&gt;0),-500,VLOOKUP($F307,Lists!$L$2:$M$4,2,FALSE)+IF($E307="In Progress",10,0)+IF(AND($I307&lt;&gt;"",$I307&lt;TODAY()),25,0)+IF(AND($I307&lt;&gt;"",$I307&gt;=TODAY(),$I307&lt;=TODAY()+7),15,0)+IF($M307&lt;=VLOOKUP(Home!$C$7,Lists!$N$2:$O$6,2,FALSE),20,-10)+IF($G307=Home!$E$7,15,IF(Home!$E$7="",0,-5))-ROW()/100000)))</f>
        <v/>
      </c>
      <c r="O307" s="88">
        <f>IF($D307="","",IF($N307&lt;=-500,"Not recommended right now",IF($E307="Waiting","Nothing else actionable right now — Waiting on: "&amp;IF($K307="","this item",$K307),TEXTJOIN(" • ",TRUE,IF($F307="High","High Priority",""),IF(AND($I307&lt;&gt;"",$I307&lt;TODAY()),"Overdue",""),IF(AND($I307&lt;&gt;"",$I307&gt;=TODAY(),$I307&lt;=TODAY()+7),"Due This Week",""),IF($M307&lt;=VLOOKUP(Home!$C$7,Lists!$N$2:$O$6,2,FALSE),$H307&amp;" Task",""),IF($G307=Home!$E$7,"Fits Current Energy",""),"No Blockers"))))</f>
        <v/>
      </c>
      <c r="P307" s="88">
        <f>IF($D307="","",SWITCH('Task Finder'!$C$6,"High Priority",AND($F307="High",$E307&lt;&gt;"Done",$E307&lt;&gt;"Archive"),"Due This Week",AND($I307&lt;&gt;"",$I307&gt;=TODAY(),$I307&lt;=TODAY()+7,$E307&lt;&gt;"Done"),"Quick Wins (15 mins or less)",AND($M307&lt;=15,$E307&lt;&gt;"Done",$E307&lt;&gt;"Blocked"),"Deep Thinking",AND($G307="Deep Thinking",$E307&lt;&gt;"Done"),"Processing",AND($G307="Processing",$E307&lt;&gt;"Done"),"Blocked",$E307="Blocked","Waiting",$E307="Waiting","Recently Updated",AND($L307&lt;&gt;"",$L307&gt;=TODAY()-7),"Keyword",AND('Task Finder'!$C$7&lt;&gt;"",OR(ISNUMBER(SEARCH('Task Finder'!$C$7,$A307)),ISNUMBER(SEARCH('Task Finder'!$C$7,$B307)),ISNUMBER(SEARCH('Task Finder'!$C$7,$C307)),ISNUMBER(SEARCH('Task Finder'!$C$7,$D307)),ISNUMBER(SEARCH('Task Finder'!$C$7,$K307)))),TRUE))</f>
        <v/>
      </c>
    </row>
    <row r="308">
      <c r="A308" s="19" t="n"/>
      <c r="B308" s="19" t="n"/>
      <c r="C308" s="19" t="n"/>
      <c r="D308" s="19" t="n"/>
      <c r="E308" s="19" t="n"/>
      <c r="F308" s="19" t="n"/>
      <c r="G308" s="19" t="n"/>
      <c r="H308" s="19" t="n"/>
      <c r="I308" s="19" t="n"/>
      <c r="J308" s="19" t="n"/>
      <c r="K308" s="19" t="n"/>
      <c r="L308" s="125" t="n"/>
      <c r="M308" s="88">
        <f>IF($D308="","",IFERROR(VLOOKUP($H308,Lists!$N$2:$O$6,2,FALSE),0))</f>
        <v/>
      </c>
      <c r="N308" s="88">
        <f>IF($D308="","",IF(OR($E308="Blocked",$E308="Done",$E308="Archive"),-9999,IF(AND($E308="Waiting",SUMPRODUCT((($E$5:$E$500="Next")+($E$5:$E$500="In Progress")+($E$5:$E$500="Captured"))*($D$5:$D$500&lt;&gt;""))&gt;0),-500,VLOOKUP($F308,Lists!$L$2:$M$4,2,FALSE)+IF($E308="In Progress",10,0)+IF(AND($I308&lt;&gt;"",$I308&lt;TODAY()),25,0)+IF(AND($I308&lt;&gt;"",$I308&gt;=TODAY(),$I308&lt;=TODAY()+7),15,0)+IF($M308&lt;=VLOOKUP(Home!$C$7,Lists!$N$2:$O$6,2,FALSE),20,-10)+IF($G308=Home!$E$7,15,IF(Home!$E$7="",0,-5))-ROW()/100000)))</f>
        <v/>
      </c>
      <c r="O308" s="88">
        <f>IF($D308="","",IF($N308&lt;=-500,"Not recommended right now",IF($E308="Waiting","Nothing else actionable right now — Waiting on: "&amp;IF($K308="","this item",$K308),TEXTJOIN(" • ",TRUE,IF($F308="High","High Priority",""),IF(AND($I308&lt;&gt;"",$I308&lt;TODAY()),"Overdue",""),IF(AND($I308&lt;&gt;"",$I308&gt;=TODAY(),$I308&lt;=TODAY()+7),"Due This Week",""),IF($M308&lt;=VLOOKUP(Home!$C$7,Lists!$N$2:$O$6,2,FALSE),$H308&amp;" Task",""),IF($G308=Home!$E$7,"Fits Current Energy",""),"No Blockers"))))</f>
        <v/>
      </c>
      <c r="P308" s="88">
        <f>IF($D308="","",SWITCH('Task Finder'!$C$6,"High Priority",AND($F308="High",$E308&lt;&gt;"Done",$E308&lt;&gt;"Archive"),"Due This Week",AND($I308&lt;&gt;"",$I308&gt;=TODAY(),$I308&lt;=TODAY()+7,$E308&lt;&gt;"Done"),"Quick Wins (15 mins or less)",AND($M308&lt;=15,$E308&lt;&gt;"Done",$E308&lt;&gt;"Blocked"),"Deep Thinking",AND($G308="Deep Thinking",$E308&lt;&gt;"Done"),"Processing",AND($G308="Processing",$E308&lt;&gt;"Done"),"Blocked",$E308="Blocked","Waiting",$E308="Waiting","Recently Updated",AND($L308&lt;&gt;"",$L308&gt;=TODAY()-7),"Keyword",AND('Task Finder'!$C$7&lt;&gt;"",OR(ISNUMBER(SEARCH('Task Finder'!$C$7,$A308)),ISNUMBER(SEARCH('Task Finder'!$C$7,$B308)),ISNUMBER(SEARCH('Task Finder'!$C$7,$C308)),ISNUMBER(SEARCH('Task Finder'!$C$7,$D308)),ISNUMBER(SEARCH('Task Finder'!$C$7,$K308)))),TRUE))</f>
        <v/>
      </c>
    </row>
    <row r="309">
      <c r="A309" s="19" t="n"/>
      <c r="B309" s="19" t="n"/>
      <c r="C309" s="19" t="n"/>
      <c r="D309" s="19" t="n"/>
      <c r="E309" s="19" t="n"/>
      <c r="F309" s="19" t="n"/>
      <c r="G309" s="19" t="n"/>
      <c r="H309" s="19" t="n"/>
      <c r="I309" s="19" t="n"/>
      <c r="J309" s="19" t="n"/>
      <c r="K309" s="19" t="n"/>
      <c r="L309" s="125" t="n"/>
      <c r="M309" s="88">
        <f>IF($D309="","",IFERROR(VLOOKUP($H309,Lists!$N$2:$O$6,2,FALSE),0))</f>
        <v/>
      </c>
      <c r="N309" s="88">
        <f>IF($D309="","",IF(OR($E309="Blocked",$E309="Done",$E309="Archive"),-9999,IF(AND($E309="Waiting",SUMPRODUCT((($E$5:$E$500="Next")+($E$5:$E$500="In Progress")+($E$5:$E$500="Captured"))*($D$5:$D$500&lt;&gt;""))&gt;0),-500,VLOOKUP($F309,Lists!$L$2:$M$4,2,FALSE)+IF($E309="In Progress",10,0)+IF(AND($I309&lt;&gt;"",$I309&lt;TODAY()),25,0)+IF(AND($I309&lt;&gt;"",$I309&gt;=TODAY(),$I309&lt;=TODAY()+7),15,0)+IF($M309&lt;=VLOOKUP(Home!$C$7,Lists!$N$2:$O$6,2,FALSE),20,-10)+IF($G309=Home!$E$7,15,IF(Home!$E$7="",0,-5))-ROW()/100000)))</f>
        <v/>
      </c>
      <c r="O309" s="88">
        <f>IF($D309="","",IF($N309&lt;=-500,"Not recommended right now",IF($E309="Waiting","Nothing else actionable right now — Waiting on: "&amp;IF($K309="","this item",$K309),TEXTJOIN(" • ",TRUE,IF($F309="High","High Priority",""),IF(AND($I309&lt;&gt;"",$I309&lt;TODAY()),"Overdue",""),IF(AND($I309&lt;&gt;"",$I309&gt;=TODAY(),$I309&lt;=TODAY()+7),"Due This Week",""),IF($M309&lt;=VLOOKUP(Home!$C$7,Lists!$N$2:$O$6,2,FALSE),$H309&amp;" Task",""),IF($G309=Home!$E$7,"Fits Current Energy",""),"No Blockers"))))</f>
        <v/>
      </c>
      <c r="P309" s="88">
        <f>IF($D309="","",SWITCH('Task Finder'!$C$6,"High Priority",AND($F309="High",$E309&lt;&gt;"Done",$E309&lt;&gt;"Archive"),"Due This Week",AND($I309&lt;&gt;"",$I309&gt;=TODAY(),$I309&lt;=TODAY()+7,$E309&lt;&gt;"Done"),"Quick Wins (15 mins or less)",AND($M309&lt;=15,$E309&lt;&gt;"Done",$E309&lt;&gt;"Blocked"),"Deep Thinking",AND($G309="Deep Thinking",$E309&lt;&gt;"Done"),"Processing",AND($G309="Processing",$E309&lt;&gt;"Done"),"Blocked",$E309="Blocked","Waiting",$E309="Waiting","Recently Updated",AND($L309&lt;&gt;"",$L309&gt;=TODAY()-7),"Keyword",AND('Task Finder'!$C$7&lt;&gt;"",OR(ISNUMBER(SEARCH('Task Finder'!$C$7,$A309)),ISNUMBER(SEARCH('Task Finder'!$C$7,$B309)),ISNUMBER(SEARCH('Task Finder'!$C$7,$C309)),ISNUMBER(SEARCH('Task Finder'!$C$7,$D309)),ISNUMBER(SEARCH('Task Finder'!$C$7,$K309)))),TRUE))</f>
        <v/>
      </c>
    </row>
    <row r="310">
      <c r="A310" s="19" t="n"/>
      <c r="B310" s="19" t="n"/>
      <c r="C310" s="19" t="n"/>
      <c r="D310" s="19" t="n"/>
      <c r="E310" s="19" t="n"/>
      <c r="F310" s="19" t="n"/>
      <c r="G310" s="19" t="n"/>
      <c r="H310" s="19" t="n"/>
      <c r="I310" s="19" t="n"/>
      <c r="J310" s="19" t="n"/>
      <c r="K310" s="19" t="n"/>
      <c r="L310" s="125" t="n"/>
      <c r="M310" s="88">
        <f>IF($D310="","",IFERROR(VLOOKUP($H310,Lists!$N$2:$O$6,2,FALSE),0))</f>
        <v/>
      </c>
      <c r="N310" s="88">
        <f>IF($D310="","",IF(OR($E310="Blocked",$E310="Done",$E310="Archive"),-9999,IF(AND($E310="Waiting",SUMPRODUCT((($E$5:$E$500="Next")+($E$5:$E$500="In Progress")+($E$5:$E$500="Captured"))*($D$5:$D$500&lt;&gt;""))&gt;0),-500,VLOOKUP($F310,Lists!$L$2:$M$4,2,FALSE)+IF($E310="In Progress",10,0)+IF(AND($I310&lt;&gt;"",$I310&lt;TODAY()),25,0)+IF(AND($I310&lt;&gt;"",$I310&gt;=TODAY(),$I310&lt;=TODAY()+7),15,0)+IF($M310&lt;=VLOOKUP(Home!$C$7,Lists!$N$2:$O$6,2,FALSE),20,-10)+IF($G310=Home!$E$7,15,IF(Home!$E$7="",0,-5))-ROW()/100000)))</f>
        <v/>
      </c>
      <c r="O310" s="88">
        <f>IF($D310="","",IF($N310&lt;=-500,"Not recommended right now",IF($E310="Waiting","Nothing else actionable right now — Waiting on: "&amp;IF($K310="","this item",$K310),TEXTJOIN(" • ",TRUE,IF($F310="High","High Priority",""),IF(AND($I310&lt;&gt;"",$I310&lt;TODAY()),"Overdue",""),IF(AND($I310&lt;&gt;"",$I310&gt;=TODAY(),$I310&lt;=TODAY()+7),"Due This Week",""),IF($M310&lt;=VLOOKUP(Home!$C$7,Lists!$N$2:$O$6,2,FALSE),$H310&amp;" Task",""),IF($G310=Home!$E$7,"Fits Current Energy",""),"No Blockers"))))</f>
        <v/>
      </c>
      <c r="P310" s="88">
        <f>IF($D310="","",SWITCH('Task Finder'!$C$6,"High Priority",AND($F310="High",$E310&lt;&gt;"Done",$E310&lt;&gt;"Archive"),"Due This Week",AND($I310&lt;&gt;"",$I310&gt;=TODAY(),$I310&lt;=TODAY()+7,$E310&lt;&gt;"Done"),"Quick Wins (15 mins or less)",AND($M310&lt;=15,$E310&lt;&gt;"Done",$E310&lt;&gt;"Blocked"),"Deep Thinking",AND($G310="Deep Thinking",$E310&lt;&gt;"Done"),"Processing",AND($G310="Processing",$E310&lt;&gt;"Done"),"Blocked",$E310="Blocked","Waiting",$E310="Waiting","Recently Updated",AND($L310&lt;&gt;"",$L310&gt;=TODAY()-7),"Keyword",AND('Task Finder'!$C$7&lt;&gt;"",OR(ISNUMBER(SEARCH('Task Finder'!$C$7,$A310)),ISNUMBER(SEARCH('Task Finder'!$C$7,$B310)),ISNUMBER(SEARCH('Task Finder'!$C$7,$C310)),ISNUMBER(SEARCH('Task Finder'!$C$7,$D310)),ISNUMBER(SEARCH('Task Finder'!$C$7,$K310)))),TRUE))</f>
        <v/>
      </c>
    </row>
    <row r="311">
      <c r="A311" s="19" t="n"/>
      <c r="B311" s="19" t="n"/>
      <c r="C311" s="19" t="n"/>
      <c r="D311" s="19" t="n"/>
      <c r="E311" s="19" t="n"/>
      <c r="F311" s="19" t="n"/>
      <c r="G311" s="19" t="n"/>
      <c r="H311" s="19" t="n"/>
      <c r="I311" s="19" t="n"/>
      <c r="J311" s="19" t="n"/>
      <c r="K311" s="19" t="n"/>
      <c r="L311" s="125" t="n"/>
      <c r="M311" s="88">
        <f>IF($D311="","",IFERROR(VLOOKUP($H311,Lists!$N$2:$O$6,2,FALSE),0))</f>
        <v/>
      </c>
      <c r="N311" s="88">
        <f>IF($D311="","",IF(OR($E311="Blocked",$E311="Done",$E311="Archive"),-9999,IF(AND($E311="Waiting",SUMPRODUCT((($E$5:$E$500="Next")+($E$5:$E$500="In Progress")+($E$5:$E$500="Captured"))*($D$5:$D$500&lt;&gt;""))&gt;0),-500,VLOOKUP($F311,Lists!$L$2:$M$4,2,FALSE)+IF($E311="In Progress",10,0)+IF(AND($I311&lt;&gt;"",$I311&lt;TODAY()),25,0)+IF(AND($I311&lt;&gt;"",$I311&gt;=TODAY(),$I311&lt;=TODAY()+7),15,0)+IF($M311&lt;=VLOOKUP(Home!$C$7,Lists!$N$2:$O$6,2,FALSE),20,-10)+IF($G311=Home!$E$7,15,IF(Home!$E$7="",0,-5))-ROW()/100000)))</f>
        <v/>
      </c>
      <c r="O311" s="88">
        <f>IF($D311="","",IF($N311&lt;=-500,"Not recommended right now",IF($E311="Waiting","Nothing else actionable right now — Waiting on: "&amp;IF($K311="","this item",$K311),TEXTJOIN(" • ",TRUE,IF($F311="High","High Priority",""),IF(AND($I311&lt;&gt;"",$I311&lt;TODAY()),"Overdue",""),IF(AND($I311&lt;&gt;"",$I311&gt;=TODAY(),$I311&lt;=TODAY()+7),"Due This Week",""),IF($M311&lt;=VLOOKUP(Home!$C$7,Lists!$N$2:$O$6,2,FALSE),$H311&amp;" Task",""),IF($G311=Home!$E$7,"Fits Current Energy",""),"No Blockers"))))</f>
        <v/>
      </c>
      <c r="P311" s="88">
        <f>IF($D311="","",SWITCH('Task Finder'!$C$6,"High Priority",AND($F311="High",$E311&lt;&gt;"Done",$E311&lt;&gt;"Archive"),"Due This Week",AND($I311&lt;&gt;"",$I311&gt;=TODAY(),$I311&lt;=TODAY()+7,$E311&lt;&gt;"Done"),"Quick Wins (15 mins or less)",AND($M311&lt;=15,$E311&lt;&gt;"Done",$E311&lt;&gt;"Blocked"),"Deep Thinking",AND($G311="Deep Thinking",$E311&lt;&gt;"Done"),"Processing",AND($G311="Processing",$E311&lt;&gt;"Done"),"Blocked",$E311="Blocked","Waiting",$E311="Waiting","Recently Updated",AND($L311&lt;&gt;"",$L311&gt;=TODAY()-7),"Keyword",AND('Task Finder'!$C$7&lt;&gt;"",OR(ISNUMBER(SEARCH('Task Finder'!$C$7,$A311)),ISNUMBER(SEARCH('Task Finder'!$C$7,$B311)),ISNUMBER(SEARCH('Task Finder'!$C$7,$C311)),ISNUMBER(SEARCH('Task Finder'!$C$7,$D311)),ISNUMBER(SEARCH('Task Finder'!$C$7,$K311)))),TRUE))</f>
        <v/>
      </c>
    </row>
    <row r="312">
      <c r="A312" s="19" t="n"/>
      <c r="B312" s="19" t="n"/>
      <c r="C312" s="19" t="n"/>
      <c r="D312" s="19" t="n"/>
      <c r="E312" s="19" t="n"/>
      <c r="F312" s="19" t="n"/>
      <c r="G312" s="19" t="n"/>
      <c r="H312" s="19" t="n"/>
      <c r="I312" s="19" t="n"/>
      <c r="J312" s="19" t="n"/>
      <c r="K312" s="19" t="n"/>
      <c r="L312" s="125" t="n"/>
      <c r="M312" s="88">
        <f>IF($D312="","",IFERROR(VLOOKUP($H312,Lists!$N$2:$O$6,2,FALSE),0))</f>
        <v/>
      </c>
      <c r="N312" s="88">
        <f>IF($D312="","",IF(OR($E312="Blocked",$E312="Done",$E312="Archive"),-9999,IF(AND($E312="Waiting",SUMPRODUCT((($E$5:$E$500="Next")+($E$5:$E$500="In Progress")+($E$5:$E$500="Captured"))*($D$5:$D$500&lt;&gt;""))&gt;0),-500,VLOOKUP($F312,Lists!$L$2:$M$4,2,FALSE)+IF($E312="In Progress",10,0)+IF(AND($I312&lt;&gt;"",$I312&lt;TODAY()),25,0)+IF(AND($I312&lt;&gt;"",$I312&gt;=TODAY(),$I312&lt;=TODAY()+7),15,0)+IF($M312&lt;=VLOOKUP(Home!$C$7,Lists!$N$2:$O$6,2,FALSE),20,-10)+IF($G312=Home!$E$7,15,IF(Home!$E$7="",0,-5))-ROW()/100000)))</f>
        <v/>
      </c>
      <c r="O312" s="88">
        <f>IF($D312="","",IF($N312&lt;=-500,"Not recommended right now",IF($E312="Waiting","Nothing else actionable right now — Waiting on: "&amp;IF($K312="","this item",$K312),TEXTJOIN(" • ",TRUE,IF($F312="High","High Priority",""),IF(AND($I312&lt;&gt;"",$I312&lt;TODAY()),"Overdue",""),IF(AND($I312&lt;&gt;"",$I312&gt;=TODAY(),$I312&lt;=TODAY()+7),"Due This Week",""),IF($M312&lt;=VLOOKUP(Home!$C$7,Lists!$N$2:$O$6,2,FALSE),$H312&amp;" Task",""),IF($G312=Home!$E$7,"Fits Current Energy",""),"No Blockers"))))</f>
        <v/>
      </c>
      <c r="P312" s="88">
        <f>IF($D312="","",SWITCH('Task Finder'!$C$6,"High Priority",AND($F312="High",$E312&lt;&gt;"Done",$E312&lt;&gt;"Archive"),"Due This Week",AND($I312&lt;&gt;"",$I312&gt;=TODAY(),$I312&lt;=TODAY()+7,$E312&lt;&gt;"Done"),"Quick Wins (15 mins or less)",AND($M312&lt;=15,$E312&lt;&gt;"Done",$E312&lt;&gt;"Blocked"),"Deep Thinking",AND($G312="Deep Thinking",$E312&lt;&gt;"Done"),"Processing",AND($G312="Processing",$E312&lt;&gt;"Done"),"Blocked",$E312="Blocked","Waiting",$E312="Waiting","Recently Updated",AND($L312&lt;&gt;"",$L312&gt;=TODAY()-7),"Keyword",AND('Task Finder'!$C$7&lt;&gt;"",OR(ISNUMBER(SEARCH('Task Finder'!$C$7,$A312)),ISNUMBER(SEARCH('Task Finder'!$C$7,$B312)),ISNUMBER(SEARCH('Task Finder'!$C$7,$C312)),ISNUMBER(SEARCH('Task Finder'!$C$7,$D312)),ISNUMBER(SEARCH('Task Finder'!$C$7,$K312)))),TRUE))</f>
        <v/>
      </c>
    </row>
    <row r="313">
      <c r="A313" s="19" t="n"/>
      <c r="B313" s="19" t="n"/>
      <c r="C313" s="19" t="n"/>
      <c r="D313" s="19" t="n"/>
      <c r="E313" s="19" t="n"/>
      <c r="F313" s="19" t="n"/>
      <c r="G313" s="19" t="n"/>
      <c r="H313" s="19" t="n"/>
      <c r="I313" s="19" t="n"/>
      <c r="J313" s="19" t="n"/>
      <c r="K313" s="19" t="n"/>
      <c r="L313" s="125" t="n"/>
      <c r="M313" s="88">
        <f>IF($D313="","",IFERROR(VLOOKUP($H313,Lists!$N$2:$O$6,2,FALSE),0))</f>
        <v/>
      </c>
      <c r="N313" s="88">
        <f>IF($D313="","",IF(OR($E313="Blocked",$E313="Done",$E313="Archive"),-9999,IF(AND($E313="Waiting",SUMPRODUCT((($E$5:$E$500="Next")+($E$5:$E$500="In Progress")+($E$5:$E$500="Captured"))*($D$5:$D$500&lt;&gt;""))&gt;0),-500,VLOOKUP($F313,Lists!$L$2:$M$4,2,FALSE)+IF($E313="In Progress",10,0)+IF(AND($I313&lt;&gt;"",$I313&lt;TODAY()),25,0)+IF(AND($I313&lt;&gt;"",$I313&gt;=TODAY(),$I313&lt;=TODAY()+7),15,0)+IF($M313&lt;=VLOOKUP(Home!$C$7,Lists!$N$2:$O$6,2,FALSE),20,-10)+IF($G313=Home!$E$7,15,IF(Home!$E$7="",0,-5))-ROW()/100000)))</f>
        <v/>
      </c>
      <c r="O313" s="88">
        <f>IF($D313="","",IF($N313&lt;=-500,"Not recommended right now",IF($E313="Waiting","Nothing else actionable right now — Waiting on: "&amp;IF($K313="","this item",$K313),TEXTJOIN(" • ",TRUE,IF($F313="High","High Priority",""),IF(AND($I313&lt;&gt;"",$I313&lt;TODAY()),"Overdue",""),IF(AND($I313&lt;&gt;"",$I313&gt;=TODAY(),$I313&lt;=TODAY()+7),"Due This Week",""),IF($M313&lt;=VLOOKUP(Home!$C$7,Lists!$N$2:$O$6,2,FALSE),$H313&amp;" Task",""),IF($G313=Home!$E$7,"Fits Current Energy",""),"No Blockers"))))</f>
        <v/>
      </c>
      <c r="P313" s="88">
        <f>IF($D313="","",SWITCH('Task Finder'!$C$6,"High Priority",AND($F313="High",$E313&lt;&gt;"Done",$E313&lt;&gt;"Archive"),"Due This Week",AND($I313&lt;&gt;"",$I313&gt;=TODAY(),$I313&lt;=TODAY()+7,$E313&lt;&gt;"Done"),"Quick Wins (15 mins or less)",AND($M313&lt;=15,$E313&lt;&gt;"Done",$E313&lt;&gt;"Blocked"),"Deep Thinking",AND($G313="Deep Thinking",$E313&lt;&gt;"Done"),"Processing",AND($G313="Processing",$E313&lt;&gt;"Done"),"Blocked",$E313="Blocked","Waiting",$E313="Waiting","Recently Updated",AND($L313&lt;&gt;"",$L313&gt;=TODAY()-7),"Keyword",AND('Task Finder'!$C$7&lt;&gt;"",OR(ISNUMBER(SEARCH('Task Finder'!$C$7,$A313)),ISNUMBER(SEARCH('Task Finder'!$C$7,$B313)),ISNUMBER(SEARCH('Task Finder'!$C$7,$C313)),ISNUMBER(SEARCH('Task Finder'!$C$7,$D313)),ISNUMBER(SEARCH('Task Finder'!$C$7,$K313)))),TRUE))</f>
        <v/>
      </c>
    </row>
    <row r="314">
      <c r="A314" s="19" t="n"/>
      <c r="B314" s="19" t="n"/>
      <c r="C314" s="19" t="n"/>
      <c r="D314" s="19" t="n"/>
      <c r="E314" s="19" t="n"/>
      <c r="F314" s="19" t="n"/>
      <c r="G314" s="19" t="n"/>
      <c r="H314" s="19" t="n"/>
      <c r="I314" s="19" t="n"/>
      <c r="J314" s="19" t="n"/>
      <c r="K314" s="19" t="n"/>
      <c r="L314" s="125" t="n"/>
      <c r="M314" s="88">
        <f>IF($D314="","",IFERROR(VLOOKUP($H314,Lists!$N$2:$O$6,2,FALSE),0))</f>
        <v/>
      </c>
      <c r="N314" s="88">
        <f>IF($D314="","",IF(OR($E314="Blocked",$E314="Done",$E314="Archive"),-9999,IF(AND($E314="Waiting",SUMPRODUCT((($E$5:$E$500="Next")+($E$5:$E$500="In Progress")+($E$5:$E$500="Captured"))*($D$5:$D$500&lt;&gt;""))&gt;0),-500,VLOOKUP($F314,Lists!$L$2:$M$4,2,FALSE)+IF($E314="In Progress",10,0)+IF(AND($I314&lt;&gt;"",$I314&lt;TODAY()),25,0)+IF(AND($I314&lt;&gt;"",$I314&gt;=TODAY(),$I314&lt;=TODAY()+7),15,0)+IF($M314&lt;=VLOOKUP(Home!$C$7,Lists!$N$2:$O$6,2,FALSE),20,-10)+IF($G314=Home!$E$7,15,IF(Home!$E$7="",0,-5))-ROW()/100000)))</f>
        <v/>
      </c>
      <c r="O314" s="88">
        <f>IF($D314="","",IF($N314&lt;=-500,"Not recommended right now",IF($E314="Waiting","Nothing else actionable right now — Waiting on: "&amp;IF($K314="","this item",$K314),TEXTJOIN(" • ",TRUE,IF($F314="High","High Priority",""),IF(AND($I314&lt;&gt;"",$I314&lt;TODAY()),"Overdue",""),IF(AND($I314&lt;&gt;"",$I314&gt;=TODAY(),$I314&lt;=TODAY()+7),"Due This Week",""),IF($M314&lt;=VLOOKUP(Home!$C$7,Lists!$N$2:$O$6,2,FALSE),$H314&amp;" Task",""),IF($G314=Home!$E$7,"Fits Current Energy",""),"No Blockers"))))</f>
        <v/>
      </c>
      <c r="P314" s="88">
        <f>IF($D314="","",SWITCH('Task Finder'!$C$6,"High Priority",AND($F314="High",$E314&lt;&gt;"Done",$E314&lt;&gt;"Archive"),"Due This Week",AND($I314&lt;&gt;"",$I314&gt;=TODAY(),$I314&lt;=TODAY()+7,$E314&lt;&gt;"Done"),"Quick Wins (15 mins or less)",AND($M314&lt;=15,$E314&lt;&gt;"Done",$E314&lt;&gt;"Blocked"),"Deep Thinking",AND($G314="Deep Thinking",$E314&lt;&gt;"Done"),"Processing",AND($G314="Processing",$E314&lt;&gt;"Done"),"Blocked",$E314="Blocked","Waiting",$E314="Waiting","Recently Updated",AND($L314&lt;&gt;"",$L314&gt;=TODAY()-7),"Keyword",AND('Task Finder'!$C$7&lt;&gt;"",OR(ISNUMBER(SEARCH('Task Finder'!$C$7,$A314)),ISNUMBER(SEARCH('Task Finder'!$C$7,$B314)),ISNUMBER(SEARCH('Task Finder'!$C$7,$C314)),ISNUMBER(SEARCH('Task Finder'!$C$7,$D314)),ISNUMBER(SEARCH('Task Finder'!$C$7,$K314)))),TRUE))</f>
        <v/>
      </c>
    </row>
    <row r="315">
      <c r="A315" s="19" t="n"/>
      <c r="B315" s="19" t="n"/>
      <c r="C315" s="19" t="n"/>
      <c r="D315" s="19" t="n"/>
      <c r="E315" s="19" t="n"/>
      <c r="F315" s="19" t="n"/>
      <c r="G315" s="19" t="n"/>
      <c r="H315" s="19" t="n"/>
      <c r="I315" s="19" t="n"/>
      <c r="J315" s="19" t="n"/>
      <c r="K315" s="19" t="n"/>
      <c r="L315" s="125" t="n"/>
      <c r="M315" s="88">
        <f>IF($D315="","",IFERROR(VLOOKUP($H315,Lists!$N$2:$O$6,2,FALSE),0))</f>
        <v/>
      </c>
      <c r="N315" s="88">
        <f>IF($D315="","",IF(OR($E315="Blocked",$E315="Done",$E315="Archive"),-9999,IF(AND($E315="Waiting",SUMPRODUCT((($E$5:$E$500="Next")+($E$5:$E$500="In Progress")+($E$5:$E$500="Captured"))*($D$5:$D$500&lt;&gt;""))&gt;0),-500,VLOOKUP($F315,Lists!$L$2:$M$4,2,FALSE)+IF($E315="In Progress",10,0)+IF(AND($I315&lt;&gt;"",$I315&lt;TODAY()),25,0)+IF(AND($I315&lt;&gt;"",$I315&gt;=TODAY(),$I315&lt;=TODAY()+7),15,0)+IF($M315&lt;=VLOOKUP(Home!$C$7,Lists!$N$2:$O$6,2,FALSE),20,-10)+IF($G315=Home!$E$7,15,IF(Home!$E$7="",0,-5))-ROW()/100000)))</f>
        <v/>
      </c>
      <c r="O315" s="88">
        <f>IF($D315="","",IF($N315&lt;=-500,"Not recommended right now",IF($E315="Waiting","Nothing else actionable right now — Waiting on: "&amp;IF($K315="","this item",$K315),TEXTJOIN(" • ",TRUE,IF($F315="High","High Priority",""),IF(AND($I315&lt;&gt;"",$I315&lt;TODAY()),"Overdue",""),IF(AND($I315&lt;&gt;"",$I315&gt;=TODAY(),$I315&lt;=TODAY()+7),"Due This Week",""),IF($M315&lt;=VLOOKUP(Home!$C$7,Lists!$N$2:$O$6,2,FALSE),$H315&amp;" Task",""),IF($G315=Home!$E$7,"Fits Current Energy",""),"No Blockers"))))</f>
        <v/>
      </c>
      <c r="P315" s="88">
        <f>IF($D315="","",SWITCH('Task Finder'!$C$6,"High Priority",AND($F315="High",$E315&lt;&gt;"Done",$E315&lt;&gt;"Archive"),"Due This Week",AND($I315&lt;&gt;"",$I315&gt;=TODAY(),$I315&lt;=TODAY()+7,$E315&lt;&gt;"Done"),"Quick Wins (15 mins or less)",AND($M315&lt;=15,$E315&lt;&gt;"Done",$E315&lt;&gt;"Blocked"),"Deep Thinking",AND($G315="Deep Thinking",$E315&lt;&gt;"Done"),"Processing",AND($G315="Processing",$E315&lt;&gt;"Done"),"Blocked",$E315="Blocked","Waiting",$E315="Waiting","Recently Updated",AND($L315&lt;&gt;"",$L315&gt;=TODAY()-7),"Keyword",AND('Task Finder'!$C$7&lt;&gt;"",OR(ISNUMBER(SEARCH('Task Finder'!$C$7,$A315)),ISNUMBER(SEARCH('Task Finder'!$C$7,$B315)),ISNUMBER(SEARCH('Task Finder'!$C$7,$C315)),ISNUMBER(SEARCH('Task Finder'!$C$7,$D315)),ISNUMBER(SEARCH('Task Finder'!$C$7,$K315)))),TRUE))</f>
        <v/>
      </c>
    </row>
    <row r="316">
      <c r="A316" s="19" t="n"/>
      <c r="B316" s="19" t="n"/>
      <c r="C316" s="19" t="n"/>
      <c r="D316" s="19" t="n"/>
      <c r="E316" s="19" t="n"/>
      <c r="F316" s="19" t="n"/>
      <c r="G316" s="19" t="n"/>
      <c r="H316" s="19" t="n"/>
      <c r="I316" s="19" t="n"/>
      <c r="J316" s="19" t="n"/>
      <c r="K316" s="19" t="n"/>
      <c r="L316" s="125" t="n"/>
      <c r="M316" s="88">
        <f>IF($D316="","",IFERROR(VLOOKUP($H316,Lists!$N$2:$O$6,2,FALSE),0))</f>
        <v/>
      </c>
      <c r="N316" s="88">
        <f>IF($D316="","",IF(OR($E316="Blocked",$E316="Done",$E316="Archive"),-9999,IF(AND($E316="Waiting",SUMPRODUCT((($E$5:$E$500="Next")+($E$5:$E$500="In Progress")+($E$5:$E$500="Captured"))*($D$5:$D$500&lt;&gt;""))&gt;0),-500,VLOOKUP($F316,Lists!$L$2:$M$4,2,FALSE)+IF($E316="In Progress",10,0)+IF(AND($I316&lt;&gt;"",$I316&lt;TODAY()),25,0)+IF(AND($I316&lt;&gt;"",$I316&gt;=TODAY(),$I316&lt;=TODAY()+7),15,0)+IF($M316&lt;=VLOOKUP(Home!$C$7,Lists!$N$2:$O$6,2,FALSE),20,-10)+IF($G316=Home!$E$7,15,IF(Home!$E$7="",0,-5))-ROW()/100000)))</f>
        <v/>
      </c>
      <c r="O316" s="88">
        <f>IF($D316="","",IF($N316&lt;=-500,"Not recommended right now",IF($E316="Waiting","Nothing else actionable right now — Waiting on: "&amp;IF($K316="","this item",$K316),TEXTJOIN(" • ",TRUE,IF($F316="High","High Priority",""),IF(AND($I316&lt;&gt;"",$I316&lt;TODAY()),"Overdue",""),IF(AND($I316&lt;&gt;"",$I316&gt;=TODAY(),$I316&lt;=TODAY()+7),"Due This Week",""),IF($M316&lt;=VLOOKUP(Home!$C$7,Lists!$N$2:$O$6,2,FALSE),$H316&amp;" Task",""),IF($G316=Home!$E$7,"Fits Current Energy",""),"No Blockers"))))</f>
        <v/>
      </c>
      <c r="P316" s="88">
        <f>IF($D316="","",SWITCH('Task Finder'!$C$6,"High Priority",AND($F316="High",$E316&lt;&gt;"Done",$E316&lt;&gt;"Archive"),"Due This Week",AND($I316&lt;&gt;"",$I316&gt;=TODAY(),$I316&lt;=TODAY()+7,$E316&lt;&gt;"Done"),"Quick Wins (15 mins or less)",AND($M316&lt;=15,$E316&lt;&gt;"Done",$E316&lt;&gt;"Blocked"),"Deep Thinking",AND($G316="Deep Thinking",$E316&lt;&gt;"Done"),"Processing",AND($G316="Processing",$E316&lt;&gt;"Done"),"Blocked",$E316="Blocked","Waiting",$E316="Waiting","Recently Updated",AND($L316&lt;&gt;"",$L316&gt;=TODAY()-7),"Keyword",AND('Task Finder'!$C$7&lt;&gt;"",OR(ISNUMBER(SEARCH('Task Finder'!$C$7,$A316)),ISNUMBER(SEARCH('Task Finder'!$C$7,$B316)),ISNUMBER(SEARCH('Task Finder'!$C$7,$C316)),ISNUMBER(SEARCH('Task Finder'!$C$7,$D316)),ISNUMBER(SEARCH('Task Finder'!$C$7,$K316)))),TRUE))</f>
        <v/>
      </c>
    </row>
    <row r="317">
      <c r="A317" s="19" t="n"/>
      <c r="B317" s="19" t="n"/>
      <c r="C317" s="19" t="n"/>
      <c r="D317" s="19" t="n"/>
      <c r="E317" s="19" t="n"/>
      <c r="F317" s="19" t="n"/>
      <c r="G317" s="19" t="n"/>
      <c r="H317" s="19" t="n"/>
      <c r="I317" s="19" t="n"/>
      <c r="J317" s="19" t="n"/>
      <c r="K317" s="19" t="n"/>
      <c r="L317" s="125" t="n"/>
      <c r="M317" s="88">
        <f>IF($D317="","",IFERROR(VLOOKUP($H317,Lists!$N$2:$O$6,2,FALSE),0))</f>
        <v/>
      </c>
      <c r="N317" s="88">
        <f>IF($D317="","",IF(OR($E317="Blocked",$E317="Done",$E317="Archive"),-9999,IF(AND($E317="Waiting",SUMPRODUCT((($E$5:$E$500="Next")+($E$5:$E$500="In Progress")+($E$5:$E$500="Captured"))*($D$5:$D$500&lt;&gt;""))&gt;0),-500,VLOOKUP($F317,Lists!$L$2:$M$4,2,FALSE)+IF($E317="In Progress",10,0)+IF(AND($I317&lt;&gt;"",$I317&lt;TODAY()),25,0)+IF(AND($I317&lt;&gt;"",$I317&gt;=TODAY(),$I317&lt;=TODAY()+7),15,0)+IF($M317&lt;=VLOOKUP(Home!$C$7,Lists!$N$2:$O$6,2,FALSE),20,-10)+IF($G317=Home!$E$7,15,IF(Home!$E$7="",0,-5))-ROW()/100000)))</f>
        <v/>
      </c>
      <c r="O317" s="88">
        <f>IF($D317="","",IF($N317&lt;=-500,"Not recommended right now",IF($E317="Waiting","Nothing else actionable right now — Waiting on: "&amp;IF($K317="","this item",$K317),TEXTJOIN(" • ",TRUE,IF($F317="High","High Priority",""),IF(AND($I317&lt;&gt;"",$I317&lt;TODAY()),"Overdue",""),IF(AND($I317&lt;&gt;"",$I317&gt;=TODAY(),$I317&lt;=TODAY()+7),"Due This Week",""),IF($M317&lt;=VLOOKUP(Home!$C$7,Lists!$N$2:$O$6,2,FALSE),$H317&amp;" Task",""),IF($G317=Home!$E$7,"Fits Current Energy",""),"No Blockers"))))</f>
        <v/>
      </c>
      <c r="P317" s="88">
        <f>IF($D317="","",SWITCH('Task Finder'!$C$6,"High Priority",AND($F317="High",$E317&lt;&gt;"Done",$E317&lt;&gt;"Archive"),"Due This Week",AND($I317&lt;&gt;"",$I317&gt;=TODAY(),$I317&lt;=TODAY()+7,$E317&lt;&gt;"Done"),"Quick Wins (15 mins or less)",AND($M317&lt;=15,$E317&lt;&gt;"Done",$E317&lt;&gt;"Blocked"),"Deep Thinking",AND($G317="Deep Thinking",$E317&lt;&gt;"Done"),"Processing",AND($G317="Processing",$E317&lt;&gt;"Done"),"Blocked",$E317="Blocked","Waiting",$E317="Waiting","Recently Updated",AND($L317&lt;&gt;"",$L317&gt;=TODAY()-7),"Keyword",AND('Task Finder'!$C$7&lt;&gt;"",OR(ISNUMBER(SEARCH('Task Finder'!$C$7,$A317)),ISNUMBER(SEARCH('Task Finder'!$C$7,$B317)),ISNUMBER(SEARCH('Task Finder'!$C$7,$C317)),ISNUMBER(SEARCH('Task Finder'!$C$7,$D317)),ISNUMBER(SEARCH('Task Finder'!$C$7,$K317)))),TRUE))</f>
        <v/>
      </c>
    </row>
    <row r="318">
      <c r="A318" s="19" t="n"/>
      <c r="B318" s="19" t="n"/>
      <c r="C318" s="19" t="n"/>
      <c r="D318" s="19" t="n"/>
      <c r="E318" s="19" t="n"/>
      <c r="F318" s="19" t="n"/>
      <c r="G318" s="19" t="n"/>
      <c r="H318" s="19" t="n"/>
      <c r="I318" s="19" t="n"/>
      <c r="J318" s="19" t="n"/>
      <c r="K318" s="19" t="n"/>
      <c r="L318" s="125" t="n"/>
      <c r="M318" s="88">
        <f>IF($D318="","",IFERROR(VLOOKUP($H318,Lists!$N$2:$O$6,2,FALSE),0))</f>
        <v/>
      </c>
      <c r="N318" s="88">
        <f>IF($D318="","",IF(OR($E318="Blocked",$E318="Done",$E318="Archive"),-9999,IF(AND($E318="Waiting",SUMPRODUCT((($E$5:$E$500="Next")+($E$5:$E$500="In Progress")+($E$5:$E$500="Captured"))*($D$5:$D$500&lt;&gt;""))&gt;0),-500,VLOOKUP($F318,Lists!$L$2:$M$4,2,FALSE)+IF($E318="In Progress",10,0)+IF(AND($I318&lt;&gt;"",$I318&lt;TODAY()),25,0)+IF(AND($I318&lt;&gt;"",$I318&gt;=TODAY(),$I318&lt;=TODAY()+7),15,0)+IF($M318&lt;=VLOOKUP(Home!$C$7,Lists!$N$2:$O$6,2,FALSE),20,-10)+IF($G318=Home!$E$7,15,IF(Home!$E$7="",0,-5))-ROW()/100000)))</f>
        <v/>
      </c>
      <c r="O318" s="88">
        <f>IF($D318="","",IF($N318&lt;=-500,"Not recommended right now",IF($E318="Waiting","Nothing else actionable right now — Waiting on: "&amp;IF($K318="","this item",$K318),TEXTJOIN(" • ",TRUE,IF($F318="High","High Priority",""),IF(AND($I318&lt;&gt;"",$I318&lt;TODAY()),"Overdue",""),IF(AND($I318&lt;&gt;"",$I318&gt;=TODAY(),$I318&lt;=TODAY()+7),"Due This Week",""),IF($M318&lt;=VLOOKUP(Home!$C$7,Lists!$N$2:$O$6,2,FALSE),$H318&amp;" Task",""),IF($G318=Home!$E$7,"Fits Current Energy",""),"No Blockers"))))</f>
        <v/>
      </c>
      <c r="P318" s="88">
        <f>IF($D318="","",SWITCH('Task Finder'!$C$6,"High Priority",AND($F318="High",$E318&lt;&gt;"Done",$E318&lt;&gt;"Archive"),"Due This Week",AND($I318&lt;&gt;"",$I318&gt;=TODAY(),$I318&lt;=TODAY()+7,$E318&lt;&gt;"Done"),"Quick Wins (15 mins or less)",AND($M318&lt;=15,$E318&lt;&gt;"Done",$E318&lt;&gt;"Blocked"),"Deep Thinking",AND($G318="Deep Thinking",$E318&lt;&gt;"Done"),"Processing",AND($G318="Processing",$E318&lt;&gt;"Done"),"Blocked",$E318="Blocked","Waiting",$E318="Waiting","Recently Updated",AND($L318&lt;&gt;"",$L318&gt;=TODAY()-7),"Keyword",AND('Task Finder'!$C$7&lt;&gt;"",OR(ISNUMBER(SEARCH('Task Finder'!$C$7,$A318)),ISNUMBER(SEARCH('Task Finder'!$C$7,$B318)),ISNUMBER(SEARCH('Task Finder'!$C$7,$C318)),ISNUMBER(SEARCH('Task Finder'!$C$7,$D318)),ISNUMBER(SEARCH('Task Finder'!$C$7,$K318)))),TRUE))</f>
        <v/>
      </c>
    </row>
    <row r="319">
      <c r="A319" s="19" t="n"/>
      <c r="B319" s="19" t="n"/>
      <c r="C319" s="19" t="n"/>
      <c r="D319" s="19" t="n"/>
      <c r="E319" s="19" t="n"/>
      <c r="F319" s="19" t="n"/>
      <c r="G319" s="19" t="n"/>
      <c r="H319" s="19" t="n"/>
      <c r="I319" s="19" t="n"/>
      <c r="J319" s="19" t="n"/>
      <c r="K319" s="19" t="n"/>
      <c r="L319" s="125" t="n"/>
      <c r="M319" s="88">
        <f>IF($D319="","",IFERROR(VLOOKUP($H319,Lists!$N$2:$O$6,2,FALSE),0))</f>
        <v/>
      </c>
      <c r="N319" s="88">
        <f>IF($D319="","",IF(OR($E319="Blocked",$E319="Done",$E319="Archive"),-9999,IF(AND($E319="Waiting",SUMPRODUCT((($E$5:$E$500="Next")+($E$5:$E$500="In Progress")+($E$5:$E$500="Captured"))*($D$5:$D$500&lt;&gt;""))&gt;0),-500,VLOOKUP($F319,Lists!$L$2:$M$4,2,FALSE)+IF($E319="In Progress",10,0)+IF(AND($I319&lt;&gt;"",$I319&lt;TODAY()),25,0)+IF(AND($I319&lt;&gt;"",$I319&gt;=TODAY(),$I319&lt;=TODAY()+7),15,0)+IF($M319&lt;=VLOOKUP(Home!$C$7,Lists!$N$2:$O$6,2,FALSE),20,-10)+IF($G319=Home!$E$7,15,IF(Home!$E$7="",0,-5))-ROW()/100000)))</f>
        <v/>
      </c>
      <c r="O319" s="88">
        <f>IF($D319="","",IF($N319&lt;=-500,"Not recommended right now",IF($E319="Waiting","Nothing else actionable right now — Waiting on: "&amp;IF($K319="","this item",$K319),TEXTJOIN(" • ",TRUE,IF($F319="High","High Priority",""),IF(AND($I319&lt;&gt;"",$I319&lt;TODAY()),"Overdue",""),IF(AND($I319&lt;&gt;"",$I319&gt;=TODAY(),$I319&lt;=TODAY()+7),"Due This Week",""),IF($M319&lt;=VLOOKUP(Home!$C$7,Lists!$N$2:$O$6,2,FALSE),$H319&amp;" Task",""),IF($G319=Home!$E$7,"Fits Current Energy",""),"No Blockers"))))</f>
        <v/>
      </c>
      <c r="P319" s="88">
        <f>IF($D319="","",SWITCH('Task Finder'!$C$6,"High Priority",AND($F319="High",$E319&lt;&gt;"Done",$E319&lt;&gt;"Archive"),"Due This Week",AND($I319&lt;&gt;"",$I319&gt;=TODAY(),$I319&lt;=TODAY()+7,$E319&lt;&gt;"Done"),"Quick Wins (15 mins or less)",AND($M319&lt;=15,$E319&lt;&gt;"Done",$E319&lt;&gt;"Blocked"),"Deep Thinking",AND($G319="Deep Thinking",$E319&lt;&gt;"Done"),"Processing",AND($G319="Processing",$E319&lt;&gt;"Done"),"Blocked",$E319="Blocked","Waiting",$E319="Waiting","Recently Updated",AND($L319&lt;&gt;"",$L319&gt;=TODAY()-7),"Keyword",AND('Task Finder'!$C$7&lt;&gt;"",OR(ISNUMBER(SEARCH('Task Finder'!$C$7,$A319)),ISNUMBER(SEARCH('Task Finder'!$C$7,$B319)),ISNUMBER(SEARCH('Task Finder'!$C$7,$C319)),ISNUMBER(SEARCH('Task Finder'!$C$7,$D319)),ISNUMBER(SEARCH('Task Finder'!$C$7,$K319)))),TRUE))</f>
        <v/>
      </c>
    </row>
    <row r="320">
      <c r="A320" s="19" t="n"/>
      <c r="B320" s="19" t="n"/>
      <c r="C320" s="19" t="n"/>
      <c r="D320" s="19" t="n"/>
      <c r="E320" s="19" t="n"/>
      <c r="F320" s="19" t="n"/>
      <c r="G320" s="19" t="n"/>
      <c r="H320" s="19" t="n"/>
      <c r="I320" s="19" t="n"/>
      <c r="J320" s="19" t="n"/>
      <c r="K320" s="19" t="n"/>
      <c r="L320" s="125" t="n"/>
      <c r="M320" s="88">
        <f>IF($D320="","",IFERROR(VLOOKUP($H320,Lists!$N$2:$O$6,2,FALSE),0))</f>
        <v/>
      </c>
      <c r="N320" s="88">
        <f>IF($D320="","",IF(OR($E320="Blocked",$E320="Done",$E320="Archive"),-9999,IF(AND($E320="Waiting",SUMPRODUCT((($E$5:$E$500="Next")+($E$5:$E$500="In Progress")+($E$5:$E$500="Captured"))*($D$5:$D$500&lt;&gt;""))&gt;0),-500,VLOOKUP($F320,Lists!$L$2:$M$4,2,FALSE)+IF($E320="In Progress",10,0)+IF(AND($I320&lt;&gt;"",$I320&lt;TODAY()),25,0)+IF(AND($I320&lt;&gt;"",$I320&gt;=TODAY(),$I320&lt;=TODAY()+7),15,0)+IF($M320&lt;=VLOOKUP(Home!$C$7,Lists!$N$2:$O$6,2,FALSE),20,-10)+IF($G320=Home!$E$7,15,IF(Home!$E$7="",0,-5))-ROW()/100000)))</f>
        <v/>
      </c>
      <c r="O320" s="88">
        <f>IF($D320="","",IF($N320&lt;=-500,"Not recommended right now",IF($E320="Waiting","Nothing else actionable right now — Waiting on: "&amp;IF($K320="","this item",$K320),TEXTJOIN(" • ",TRUE,IF($F320="High","High Priority",""),IF(AND($I320&lt;&gt;"",$I320&lt;TODAY()),"Overdue",""),IF(AND($I320&lt;&gt;"",$I320&gt;=TODAY(),$I320&lt;=TODAY()+7),"Due This Week",""),IF($M320&lt;=VLOOKUP(Home!$C$7,Lists!$N$2:$O$6,2,FALSE),$H320&amp;" Task",""),IF($G320=Home!$E$7,"Fits Current Energy",""),"No Blockers"))))</f>
        <v/>
      </c>
      <c r="P320" s="88">
        <f>IF($D320="","",SWITCH('Task Finder'!$C$6,"High Priority",AND($F320="High",$E320&lt;&gt;"Done",$E320&lt;&gt;"Archive"),"Due This Week",AND($I320&lt;&gt;"",$I320&gt;=TODAY(),$I320&lt;=TODAY()+7,$E320&lt;&gt;"Done"),"Quick Wins (15 mins or less)",AND($M320&lt;=15,$E320&lt;&gt;"Done",$E320&lt;&gt;"Blocked"),"Deep Thinking",AND($G320="Deep Thinking",$E320&lt;&gt;"Done"),"Processing",AND($G320="Processing",$E320&lt;&gt;"Done"),"Blocked",$E320="Blocked","Waiting",$E320="Waiting","Recently Updated",AND($L320&lt;&gt;"",$L320&gt;=TODAY()-7),"Keyword",AND('Task Finder'!$C$7&lt;&gt;"",OR(ISNUMBER(SEARCH('Task Finder'!$C$7,$A320)),ISNUMBER(SEARCH('Task Finder'!$C$7,$B320)),ISNUMBER(SEARCH('Task Finder'!$C$7,$C320)),ISNUMBER(SEARCH('Task Finder'!$C$7,$D320)),ISNUMBER(SEARCH('Task Finder'!$C$7,$K320)))),TRUE))</f>
        <v/>
      </c>
    </row>
    <row r="321">
      <c r="A321" s="19" t="n"/>
      <c r="B321" s="19" t="n"/>
      <c r="C321" s="19" t="n"/>
      <c r="D321" s="19" t="n"/>
      <c r="E321" s="19" t="n"/>
      <c r="F321" s="19" t="n"/>
      <c r="G321" s="19" t="n"/>
      <c r="H321" s="19" t="n"/>
      <c r="I321" s="19" t="n"/>
      <c r="J321" s="19" t="n"/>
      <c r="K321" s="19" t="n"/>
      <c r="L321" s="125" t="n"/>
      <c r="M321" s="88">
        <f>IF($D321="","",IFERROR(VLOOKUP($H321,Lists!$N$2:$O$6,2,FALSE),0))</f>
        <v/>
      </c>
      <c r="N321" s="88">
        <f>IF($D321="","",IF(OR($E321="Blocked",$E321="Done",$E321="Archive"),-9999,IF(AND($E321="Waiting",SUMPRODUCT((($E$5:$E$500="Next")+($E$5:$E$500="In Progress")+($E$5:$E$500="Captured"))*($D$5:$D$500&lt;&gt;""))&gt;0),-500,VLOOKUP($F321,Lists!$L$2:$M$4,2,FALSE)+IF($E321="In Progress",10,0)+IF(AND($I321&lt;&gt;"",$I321&lt;TODAY()),25,0)+IF(AND($I321&lt;&gt;"",$I321&gt;=TODAY(),$I321&lt;=TODAY()+7),15,0)+IF($M321&lt;=VLOOKUP(Home!$C$7,Lists!$N$2:$O$6,2,FALSE),20,-10)+IF($G321=Home!$E$7,15,IF(Home!$E$7="",0,-5))-ROW()/100000)))</f>
        <v/>
      </c>
      <c r="O321" s="88">
        <f>IF($D321="","",IF($N321&lt;=-500,"Not recommended right now",IF($E321="Waiting","Nothing else actionable right now — Waiting on: "&amp;IF($K321="","this item",$K321),TEXTJOIN(" • ",TRUE,IF($F321="High","High Priority",""),IF(AND($I321&lt;&gt;"",$I321&lt;TODAY()),"Overdue",""),IF(AND($I321&lt;&gt;"",$I321&gt;=TODAY(),$I321&lt;=TODAY()+7),"Due This Week",""),IF($M321&lt;=VLOOKUP(Home!$C$7,Lists!$N$2:$O$6,2,FALSE),$H321&amp;" Task",""),IF($G321=Home!$E$7,"Fits Current Energy",""),"No Blockers"))))</f>
        <v/>
      </c>
      <c r="P321" s="88">
        <f>IF($D321="","",SWITCH('Task Finder'!$C$6,"High Priority",AND($F321="High",$E321&lt;&gt;"Done",$E321&lt;&gt;"Archive"),"Due This Week",AND($I321&lt;&gt;"",$I321&gt;=TODAY(),$I321&lt;=TODAY()+7,$E321&lt;&gt;"Done"),"Quick Wins (15 mins or less)",AND($M321&lt;=15,$E321&lt;&gt;"Done",$E321&lt;&gt;"Blocked"),"Deep Thinking",AND($G321="Deep Thinking",$E321&lt;&gt;"Done"),"Processing",AND($G321="Processing",$E321&lt;&gt;"Done"),"Blocked",$E321="Blocked","Waiting",$E321="Waiting","Recently Updated",AND($L321&lt;&gt;"",$L321&gt;=TODAY()-7),"Keyword",AND('Task Finder'!$C$7&lt;&gt;"",OR(ISNUMBER(SEARCH('Task Finder'!$C$7,$A321)),ISNUMBER(SEARCH('Task Finder'!$C$7,$B321)),ISNUMBER(SEARCH('Task Finder'!$C$7,$C321)),ISNUMBER(SEARCH('Task Finder'!$C$7,$D321)),ISNUMBER(SEARCH('Task Finder'!$C$7,$K321)))),TRUE))</f>
        <v/>
      </c>
    </row>
    <row r="322">
      <c r="A322" s="19" t="n"/>
      <c r="B322" s="19" t="n"/>
      <c r="C322" s="19" t="n"/>
      <c r="D322" s="19" t="n"/>
      <c r="E322" s="19" t="n"/>
      <c r="F322" s="19" t="n"/>
      <c r="G322" s="19" t="n"/>
      <c r="H322" s="19" t="n"/>
      <c r="I322" s="19" t="n"/>
      <c r="J322" s="19" t="n"/>
      <c r="K322" s="19" t="n"/>
      <c r="L322" s="125" t="n"/>
      <c r="M322" s="88">
        <f>IF($D322="","",IFERROR(VLOOKUP($H322,Lists!$N$2:$O$6,2,FALSE),0))</f>
        <v/>
      </c>
      <c r="N322" s="88">
        <f>IF($D322="","",IF(OR($E322="Blocked",$E322="Done",$E322="Archive"),-9999,IF(AND($E322="Waiting",SUMPRODUCT((($E$5:$E$500="Next")+($E$5:$E$500="In Progress")+($E$5:$E$500="Captured"))*($D$5:$D$500&lt;&gt;""))&gt;0),-500,VLOOKUP($F322,Lists!$L$2:$M$4,2,FALSE)+IF($E322="In Progress",10,0)+IF(AND($I322&lt;&gt;"",$I322&lt;TODAY()),25,0)+IF(AND($I322&lt;&gt;"",$I322&gt;=TODAY(),$I322&lt;=TODAY()+7),15,0)+IF($M322&lt;=VLOOKUP(Home!$C$7,Lists!$N$2:$O$6,2,FALSE),20,-10)+IF($G322=Home!$E$7,15,IF(Home!$E$7="",0,-5))-ROW()/100000)))</f>
        <v/>
      </c>
      <c r="O322" s="88">
        <f>IF($D322="","",IF($N322&lt;=-500,"Not recommended right now",IF($E322="Waiting","Nothing else actionable right now — Waiting on: "&amp;IF($K322="","this item",$K322),TEXTJOIN(" • ",TRUE,IF($F322="High","High Priority",""),IF(AND($I322&lt;&gt;"",$I322&lt;TODAY()),"Overdue",""),IF(AND($I322&lt;&gt;"",$I322&gt;=TODAY(),$I322&lt;=TODAY()+7),"Due This Week",""),IF($M322&lt;=VLOOKUP(Home!$C$7,Lists!$N$2:$O$6,2,FALSE),$H322&amp;" Task",""),IF($G322=Home!$E$7,"Fits Current Energy",""),"No Blockers"))))</f>
        <v/>
      </c>
      <c r="P322" s="88">
        <f>IF($D322="","",SWITCH('Task Finder'!$C$6,"High Priority",AND($F322="High",$E322&lt;&gt;"Done",$E322&lt;&gt;"Archive"),"Due This Week",AND($I322&lt;&gt;"",$I322&gt;=TODAY(),$I322&lt;=TODAY()+7,$E322&lt;&gt;"Done"),"Quick Wins (15 mins or less)",AND($M322&lt;=15,$E322&lt;&gt;"Done",$E322&lt;&gt;"Blocked"),"Deep Thinking",AND($G322="Deep Thinking",$E322&lt;&gt;"Done"),"Processing",AND($G322="Processing",$E322&lt;&gt;"Done"),"Blocked",$E322="Blocked","Waiting",$E322="Waiting","Recently Updated",AND($L322&lt;&gt;"",$L322&gt;=TODAY()-7),"Keyword",AND('Task Finder'!$C$7&lt;&gt;"",OR(ISNUMBER(SEARCH('Task Finder'!$C$7,$A322)),ISNUMBER(SEARCH('Task Finder'!$C$7,$B322)),ISNUMBER(SEARCH('Task Finder'!$C$7,$C322)),ISNUMBER(SEARCH('Task Finder'!$C$7,$D322)),ISNUMBER(SEARCH('Task Finder'!$C$7,$K322)))),TRUE))</f>
        <v/>
      </c>
    </row>
    <row r="323">
      <c r="A323" s="19" t="n"/>
      <c r="B323" s="19" t="n"/>
      <c r="C323" s="19" t="n"/>
      <c r="D323" s="19" t="n"/>
      <c r="E323" s="19" t="n"/>
      <c r="F323" s="19" t="n"/>
      <c r="G323" s="19" t="n"/>
      <c r="H323" s="19" t="n"/>
      <c r="I323" s="19" t="n"/>
      <c r="J323" s="19" t="n"/>
      <c r="K323" s="19" t="n"/>
      <c r="L323" s="125" t="n"/>
      <c r="M323" s="88">
        <f>IF($D323="","",IFERROR(VLOOKUP($H323,Lists!$N$2:$O$6,2,FALSE),0))</f>
        <v/>
      </c>
      <c r="N323" s="88">
        <f>IF($D323="","",IF(OR($E323="Blocked",$E323="Done",$E323="Archive"),-9999,IF(AND($E323="Waiting",SUMPRODUCT((($E$5:$E$500="Next")+($E$5:$E$500="In Progress")+($E$5:$E$500="Captured"))*($D$5:$D$500&lt;&gt;""))&gt;0),-500,VLOOKUP($F323,Lists!$L$2:$M$4,2,FALSE)+IF($E323="In Progress",10,0)+IF(AND($I323&lt;&gt;"",$I323&lt;TODAY()),25,0)+IF(AND($I323&lt;&gt;"",$I323&gt;=TODAY(),$I323&lt;=TODAY()+7),15,0)+IF($M323&lt;=VLOOKUP(Home!$C$7,Lists!$N$2:$O$6,2,FALSE),20,-10)+IF($G323=Home!$E$7,15,IF(Home!$E$7="",0,-5))-ROW()/100000)))</f>
        <v/>
      </c>
      <c r="O323" s="88">
        <f>IF($D323="","",IF($N323&lt;=-500,"Not recommended right now",IF($E323="Waiting","Nothing else actionable right now — Waiting on: "&amp;IF($K323="","this item",$K323),TEXTJOIN(" • ",TRUE,IF($F323="High","High Priority",""),IF(AND($I323&lt;&gt;"",$I323&lt;TODAY()),"Overdue",""),IF(AND($I323&lt;&gt;"",$I323&gt;=TODAY(),$I323&lt;=TODAY()+7),"Due This Week",""),IF($M323&lt;=VLOOKUP(Home!$C$7,Lists!$N$2:$O$6,2,FALSE),$H323&amp;" Task",""),IF($G323=Home!$E$7,"Fits Current Energy",""),"No Blockers"))))</f>
        <v/>
      </c>
      <c r="P323" s="88">
        <f>IF($D323="","",SWITCH('Task Finder'!$C$6,"High Priority",AND($F323="High",$E323&lt;&gt;"Done",$E323&lt;&gt;"Archive"),"Due This Week",AND($I323&lt;&gt;"",$I323&gt;=TODAY(),$I323&lt;=TODAY()+7,$E323&lt;&gt;"Done"),"Quick Wins (15 mins or less)",AND($M323&lt;=15,$E323&lt;&gt;"Done",$E323&lt;&gt;"Blocked"),"Deep Thinking",AND($G323="Deep Thinking",$E323&lt;&gt;"Done"),"Processing",AND($G323="Processing",$E323&lt;&gt;"Done"),"Blocked",$E323="Blocked","Waiting",$E323="Waiting","Recently Updated",AND($L323&lt;&gt;"",$L323&gt;=TODAY()-7),"Keyword",AND('Task Finder'!$C$7&lt;&gt;"",OR(ISNUMBER(SEARCH('Task Finder'!$C$7,$A323)),ISNUMBER(SEARCH('Task Finder'!$C$7,$B323)),ISNUMBER(SEARCH('Task Finder'!$C$7,$C323)),ISNUMBER(SEARCH('Task Finder'!$C$7,$D323)),ISNUMBER(SEARCH('Task Finder'!$C$7,$K323)))),TRUE))</f>
        <v/>
      </c>
    </row>
    <row r="324">
      <c r="A324" s="19" t="n"/>
      <c r="B324" s="19" t="n"/>
      <c r="C324" s="19" t="n"/>
      <c r="D324" s="19" t="n"/>
      <c r="E324" s="19" t="n"/>
      <c r="F324" s="19" t="n"/>
      <c r="G324" s="19" t="n"/>
      <c r="H324" s="19" t="n"/>
      <c r="I324" s="19" t="n"/>
      <c r="J324" s="19" t="n"/>
      <c r="K324" s="19" t="n"/>
      <c r="L324" s="125" t="n"/>
      <c r="M324" s="88">
        <f>IF($D324="","",IFERROR(VLOOKUP($H324,Lists!$N$2:$O$6,2,FALSE),0))</f>
        <v/>
      </c>
      <c r="N324" s="88">
        <f>IF($D324="","",IF(OR($E324="Blocked",$E324="Done",$E324="Archive"),-9999,IF(AND($E324="Waiting",SUMPRODUCT((($E$5:$E$500="Next")+($E$5:$E$500="In Progress")+($E$5:$E$500="Captured"))*($D$5:$D$500&lt;&gt;""))&gt;0),-500,VLOOKUP($F324,Lists!$L$2:$M$4,2,FALSE)+IF($E324="In Progress",10,0)+IF(AND($I324&lt;&gt;"",$I324&lt;TODAY()),25,0)+IF(AND($I324&lt;&gt;"",$I324&gt;=TODAY(),$I324&lt;=TODAY()+7),15,0)+IF($M324&lt;=VLOOKUP(Home!$C$7,Lists!$N$2:$O$6,2,FALSE),20,-10)+IF($G324=Home!$E$7,15,IF(Home!$E$7="",0,-5))-ROW()/100000)))</f>
        <v/>
      </c>
      <c r="O324" s="88">
        <f>IF($D324="","",IF($N324&lt;=-500,"Not recommended right now",IF($E324="Waiting","Nothing else actionable right now — Waiting on: "&amp;IF($K324="","this item",$K324),TEXTJOIN(" • ",TRUE,IF($F324="High","High Priority",""),IF(AND($I324&lt;&gt;"",$I324&lt;TODAY()),"Overdue",""),IF(AND($I324&lt;&gt;"",$I324&gt;=TODAY(),$I324&lt;=TODAY()+7),"Due This Week",""),IF($M324&lt;=VLOOKUP(Home!$C$7,Lists!$N$2:$O$6,2,FALSE),$H324&amp;" Task",""),IF($G324=Home!$E$7,"Fits Current Energy",""),"No Blockers"))))</f>
        <v/>
      </c>
      <c r="P324" s="88">
        <f>IF($D324="","",SWITCH('Task Finder'!$C$6,"High Priority",AND($F324="High",$E324&lt;&gt;"Done",$E324&lt;&gt;"Archive"),"Due This Week",AND($I324&lt;&gt;"",$I324&gt;=TODAY(),$I324&lt;=TODAY()+7,$E324&lt;&gt;"Done"),"Quick Wins (15 mins or less)",AND($M324&lt;=15,$E324&lt;&gt;"Done",$E324&lt;&gt;"Blocked"),"Deep Thinking",AND($G324="Deep Thinking",$E324&lt;&gt;"Done"),"Processing",AND($G324="Processing",$E324&lt;&gt;"Done"),"Blocked",$E324="Blocked","Waiting",$E324="Waiting","Recently Updated",AND($L324&lt;&gt;"",$L324&gt;=TODAY()-7),"Keyword",AND('Task Finder'!$C$7&lt;&gt;"",OR(ISNUMBER(SEARCH('Task Finder'!$C$7,$A324)),ISNUMBER(SEARCH('Task Finder'!$C$7,$B324)),ISNUMBER(SEARCH('Task Finder'!$C$7,$C324)),ISNUMBER(SEARCH('Task Finder'!$C$7,$D324)),ISNUMBER(SEARCH('Task Finder'!$C$7,$K324)))),TRUE))</f>
        <v/>
      </c>
    </row>
    <row r="325">
      <c r="A325" s="19" t="n"/>
      <c r="B325" s="19" t="n"/>
      <c r="C325" s="19" t="n"/>
      <c r="D325" s="19" t="n"/>
      <c r="E325" s="19" t="n"/>
      <c r="F325" s="19" t="n"/>
      <c r="G325" s="19" t="n"/>
      <c r="H325" s="19" t="n"/>
      <c r="I325" s="19" t="n"/>
      <c r="J325" s="19" t="n"/>
      <c r="K325" s="19" t="n"/>
      <c r="L325" s="125" t="n"/>
      <c r="M325" s="88">
        <f>IF($D325="","",IFERROR(VLOOKUP($H325,Lists!$N$2:$O$6,2,FALSE),0))</f>
        <v/>
      </c>
      <c r="N325" s="88">
        <f>IF($D325="","",IF(OR($E325="Blocked",$E325="Done",$E325="Archive"),-9999,IF(AND($E325="Waiting",SUMPRODUCT((($E$5:$E$500="Next")+($E$5:$E$500="In Progress")+($E$5:$E$500="Captured"))*($D$5:$D$500&lt;&gt;""))&gt;0),-500,VLOOKUP($F325,Lists!$L$2:$M$4,2,FALSE)+IF($E325="In Progress",10,0)+IF(AND($I325&lt;&gt;"",$I325&lt;TODAY()),25,0)+IF(AND($I325&lt;&gt;"",$I325&gt;=TODAY(),$I325&lt;=TODAY()+7),15,0)+IF($M325&lt;=VLOOKUP(Home!$C$7,Lists!$N$2:$O$6,2,FALSE),20,-10)+IF($G325=Home!$E$7,15,IF(Home!$E$7="",0,-5))-ROW()/100000)))</f>
        <v/>
      </c>
      <c r="O325" s="88">
        <f>IF($D325="","",IF($N325&lt;=-500,"Not recommended right now",IF($E325="Waiting","Nothing else actionable right now — Waiting on: "&amp;IF($K325="","this item",$K325),TEXTJOIN(" • ",TRUE,IF($F325="High","High Priority",""),IF(AND($I325&lt;&gt;"",$I325&lt;TODAY()),"Overdue",""),IF(AND($I325&lt;&gt;"",$I325&gt;=TODAY(),$I325&lt;=TODAY()+7),"Due This Week",""),IF($M325&lt;=VLOOKUP(Home!$C$7,Lists!$N$2:$O$6,2,FALSE),$H325&amp;" Task",""),IF($G325=Home!$E$7,"Fits Current Energy",""),"No Blockers"))))</f>
        <v/>
      </c>
      <c r="P325" s="88">
        <f>IF($D325="","",SWITCH('Task Finder'!$C$6,"High Priority",AND($F325="High",$E325&lt;&gt;"Done",$E325&lt;&gt;"Archive"),"Due This Week",AND($I325&lt;&gt;"",$I325&gt;=TODAY(),$I325&lt;=TODAY()+7,$E325&lt;&gt;"Done"),"Quick Wins (15 mins or less)",AND($M325&lt;=15,$E325&lt;&gt;"Done",$E325&lt;&gt;"Blocked"),"Deep Thinking",AND($G325="Deep Thinking",$E325&lt;&gt;"Done"),"Processing",AND($G325="Processing",$E325&lt;&gt;"Done"),"Blocked",$E325="Blocked","Waiting",$E325="Waiting","Recently Updated",AND($L325&lt;&gt;"",$L325&gt;=TODAY()-7),"Keyword",AND('Task Finder'!$C$7&lt;&gt;"",OR(ISNUMBER(SEARCH('Task Finder'!$C$7,$A325)),ISNUMBER(SEARCH('Task Finder'!$C$7,$B325)),ISNUMBER(SEARCH('Task Finder'!$C$7,$C325)),ISNUMBER(SEARCH('Task Finder'!$C$7,$D325)),ISNUMBER(SEARCH('Task Finder'!$C$7,$K325)))),TRUE))</f>
        <v/>
      </c>
    </row>
    <row r="326">
      <c r="A326" s="19" t="n"/>
      <c r="B326" s="19" t="n"/>
      <c r="C326" s="19" t="n"/>
      <c r="D326" s="19" t="n"/>
      <c r="E326" s="19" t="n"/>
      <c r="F326" s="19" t="n"/>
      <c r="G326" s="19" t="n"/>
      <c r="H326" s="19" t="n"/>
      <c r="I326" s="19" t="n"/>
      <c r="J326" s="19" t="n"/>
      <c r="K326" s="19" t="n"/>
      <c r="L326" s="125" t="n"/>
      <c r="M326" s="88">
        <f>IF($D326="","",IFERROR(VLOOKUP($H326,Lists!$N$2:$O$6,2,FALSE),0))</f>
        <v/>
      </c>
      <c r="N326" s="88">
        <f>IF($D326="","",IF(OR($E326="Blocked",$E326="Done",$E326="Archive"),-9999,IF(AND($E326="Waiting",SUMPRODUCT((($E$5:$E$500="Next")+($E$5:$E$500="In Progress")+($E$5:$E$500="Captured"))*($D$5:$D$500&lt;&gt;""))&gt;0),-500,VLOOKUP($F326,Lists!$L$2:$M$4,2,FALSE)+IF($E326="In Progress",10,0)+IF(AND($I326&lt;&gt;"",$I326&lt;TODAY()),25,0)+IF(AND($I326&lt;&gt;"",$I326&gt;=TODAY(),$I326&lt;=TODAY()+7),15,0)+IF($M326&lt;=VLOOKUP(Home!$C$7,Lists!$N$2:$O$6,2,FALSE),20,-10)+IF($G326=Home!$E$7,15,IF(Home!$E$7="",0,-5))-ROW()/100000)))</f>
        <v/>
      </c>
      <c r="O326" s="88">
        <f>IF($D326="","",IF($N326&lt;=-500,"Not recommended right now",IF($E326="Waiting","Nothing else actionable right now — Waiting on: "&amp;IF($K326="","this item",$K326),TEXTJOIN(" • ",TRUE,IF($F326="High","High Priority",""),IF(AND($I326&lt;&gt;"",$I326&lt;TODAY()),"Overdue",""),IF(AND($I326&lt;&gt;"",$I326&gt;=TODAY(),$I326&lt;=TODAY()+7),"Due This Week",""),IF($M326&lt;=VLOOKUP(Home!$C$7,Lists!$N$2:$O$6,2,FALSE),$H326&amp;" Task",""),IF($G326=Home!$E$7,"Fits Current Energy",""),"No Blockers"))))</f>
        <v/>
      </c>
      <c r="P326" s="88">
        <f>IF($D326="","",SWITCH('Task Finder'!$C$6,"High Priority",AND($F326="High",$E326&lt;&gt;"Done",$E326&lt;&gt;"Archive"),"Due This Week",AND($I326&lt;&gt;"",$I326&gt;=TODAY(),$I326&lt;=TODAY()+7,$E326&lt;&gt;"Done"),"Quick Wins (15 mins or less)",AND($M326&lt;=15,$E326&lt;&gt;"Done",$E326&lt;&gt;"Blocked"),"Deep Thinking",AND($G326="Deep Thinking",$E326&lt;&gt;"Done"),"Processing",AND($G326="Processing",$E326&lt;&gt;"Done"),"Blocked",$E326="Blocked","Waiting",$E326="Waiting","Recently Updated",AND($L326&lt;&gt;"",$L326&gt;=TODAY()-7),"Keyword",AND('Task Finder'!$C$7&lt;&gt;"",OR(ISNUMBER(SEARCH('Task Finder'!$C$7,$A326)),ISNUMBER(SEARCH('Task Finder'!$C$7,$B326)),ISNUMBER(SEARCH('Task Finder'!$C$7,$C326)),ISNUMBER(SEARCH('Task Finder'!$C$7,$D326)),ISNUMBER(SEARCH('Task Finder'!$C$7,$K326)))),TRUE))</f>
        <v/>
      </c>
    </row>
    <row r="327">
      <c r="A327" s="19" t="n"/>
      <c r="B327" s="19" t="n"/>
      <c r="C327" s="19" t="n"/>
      <c r="D327" s="19" t="n"/>
      <c r="E327" s="19" t="n"/>
      <c r="F327" s="19" t="n"/>
      <c r="G327" s="19" t="n"/>
      <c r="H327" s="19" t="n"/>
      <c r="I327" s="19" t="n"/>
      <c r="J327" s="19" t="n"/>
      <c r="K327" s="19" t="n"/>
      <c r="L327" s="125" t="n"/>
      <c r="M327" s="88">
        <f>IF($D327="","",IFERROR(VLOOKUP($H327,Lists!$N$2:$O$6,2,FALSE),0))</f>
        <v/>
      </c>
      <c r="N327" s="88">
        <f>IF($D327="","",IF(OR($E327="Blocked",$E327="Done",$E327="Archive"),-9999,IF(AND($E327="Waiting",SUMPRODUCT((($E$5:$E$500="Next")+($E$5:$E$500="In Progress")+($E$5:$E$500="Captured"))*($D$5:$D$500&lt;&gt;""))&gt;0),-500,VLOOKUP($F327,Lists!$L$2:$M$4,2,FALSE)+IF($E327="In Progress",10,0)+IF(AND($I327&lt;&gt;"",$I327&lt;TODAY()),25,0)+IF(AND($I327&lt;&gt;"",$I327&gt;=TODAY(),$I327&lt;=TODAY()+7),15,0)+IF($M327&lt;=VLOOKUP(Home!$C$7,Lists!$N$2:$O$6,2,FALSE),20,-10)+IF($G327=Home!$E$7,15,IF(Home!$E$7="",0,-5))-ROW()/100000)))</f>
        <v/>
      </c>
      <c r="O327" s="88">
        <f>IF($D327="","",IF($N327&lt;=-500,"Not recommended right now",IF($E327="Waiting","Nothing else actionable right now — Waiting on: "&amp;IF($K327="","this item",$K327),TEXTJOIN(" • ",TRUE,IF($F327="High","High Priority",""),IF(AND($I327&lt;&gt;"",$I327&lt;TODAY()),"Overdue",""),IF(AND($I327&lt;&gt;"",$I327&gt;=TODAY(),$I327&lt;=TODAY()+7),"Due This Week",""),IF($M327&lt;=VLOOKUP(Home!$C$7,Lists!$N$2:$O$6,2,FALSE),$H327&amp;" Task",""),IF($G327=Home!$E$7,"Fits Current Energy",""),"No Blockers"))))</f>
        <v/>
      </c>
      <c r="P327" s="88">
        <f>IF($D327="","",SWITCH('Task Finder'!$C$6,"High Priority",AND($F327="High",$E327&lt;&gt;"Done",$E327&lt;&gt;"Archive"),"Due This Week",AND($I327&lt;&gt;"",$I327&gt;=TODAY(),$I327&lt;=TODAY()+7,$E327&lt;&gt;"Done"),"Quick Wins (15 mins or less)",AND($M327&lt;=15,$E327&lt;&gt;"Done",$E327&lt;&gt;"Blocked"),"Deep Thinking",AND($G327="Deep Thinking",$E327&lt;&gt;"Done"),"Processing",AND($G327="Processing",$E327&lt;&gt;"Done"),"Blocked",$E327="Blocked","Waiting",$E327="Waiting","Recently Updated",AND($L327&lt;&gt;"",$L327&gt;=TODAY()-7),"Keyword",AND('Task Finder'!$C$7&lt;&gt;"",OR(ISNUMBER(SEARCH('Task Finder'!$C$7,$A327)),ISNUMBER(SEARCH('Task Finder'!$C$7,$B327)),ISNUMBER(SEARCH('Task Finder'!$C$7,$C327)),ISNUMBER(SEARCH('Task Finder'!$C$7,$D327)),ISNUMBER(SEARCH('Task Finder'!$C$7,$K327)))),TRUE))</f>
        <v/>
      </c>
    </row>
    <row r="328">
      <c r="A328" s="19" t="n"/>
      <c r="B328" s="19" t="n"/>
      <c r="C328" s="19" t="n"/>
      <c r="D328" s="19" t="n"/>
      <c r="E328" s="19" t="n"/>
      <c r="F328" s="19" t="n"/>
      <c r="G328" s="19" t="n"/>
      <c r="H328" s="19" t="n"/>
      <c r="I328" s="19" t="n"/>
      <c r="J328" s="19" t="n"/>
      <c r="K328" s="19" t="n"/>
      <c r="L328" s="125" t="n"/>
      <c r="M328" s="88">
        <f>IF($D328="","",IFERROR(VLOOKUP($H328,Lists!$N$2:$O$6,2,FALSE),0))</f>
        <v/>
      </c>
      <c r="N328" s="88">
        <f>IF($D328="","",IF(OR($E328="Blocked",$E328="Done",$E328="Archive"),-9999,IF(AND($E328="Waiting",SUMPRODUCT((($E$5:$E$500="Next")+($E$5:$E$500="In Progress")+($E$5:$E$500="Captured"))*($D$5:$D$500&lt;&gt;""))&gt;0),-500,VLOOKUP($F328,Lists!$L$2:$M$4,2,FALSE)+IF($E328="In Progress",10,0)+IF(AND($I328&lt;&gt;"",$I328&lt;TODAY()),25,0)+IF(AND($I328&lt;&gt;"",$I328&gt;=TODAY(),$I328&lt;=TODAY()+7),15,0)+IF($M328&lt;=VLOOKUP(Home!$C$7,Lists!$N$2:$O$6,2,FALSE),20,-10)+IF($G328=Home!$E$7,15,IF(Home!$E$7="",0,-5))-ROW()/100000)))</f>
        <v/>
      </c>
      <c r="O328" s="88">
        <f>IF($D328="","",IF($N328&lt;=-500,"Not recommended right now",IF($E328="Waiting","Nothing else actionable right now — Waiting on: "&amp;IF($K328="","this item",$K328),TEXTJOIN(" • ",TRUE,IF($F328="High","High Priority",""),IF(AND($I328&lt;&gt;"",$I328&lt;TODAY()),"Overdue",""),IF(AND($I328&lt;&gt;"",$I328&gt;=TODAY(),$I328&lt;=TODAY()+7),"Due This Week",""),IF($M328&lt;=VLOOKUP(Home!$C$7,Lists!$N$2:$O$6,2,FALSE),$H328&amp;" Task",""),IF($G328=Home!$E$7,"Fits Current Energy",""),"No Blockers"))))</f>
        <v/>
      </c>
      <c r="P328" s="88">
        <f>IF($D328="","",SWITCH('Task Finder'!$C$6,"High Priority",AND($F328="High",$E328&lt;&gt;"Done",$E328&lt;&gt;"Archive"),"Due This Week",AND($I328&lt;&gt;"",$I328&gt;=TODAY(),$I328&lt;=TODAY()+7,$E328&lt;&gt;"Done"),"Quick Wins (15 mins or less)",AND($M328&lt;=15,$E328&lt;&gt;"Done",$E328&lt;&gt;"Blocked"),"Deep Thinking",AND($G328="Deep Thinking",$E328&lt;&gt;"Done"),"Processing",AND($G328="Processing",$E328&lt;&gt;"Done"),"Blocked",$E328="Blocked","Waiting",$E328="Waiting","Recently Updated",AND($L328&lt;&gt;"",$L328&gt;=TODAY()-7),"Keyword",AND('Task Finder'!$C$7&lt;&gt;"",OR(ISNUMBER(SEARCH('Task Finder'!$C$7,$A328)),ISNUMBER(SEARCH('Task Finder'!$C$7,$B328)),ISNUMBER(SEARCH('Task Finder'!$C$7,$C328)),ISNUMBER(SEARCH('Task Finder'!$C$7,$D328)),ISNUMBER(SEARCH('Task Finder'!$C$7,$K328)))),TRUE))</f>
        <v/>
      </c>
    </row>
    <row r="329">
      <c r="A329" s="19" t="n"/>
      <c r="B329" s="19" t="n"/>
      <c r="C329" s="19" t="n"/>
      <c r="D329" s="19" t="n"/>
      <c r="E329" s="19" t="n"/>
      <c r="F329" s="19" t="n"/>
      <c r="G329" s="19" t="n"/>
      <c r="H329" s="19" t="n"/>
      <c r="I329" s="19" t="n"/>
      <c r="J329" s="19" t="n"/>
      <c r="K329" s="19" t="n"/>
      <c r="L329" s="125" t="n"/>
      <c r="M329" s="88">
        <f>IF($D329="","",IFERROR(VLOOKUP($H329,Lists!$N$2:$O$6,2,FALSE),0))</f>
        <v/>
      </c>
      <c r="N329" s="88">
        <f>IF($D329="","",IF(OR($E329="Blocked",$E329="Done",$E329="Archive"),-9999,IF(AND($E329="Waiting",SUMPRODUCT((($E$5:$E$500="Next")+($E$5:$E$500="In Progress")+($E$5:$E$500="Captured"))*($D$5:$D$500&lt;&gt;""))&gt;0),-500,VLOOKUP($F329,Lists!$L$2:$M$4,2,FALSE)+IF($E329="In Progress",10,0)+IF(AND($I329&lt;&gt;"",$I329&lt;TODAY()),25,0)+IF(AND($I329&lt;&gt;"",$I329&gt;=TODAY(),$I329&lt;=TODAY()+7),15,0)+IF($M329&lt;=VLOOKUP(Home!$C$7,Lists!$N$2:$O$6,2,FALSE),20,-10)+IF($G329=Home!$E$7,15,IF(Home!$E$7="",0,-5))-ROW()/100000)))</f>
        <v/>
      </c>
      <c r="O329" s="88">
        <f>IF($D329="","",IF($N329&lt;=-500,"Not recommended right now",IF($E329="Waiting","Nothing else actionable right now — Waiting on: "&amp;IF($K329="","this item",$K329),TEXTJOIN(" • ",TRUE,IF($F329="High","High Priority",""),IF(AND($I329&lt;&gt;"",$I329&lt;TODAY()),"Overdue",""),IF(AND($I329&lt;&gt;"",$I329&gt;=TODAY(),$I329&lt;=TODAY()+7),"Due This Week",""),IF($M329&lt;=VLOOKUP(Home!$C$7,Lists!$N$2:$O$6,2,FALSE),$H329&amp;" Task",""),IF($G329=Home!$E$7,"Fits Current Energy",""),"No Blockers"))))</f>
        <v/>
      </c>
      <c r="P329" s="88">
        <f>IF($D329="","",SWITCH('Task Finder'!$C$6,"High Priority",AND($F329="High",$E329&lt;&gt;"Done",$E329&lt;&gt;"Archive"),"Due This Week",AND($I329&lt;&gt;"",$I329&gt;=TODAY(),$I329&lt;=TODAY()+7,$E329&lt;&gt;"Done"),"Quick Wins (15 mins or less)",AND($M329&lt;=15,$E329&lt;&gt;"Done",$E329&lt;&gt;"Blocked"),"Deep Thinking",AND($G329="Deep Thinking",$E329&lt;&gt;"Done"),"Processing",AND($G329="Processing",$E329&lt;&gt;"Done"),"Blocked",$E329="Blocked","Waiting",$E329="Waiting","Recently Updated",AND($L329&lt;&gt;"",$L329&gt;=TODAY()-7),"Keyword",AND('Task Finder'!$C$7&lt;&gt;"",OR(ISNUMBER(SEARCH('Task Finder'!$C$7,$A329)),ISNUMBER(SEARCH('Task Finder'!$C$7,$B329)),ISNUMBER(SEARCH('Task Finder'!$C$7,$C329)),ISNUMBER(SEARCH('Task Finder'!$C$7,$D329)),ISNUMBER(SEARCH('Task Finder'!$C$7,$K329)))),TRUE))</f>
        <v/>
      </c>
    </row>
    <row r="330">
      <c r="A330" s="19" t="n"/>
      <c r="B330" s="19" t="n"/>
      <c r="C330" s="19" t="n"/>
      <c r="D330" s="19" t="n"/>
      <c r="E330" s="19" t="n"/>
      <c r="F330" s="19" t="n"/>
      <c r="G330" s="19" t="n"/>
      <c r="H330" s="19" t="n"/>
      <c r="I330" s="19" t="n"/>
      <c r="J330" s="19" t="n"/>
      <c r="K330" s="19" t="n"/>
      <c r="L330" s="125" t="n"/>
      <c r="M330" s="88">
        <f>IF($D330="","",IFERROR(VLOOKUP($H330,Lists!$N$2:$O$6,2,FALSE),0))</f>
        <v/>
      </c>
      <c r="N330" s="88">
        <f>IF($D330="","",IF(OR($E330="Blocked",$E330="Done",$E330="Archive"),-9999,IF(AND($E330="Waiting",SUMPRODUCT((($E$5:$E$500="Next")+($E$5:$E$500="In Progress")+($E$5:$E$500="Captured"))*($D$5:$D$500&lt;&gt;""))&gt;0),-500,VLOOKUP($F330,Lists!$L$2:$M$4,2,FALSE)+IF($E330="In Progress",10,0)+IF(AND($I330&lt;&gt;"",$I330&lt;TODAY()),25,0)+IF(AND($I330&lt;&gt;"",$I330&gt;=TODAY(),$I330&lt;=TODAY()+7),15,0)+IF($M330&lt;=VLOOKUP(Home!$C$7,Lists!$N$2:$O$6,2,FALSE),20,-10)+IF($G330=Home!$E$7,15,IF(Home!$E$7="",0,-5))-ROW()/100000)))</f>
        <v/>
      </c>
      <c r="O330" s="88">
        <f>IF($D330="","",IF($N330&lt;=-500,"Not recommended right now",IF($E330="Waiting","Nothing else actionable right now — Waiting on: "&amp;IF($K330="","this item",$K330),TEXTJOIN(" • ",TRUE,IF($F330="High","High Priority",""),IF(AND($I330&lt;&gt;"",$I330&lt;TODAY()),"Overdue",""),IF(AND($I330&lt;&gt;"",$I330&gt;=TODAY(),$I330&lt;=TODAY()+7),"Due This Week",""),IF($M330&lt;=VLOOKUP(Home!$C$7,Lists!$N$2:$O$6,2,FALSE),$H330&amp;" Task",""),IF($G330=Home!$E$7,"Fits Current Energy",""),"No Blockers"))))</f>
        <v/>
      </c>
      <c r="P330" s="88">
        <f>IF($D330="","",SWITCH('Task Finder'!$C$6,"High Priority",AND($F330="High",$E330&lt;&gt;"Done",$E330&lt;&gt;"Archive"),"Due This Week",AND($I330&lt;&gt;"",$I330&gt;=TODAY(),$I330&lt;=TODAY()+7,$E330&lt;&gt;"Done"),"Quick Wins (15 mins or less)",AND($M330&lt;=15,$E330&lt;&gt;"Done",$E330&lt;&gt;"Blocked"),"Deep Thinking",AND($G330="Deep Thinking",$E330&lt;&gt;"Done"),"Processing",AND($G330="Processing",$E330&lt;&gt;"Done"),"Blocked",$E330="Blocked","Waiting",$E330="Waiting","Recently Updated",AND($L330&lt;&gt;"",$L330&gt;=TODAY()-7),"Keyword",AND('Task Finder'!$C$7&lt;&gt;"",OR(ISNUMBER(SEARCH('Task Finder'!$C$7,$A330)),ISNUMBER(SEARCH('Task Finder'!$C$7,$B330)),ISNUMBER(SEARCH('Task Finder'!$C$7,$C330)),ISNUMBER(SEARCH('Task Finder'!$C$7,$D330)),ISNUMBER(SEARCH('Task Finder'!$C$7,$K330)))),TRUE))</f>
        <v/>
      </c>
    </row>
    <row r="331">
      <c r="A331" s="19" t="n"/>
      <c r="B331" s="19" t="n"/>
      <c r="C331" s="19" t="n"/>
      <c r="D331" s="19" t="n"/>
      <c r="E331" s="19" t="n"/>
      <c r="F331" s="19" t="n"/>
      <c r="G331" s="19" t="n"/>
      <c r="H331" s="19" t="n"/>
      <c r="I331" s="19" t="n"/>
      <c r="J331" s="19" t="n"/>
      <c r="K331" s="19" t="n"/>
      <c r="L331" s="125" t="n"/>
      <c r="M331" s="88">
        <f>IF($D331="","",IFERROR(VLOOKUP($H331,Lists!$N$2:$O$6,2,FALSE),0))</f>
        <v/>
      </c>
      <c r="N331" s="88">
        <f>IF($D331="","",IF(OR($E331="Blocked",$E331="Done",$E331="Archive"),-9999,IF(AND($E331="Waiting",SUMPRODUCT((($E$5:$E$500="Next")+($E$5:$E$500="In Progress")+($E$5:$E$500="Captured"))*($D$5:$D$500&lt;&gt;""))&gt;0),-500,VLOOKUP($F331,Lists!$L$2:$M$4,2,FALSE)+IF($E331="In Progress",10,0)+IF(AND($I331&lt;&gt;"",$I331&lt;TODAY()),25,0)+IF(AND($I331&lt;&gt;"",$I331&gt;=TODAY(),$I331&lt;=TODAY()+7),15,0)+IF($M331&lt;=VLOOKUP(Home!$C$7,Lists!$N$2:$O$6,2,FALSE),20,-10)+IF($G331=Home!$E$7,15,IF(Home!$E$7="",0,-5))-ROW()/100000)))</f>
        <v/>
      </c>
      <c r="O331" s="88">
        <f>IF($D331="","",IF($N331&lt;=-500,"Not recommended right now",IF($E331="Waiting","Nothing else actionable right now — Waiting on: "&amp;IF($K331="","this item",$K331),TEXTJOIN(" • ",TRUE,IF($F331="High","High Priority",""),IF(AND($I331&lt;&gt;"",$I331&lt;TODAY()),"Overdue",""),IF(AND($I331&lt;&gt;"",$I331&gt;=TODAY(),$I331&lt;=TODAY()+7),"Due This Week",""),IF($M331&lt;=VLOOKUP(Home!$C$7,Lists!$N$2:$O$6,2,FALSE),$H331&amp;" Task",""),IF($G331=Home!$E$7,"Fits Current Energy",""),"No Blockers"))))</f>
        <v/>
      </c>
      <c r="P331" s="88">
        <f>IF($D331="","",SWITCH('Task Finder'!$C$6,"High Priority",AND($F331="High",$E331&lt;&gt;"Done",$E331&lt;&gt;"Archive"),"Due This Week",AND($I331&lt;&gt;"",$I331&gt;=TODAY(),$I331&lt;=TODAY()+7,$E331&lt;&gt;"Done"),"Quick Wins (15 mins or less)",AND($M331&lt;=15,$E331&lt;&gt;"Done",$E331&lt;&gt;"Blocked"),"Deep Thinking",AND($G331="Deep Thinking",$E331&lt;&gt;"Done"),"Processing",AND($G331="Processing",$E331&lt;&gt;"Done"),"Blocked",$E331="Blocked","Waiting",$E331="Waiting","Recently Updated",AND($L331&lt;&gt;"",$L331&gt;=TODAY()-7),"Keyword",AND('Task Finder'!$C$7&lt;&gt;"",OR(ISNUMBER(SEARCH('Task Finder'!$C$7,$A331)),ISNUMBER(SEARCH('Task Finder'!$C$7,$B331)),ISNUMBER(SEARCH('Task Finder'!$C$7,$C331)),ISNUMBER(SEARCH('Task Finder'!$C$7,$D331)),ISNUMBER(SEARCH('Task Finder'!$C$7,$K331)))),TRUE))</f>
        <v/>
      </c>
    </row>
    <row r="332">
      <c r="A332" s="19" t="n"/>
      <c r="B332" s="19" t="n"/>
      <c r="C332" s="19" t="n"/>
      <c r="D332" s="19" t="n"/>
      <c r="E332" s="19" t="n"/>
      <c r="F332" s="19" t="n"/>
      <c r="G332" s="19" t="n"/>
      <c r="H332" s="19" t="n"/>
      <c r="I332" s="19" t="n"/>
      <c r="J332" s="19" t="n"/>
      <c r="K332" s="19" t="n"/>
      <c r="L332" s="125" t="n"/>
      <c r="M332" s="88">
        <f>IF($D332="","",IFERROR(VLOOKUP($H332,Lists!$N$2:$O$6,2,FALSE),0))</f>
        <v/>
      </c>
      <c r="N332" s="88">
        <f>IF($D332="","",IF(OR($E332="Blocked",$E332="Done",$E332="Archive"),-9999,IF(AND($E332="Waiting",SUMPRODUCT((($E$5:$E$500="Next")+($E$5:$E$500="In Progress")+($E$5:$E$500="Captured"))*($D$5:$D$500&lt;&gt;""))&gt;0),-500,VLOOKUP($F332,Lists!$L$2:$M$4,2,FALSE)+IF($E332="In Progress",10,0)+IF(AND($I332&lt;&gt;"",$I332&lt;TODAY()),25,0)+IF(AND($I332&lt;&gt;"",$I332&gt;=TODAY(),$I332&lt;=TODAY()+7),15,0)+IF($M332&lt;=VLOOKUP(Home!$C$7,Lists!$N$2:$O$6,2,FALSE),20,-10)+IF($G332=Home!$E$7,15,IF(Home!$E$7="",0,-5))-ROW()/100000)))</f>
        <v/>
      </c>
      <c r="O332" s="88">
        <f>IF($D332="","",IF($N332&lt;=-500,"Not recommended right now",IF($E332="Waiting","Nothing else actionable right now — Waiting on: "&amp;IF($K332="","this item",$K332),TEXTJOIN(" • ",TRUE,IF($F332="High","High Priority",""),IF(AND($I332&lt;&gt;"",$I332&lt;TODAY()),"Overdue",""),IF(AND($I332&lt;&gt;"",$I332&gt;=TODAY(),$I332&lt;=TODAY()+7),"Due This Week",""),IF($M332&lt;=VLOOKUP(Home!$C$7,Lists!$N$2:$O$6,2,FALSE),$H332&amp;" Task",""),IF($G332=Home!$E$7,"Fits Current Energy",""),"No Blockers"))))</f>
        <v/>
      </c>
      <c r="P332" s="88">
        <f>IF($D332="","",SWITCH('Task Finder'!$C$6,"High Priority",AND($F332="High",$E332&lt;&gt;"Done",$E332&lt;&gt;"Archive"),"Due This Week",AND($I332&lt;&gt;"",$I332&gt;=TODAY(),$I332&lt;=TODAY()+7,$E332&lt;&gt;"Done"),"Quick Wins (15 mins or less)",AND($M332&lt;=15,$E332&lt;&gt;"Done",$E332&lt;&gt;"Blocked"),"Deep Thinking",AND($G332="Deep Thinking",$E332&lt;&gt;"Done"),"Processing",AND($G332="Processing",$E332&lt;&gt;"Done"),"Blocked",$E332="Blocked","Waiting",$E332="Waiting","Recently Updated",AND($L332&lt;&gt;"",$L332&gt;=TODAY()-7),"Keyword",AND('Task Finder'!$C$7&lt;&gt;"",OR(ISNUMBER(SEARCH('Task Finder'!$C$7,$A332)),ISNUMBER(SEARCH('Task Finder'!$C$7,$B332)),ISNUMBER(SEARCH('Task Finder'!$C$7,$C332)),ISNUMBER(SEARCH('Task Finder'!$C$7,$D332)),ISNUMBER(SEARCH('Task Finder'!$C$7,$K332)))),TRUE))</f>
        <v/>
      </c>
    </row>
    <row r="333">
      <c r="A333" s="19" t="n"/>
      <c r="B333" s="19" t="n"/>
      <c r="C333" s="19" t="n"/>
      <c r="D333" s="19" t="n"/>
      <c r="E333" s="19" t="n"/>
      <c r="F333" s="19" t="n"/>
      <c r="G333" s="19" t="n"/>
      <c r="H333" s="19" t="n"/>
      <c r="I333" s="19" t="n"/>
      <c r="J333" s="19" t="n"/>
      <c r="K333" s="19" t="n"/>
      <c r="L333" s="125" t="n"/>
      <c r="M333" s="88">
        <f>IF($D333="","",IFERROR(VLOOKUP($H333,Lists!$N$2:$O$6,2,FALSE),0))</f>
        <v/>
      </c>
      <c r="N333" s="88">
        <f>IF($D333="","",IF(OR($E333="Blocked",$E333="Done",$E333="Archive"),-9999,IF(AND($E333="Waiting",SUMPRODUCT((($E$5:$E$500="Next")+($E$5:$E$500="In Progress")+($E$5:$E$500="Captured"))*($D$5:$D$500&lt;&gt;""))&gt;0),-500,VLOOKUP($F333,Lists!$L$2:$M$4,2,FALSE)+IF($E333="In Progress",10,0)+IF(AND($I333&lt;&gt;"",$I333&lt;TODAY()),25,0)+IF(AND($I333&lt;&gt;"",$I333&gt;=TODAY(),$I333&lt;=TODAY()+7),15,0)+IF($M333&lt;=VLOOKUP(Home!$C$7,Lists!$N$2:$O$6,2,FALSE),20,-10)+IF($G333=Home!$E$7,15,IF(Home!$E$7="",0,-5))-ROW()/100000)))</f>
        <v/>
      </c>
      <c r="O333" s="88">
        <f>IF($D333="","",IF($N333&lt;=-500,"Not recommended right now",IF($E333="Waiting","Nothing else actionable right now — Waiting on: "&amp;IF($K333="","this item",$K333),TEXTJOIN(" • ",TRUE,IF($F333="High","High Priority",""),IF(AND($I333&lt;&gt;"",$I333&lt;TODAY()),"Overdue",""),IF(AND($I333&lt;&gt;"",$I333&gt;=TODAY(),$I333&lt;=TODAY()+7),"Due This Week",""),IF($M333&lt;=VLOOKUP(Home!$C$7,Lists!$N$2:$O$6,2,FALSE),$H333&amp;" Task",""),IF($G333=Home!$E$7,"Fits Current Energy",""),"No Blockers"))))</f>
        <v/>
      </c>
      <c r="P333" s="88">
        <f>IF($D333="","",SWITCH('Task Finder'!$C$6,"High Priority",AND($F333="High",$E333&lt;&gt;"Done",$E333&lt;&gt;"Archive"),"Due This Week",AND($I333&lt;&gt;"",$I333&gt;=TODAY(),$I333&lt;=TODAY()+7,$E333&lt;&gt;"Done"),"Quick Wins (15 mins or less)",AND($M333&lt;=15,$E333&lt;&gt;"Done",$E333&lt;&gt;"Blocked"),"Deep Thinking",AND($G333="Deep Thinking",$E333&lt;&gt;"Done"),"Processing",AND($G333="Processing",$E333&lt;&gt;"Done"),"Blocked",$E333="Blocked","Waiting",$E333="Waiting","Recently Updated",AND($L333&lt;&gt;"",$L333&gt;=TODAY()-7),"Keyword",AND('Task Finder'!$C$7&lt;&gt;"",OR(ISNUMBER(SEARCH('Task Finder'!$C$7,$A333)),ISNUMBER(SEARCH('Task Finder'!$C$7,$B333)),ISNUMBER(SEARCH('Task Finder'!$C$7,$C333)),ISNUMBER(SEARCH('Task Finder'!$C$7,$D333)),ISNUMBER(SEARCH('Task Finder'!$C$7,$K333)))),TRUE))</f>
        <v/>
      </c>
    </row>
    <row r="334">
      <c r="A334" s="19" t="n"/>
      <c r="B334" s="19" t="n"/>
      <c r="C334" s="19" t="n"/>
      <c r="D334" s="19" t="n"/>
      <c r="E334" s="19" t="n"/>
      <c r="F334" s="19" t="n"/>
      <c r="G334" s="19" t="n"/>
      <c r="H334" s="19" t="n"/>
      <c r="I334" s="19" t="n"/>
      <c r="J334" s="19" t="n"/>
      <c r="K334" s="19" t="n"/>
      <c r="L334" s="125" t="n"/>
      <c r="M334" s="88">
        <f>IF($D334="","",IFERROR(VLOOKUP($H334,Lists!$N$2:$O$6,2,FALSE),0))</f>
        <v/>
      </c>
      <c r="N334" s="88">
        <f>IF($D334="","",IF(OR($E334="Blocked",$E334="Done",$E334="Archive"),-9999,IF(AND($E334="Waiting",SUMPRODUCT((($E$5:$E$500="Next")+($E$5:$E$500="In Progress")+($E$5:$E$500="Captured"))*($D$5:$D$500&lt;&gt;""))&gt;0),-500,VLOOKUP($F334,Lists!$L$2:$M$4,2,FALSE)+IF($E334="In Progress",10,0)+IF(AND($I334&lt;&gt;"",$I334&lt;TODAY()),25,0)+IF(AND($I334&lt;&gt;"",$I334&gt;=TODAY(),$I334&lt;=TODAY()+7),15,0)+IF($M334&lt;=VLOOKUP(Home!$C$7,Lists!$N$2:$O$6,2,FALSE),20,-10)+IF($G334=Home!$E$7,15,IF(Home!$E$7="",0,-5))-ROW()/100000)))</f>
        <v/>
      </c>
      <c r="O334" s="88">
        <f>IF($D334="","",IF($N334&lt;=-500,"Not recommended right now",IF($E334="Waiting","Nothing else actionable right now — Waiting on: "&amp;IF($K334="","this item",$K334),TEXTJOIN(" • ",TRUE,IF($F334="High","High Priority",""),IF(AND($I334&lt;&gt;"",$I334&lt;TODAY()),"Overdue",""),IF(AND($I334&lt;&gt;"",$I334&gt;=TODAY(),$I334&lt;=TODAY()+7),"Due This Week",""),IF($M334&lt;=VLOOKUP(Home!$C$7,Lists!$N$2:$O$6,2,FALSE),$H334&amp;" Task",""),IF($G334=Home!$E$7,"Fits Current Energy",""),"No Blockers"))))</f>
        <v/>
      </c>
      <c r="P334" s="88">
        <f>IF($D334="","",SWITCH('Task Finder'!$C$6,"High Priority",AND($F334="High",$E334&lt;&gt;"Done",$E334&lt;&gt;"Archive"),"Due This Week",AND($I334&lt;&gt;"",$I334&gt;=TODAY(),$I334&lt;=TODAY()+7,$E334&lt;&gt;"Done"),"Quick Wins (15 mins or less)",AND($M334&lt;=15,$E334&lt;&gt;"Done",$E334&lt;&gt;"Blocked"),"Deep Thinking",AND($G334="Deep Thinking",$E334&lt;&gt;"Done"),"Processing",AND($G334="Processing",$E334&lt;&gt;"Done"),"Blocked",$E334="Blocked","Waiting",$E334="Waiting","Recently Updated",AND($L334&lt;&gt;"",$L334&gt;=TODAY()-7),"Keyword",AND('Task Finder'!$C$7&lt;&gt;"",OR(ISNUMBER(SEARCH('Task Finder'!$C$7,$A334)),ISNUMBER(SEARCH('Task Finder'!$C$7,$B334)),ISNUMBER(SEARCH('Task Finder'!$C$7,$C334)),ISNUMBER(SEARCH('Task Finder'!$C$7,$D334)),ISNUMBER(SEARCH('Task Finder'!$C$7,$K334)))),TRUE))</f>
        <v/>
      </c>
    </row>
    <row r="335">
      <c r="A335" s="19" t="n"/>
      <c r="B335" s="19" t="n"/>
      <c r="C335" s="19" t="n"/>
      <c r="D335" s="19" t="n"/>
      <c r="E335" s="19" t="n"/>
      <c r="F335" s="19" t="n"/>
      <c r="G335" s="19" t="n"/>
      <c r="H335" s="19" t="n"/>
      <c r="I335" s="19" t="n"/>
      <c r="J335" s="19" t="n"/>
      <c r="K335" s="19" t="n"/>
      <c r="L335" s="125" t="n"/>
      <c r="M335" s="88">
        <f>IF($D335="","",IFERROR(VLOOKUP($H335,Lists!$N$2:$O$6,2,FALSE),0))</f>
        <v/>
      </c>
      <c r="N335" s="88">
        <f>IF($D335="","",IF(OR($E335="Blocked",$E335="Done",$E335="Archive"),-9999,IF(AND($E335="Waiting",SUMPRODUCT((($E$5:$E$500="Next")+($E$5:$E$500="In Progress")+($E$5:$E$500="Captured"))*($D$5:$D$500&lt;&gt;""))&gt;0),-500,VLOOKUP($F335,Lists!$L$2:$M$4,2,FALSE)+IF($E335="In Progress",10,0)+IF(AND($I335&lt;&gt;"",$I335&lt;TODAY()),25,0)+IF(AND($I335&lt;&gt;"",$I335&gt;=TODAY(),$I335&lt;=TODAY()+7),15,0)+IF($M335&lt;=VLOOKUP(Home!$C$7,Lists!$N$2:$O$6,2,FALSE),20,-10)+IF($G335=Home!$E$7,15,IF(Home!$E$7="",0,-5))-ROW()/100000)))</f>
        <v/>
      </c>
      <c r="O335" s="88">
        <f>IF($D335="","",IF($N335&lt;=-500,"Not recommended right now",IF($E335="Waiting","Nothing else actionable right now — Waiting on: "&amp;IF($K335="","this item",$K335),TEXTJOIN(" • ",TRUE,IF($F335="High","High Priority",""),IF(AND($I335&lt;&gt;"",$I335&lt;TODAY()),"Overdue",""),IF(AND($I335&lt;&gt;"",$I335&gt;=TODAY(),$I335&lt;=TODAY()+7),"Due This Week",""),IF($M335&lt;=VLOOKUP(Home!$C$7,Lists!$N$2:$O$6,2,FALSE),$H335&amp;" Task",""),IF($G335=Home!$E$7,"Fits Current Energy",""),"No Blockers"))))</f>
        <v/>
      </c>
      <c r="P335" s="88">
        <f>IF($D335="","",SWITCH('Task Finder'!$C$6,"High Priority",AND($F335="High",$E335&lt;&gt;"Done",$E335&lt;&gt;"Archive"),"Due This Week",AND($I335&lt;&gt;"",$I335&gt;=TODAY(),$I335&lt;=TODAY()+7,$E335&lt;&gt;"Done"),"Quick Wins (15 mins or less)",AND($M335&lt;=15,$E335&lt;&gt;"Done",$E335&lt;&gt;"Blocked"),"Deep Thinking",AND($G335="Deep Thinking",$E335&lt;&gt;"Done"),"Processing",AND($G335="Processing",$E335&lt;&gt;"Done"),"Blocked",$E335="Blocked","Waiting",$E335="Waiting","Recently Updated",AND($L335&lt;&gt;"",$L335&gt;=TODAY()-7),"Keyword",AND('Task Finder'!$C$7&lt;&gt;"",OR(ISNUMBER(SEARCH('Task Finder'!$C$7,$A335)),ISNUMBER(SEARCH('Task Finder'!$C$7,$B335)),ISNUMBER(SEARCH('Task Finder'!$C$7,$C335)),ISNUMBER(SEARCH('Task Finder'!$C$7,$D335)),ISNUMBER(SEARCH('Task Finder'!$C$7,$K335)))),TRUE))</f>
        <v/>
      </c>
    </row>
    <row r="336">
      <c r="A336" s="19" t="n"/>
      <c r="B336" s="19" t="n"/>
      <c r="C336" s="19" t="n"/>
      <c r="D336" s="19" t="n"/>
      <c r="E336" s="19" t="n"/>
      <c r="F336" s="19" t="n"/>
      <c r="G336" s="19" t="n"/>
      <c r="H336" s="19" t="n"/>
      <c r="I336" s="19" t="n"/>
      <c r="J336" s="19" t="n"/>
      <c r="K336" s="19" t="n"/>
      <c r="L336" s="125" t="n"/>
      <c r="M336" s="88">
        <f>IF($D336="","",IFERROR(VLOOKUP($H336,Lists!$N$2:$O$6,2,FALSE),0))</f>
        <v/>
      </c>
      <c r="N336" s="88">
        <f>IF($D336="","",IF(OR($E336="Blocked",$E336="Done",$E336="Archive"),-9999,IF(AND($E336="Waiting",SUMPRODUCT((($E$5:$E$500="Next")+($E$5:$E$500="In Progress")+($E$5:$E$500="Captured"))*($D$5:$D$500&lt;&gt;""))&gt;0),-500,VLOOKUP($F336,Lists!$L$2:$M$4,2,FALSE)+IF($E336="In Progress",10,0)+IF(AND($I336&lt;&gt;"",$I336&lt;TODAY()),25,0)+IF(AND($I336&lt;&gt;"",$I336&gt;=TODAY(),$I336&lt;=TODAY()+7),15,0)+IF($M336&lt;=VLOOKUP(Home!$C$7,Lists!$N$2:$O$6,2,FALSE),20,-10)+IF($G336=Home!$E$7,15,IF(Home!$E$7="",0,-5))-ROW()/100000)))</f>
        <v/>
      </c>
      <c r="O336" s="88">
        <f>IF($D336="","",IF($N336&lt;=-500,"Not recommended right now",IF($E336="Waiting","Nothing else actionable right now — Waiting on: "&amp;IF($K336="","this item",$K336),TEXTJOIN(" • ",TRUE,IF($F336="High","High Priority",""),IF(AND($I336&lt;&gt;"",$I336&lt;TODAY()),"Overdue",""),IF(AND($I336&lt;&gt;"",$I336&gt;=TODAY(),$I336&lt;=TODAY()+7),"Due This Week",""),IF($M336&lt;=VLOOKUP(Home!$C$7,Lists!$N$2:$O$6,2,FALSE),$H336&amp;" Task",""),IF($G336=Home!$E$7,"Fits Current Energy",""),"No Blockers"))))</f>
        <v/>
      </c>
      <c r="P336" s="88">
        <f>IF($D336="","",SWITCH('Task Finder'!$C$6,"High Priority",AND($F336="High",$E336&lt;&gt;"Done",$E336&lt;&gt;"Archive"),"Due This Week",AND($I336&lt;&gt;"",$I336&gt;=TODAY(),$I336&lt;=TODAY()+7,$E336&lt;&gt;"Done"),"Quick Wins (15 mins or less)",AND($M336&lt;=15,$E336&lt;&gt;"Done",$E336&lt;&gt;"Blocked"),"Deep Thinking",AND($G336="Deep Thinking",$E336&lt;&gt;"Done"),"Processing",AND($G336="Processing",$E336&lt;&gt;"Done"),"Blocked",$E336="Blocked","Waiting",$E336="Waiting","Recently Updated",AND($L336&lt;&gt;"",$L336&gt;=TODAY()-7),"Keyword",AND('Task Finder'!$C$7&lt;&gt;"",OR(ISNUMBER(SEARCH('Task Finder'!$C$7,$A336)),ISNUMBER(SEARCH('Task Finder'!$C$7,$B336)),ISNUMBER(SEARCH('Task Finder'!$C$7,$C336)),ISNUMBER(SEARCH('Task Finder'!$C$7,$D336)),ISNUMBER(SEARCH('Task Finder'!$C$7,$K336)))),TRUE))</f>
        <v/>
      </c>
    </row>
    <row r="337">
      <c r="A337" s="19" t="n"/>
      <c r="B337" s="19" t="n"/>
      <c r="C337" s="19" t="n"/>
      <c r="D337" s="19" t="n"/>
      <c r="E337" s="19" t="n"/>
      <c r="F337" s="19" t="n"/>
      <c r="G337" s="19" t="n"/>
      <c r="H337" s="19" t="n"/>
      <c r="I337" s="19" t="n"/>
      <c r="J337" s="19" t="n"/>
      <c r="K337" s="19" t="n"/>
      <c r="L337" s="125" t="n"/>
      <c r="M337" s="88">
        <f>IF($D337="","",IFERROR(VLOOKUP($H337,Lists!$N$2:$O$6,2,FALSE),0))</f>
        <v/>
      </c>
      <c r="N337" s="88">
        <f>IF($D337="","",IF(OR($E337="Blocked",$E337="Done",$E337="Archive"),-9999,IF(AND($E337="Waiting",SUMPRODUCT((($E$5:$E$500="Next")+($E$5:$E$500="In Progress")+($E$5:$E$500="Captured"))*($D$5:$D$500&lt;&gt;""))&gt;0),-500,VLOOKUP($F337,Lists!$L$2:$M$4,2,FALSE)+IF($E337="In Progress",10,0)+IF(AND($I337&lt;&gt;"",$I337&lt;TODAY()),25,0)+IF(AND($I337&lt;&gt;"",$I337&gt;=TODAY(),$I337&lt;=TODAY()+7),15,0)+IF($M337&lt;=VLOOKUP(Home!$C$7,Lists!$N$2:$O$6,2,FALSE),20,-10)+IF($G337=Home!$E$7,15,IF(Home!$E$7="",0,-5))-ROW()/100000)))</f>
        <v/>
      </c>
      <c r="O337" s="88">
        <f>IF($D337="","",IF($N337&lt;=-500,"Not recommended right now",IF($E337="Waiting","Nothing else actionable right now — Waiting on: "&amp;IF($K337="","this item",$K337),TEXTJOIN(" • ",TRUE,IF($F337="High","High Priority",""),IF(AND($I337&lt;&gt;"",$I337&lt;TODAY()),"Overdue",""),IF(AND($I337&lt;&gt;"",$I337&gt;=TODAY(),$I337&lt;=TODAY()+7),"Due This Week",""),IF($M337&lt;=VLOOKUP(Home!$C$7,Lists!$N$2:$O$6,2,FALSE),$H337&amp;" Task",""),IF($G337=Home!$E$7,"Fits Current Energy",""),"No Blockers"))))</f>
        <v/>
      </c>
      <c r="P337" s="88">
        <f>IF($D337="","",SWITCH('Task Finder'!$C$6,"High Priority",AND($F337="High",$E337&lt;&gt;"Done",$E337&lt;&gt;"Archive"),"Due This Week",AND($I337&lt;&gt;"",$I337&gt;=TODAY(),$I337&lt;=TODAY()+7,$E337&lt;&gt;"Done"),"Quick Wins (15 mins or less)",AND($M337&lt;=15,$E337&lt;&gt;"Done",$E337&lt;&gt;"Blocked"),"Deep Thinking",AND($G337="Deep Thinking",$E337&lt;&gt;"Done"),"Processing",AND($G337="Processing",$E337&lt;&gt;"Done"),"Blocked",$E337="Blocked","Waiting",$E337="Waiting","Recently Updated",AND($L337&lt;&gt;"",$L337&gt;=TODAY()-7),"Keyword",AND('Task Finder'!$C$7&lt;&gt;"",OR(ISNUMBER(SEARCH('Task Finder'!$C$7,$A337)),ISNUMBER(SEARCH('Task Finder'!$C$7,$B337)),ISNUMBER(SEARCH('Task Finder'!$C$7,$C337)),ISNUMBER(SEARCH('Task Finder'!$C$7,$D337)),ISNUMBER(SEARCH('Task Finder'!$C$7,$K337)))),TRUE))</f>
        <v/>
      </c>
    </row>
    <row r="338">
      <c r="A338" s="19" t="n"/>
      <c r="B338" s="19" t="n"/>
      <c r="C338" s="19" t="n"/>
      <c r="D338" s="19" t="n"/>
      <c r="E338" s="19" t="n"/>
      <c r="F338" s="19" t="n"/>
      <c r="G338" s="19" t="n"/>
      <c r="H338" s="19" t="n"/>
      <c r="I338" s="19" t="n"/>
      <c r="J338" s="19" t="n"/>
      <c r="K338" s="19" t="n"/>
      <c r="L338" s="125" t="n"/>
      <c r="M338" s="88">
        <f>IF($D338="","",IFERROR(VLOOKUP($H338,Lists!$N$2:$O$6,2,FALSE),0))</f>
        <v/>
      </c>
      <c r="N338" s="88">
        <f>IF($D338="","",IF(OR($E338="Blocked",$E338="Done",$E338="Archive"),-9999,IF(AND($E338="Waiting",SUMPRODUCT((($E$5:$E$500="Next")+($E$5:$E$500="In Progress")+($E$5:$E$500="Captured"))*($D$5:$D$500&lt;&gt;""))&gt;0),-500,VLOOKUP($F338,Lists!$L$2:$M$4,2,FALSE)+IF($E338="In Progress",10,0)+IF(AND($I338&lt;&gt;"",$I338&lt;TODAY()),25,0)+IF(AND($I338&lt;&gt;"",$I338&gt;=TODAY(),$I338&lt;=TODAY()+7),15,0)+IF($M338&lt;=VLOOKUP(Home!$C$7,Lists!$N$2:$O$6,2,FALSE),20,-10)+IF($G338=Home!$E$7,15,IF(Home!$E$7="",0,-5))-ROW()/100000)))</f>
        <v/>
      </c>
      <c r="O338" s="88">
        <f>IF($D338="","",IF($N338&lt;=-500,"Not recommended right now",IF($E338="Waiting","Nothing else actionable right now — Waiting on: "&amp;IF($K338="","this item",$K338),TEXTJOIN(" • ",TRUE,IF($F338="High","High Priority",""),IF(AND($I338&lt;&gt;"",$I338&lt;TODAY()),"Overdue",""),IF(AND($I338&lt;&gt;"",$I338&gt;=TODAY(),$I338&lt;=TODAY()+7),"Due This Week",""),IF($M338&lt;=VLOOKUP(Home!$C$7,Lists!$N$2:$O$6,2,FALSE),$H338&amp;" Task",""),IF($G338=Home!$E$7,"Fits Current Energy",""),"No Blockers"))))</f>
        <v/>
      </c>
      <c r="P338" s="88">
        <f>IF($D338="","",SWITCH('Task Finder'!$C$6,"High Priority",AND($F338="High",$E338&lt;&gt;"Done",$E338&lt;&gt;"Archive"),"Due This Week",AND($I338&lt;&gt;"",$I338&gt;=TODAY(),$I338&lt;=TODAY()+7,$E338&lt;&gt;"Done"),"Quick Wins (15 mins or less)",AND($M338&lt;=15,$E338&lt;&gt;"Done",$E338&lt;&gt;"Blocked"),"Deep Thinking",AND($G338="Deep Thinking",$E338&lt;&gt;"Done"),"Processing",AND($G338="Processing",$E338&lt;&gt;"Done"),"Blocked",$E338="Blocked","Waiting",$E338="Waiting","Recently Updated",AND($L338&lt;&gt;"",$L338&gt;=TODAY()-7),"Keyword",AND('Task Finder'!$C$7&lt;&gt;"",OR(ISNUMBER(SEARCH('Task Finder'!$C$7,$A338)),ISNUMBER(SEARCH('Task Finder'!$C$7,$B338)),ISNUMBER(SEARCH('Task Finder'!$C$7,$C338)),ISNUMBER(SEARCH('Task Finder'!$C$7,$D338)),ISNUMBER(SEARCH('Task Finder'!$C$7,$K338)))),TRUE))</f>
        <v/>
      </c>
    </row>
    <row r="339">
      <c r="A339" s="19" t="n"/>
      <c r="B339" s="19" t="n"/>
      <c r="C339" s="19" t="n"/>
      <c r="D339" s="19" t="n"/>
      <c r="E339" s="19" t="n"/>
      <c r="F339" s="19" t="n"/>
      <c r="G339" s="19" t="n"/>
      <c r="H339" s="19" t="n"/>
      <c r="I339" s="19" t="n"/>
      <c r="J339" s="19" t="n"/>
      <c r="K339" s="19" t="n"/>
      <c r="L339" s="125" t="n"/>
      <c r="M339" s="88">
        <f>IF($D339="","",IFERROR(VLOOKUP($H339,Lists!$N$2:$O$6,2,FALSE),0))</f>
        <v/>
      </c>
      <c r="N339" s="88">
        <f>IF($D339="","",IF(OR($E339="Blocked",$E339="Done",$E339="Archive"),-9999,IF(AND($E339="Waiting",SUMPRODUCT((($E$5:$E$500="Next")+($E$5:$E$500="In Progress")+($E$5:$E$500="Captured"))*($D$5:$D$500&lt;&gt;""))&gt;0),-500,VLOOKUP($F339,Lists!$L$2:$M$4,2,FALSE)+IF($E339="In Progress",10,0)+IF(AND($I339&lt;&gt;"",$I339&lt;TODAY()),25,0)+IF(AND($I339&lt;&gt;"",$I339&gt;=TODAY(),$I339&lt;=TODAY()+7),15,0)+IF($M339&lt;=VLOOKUP(Home!$C$7,Lists!$N$2:$O$6,2,FALSE),20,-10)+IF($G339=Home!$E$7,15,IF(Home!$E$7="",0,-5))-ROW()/100000)))</f>
        <v/>
      </c>
      <c r="O339" s="88">
        <f>IF($D339="","",IF($N339&lt;=-500,"Not recommended right now",IF($E339="Waiting","Nothing else actionable right now — Waiting on: "&amp;IF($K339="","this item",$K339),TEXTJOIN(" • ",TRUE,IF($F339="High","High Priority",""),IF(AND($I339&lt;&gt;"",$I339&lt;TODAY()),"Overdue",""),IF(AND($I339&lt;&gt;"",$I339&gt;=TODAY(),$I339&lt;=TODAY()+7),"Due This Week",""),IF($M339&lt;=VLOOKUP(Home!$C$7,Lists!$N$2:$O$6,2,FALSE),$H339&amp;" Task",""),IF($G339=Home!$E$7,"Fits Current Energy",""),"No Blockers"))))</f>
        <v/>
      </c>
      <c r="P339" s="88">
        <f>IF($D339="","",SWITCH('Task Finder'!$C$6,"High Priority",AND($F339="High",$E339&lt;&gt;"Done",$E339&lt;&gt;"Archive"),"Due This Week",AND($I339&lt;&gt;"",$I339&gt;=TODAY(),$I339&lt;=TODAY()+7,$E339&lt;&gt;"Done"),"Quick Wins (15 mins or less)",AND($M339&lt;=15,$E339&lt;&gt;"Done",$E339&lt;&gt;"Blocked"),"Deep Thinking",AND($G339="Deep Thinking",$E339&lt;&gt;"Done"),"Processing",AND($G339="Processing",$E339&lt;&gt;"Done"),"Blocked",$E339="Blocked","Waiting",$E339="Waiting","Recently Updated",AND($L339&lt;&gt;"",$L339&gt;=TODAY()-7),"Keyword",AND('Task Finder'!$C$7&lt;&gt;"",OR(ISNUMBER(SEARCH('Task Finder'!$C$7,$A339)),ISNUMBER(SEARCH('Task Finder'!$C$7,$B339)),ISNUMBER(SEARCH('Task Finder'!$C$7,$C339)),ISNUMBER(SEARCH('Task Finder'!$C$7,$D339)),ISNUMBER(SEARCH('Task Finder'!$C$7,$K339)))),TRUE))</f>
        <v/>
      </c>
    </row>
    <row r="340">
      <c r="A340" s="19" t="n"/>
      <c r="B340" s="19" t="n"/>
      <c r="C340" s="19" t="n"/>
      <c r="D340" s="19" t="n"/>
      <c r="E340" s="19" t="n"/>
      <c r="F340" s="19" t="n"/>
      <c r="G340" s="19" t="n"/>
      <c r="H340" s="19" t="n"/>
      <c r="I340" s="19" t="n"/>
      <c r="J340" s="19" t="n"/>
      <c r="K340" s="19" t="n"/>
      <c r="L340" s="125" t="n"/>
      <c r="M340" s="88">
        <f>IF($D340="","",IFERROR(VLOOKUP($H340,Lists!$N$2:$O$6,2,FALSE),0))</f>
        <v/>
      </c>
      <c r="N340" s="88">
        <f>IF($D340="","",IF(OR($E340="Blocked",$E340="Done",$E340="Archive"),-9999,IF(AND($E340="Waiting",SUMPRODUCT((($E$5:$E$500="Next")+($E$5:$E$500="In Progress")+($E$5:$E$500="Captured"))*($D$5:$D$500&lt;&gt;""))&gt;0),-500,VLOOKUP($F340,Lists!$L$2:$M$4,2,FALSE)+IF($E340="In Progress",10,0)+IF(AND($I340&lt;&gt;"",$I340&lt;TODAY()),25,0)+IF(AND($I340&lt;&gt;"",$I340&gt;=TODAY(),$I340&lt;=TODAY()+7),15,0)+IF($M340&lt;=VLOOKUP(Home!$C$7,Lists!$N$2:$O$6,2,FALSE),20,-10)+IF($G340=Home!$E$7,15,IF(Home!$E$7="",0,-5))-ROW()/100000)))</f>
        <v/>
      </c>
      <c r="O340" s="88">
        <f>IF($D340="","",IF($N340&lt;=-500,"Not recommended right now",IF($E340="Waiting","Nothing else actionable right now — Waiting on: "&amp;IF($K340="","this item",$K340),TEXTJOIN(" • ",TRUE,IF($F340="High","High Priority",""),IF(AND($I340&lt;&gt;"",$I340&lt;TODAY()),"Overdue",""),IF(AND($I340&lt;&gt;"",$I340&gt;=TODAY(),$I340&lt;=TODAY()+7),"Due This Week",""),IF($M340&lt;=VLOOKUP(Home!$C$7,Lists!$N$2:$O$6,2,FALSE),$H340&amp;" Task",""),IF($G340=Home!$E$7,"Fits Current Energy",""),"No Blockers"))))</f>
        <v/>
      </c>
      <c r="P340" s="88">
        <f>IF($D340="","",SWITCH('Task Finder'!$C$6,"High Priority",AND($F340="High",$E340&lt;&gt;"Done",$E340&lt;&gt;"Archive"),"Due This Week",AND($I340&lt;&gt;"",$I340&gt;=TODAY(),$I340&lt;=TODAY()+7,$E340&lt;&gt;"Done"),"Quick Wins (15 mins or less)",AND($M340&lt;=15,$E340&lt;&gt;"Done",$E340&lt;&gt;"Blocked"),"Deep Thinking",AND($G340="Deep Thinking",$E340&lt;&gt;"Done"),"Processing",AND($G340="Processing",$E340&lt;&gt;"Done"),"Blocked",$E340="Blocked","Waiting",$E340="Waiting","Recently Updated",AND($L340&lt;&gt;"",$L340&gt;=TODAY()-7),"Keyword",AND('Task Finder'!$C$7&lt;&gt;"",OR(ISNUMBER(SEARCH('Task Finder'!$C$7,$A340)),ISNUMBER(SEARCH('Task Finder'!$C$7,$B340)),ISNUMBER(SEARCH('Task Finder'!$C$7,$C340)),ISNUMBER(SEARCH('Task Finder'!$C$7,$D340)),ISNUMBER(SEARCH('Task Finder'!$C$7,$K340)))),TRUE))</f>
        <v/>
      </c>
    </row>
    <row r="341">
      <c r="A341" s="19" t="n"/>
      <c r="B341" s="19" t="n"/>
      <c r="C341" s="19" t="n"/>
      <c r="D341" s="19" t="n"/>
      <c r="E341" s="19" t="n"/>
      <c r="F341" s="19" t="n"/>
      <c r="G341" s="19" t="n"/>
      <c r="H341" s="19" t="n"/>
      <c r="I341" s="19" t="n"/>
      <c r="J341" s="19" t="n"/>
      <c r="K341" s="19" t="n"/>
      <c r="L341" s="125" t="n"/>
      <c r="M341" s="88">
        <f>IF($D341="","",IFERROR(VLOOKUP($H341,Lists!$N$2:$O$6,2,FALSE),0))</f>
        <v/>
      </c>
      <c r="N341" s="88">
        <f>IF($D341="","",IF(OR($E341="Blocked",$E341="Done",$E341="Archive"),-9999,IF(AND($E341="Waiting",SUMPRODUCT((($E$5:$E$500="Next")+($E$5:$E$500="In Progress")+($E$5:$E$500="Captured"))*($D$5:$D$500&lt;&gt;""))&gt;0),-500,VLOOKUP($F341,Lists!$L$2:$M$4,2,FALSE)+IF($E341="In Progress",10,0)+IF(AND($I341&lt;&gt;"",$I341&lt;TODAY()),25,0)+IF(AND($I341&lt;&gt;"",$I341&gt;=TODAY(),$I341&lt;=TODAY()+7),15,0)+IF($M341&lt;=VLOOKUP(Home!$C$7,Lists!$N$2:$O$6,2,FALSE),20,-10)+IF($G341=Home!$E$7,15,IF(Home!$E$7="",0,-5))-ROW()/100000)))</f>
        <v/>
      </c>
      <c r="O341" s="88">
        <f>IF($D341="","",IF($N341&lt;=-500,"Not recommended right now",IF($E341="Waiting","Nothing else actionable right now — Waiting on: "&amp;IF($K341="","this item",$K341),TEXTJOIN(" • ",TRUE,IF($F341="High","High Priority",""),IF(AND($I341&lt;&gt;"",$I341&lt;TODAY()),"Overdue",""),IF(AND($I341&lt;&gt;"",$I341&gt;=TODAY(),$I341&lt;=TODAY()+7),"Due This Week",""),IF($M341&lt;=VLOOKUP(Home!$C$7,Lists!$N$2:$O$6,2,FALSE),$H341&amp;" Task",""),IF($G341=Home!$E$7,"Fits Current Energy",""),"No Blockers"))))</f>
        <v/>
      </c>
      <c r="P341" s="88">
        <f>IF($D341="","",SWITCH('Task Finder'!$C$6,"High Priority",AND($F341="High",$E341&lt;&gt;"Done",$E341&lt;&gt;"Archive"),"Due This Week",AND($I341&lt;&gt;"",$I341&gt;=TODAY(),$I341&lt;=TODAY()+7,$E341&lt;&gt;"Done"),"Quick Wins (15 mins or less)",AND($M341&lt;=15,$E341&lt;&gt;"Done",$E341&lt;&gt;"Blocked"),"Deep Thinking",AND($G341="Deep Thinking",$E341&lt;&gt;"Done"),"Processing",AND($G341="Processing",$E341&lt;&gt;"Done"),"Blocked",$E341="Blocked","Waiting",$E341="Waiting","Recently Updated",AND($L341&lt;&gt;"",$L341&gt;=TODAY()-7),"Keyword",AND('Task Finder'!$C$7&lt;&gt;"",OR(ISNUMBER(SEARCH('Task Finder'!$C$7,$A341)),ISNUMBER(SEARCH('Task Finder'!$C$7,$B341)),ISNUMBER(SEARCH('Task Finder'!$C$7,$C341)),ISNUMBER(SEARCH('Task Finder'!$C$7,$D341)),ISNUMBER(SEARCH('Task Finder'!$C$7,$K341)))),TRUE))</f>
        <v/>
      </c>
    </row>
    <row r="342">
      <c r="A342" s="19" t="n"/>
      <c r="B342" s="19" t="n"/>
      <c r="C342" s="19" t="n"/>
      <c r="D342" s="19" t="n"/>
      <c r="E342" s="19" t="n"/>
      <c r="F342" s="19" t="n"/>
      <c r="G342" s="19" t="n"/>
      <c r="H342" s="19" t="n"/>
      <c r="I342" s="19" t="n"/>
      <c r="J342" s="19" t="n"/>
      <c r="K342" s="19" t="n"/>
      <c r="L342" s="125" t="n"/>
      <c r="M342" s="88">
        <f>IF($D342="","",IFERROR(VLOOKUP($H342,Lists!$N$2:$O$6,2,FALSE),0))</f>
        <v/>
      </c>
      <c r="N342" s="88">
        <f>IF($D342="","",IF(OR($E342="Blocked",$E342="Done",$E342="Archive"),-9999,IF(AND($E342="Waiting",SUMPRODUCT((($E$5:$E$500="Next")+($E$5:$E$500="In Progress")+($E$5:$E$500="Captured"))*($D$5:$D$500&lt;&gt;""))&gt;0),-500,VLOOKUP($F342,Lists!$L$2:$M$4,2,FALSE)+IF($E342="In Progress",10,0)+IF(AND($I342&lt;&gt;"",$I342&lt;TODAY()),25,0)+IF(AND($I342&lt;&gt;"",$I342&gt;=TODAY(),$I342&lt;=TODAY()+7),15,0)+IF($M342&lt;=VLOOKUP(Home!$C$7,Lists!$N$2:$O$6,2,FALSE),20,-10)+IF($G342=Home!$E$7,15,IF(Home!$E$7="",0,-5))-ROW()/100000)))</f>
        <v/>
      </c>
      <c r="O342" s="88">
        <f>IF($D342="","",IF($N342&lt;=-500,"Not recommended right now",IF($E342="Waiting","Nothing else actionable right now — Waiting on: "&amp;IF($K342="","this item",$K342),TEXTJOIN(" • ",TRUE,IF($F342="High","High Priority",""),IF(AND($I342&lt;&gt;"",$I342&lt;TODAY()),"Overdue",""),IF(AND($I342&lt;&gt;"",$I342&gt;=TODAY(),$I342&lt;=TODAY()+7),"Due This Week",""),IF($M342&lt;=VLOOKUP(Home!$C$7,Lists!$N$2:$O$6,2,FALSE),$H342&amp;" Task",""),IF($G342=Home!$E$7,"Fits Current Energy",""),"No Blockers"))))</f>
        <v/>
      </c>
      <c r="P342" s="88">
        <f>IF($D342="","",SWITCH('Task Finder'!$C$6,"High Priority",AND($F342="High",$E342&lt;&gt;"Done",$E342&lt;&gt;"Archive"),"Due This Week",AND($I342&lt;&gt;"",$I342&gt;=TODAY(),$I342&lt;=TODAY()+7,$E342&lt;&gt;"Done"),"Quick Wins (15 mins or less)",AND($M342&lt;=15,$E342&lt;&gt;"Done",$E342&lt;&gt;"Blocked"),"Deep Thinking",AND($G342="Deep Thinking",$E342&lt;&gt;"Done"),"Processing",AND($G342="Processing",$E342&lt;&gt;"Done"),"Blocked",$E342="Blocked","Waiting",$E342="Waiting","Recently Updated",AND($L342&lt;&gt;"",$L342&gt;=TODAY()-7),"Keyword",AND('Task Finder'!$C$7&lt;&gt;"",OR(ISNUMBER(SEARCH('Task Finder'!$C$7,$A342)),ISNUMBER(SEARCH('Task Finder'!$C$7,$B342)),ISNUMBER(SEARCH('Task Finder'!$C$7,$C342)),ISNUMBER(SEARCH('Task Finder'!$C$7,$D342)),ISNUMBER(SEARCH('Task Finder'!$C$7,$K342)))),TRUE))</f>
        <v/>
      </c>
    </row>
    <row r="343">
      <c r="A343" s="19" t="n"/>
      <c r="B343" s="19" t="n"/>
      <c r="C343" s="19" t="n"/>
      <c r="D343" s="19" t="n"/>
      <c r="E343" s="19" t="n"/>
      <c r="F343" s="19" t="n"/>
      <c r="G343" s="19" t="n"/>
      <c r="H343" s="19" t="n"/>
      <c r="I343" s="19" t="n"/>
      <c r="J343" s="19" t="n"/>
      <c r="K343" s="19" t="n"/>
      <c r="L343" s="125" t="n"/>
      <c r="M343" s="88">
        <f>IF($D343="","",IFERROR(VLOOKUP($H343,Lists!$N$2:$O$6,2,FALSE),0))</f>
        <v/>
      </c>
      <c r="N343" s="88">
        <f>IF($D343="","",IF(OR($E343="Blocked",$E343="Done",$E343="Archive"),-9999,IF(AND($E343="Waiting",SUMPRODUCT((($E$5:$E$500="Next")+($E$5:$E$500="In Progress")+($E$5:$E$500="Captured"))*($D$5:$D$500&lt;&gt;""))&gt;0),-500,VLOOKUP($F343,Lists!$L$2:$M$4,2,FALSE)+IF($E343="In Progress",10,0)+IF(AND($I343&lt;&gt;"",$I343&lt;TODAY()),25,0)+IF(AND($I343&lt;&gt;"",$I343&gt;=TODAY(),$I343&lt;=TODAY()+7),15,0)+IF($M343&lt;=VLOOKUP(Home!$C$7,Lists!$N$2:$O$6,2,FALSE),20,-10)+IF($G343=Home!$E$7,15,IF(Home!$E$7="",0,-5))-ROW()/100000)))</f>
        <v/>
      </c>
      <c r="O343" s="88">
        <f>IF($D343="","",IF($N343&lt;=-500,"Not recommended right now",IF($E343="Waiting","Nothing else actionable right now — Waiting on: "&amp;IF($K343="","this item",$K343),TEXTJOIN(" • ",TRUE,IF($F343="High","High Priority",""),IF(AND($I343&lt;&gt;"",$I343&lt;TODAY()),"Overdue",""),IF(AND($I343&lt;&gt;"",$I343&gt;=TODAY(),$I343&lt;=TODAY()+7),"Due This Week",""),IF($M343&lt;=VLOOKUP(Home!$C$7,Lists!$N$2:$O$6,2,FALSE),$H343&amp;" Task",""),IF($G343=Home!$E$7,"Fits Current Energy",""),"No Blockers"))))</f>
        <v/>
      </c>
      <c r="P343" s="88">
        <f>IF($D343="","",SWITCH('Task Finder'!$C$6,"High Priority",AND($F343="High",$E343&lt;&gt;"Done",$E343&lt;&gt;"Archive"),"Due This Week",AND($I343&lt;&gt;"",$I343&gt;=TODAY(),$I343&lt;=TODAY()+7,$E343&lt;&gt;"Done"),"Quick Wins (15 mins or less)",AND($M343&lt;=15,$E343&lt;&gt;"Done",$E343&lt;&gt;"Blocked"),"Deep Thinking",AND($G343="Deep Thinking",$E343&lt;&gt;"Done"),"Processing",AND($G343="Processing",$E343&lt;&gt;"Done"),"Blocked",$E343="Blocked","Waiting",$E343="Waiting","Recently Updated",AND($L343&lt;&gt;"",$L343&gt;=TODAY()-7),"Keyword",AND('Task Finder'!$C$7&lt;&gt;"",OR(ISNUMBER(SEARCH('Task Finder'!$C$7,$A343)),ISNUMBER(SEARCH('Task Finder'!$C$7,$B343)),ISNUMBER(SEARCH('Task Finder'!$C$7,$C343)),ISNUMBER(SEARCH('Task Finder'!$C$7,$D343)),ISNUMBER(SEARCH('Task Finder'!$C$7,$K343)))),TRUE))</f>
        <v/>
      </c>
    </row>
    <row r="344">
      <c r="A344" s="19" t="n"/>
      <c r="B344" s="19" t="n"/>
      <c r="C344" s="19" t="n"/>
      <c r="D344" s="19" t="n"/>
      <c r="E344" s="19" t="n"/>
      <c r="F344" s="19" t="n"/>
      <c r="G344" s="19" t="n"/>
      <c r="H344" s="19" t="n"/>
      <c r="I344" s="19" t="n"/>
      <c r="J344" s="19" t="n"/>
      <c r="K344" s="19" t="n"/>
      <c r="L344" s="125" t="n"/>
      <c r="M344" s="88">
        <f>IF($D344="","",IFERROR(VLOOKUP($H344,Lists!$N$2:$O$6,2,FALSE),0))</f>
        <v/>
      </c>
      <c r="N344" s="88">
        <f>IF($D344="","",IF(OR($E344="Blocked",$E344="Done",$E344="Archive"),-9999,IF(AND($E344="Waiting",SUMPRODUCT((($E$5:$E$500="Next")+($E$5:$E$500="In Progress")+($E$5:$E$500="Captured"))*($D$5:$D$500&lt;&gt;""))&gt;0),-500,VLOOKUP($F344,Lists!$L$2:$M$4,2,FALSE)+IF($E344="In Progress",10,0)+IF(AND($I344&lt;&gt;"",$I344&lt;TODAY()),25,0)+IF(AND($I344&lt;&gt;"",$I344&gt;=TODAY(),$I344&lt;=TODAY()+7),15,0)+IF($M344&lt;=VLOOKUP(Home!$C$7,Lists!$N$2:$O$6,2,FALSE),20,-10)+IF($G344=Home!$E$7,15,IF(Home!$E$7="",0,-5))-ROW()/100000)))</f>
        <v/>
      </c>
      <c r="O344" s="88">
        <f>IF($D344="","",IF($N344&lt;=-500,"Not recommended right now",IF($E344="Waiting","Nothing else actionable right now — Waiting on: "&amp;IF($K344="","this item",$K344),TEXTJOIN(" • ",TRUE,IF($F344="High","High Priority",""),IF(AND($I344&lt;&gt;"",$I344&lt;TODAY()),"Overdue",""),IF(AND($I344&lt;&gt;"",$I344&gt;=TODAY(),$I344&lt;=TODAY()+7),"Due This Week",""),IF($M344&lt;=VLOOKUP(Home!$C$7,Lists!$N$2:$O$6,2,FALSE),$H344&amp;" Task",""),IF($G344=Home!$E$7,"Fits Current Energy",""),"No Blockers"))))</f>
        <v/>
      </c>
      <c r="P344" s="88">
        <f>IF($D344="","",SWITCH('Task Finder'!$C$6,"High Priority",AND($F344="High",$E344&lt;&gt;"Done",$E344&lt;&gt;"Archive"),"Due This Week",AND($I344&lt;&gt;"",$I344&gt;=TODAY(),$I344&lt;=TODAY()+7,$E344&lt;&gt;"Done"),"Quick Wins (15 mins or less)",AND($M344&lt;=15,$E344&lt;&gt;"Done",$E344&lt;&gt;"Blocked"),"Deep Thinking",AND($G344="Deep Thinking",$E344&lt;&gt;"Done"),"Processing",AND($G344="Processing",$E344&lt;&gt;"Done"),"Blocked",$E344="Blocked","Waiting",$E344="Waiting","Recently Updated",AND($L344&lt;&gt;"",$L344&gt;=TODAY()-7),"Keyword",AND('Task Finder'!$C$7&lt;&gt;"",OR(ISNUMBER(SEARCH('Task Finder'!$C$7,$A344)),ISNUMBER(SEARCH('Task Finder'!$C$7,$B344)),ISNUMBER(SEARCH('Task Finder'!$C$7,$C344)),ISNUMBER(SEARCH('Task Finder'!$C$7,$D344)),ISNUMBER(SEARCH('Task Finder'!$C$7,$K344)))),TRUE))</f>
        <v/>
      </c>
    </row>
    <row r="345">
      <c r="A345" s="19" t="n"/>
      <c r="B345" s="19" t="n"/>
      <c r="C345" s="19" t="n"/>
      <c r="D345" s="19" t="n"/>
      <c r="E345" s="19" t="n"/>
      <c r="F345" s="19" t="n"/>
      <c r="G345" s="19" t="n"/>
      <c r="H345" s="19" t="n"/>
      <c r="I345" s="19" t="n"/>
      <c r="J345" s="19" t="n"/>
      <c r="K345" s="19" t="n"/>
      <c r="L345" s="125" t="n"/>
      <c r="M345" s="88">
        <f>IF($D345="","",IFERROR(VLOOKUP($H345,Lists!$N$2:$O$6,2,FALSE),0))</f>
        <v/>
      </c>
      <c r="N345" s="88">
        <f>IF($D345="","",IF(OR($E345="Blocked",$E345="Done",$E345="Archive"),-9999,IF(AND($E345="Waiting",SUMPRODUCT((($E$5:$E$500="Next")+($E$5:$E$500="In Progress")+($E$5:$E$500="Captured"))*($D$5:$D$500&lt;&gt;""))&gt;0),-500,VLOOKUP($F345,Lists!$L$2:$M$4,2,FALSE)+IF($E345="In Progress",10,0)+IF(AND($I345&lt;&gt;"",$I345&lt;TODAY()),25,0)+IF(AND($I345&lt;&gt;"",$I345&gt;=TODAY(),$I345&lt;=TODAY()+7),15,0)+IF($M345&lt;=VLOOKUP(Home!$C$7,Lists!$N$2:$O$6,2,FALSE),20,-10)+IF($G345=Home!$E$7,15,IF(Home!$E$7="",0,-5))-ROW()/100000)))</f>
        <v/>
      </c>
      <c r="O345" s="88">
        <f>IF($D345="","",IF($N345&lt;=-500,"Not recommended right now",IF($E345="Waiting","Nothing else actionable right now — Waiting on: "&amp;IF($K345="","this item",$K345),TEXTJOIN(" • ",TRUE,IF($F345="High","High Priority",""),IF(AND($I345&lt;&gt;"",$I345&lt;TODAY()),"Overdue",""),IF(AND($I345&lt;&gt;"",$I345&gt;=TODAY(),$I345&lt;=TODAY()+7),"Due This Week",""),IF($M345&lt;=VLOOKUP(Home!$C$7,Lists!$N$2:$O$6,2,FALSE),$H345&amp;" Task",""),IF($G345=Home!$E$7,"Fits Current Energy",""),"No Blockers"))))</f>
        <v/>
      </c>
      <c r="P345" s="88">
        <f>IF($D345="","",SWITCH('Task Finder'!$C$6,"High Priority",AND($F345="High",$E345&lt;&gt;"Done",$E345&lt;&gt;"Archive"),"Due This Week",AND($I345&lt;&gt;"",$I345&gt;=TODAY(),$I345&lt;=TODAY()+7,$E345&lt;&gt;"Done"),"Quick Wins (15 mins or less)",AND($M345&lt;=15,$E345&lt;&gt;"Done",$E345&lt;&gt;"Blocked"),"Deep Thinking",AND($G345="Deep Thinking",$E345&lt;&gt;"Done"),"Processing",AND($G345="Processing",$E345&lt;&gt;"Done"),"Blocked",$E345="Blocked","Waiting",$E345="Waiting","Recently Updated",AND($L345&lt;&gt;"",$L345&gt;=TODAY()-7),"Keyword",AND('Task Finder'!$C$7&lt;&gt;"",OR(ISNUMBER(SEARCH('Task Finder'!$C$7,$A345)),ISNUMBER(SEARCH('Task Finder'!$C$7,$B345)),ISNUMBER(SEARCH('Task Finder'!$C$7,$C345)),ISNUMBER(SEARCH('Task Finder'!$C$7,$D345)),ISNUMBER(SEARCH('Task Finder'!$C$7,$K345)))),TRUE))</f>
        <v/>
      </c>
    </row>
    <row r="346">
      <c r="A346" s="19" t="n"/>
      <c r="B346" s="19" t="n"/>
      <c r="C346" s="19" t="n"/>
      <c r="D346" s="19" t="n"/>
      <c r="E346" s="19" t="n"/>
      <c r="F346" s="19" t="n"/>
      <c r="G346" s="19" t="n"/>
      <c r="H346" s="19" t="n"/>
      <c r="I346" s="19" t="n"/>
      <c r="J346" s="19" t="n"/>
      <c r="K346" s="19" t="n"/>
      <c r="L346" s="125" t="n"/>
      <c r="M346" s="88">
        <f>IF($D346="","",IFERROR(VLOOKUP($H346,Lists!$N$2:$O$6,2,FALSE),0))</f>
        <v/>
      </c>
      <c r="N346" s="88">
        <f>IF($D346="","",IF(OR($E346="Blocked",$E346="Done",$E346="Archive"),-9999,IF(AND($E346="Waiting",SUMPRODUCT((($E$5:$E$500="Next")+($E$5:$E$500="In Progress")+($E$5:$E$500="Captured"))*($D$5:$D$500&lt;&gt;""))&gt;0),-500,VLOOKUP($F346,Lists!$L$2:$M$4,2,FALSE)+IF($E346="In Progress",10,0)+IF(AND($I346&lt;&gt;"",$I346&lt;TODAY()),25,0)+IF(AND($I346&lt;&gt;"",$I346&gt;=TODAY(),$I346&lt;=TODAY()+7),15,0)+IF($M346&lt;=VLOOKUP(Home!$C$7,Lists!$N$2:$O$6,2,FALSE),20,-10)+IF($G346=Home!$E$7,15,IF(Home!$E$7="",0,-5))-ROW()/100000)))</f>
        <v/>
      </c>
      <c r="O346" s="88">
        <f>IF($D346="","",IF($N346&lt;=-500,"Not recommended right now",IF($E346="Waiting","Nothing else actionable right now — Waiting on: "&amp;IF($K346="","this item",$K346),TEXTJOIN(" • ",TRUE,IF($F346="High","High Priority",""),IF(AND($I346&lt;&gt;"",$I346&lt;TODAY()),"Overdue",""),IF(AND($I346&lt;&gt;"",$I346&gt;=TODAY(),$I346&lt;=TODAY()+7),"Due This Week",""),IF($M346&lt;=VLOOKUP(Home!$C$7,Lists!$N$2:$O$6,2,FALSE),$H346&amp;" Task",""),IF($G346=Home!$E$7,"Fits Current Energy",""),"No Blockers"))))</f>
        <v/>
      </c>
      <c r="P346" s="88">
        <f>IF($D346="","",SWITCH('Task Finder'!$C$6,"High Priority",AND($F346="High",$E346&lt;&gt;"Done",$E346&lt;&gt;"Archive"),"Due This Week",AND($I346&lt;&gt;"",$I346&gt;=TODAY(),$I346&lt;=TODAY()+7,$E346&lt;&gt;"Done"),"Quick Wins (15 mins or less)",AND($M346&lt;=15,$E346&lt;&gt;"Done",$E346&lt;&gt;"Blocked"),"Deep Thinking",AND($G346="Deep Thinking",$E346&lt;&gt;"Done"),"Processing",AND($G346="Processing",$E346&lt;&gt;"Done"),"Blocked",$E346="Blocked","Waiting",$E346="Waiting","Recently Updated",AND($L346&lt;&gt;"",$L346&gt;=TODAY()-7),"Keyword",AND('Task Finder'!$C$7&lt;&gt;"",OR(ISNUMBER(SEARCH('Task Finder'!$C$7,$A346)),ISNUMBER(SEARCH('Task Finder'!$C$7,$B346)),ISNUMBER(SEARCH('Task Finder'!$C$7,$C346)),ISNUMBER(SEARCH('Task Finder'!$C$7,$D346)),ISNUMBER(SEARCH('Task Finder'!$C$7,$K346)))),TRUE))</f>
        <v/>
      </c>
    </row>
    <row r="347">
      <c r="A347" s="19" t="n"/>
      <c r="B347" s="19" t="n"/>
      <c r="C347" s="19" t="n"/>
      <c r="D347" s="19" t="n"/>
      <c r="E347" s="19" t="n"/>
      <c r="F347" s="19" t="n"/>
      <c r="G347" s="19" t="n"/>
      <c r="H347" s="19" t="n"/>
      <c r="I347" s="19" t="n"/>
      <c r="J347" s="19" t="n"/>
      <c r="K347" s="19" t="n"/>
      <c r="L347" s="125" t="n"/>
      <c r="M347" s="88">
        <f>IF($D347="","",IFERROR(VLOOKUP($H347,Lists!$N$2:$O$6,2,FALSE),0))</f>
        <v/>
      </c>
      <c r="N347" s="88">
        <f>IF($D347="","",IF(OR($E347="Blocked",$E347="Done",$E347="Archive"),-9999,IF(AND($E347="Waiting",SUMPRODUCT((($E$5:$E$500="Next")+($E$5:$E$500="In Progress")+($E$5:$E$500="Captured"))*($D$5:$D$500&lt;&gt;""))&gt;0),-500,VLOOKUP($F347,Lists!$L$2:$M$4,2,FALSE)+IF($E347="In Progress",10,0)+IF(AND($I347&lt;&gt;"",$I347&lt;TODAY()),25,0)+IF(AND($I347&lt;&gt;"",$I347&gt;=TODAY(),$I347&lt;=TODAY()+7),15,0)+IF($M347&lt;=VLOOKUP(Home!$C$7,Lists!$N$2:$O$6,2,FALSE),20,-10)+IF($G347=Home!$E$7,15,IF(Home!$E$7="",0,-5))-ROW()/100000)))</f>
        <v/>
      </c>
      <c r="O347" s="88">
        <f>IF($D347="","",IF($N347&lt;=-500,"Not recommended right now",IF($E347="Waiting","Nothing else actionable right now — Waiting on: "&amp;IF($K347="","this item",$K347),TEXTJOIN(" • ",TRUE,IF($F347="High","High Priority",""),IF(AND($I347&lt;&gt;"",$I347&lt;TODAY()),"Overdue",""),IF(AND($I347&lt;&gt;"",$I347&gt;=TODAY(),$I347&lt;=TODAY()+7),"Due This Week",""),IF($M347&lt;=VLOOKUP(Home!$C$7,Lists!$N$2:$O$6,2,FALSE),$H347&amp;" Task",""),IF($G347=Home!$E$7,"Fits Current Energy",""),"No Blockers"))))</f>
        <v/>
      </c>
      <c r="P347" s="88">
        <f>IF($D347="","",SWITCH('Task Finder'!$C$6,"High Priority",AND($F347="High",$E347&lt;&gt;"Done",$E347&lt;&gt;"Archive"),"Due This Week",AND($I347&lt;&gt;"",$I347&gt;=TODAY(),$I347&lt;=TODAY()+7,$E347&lt;&gt;"Done"),"Quick Wins (15 mins or less)",AND($M347&lt;=15,$E347&lt;&gt;"Done",$E347&lt;&gt;"Blocked"),"Deep Thinking",AND($G347="Deep Thinking",$E347&lt;&gt;"Done"),"Processing",AND($G347="Processing",$E347&lt;&gt;"Done"),"Blocked",$E347="Blocked","Waiting",$E347="Waiting","Recently Updated",AND($L347&lt;&gt;"",$L347&gt;=TODAY()-7),"Keyword",AND('Task Finder'!$C$7&lt;&gt;"",OR(ISNUMBER(SEARCH('Task Finder'!$C$7,$A347)),ISNUMBER(SEARCH('Task Finder'!$C$7,$B347)),ISNUMBER(SEARCH('Task Finder'!$C$7,$C347)),ISNUMBER(SEARCH('Task Finder'!$C$7,$D347)),ISNUMBER(SEARCH('Task Finder'!$C$7,$K347)))),TRUE))</f>
        <v/>
      </c>
    </row>
    <row r="348">
      <c r="A348" s="19" t="n"/>
      <c r="B348" s="19" t="n"/>
      <c r="C348" s="19" t="n"/>
      <c r="D348" s="19" t="n"/>
      <c r="E348" s="19" t="n"/>
      <c r="F348" s="19" t="n"/>
      <c r="G348" s="19" t="n"/>
      <c r="H348" s="19" t="n"/>
      <c r="I348" s="19" t="n"/>
      <c r="J348" s="19" t="n"/>
      <c r="K348" s="19" t="n"/>
      <c r="L348" s="125" t="n"/>
      <c r="M348" s="88">
        <f>IF($D348="","",IFERROR(VLOOKUP($H348,Lists!$N$2:$O$6,2,FALSE),0))</f>
        <v/>
      </c>
      <c r="N348" s="88">
        <f>IF($D348="","",IF(OR($E348="Blocked",$E348="Done",$E348="Archive"),-9999,IF(AND($E348="Waiting",SUMPRODUCT((($E$5:$E$500="Next")+($E$5:$E$500="In Progress")+($E$5:$E$500="Captured"))*($D$5:$D$500&lt;&gt;""))&gt;0),-500,VLOOKUP($F348,Lists!$L$2:$M$4,2,FALSE)+IF($E348="In Progress",10,0)+IF(AND($I348&lt;&gt;"",$I348&lt;TODAY()),25,0)+IF(AND($I348&lt;&gt;"",$I348&gt;=TODAY(),$I348&lt;=TODAY()+7),15,0)+IF($M348&lt;=VLOOKUP(Home!$C$7,Lists!$N$2:$O$6,2,FALSE),20,-10)+IF($G348=Home!$E$7,15,IF(Home!$E$7="",0,-5))-ROW()/100000)))</f>
        <v/>
      </c>
      <c r="O348" s="88">
        <f>IF($D348="","",IF($N348&lt;=-500,"Not recommended right now",IF($E348="Waiting","Nothing else actionable right now — Waiting on: "&amp;IF($K348="","this item",$K348),TEXTJOIN(" • ",TRUE,IF($F348="High","High Priority",""),IF(AND($I348&lt;&gt;"",$I348&lt;TODAY()),"Overdue",""),IF(AND($I348&lt;&gt;"",$I348&gt;=TODAY(),$I348&lt;=TODAY()+7),"Due This Week",""),IF($M348&lt;=VLOOKUP(Home!$C$7,Lists!$N$2:$O$6,2,FALSE),$H348&amp;" Task",""),IF($G348=Home!$E$7,"Fits Current Energy",""),"No Blockers"))))</f>
        <v/>
      </c>
      <c r="P348" s="88">
        <f>IF($D348="","",SWITCH('Task Finder'!$C$6,"High Priority",AND($F348="High",$E348&lt;&gt;"Done",$E348&lt;&gt;"Archive"),"Due This Week",AND($I348&lt;&gt;"",$I348&gt;=TODAY(),$I348&lt;=TODAY()+7,$E348&lt;&gt;"Done"),"Quick Wins (15 mins or less)",AND($M348&lt;=15,$E348&lt;&gt;"Done",$E348&lt;&gt;"Blocked"),"Deep Thinking",AND($G348="Deep Thinking",$E348&lt;&gt;"Done"),"Processing",AND($G348="Processing",$E348&lt;&gt;"Done"),"Blocked",$E348="Blocked","Waiting",$E348="Waiting","Recently Updated",AND($L348&lt;&gt;"",$L348&gt;=TODAY()-7),"Keyword",AND('Task Finder'!$C$7&lt;&gt;"",OR(ISNUMBER(SEARCH('Task Finder'!$C$7,$A348)),ISNUMBER(SEARCH('Task Finder'!$C$7,$B348)),ISNUMBER(SEARCH('Task Finder'!$C$7,$C348)),ISNUMBER(SEARCH('Task Finder'!$C$7,$D348)),ISNUMBER(SEARCH('Task Finder'!$C$7,$K348)))),TRUE))</f>
        <v/>
      </c>
    </row>
    <row r="349">
      <c r="A349" s="19" t="n"/>
      <c r="B349" s="19" t="n"/>
      <c r="C349" s="19" t="n"/>
      <c r="D349" s="19" t="n"/>
      <c r="E349" s="19" t="n"/>
      <c r="F349" s="19" t="n"/>
      <c r="G349" s="19" t="n"/>
      <c r="H349" s="19" t="n"/>
      <c r="I349" s="19" t="n"/>
      <c r="J349" s="19" t="n"/>
      <c r="K349" s="19" t="n"/>
      <c r="L349" s="125" t="n"/>
      <c r="M349" s="88">
        <f>IF($D349="","",IFERROR(VLOOKUP($H349,Lists!$N$2:$O$6,2,FALSE),0))</f>
        <v/>
      </c>
      <c r="N349" s="88">
        <f>IF($D349="","",IF(OR($E349="Blocked",$E349="Done",$E349="Archive"),-9999,IF(AND($E349="Waiting",SUMPRODUCT((($E$5:$E$500="Next")+($E$5:$E$500="In Progress")+($E$5:$E$500="Captured"))*($D$5:$D$500&lt;&gt;""))&gt;0),-500,VLOOKUP($F349,Lists!$L$2:$M$4,2,FALSE)+IF($E349="In Progress",10,0)+IF(AND($I349&lt;&gt;"",$I349&lt;TODAY()),25,0)+IF(AND($I349&lt;&gt;"",$I349&gt;=TODAY(),$I349&lt;=TODAY()+7),15,0)+IF($M349&lt;=VLOOKUP(Home!$C$7,Lists!$N$2:$O$6,2,FALSE),20,-10)+IF($G349=Home!$E$7,15,IF(Home!$E$7="",0,-5))-ROW()/100000)))</f>
        <v/>
      </c>
      <c r="O349" s="88">
        <f>IF($D349="","",IF($N349&lt;=-500,"Not recommended right now",IF($E349="Waiting","Nothing else actionable right now — Waiting on: "&amp;IF($K349="","this item",$K349),TEXTJOIN(" • ",TRUE,IF($F349="High","High Priority",""),IF(AND($I349&lt;&gt;"",$I349&lt;TODAY()),"Overdue",""),IF(AND($I349&lt;&gt;"",$I349&gt;=TODAY(),$I349&lt;=TODAY()+7),"Due This Week",""),IF($M349&lt;=VLOOKUP(Home!$C$7,Lists!$N$2:$O$6,2,FALSE),$H349&amp;" Task",""),IF($G349=Home!$E$7,"Fits Current Energy",""),"No Blockers"))))</f>
        <v/>
      </c>
      <c r="P349" s="88">
        <f>IF($D349="","",SWITCH('Task Finder'!$C$6,"High Priority",AND($F349="High",$E349&lt;&gt;"Done",$E349&lt;&gt;"Archive"),"Due This Week",AND($I349&lt;&gt;"",$I349&gt;=TODAY(),$I349&lt;=TODAY()+7,$E349&lt;&gt;"Done"),"Quick Wins (15 mins or less)",AND($M349&lt;=15,$E349&lt;&gt;"Done",$E349&lt;&gt;"Blocked"),"Deep Thinking",AND($G349="Deep Thinking",$E349&lt;&gt;"Done"),"Processing",AND($G349="Processing",$E349&lt;&gt;"Done"),"Blocked",$E349="Blocked","Waiting",$E349="Waiting","Recently Updated",AND($L349&lt;&gt;"",$L349&gt;=TODAY()-7),"Keyword",AND('Task Finder'!$C$7&lt;&gt;"",OR(ISNUMBER(SEARCH('Task Finder'!$C$7,$A349)),ISNUMBER(SEARCH('Task Finder'!$C$7,$B349)),ISNUMBER(SEARCH('Task Finder'!$C$7,$C349)),ISNUMBER(SEARCH('Task Finder'!$C$7,$D349)),ISNUMBER(SEARCH('Task Finder'!$C$7,$K349)))),TRUE))</f>
        <v/>
      </c>
    </row>
    <row r="350">
      <c r="A350" s="19" t="n"/>
      <c r="B350" s="19" t="n"/>
      <c r="C350" s="19" t="n"/>
      <c r="D350" s="19" t="n"/>
      <c r="E350" s="19" t="n"/>
      <c r="F350" s="19" t="n"/>
      <c r="G350" s="19" t="n"/>
      <c r="H350" s="19" t="n"/>
      <c r="I350" s="19" t="n"/>
      <c r="J350" s="19" t="n"/>
      <c r="K350" s="19" t="n"/>
      <c r="L350" s="125" t="n"/>
      <c r="M350" s="88">
        <f>IF($D350="","",IFERROR(VLOOKUP($H350,Lists!$N$2:$O$6,2,FALSE),0))</f>
        <v/>
      </c>
      <c r="N350" s="88">
        <f>IF($D350="","",IF(OR($E350="Blocked",$E350="Done",$E350="Archive"),-9999,IF(AND($E350="Waiting",SUMPRODUCT((($E$5:$E$500="Next")+($E$5:$E$500="In Progress")+($E$5:$E$500="Captured"))*($D$5:$D$500&lt;&gt;""))&gt;0),-500,VLOOKUP($F350,Lists!$L$2:$M$4,2,FALSE)+IF($E350="In Progress",10,0)+IF(AND($I350&lt;&gt;"",$I350&lt;TODAY()),25,0)+IF(AND($I350&lt;&gt;"",$I350&gt;=TODAY(),$I350&lt;=TODAY()+7),15,0)+IF($M350&lt;=VLOOKUP(Home!$C$7,Lists!$N$2:$O$6,2,FALSE),20,-10)+IF($G350=Home!$E$7,15,IF(Home!$E$7="",0,-5))-ROW()/100000)))</f>
        <v/>
      </c>
      <c r="O350" s="88">
        <f>IF($D350="","",IF($N350&lt;=-500,"Not recommended right now",IF($E350="Waiting","Nothing else actionable right now — Waiting on: "&amp;IF($K350="","this item",$K350),TEXTJOIN(" • ",TRUE,IF($F350="High","High Priority",""),IF(AND($I350&lt;&gt;"",$I350&lt;TODAY()),"Overdue",""),IF(AND($I350&lt;&gt;"",$I350&gt;=TODAY(),$I350&lt;=TODAY()+7),"Due This Week",""),IF($M350&lt;=VLOOKUP(Home!$C$7,Lists!$N$2:$O$6,2,FALSE),$H350&amp;" Task",""),IF($G350=Home!$E$7,"Fits Current Energy",""),"No Blockers"))))</f>
        <v/>
      </c>
      <c r="P350" s="88">
        <f>IF($D350="","",SWITCH('Task Finder'!$C$6,"High Priority",AND($F350="High",$E350&lt;&gt;"Done",$E350&lt;&gt;"Archive"),"Due This Week",AND($I350&lt;&gt;"",$I350&gt;=TODAY(),$I350&lt;=TODAY()+7,$E350&lt;&gt;"Done"),"Quick Wins (15 mins or less)",AND($M350&lt;=15,$E350&lt;&gt;"Done",$E350&lt;&gt;"Blocked"),"Deep Thinking",AND($G350="Deep Thinking",$E350&lt;&gt;"Done"),"Processing",AND($G350="Processing",$E350&lt;&gt;"Done"),"Blocked",$E350="Blocked","Waiting",$E350="Waiting","Recently Updated",AND($L350&lt;&gt;"",$L350&gt;=TODAY()-7),"Keyword",AND('Task Finder'!$C$7&lt;&gt;"",OR(ISNUMBER(SEARCH('Task Finder'!$C$7,$A350)),ISNUMBER(SEARCH('Task Finder'!$C$7,$B350)),ISNUMBER(SEARCH('Task Finder'!$C$7,$C350)),ISNUMBER(SEARCH('Task Finder'!$C$7,$D350)),ISNUMBER(SEARCH('Task Finder'!$C$7,$K350)))),TRUE))</f>
        <v/>
      </c>
    </row>
    <row r="351">
      <c r="A351" s="19" t="n"/>
      <c r="B351" s="19" t="n"/>
      <c r="C351" s="19" t="n"/>
      <c r="D351" s="19" t="n"/>
      <c r="E351" s="19" t="n"/>
      <c r="F351" s="19" t="n"/>
      <c r="G351" s="19" t="n"/>
      <c r="H351" s="19" t="n"/>
      <c r="I351" s="19" t="n"/>
      <c r="J351" s="19" t="n"/>
      <c r="K351" s="19" t="n"/>
      <c r="L351" s="125" t="n"/>
      <c r="M351" s="88">
        <f>IF($D351="","",IFERROR(VLOOKUP($H351,Lists!$N$2:$O$6,2,FALSE),0))</f>
        <v/>
      </c>
      <c r="N351" s="88">
        <f>IF($D351="","",IF(OR($E351="Blocked",$E351="Done",$E351="Archive"),-9999,IF(AND($E351="Waiting",SUMPRODUCT((($E$5:$E$500="Next")+($E$5:$E$500="In Progress")+($E$5:$E$500="Captured"))*($D$5:$D$500&lt;&gt;""))&gt;0),-500,VLOOKUP($F351,Lists!$L$2:$M$4,2,FALSE)+IF($E351="In Progress",10,0)+IF(AND($I351&lt;&gt;"",$I351&lt;TODAY()),25,0)+IF(AND($I351&lt;&gt;"",$I351&gt;=TODAY(),$I351&lt;=TODAY()+7),15,0)+IF($M351&lt;=VLOOKUP(Home!$C$7,Lists!$N$2:$O$6,2,FALSE),20,-10)+IF($G351=Home!$E$7,15,IF(Home!$E$7="",0,-5))-ROW()/100000)))</f>
        <v/>
      </c>
      <c r="O351" s="88">
        <f>IF($D351="","",IF($N351&lt;=-500,"Not recommended right now",IF($E351="Waiting","Nothing else actionable right now — Waiting on: "&amp;IF($K351="","this item",$K351),TEXTJOIN(" • ",TRUE,IF($F351="High","High Priority",""),IF(AND($I351&lt;&gt;"",$I351&lt;TODAY()),"Overdue",""),IF(AND($I351&lt;&gt;"",$I351&gt;=TODAY(),$I351&lt;=TODAY()+7),"Due This Week",""),IF($M351&lt;=VLOOKUP(Home!$C$7,Lists!$N$2:$O$6,2,FALSE),$H351&amp;" Task",""),IF($G351=Home!$E$7,"Fits Current Energy",""),"No Blockers"))))</f>
        <v/>
      </c>
      <c r="P351" s="88">
        <f>IF($D351="","",SWITCH('Task Finder'!$C$6,"High Priority",AND($F351="High",$E351&lt;&gt;"Done",$E351&lt;&gt;"Archive"),"Due This Week",AND($I351&lt;&gt;"",$I351&gt;=TODAY(),$I351&lt;=TODAY()+7,$E351&lt;&gt;"Done"),"Quick Wins (15 mins or less)",AND($M351&lt;=15,$E351&lt;&gt;"Done",$E351&lt;&gt;"Blocked"),"Deep Thinking",AND($G351="Deep Thinking",$E351&lt;&gt;"Done"),"Processing",AND($G351="Processing",$E351&lt;&gt;"Done"),"Blocked",$E351="Blocked","Waiting",$E351="Waiting","Recently Updated",AND($L351&lt;&gt;"",$L351&gt;=TODAY()-7),"Keyword",AND('Task Finder'!$C$7&lt;&gt;"",OR(ISNUMBER(SEARCH('Task Finder'!$C$7,$A351)),ISNUMBER(SEARCH('Task Finder'!$C$7,$B351)),ISNUMBER(SEARCH('Task Finder'!$C$7,$C351)),ISNUMBER(SEARCH('Task Finder'!$C$7,$D351)),ISNUMBER(SEARCH('Task Finder'!$C$7,$K351)))),TRUE))</f>
        <v/>
      </c>
    </row>
    <row r="352">
      <c r="A352" s="19" t="n"/>
      <c r="B352" s="19" t="n"/>
      <c r="C352" s="19" t="n"/>
      <c r="D352" s="19" t="n"/>
      <c r="E352" s="19" t="n"/>
      <c r="F352" s="19" t="n"/>
      <c r="G352" s="19" t="n"/>
      <c r="H352" s="19" t="n"/>
      <c r="I352" s="19" t="n"/>
      <c r="J352" s="19" t="n"/>
      <c r="K352" s="19" t="n"/>
      <c r="L352" s="125" t="n"/>
      <c r="M352" s="88">
        <f>IF($D352="","",IFERROR(VLOOKUP($H352,Lists!$N$2:$O$6,2,FALSE),0))</f>
        <v/>
      </c>
      <c r="N352" s="88">
        <f>IF($D352="","",IF(OR($E352="Blocked",$E352="Done",$E352="Archive"),-9999,IF(AND($E352="Waiting",SUMPRODUCT((($E$5:$E$500="Next")+($E$5:$E$500="In Progress")+($E$5:$E$500="Captured"))*($D$5:$D$500&lt;&gt;""))&gt;0),-500,VLOOKUP($F352,Lists!$L$2:$M$4,2,FALSE)+IF($E352="In Progress",10,0)+IF(AND($I352&lt;&gt;"",$I352&lt;TODAY()),25,0)+IF(AND($I352&lt;&gt;"",$I352&gt;=TODAY(),$I352&lt;=TODAY()+7),15,0)+IF($M352&lt;=VLOOKUP(Home!$C$7,Lists!$N$2:$O$6,2,FALSE),20,-10)+IF($G352=Home!$E$7,15,IF(Home!$E$7="",0,-5))-ROW()/100000)))</f>
        <v/>
      </c>
      <c r="O352" s="88">
        <f>IF($D352="","",IF($N352&lt;=-500,"Not recommended right now",IF($E352="Waiting","Nothing else actionable right now — Waiting on: "&amp;IF($K352="","this item",$K352),TEXTJOIN(" • ",TRUE,IF($F352="High","High Priority",""),IF(AND($I352&lt;&gt;"",$I352&lt;TODAY()),"Overdue",""),IF(AND($I352&lt;&gt;"",$I352&gt;=TODAY(),$I352&lt;=TODAY()+7),"Due This Week",""),IF($M352&lt;=VLOOKUP(Home!$C$7,Lists!$N$2:$O$6,2,FALSE),$H352&amp;" Task",""),IF($G352=Home!$E$7,"Fits Current Energy",""),"No Blockers"))))</f>
        <v/>
      </c>
      <c r="P352" s="88">
        <f>IF($D352="","",SWITCH('Task Finder'!$C$6,"High Priority",AND($F352="High",$E352&lt;&gt;"Done",$E352&lt;&gt;"Archive"),"Due This Week",AND($I352&lt;&gt;"",$I352&gt;=TODAY(),$I352&lt;=TODAY()+7,$E352&lt;&gt;"Done"),"Quick Wins (15 mins or less)",AND($M352&lt;=15,$E352&lt;&gt;"Done",$E352&lt;&gt;"Blocked"),"Deep Thinking",AND($G352="Deep Thinking",$E352&lt;&gt;"Done"),"Processing",AND($G352="Processing",$E352&lt;&gt;"Done"),"Blocked",$E352="Blocked","Waiting",$E352="Waiting","Recently Updated",AND($L352&lt;&gt;"",$L352&gt;=TODAY()-7),"Keyword",AND('Task Finder'!$C$7&lt;&gt;"",OR(ISNUMBER(SEARCH('Task Finder'!$C$7,$A352)),ISNUMBER(SEARCH('Task Finder'!$C$7,$B352)),ISNUMBER(SEARCH('Task Finder'!$C$7,$C352)),ISNUMBER(SEARCH('Task Finder'!$C$7,$D352)),ISNUMBER(SEARCH('Task Finder'!$C$7,$K352)))),TRUE))</f>
        <v/>
      </c>
    </row>
    <row r="353">
      <c r="A353" s="19" t="n"/>
      <c r="B353" s="19" t="n"/>
      <c r="C353" s="19" t="n"/>
      <c r="D353" s="19" t="n"/>
      <c r="E353" s="19" t="n"/>
      <c r="F353" s="19" t="n"/>
      <c r="G353" s="19" t="n"/>
      <c r="H353" s="19" t="n"/>
      <c r="I353" s="19" t="n"/>
      <c r="J353" s="19" t="n"/>
      <c r="K353" s="19" t="n"/>
      <c r="L353" s="125" t="n"/>
      <c r="M353" s="88">
        <f>IF($D353="","",IFERROR(VLOOKUP($H353,Lists!$N$2:$O$6,2,FALSE),0))</f>
        <v/>
      </c>
      <c r="N353" s="88">
        <f>IF($D353="","",IF(OR($E353="Blocked",$E353="Done",$E353="Archive"),-9999,IF(AND($E353="Waiting",SUMPRODUCT((($E$5:$E$500="Next")+($E$5:$E$500="In Progress")+($E$5:$E$500="Captured"))*($D$5:$D$500&lt;&gt;""))&gt;0),-500,VLOOKUP($F353,Lists!$L$2:$M$4,2,FALSE)+IF($E353="In Progress",10,0)+IF(AND($I353&lt;&gt;"",$I353&lt;TODAY()),25,0)+IF(AND($I353&lt;&gt;"",$I353&gt;=TODAY(),$I353&lt;=TODAY()+7),15,0)+IF($M353&lt;=VLOOKUP(Home!$C$7,Lists!$N$2:$O$6,2,FALSE),20,-10)+IF($G353=Home!$E$7,15,IF(Home!$E$7="",0,-5))-ROW()/100000)))</f>
        <v/>
      </c>
      <c r="O353" s="88">
        <f>IF($D353="","",IF($N353&lt;=-500,"Not recommended right now",IF($E353="Waiting","Nothing else actionable right now — Waiting on: "&amp;IF($K353="","this item",$K353),TEXTJOIN(" • ",TRUE,IF($F353="High","High Priority",""),IF(AND($I353&lt;&gt;"",$I353&lt;TODAY()),"Overdue",""),IF(AND($I353&lt;&gt;"",$I353&gt;=TODAY(),$I353&lt;=TODAY()+7),"Due This Week",""),IF($M353&lt;=VLOOKUP(Home!$C$7,Lists!$N$2:$O$6,2,FALSE),$H353&amp;" Task",""),IF($G353=Home!$E$7,"Fits Current Energy",""),"No Blockers"))))</f>
        <v/>
      </c>
      <c r="P353" s="88">
        <f>IF($D353="","",SWITCH('Task Finder'!$C$6,"High Priority",AND($F353="High",$E353&lt;&gt;"Done",$E353&lt;&gt;"Archive"),"Due This Week",AND($I353&lt;&gt;"",$I353&gt;=TODAY(),$I353&lt;=TODAY()+7,$E353&lt;&gt;"Done"),"Quick Wins (15 mins or less)",AND($M353&lt;=15,$E353&lt;&gt;"Done",$E353&lt;&gt;"Blocked"),"Deep Thinking",AND($G353="Deep Thinking",$E353&lt;&gt;"Done"),"Processing",AND($G353="Processing",$E353&lt;&gt;"Done"),"Blocked",$E353="Blocked","Waiting",$E353="Waiting","Recently Updated",AND($L353&lt;&gt;"",$L353&gt;=TODAY()-7),"Keyword",AND('Task Finder'!$C$7&lt;&gt;"",OR(ISNUMBER(SEARCH('Task Finder'!$C$7,$A353)),ISNUMBER(SEARCH('Task Finder'!$C$7,$B353)),ISNUMBER(SEARCH('Task Finder'!$C$7,$C353)),ISNUMBER(SEARCH('Task Finder'!$C$7,$D353)),ISNUMBER(SEARCH('Task Finder'!$C$7,$K353)))),TRUE))</f>
        <v/>
      </c>
    </row>
    <row r="354">
      <c r="A354" s="19" t="n"/>
      <c r="B354" s="19" t="n"/>
      <c r="C354" s="19" t="n"/>
      <c r="D354" s="19" t="n"/>
      <c r="E354" s="19" t="n"/>
      <c r="F354" s="19" t="n"/>
      <c r="G354" s="19" t="n"/>
      <c r="H354" s="19" t="n"/>
      <c r="I354" s="19" t="n"/>
      <c r="J354" s="19" t="n"/>
      <c r="K354" s="19" t="n"/>
      <c r="L354" s="125" t="n"/>
      <c r="M354" s="88">
        <f>IF($D354="","",IFERROR(VLOOKUP($H354,Lists!$N$2:$O$6,2,FALSE),0))</f>
        <v/>
      </c>
      <c r="N354" s="88">
        <f>IF($D354="","",IF(OR($E354="Blocked",$E354="Done",$E354="Archive"),-9999,IF(AND($E354="Waiting",SUMPRODUCT((($E$5:$E$500="Next")+($E$5:$E$500="In Progress")+($E$5:$E$500="Captured"))*($D$5:$D$500&lt;&gt;""))&gt;0),-500,VLOOKUP($F354,Lists!$L$2:$M$4,2,FALSE)+IF($E354="In Progress",10,0)+IF(AND($I354&lt;&gt;"",$I354&lt;TODAY()),25,0)+IF(AND($I354&lt;&gt;"",$I354&gt;=TODAY(),$I354&lt;=TODAY()+7),15,0)+IF($M354&lt;=VLOOKUP(Home!$C$7,Lists!$N$2:$O$6,2,FALSE),20,-10)+IF($G354=Home!$E$7,15,IF(Home!$E$7="",0,-5))-ROW()/100000)))</f>
        <v/>
      </c>
      <c r="O354" s="88">
        <f>IF($D354="","",IF($N354&lt;=-500,"Not recommended right now",IF($E354="Waiting","Nothing else actionable right now — Waiting on: "&amp;IF($K354="","this item",$K354),TEXTJOIN(" • ",TRUE,IF($F354="High","High Priority",""),IF(AND($I354&lt;&gt;"",$I354&lt;TODAY()),"Overdue",""),IF(AND($I354&lt;&gt;"",$I354&gt;=TODAY(),$I354&lt;=TODAY()+7),"Due This Week",""),IF($M354&lt;=VLOOKUP(Home!$C$7,Lists!$N$2:$O$6,2,FALSE),$H354&amp;" Task",""),IF($G354=Home!$E$7,"Fits Current Energy",""),"No Blockers"))))</f>
        <v/>
      </c>
      <c r="P354" s="88">
        <f>IF($D354="","",SWITCH('Task Finder'!$C$6,"High Priority",AND($F354="High",$E354&lt;&gt;"Done",$E354&lt;&gt;"Archive"),"Due This Week",AND($I354&lt;&gt;"",$I354&gt;=TODAY(),$I354&lt;=TODAY()+7,$E354&lt;&gt;"Done"),"Quick Wins (15 mins or less)",AND($M354&lt;=15,$E354&lt;&gt;"Done",$E354&lt;&gt;"Blocked"),"Deep Thinking",AND($G354="Deep Thinking",$E354&lt;&gt;"Done"),"Processing",AND($G354="Processing",$E354&lt;&gt;"Done"),"Blocked",$E354="Blocked","Waiting",$E354="Waiting","Recently Updated",AND($L354&lt;&gt;"",$L354&gt;=TODAY()-7),"Keyword",AND('Task Finder'!$C$7&lt;&gt;"",OR(ISNUMBER(SEARCH('Task Finder'!$C$7,$A354)),ISNUMBER(SEARCH('Task Finder'!$C$7,$B354)),ISNUMBER(SEARCH('Task Finder'!$C$7,$C354)),ISNUMBER(SEARCH('Task Finder'!$C$7,$D354)),ISNUMBER(SEARCH('Task Finder'!$C$7,$K354)))),TRUE))</f>
        <v/>
      </c>
    </row>
    <row r="355">
      <c r="A355" s="19" t="n"/>
      <c r="B355" s="19" t="n"/>
      <c r="C355" s="19" t="n"/>
      <c r="D355" s="19" t="n"/>
      <c r="E355" s="19" t="n"/>
      <c r="F355" s="19" t="n"/>
      <c r="G355" s="19" t="n"/>
      <c r="H355" s="19" t="n"/>
      <c r="I355" s="19" t="n"/>
      <c r="J355" s="19" t="n"/>
      <c r="K355" s="19" t="n"/>
      <c r="L355" s="125" t="n"/>
      <c r="M355" s="88">
        <f>IF($D355="","",IFERROR(VLOOKUP($H355,Lists!$N$2:$O$6,2,FALSE),0))</f>
        <v/>
      </c>
      <c r="N355" s="88">
        <f>IF($D355="","",IF(OR($E355="Blocked",$E355="Done",$E355="Archive"),-9999,IF(AND($E355="Waiting",SUMPRODUCT((($E$5:$E$500="Next")+($E$5:$E$500="In Progress")+($E$5:$E$500="Captured"))*($D$5:$D$500&lt;&gt;""))&gt;0),-500,VLOOKUP($F355,Lists!$L$2:$M$4,2,FALSE)+IF($E355="In Progress",10,0)+IF(AND($I355&lt;&gt;"",$I355&lt;TODAY()),25,0)+IF(AND($I355&lt;&gt;"",$I355&gt;=TODAY(),$I355&lt;=TODAY()+7),15,0)+IF($M355&lt;=VLOOKUP(Home!$C$7,Lists!$N$2:$O$6,2,FALSE),20,-10)+IF($G355=Home!$E$7,15,IF(Home!$E$7="",0,-5))-ROW()/100000)))</f>
        <v/>
      </c>
      <c r="O355" s="88">
        <f>IF($D355="","",IF($N355&lt;=-500,"Not recommended right now",IF($E355="Waiting","Nothing else actionable right now — Waiting on: "&amp;IF($K355="","this item",$K355),TEXTJOIN(" • ",TRUE,IF($F355="High","High Priority",""),IF(AND($I355&lt;&gt;"",$I355&lt;TODAY()),"Overdue",""),IF(AND($I355&lt;&gt;"",$I355&gt;=TODAY(),$I355&lt;=TODAY()+7),"Due This Week",""),IF($M355&lt;=VLOOKUP(Home!$C$7,Lists!$N$2:$O$6,2,FALSE),$H355&amp;" Task",""),IF($G355=Home!$E$7,"Fits Current Energy",""),"No Blockers"))))</f>
        <v/>
      </c>
      <c r="P355" s="88">
        <f>IF($D355="","",SWITCH('Task Finder'!$C$6,"High Priority",AND($F355="High",$E355&lt;&gt;"Done",$E355&lt;&gt;"Archive"),"Due This Week",AND($I355&lt;&gt;"",$I355&gt;=TODAY(),$I355&lt;=TODAY()+7,$E355&lt;&gt;"Done"),"Quick Wins (15 mins or less)",AND($M355&lt;=15,$E355&lt;&gt;"Done",$E355&lt;&gt;"Blocked"),"Deep Thinking",AND($G355="Deep Thinking",$E355&lt;&gt;"Done"),"Processing",AND($G355="Processing",$E355&lt;&gt;"Done"),"Blocked",$E355="Blocked","Waiting",$E355="Waiting","Recently Updated",AND($L355&lt;&gt;"",$L355&gt;=TODAY()-7),"Keyword",AND('Task Finder'!$C$7&lt;&gt;"",OR(ISNUMBER(SEARCH('Task Finder'!$C$7,$A355)),ISNUMBER(SEARCH('Task Finder'!$C$7,$B355)),ISNUMBER(SEARCH('Task Finder'!$C$7,$C355)),ISNUMBER(SEARCH('Task Finder'!$C$7,$D355)),ISNUMBER(SEARCH('Task Finder'!$C$7,$K355)))),TRUE))</f>
        <v/>
      </c>
    </row>
    <row r="356">
      <c r="A356" s="19" t="n"/>
      <c r="B356" s="19" t="n"/>
      <c r="C356" s="19" t="n"/>
      <c r="D356" s="19" t="n"/>
      <c r="E356" s="19" t="n"/>
      <c r="F356" s="19" t="n"/>
      <c r="G356" s="19" t="n"/>
      <c r="H356" s="19" t="n"/>
      <c r="I356" s="19" t="n"/>
      <c r="J356" s="19" t="n"/>
      <c r="K356" s="19" t="n"/>
      <c r="L356" s="125" t="n"/>
      <c r="M356" s="88">
        <f>IF($D356="","",IFERROR(VLOOKUP($H356,Lists!$N$2:$O$6,2,FALSE),0))</f>
        <v/>
      </c>
      <c r="N356" s="88">
        <f>IF($D356="","",IF(OR($E356="Blocked",$E356="Done",$E356="Archive"),-9999,IF(AND($E356="Waiting",SUMPRODUCT((($E$5:$E$500="Next")+($E$5:$E$500="In Progress")+($E$5:$E$500="Captured"))*($D$5:$D$500&lt;&gt;""))&gt;0),-500,VLOOKUP($F356,Lists!$L$2:$M$4,2,FALSE)+IF($E356="In Progress",10,0)+IF(AND($I356&lt;&gt;"",$I356&lt;TODAY()),25,0)+IF(AND($I356&lt;&gt;"",$I356&gt;=TODAY(),$I356&lt;=TODAY()+7),15,0)+IF($M356&lt;=VLOOKUP(Home!$C$7,Lists!$N$2:$O$6,2,FALSE),20,-10)+IF($G356=Home!$E$7,15,IF(Home!$E$7="",0,-5))-ROW()/100000)))</f>
        <v/>
      </c>
      <c r="O356" s="88">
        <f>IF($D356="","",IF($N356&lt;=-500,"Not recommended right now",IF($E356="Waiting","Nothing else actionable right now — Waiting on: "&amp;IF($K356="","this item",$K356),TEXTJOIN(" • ",TRUE,IF($F356="High","High Priority",""),IF(AND($I356&lt;&gt;"",$I356&lt;TODAY()),"Overdue",""),IF(AND($I356&lt;&gt;"",$I356&gt;=TODAY(),$I356&lt;=TODAY()+7),"Due This Week",""),IF($M356&lt;=VLOOKUP(Home!$C$7,Lists!$N$2:$O$6,2,FALSE),$H356&amp;" Task",""),IF($G356=Home!$E$7,"Fits Current Energy",""),"No Blockers"))))</f>
        <v/>
      </c>
      <c r="P356" s="88">
        <f>IF($D356="","",SWITCH('Task Finder'!$C$6,"High Priority",AND($F356="High",$E356&lt;&gt;"Done",$E356&lt;&gt;"Archive"),"Due This Week",AND($I356&lt;&gt;"",$I356&gt;=TODAY(),$I356&lt;=TODAY()+7,$E356&lt;&gt;"Done"),"Quick Wins (15 mins or less)",AND($M356&lt;=15,$E356&lt;&gt;"Done",$E356&lt;&gt;"Blocked"),"Deep Thinking",AND($G356="Deep Thinking",$E356&lt;&gt;"Done"),"Processing",AND($G356="Processing",$E356&lt;&gt;"Done"),"Blocked",$E356="Blocked","Waiting",$E356="Waiting","Recently Updated",AND($L356&lt;&gt;"",$L356&gt;=TODAY()-7),"Keyword",AND('Task Finder'!$C$7&lt;&gt;"",OR(ISNUMBER(SEARCH('Task Finder'!$C$7,$A356)),ISNUMBER(SEARCH('Task Finder'!$C$7,$B356)),ISNUMBER(SEARCH('Task Finder'!$C$7,$C356)),ISNUMBER(SEARCH('Task Finder'!$C$7,$D356)),ISNUMBER(SEARCH('Task Finder'!$C$7,$K356)))),TRUE))</f>
        <v/>
      </c>
    </row>
    <row r="357">
      <c r="A357" s="19" t="n"/>
      <c r="B357" s="19" t="n"/>
      <c r="C357" s="19" t="n"/>
      <c r="D357" s="19" t="n"/>
      <c r="E357" s="19" t="n"/>
      <c r="F357" s="19" t="n"/>
      <c r="G357" s="19" t="n"/>
      <c r="H357" s="19" t="n"/>
      <c r="I357" s="19" t="n"/>
      <c r="J357" s="19" t="n"/>
      <c r="K357" s="19" t="n"/>
      <c r="L357" s="125" t="n"/>
      <c r="M357" s="88">
        <f>IF($D357="","",IFERROR(VLOOKUP($H357,Lists!$N$2:$O$6,2,FALSE),0))</f>
        <v/>
      </c>
      <c r="N357" s="88">
        <f>IF($D357="","",IF(OR($E357="Blocked",$E357="Done",$E357="Archive"),-9999,IF(AND($E357="Waiting",SUMPRODUCT((($E$5:$E$500="Next")+($E$5:$E$500="In Progress")+($E$5:$E$500="Captured"))*($D$5:$D$500&lt;&gt;""))&gt;0),-500,VLOOKUP($F357,Lists!$L$2:$M$4,2,FALSE)+IF($E357="In Progress",10,0)+IF(AND($I357&lt;&gt;"",$I357&lt;TODAY()),25,0)+IF(AND($I357&lt;&gt;"",$I357&gt;=TODAY(),$I357&lt;=TODAY()+7),15,0)+IF($M357&lt;=VLOOKUP(Home!$C$7,Lists!$N$2:$O$6,2,FALSE),20,-10)+IF($G357=Home!$E$7,15,IF(Home!$E$7="",0,-5))-ROW()/100000)))</f>
        <v/>
      </c>
      <c r="O357" s="88">
        <f>IF($D357="","",IF($N357&lt;=-500,"Not recommended right now",IF($E357="Waiting","Nothing else actionable right now — Waiting on: "&amp;IF($K357="","this item",$K357),TEXTJOIN(" • ",TRUE,IF($F357="High","High Priority",""),IF(AND($I357&lt;&gt;"",$I357&lt;TODAY()),"Overdue",""),IF(AND($I357&lt;&gt;"",$I357&gt;=TODAY(),$I357&lt;=TODAY()+7),"Due This Week",""),IF($M357&lt;=VLOOKUP(Home!$C$7,Lists!$N$2:$O$6,2,FALSE),$H357&amp;" Task",""),IF($G357=Home!$E$7,"Fits Current Energy",""),"No Blockers"))))</f>
        <v/>
      </c>
      <c r="P357" s="88">
        <f>IF($D357="","",SWITCH('Task Finder'!$C$6,"High Priority",AND($F357="High",$E357&lt;&gt;"Done",$E357&lt;&gt;"Archive"),"Due This Week",AND($I357&lt;&gt;"",$I357&gt;=TODAY(),$I357&lt;=TODAY()+7,$E357&lt;&gt;"Done"),"Quick Wins (15 mins or less)",AND($M357&lt;=15,$E357&lt;&gt;"Done",$E357&lt;&gt;"Blocked"),"Deep Thinking",AND($G357="Deep Thinking",$E357&lt;&gt;"Done"),"Processing",AND($G357="Processing",$E357&lt;&gt;"Done"),"Blocked",$E357="Blocked","Waiting",$E357="Waiting","Recently Updated",AND($L357&lt;&gt;"",$L357&gt;=TODAY()-7),"Keyword",AND('Task Finder'!$C$7&lt;&gt;"",OR(ISNUMBER(SEARCH('Task Finder'!$C$7,$A357)),ISNUMBER(SEARCH('Task Finder'!$C$7,$B357)),ISNUMBER(SEARCH('Task Finder'!$C$7,$C357)),ISNUMBER(SEARCH('Task Finder'!$C$7,$D357)),ISNUMBER(SEARCH('Task Finder'!$C$7,$K357)))),TRUE))</f>
        <v/>
      </c>
    </row>
    <row r="358">
      <c r="A358" s="19" t="n"/>
      <c r="B358" s="19" t="n"/>
      <c r="C358" s="19" t="n"/>
      <c r="D358" s="19" t="n"/>
      <c r="E358" s="19" t="n"/>
      <c r="F358" s="19" t="n"/>
      <c r="G358" s="19" t="n"/>
      <c r="H358" s="19" t="n"/>
      <c r="I358" s="19" t="n"/>
      <c r="J358" s="19" t="n"/>
      <c r="K358" s="19" t="n"/>
      <c r="L358" s="125" t="n"/>
      <c r="M358" s="88">
        <f>IF($D358="","",IFERROR(VLOOKUP($H358,Lists!$N$2:$O$6,2,FALSE),0))</f>
        <v/>
      </c>
      <c r="N358" s="88">
        <f>IF($D358="","",IF(OR($E358="Blocked",$E358="Done",$E358="Archive"),-9999,IF(AND($E358="Waiting",SUMPRODUCT((($E$5:$E$500="Next")+($E$5:$E$500="In Progress")+($E$5:$E$500="Captured"))*($D$5:$D$500&lt;&gt;""))&gt;0),-500,VLOOKUP($F358,Lists!$L$2:$M$4,2,FALSE)+IF($E358="In Progress",10,0)+IF(AND($I358&lt;&gt;"",$I358&lt;TODAY()),25,0)+IF(AND($I358&lt;&gt;"",$I358&gt;=TODAY(),$I358&lt;=TODAY()+7),15,0)+IF($M358&lt;=VLOOKUP(Home!$C$7,Lists!$N$2:$O$6,2,FALSE),20,-10)+IF($G358=Home!$E$7,15,IF(Home!$E$7="",0,-5))-ROW()/100000)))</f>
        <v/>
      </c>
      <c r="O358" s="88">
        <f>IF($D358="","",IF($N358&lt;=-500,"Not recommended right now",IF($E358="Waiting","Nothing else actionable right now — Waiting on: "&amp;IF($K358="","this item",$K358),TEXTJOIN(" • ",TRUE,IF($F358="High","High Priority",""),IF(AND($I358&lt;&gt;"",$I358&lt;TODAY()),"Overdue",""),IF(AND($I358&lt;&gt;"",$I358&gt;=TODAY(),$I358&lt;=TODAY()+7),"Due This Week",""),IF($M358&lt;=VLOOKUP(Home!$C$7,Lists!$N$2:$O$6,2,FALSE),$H358&amp;" Task",""),IF($G358=Home!$E$7,"Fits Current Energy",""),"No Blockers"))))</f>
        <v/>
      </c>
      <c r="P358" s="88">
        <f>IF($D358="","",SWITCH('Task Finder'!$C$6,"High Priority",AND($F358="High",$E358&lt;&gt;"Done",$E358&lt;&gt;"Archive"),"Due This Week",AND($I358&lt;&gt;"",$I358&gt;=TODAY(),$I358&lt;=TODAY()+7,$E358&lt;&gt;"Done"),"Quick Wins (15 mins or less)",AND($M358&lt;=15,$E358&lt;&gt;"Done",$E358&lt;&gt;"Blocked"),"Deep Thinking",AND($G358="Deep Thinking",$E358&lt;&gt;"Done"),"Processing",AND($G358="Processing",$E358&lt;&gt;"Done"),"Blocked",$E358="Blocked","Waiting",$E358="Waiting","Recently Updated",AND($L358&lt;&gt;"",$L358&gt;=TODAY()-7),"Keyword",AND('Task Finder'!$C$7&lt;&gt;"",OR(ISNUMBER(SEARCH('Task Finder'!$C$7,$A358)),ISNUMBER(SEARCH('Task Finder'!$C$7,$B358)),ISNUMBER(SEARCH('Task Finder'!$C$7,$C358)),ISNUMBER(SEARCH('Task Finder'!$C$7,$D358)),ISNUMBER(SEARCH('Task Finder'!$C$7,$K358)))),TRUE))</f>
        <v/>
      </c>
    </row>
    <row r="359">
      <c r="A359" s="19" t="n"/>
      <c r="B359" s="19" t="n"/>
      <c r="C359" s="19" t="n"/>
      <c r="D359" s="19" t="n"/>
      <c r="E359" s="19" t="n"/>
      <c r="F359" s="19" t="n"/>
      <c r="G359" s="19" t="n"/>
      <c r="H359" s="19" t="n"/>
      <c r="I359" s="19" t="n"/>
      <c r="J359" s="19" t="n"/>
      <c r="K359" s="19" t="n"/>
      <c r="L359" s="125" t="n"/>
      <c r="M359" s="88">
        <f>IF($D359="","",IFERROR(VLOOKUP($H359,Lists!$N$2:$O$6,2,FALSE),0))</f>
        <v/>
      </c>
      <c r="N359" s="88">
        <f>IF($D359="","",IF(OR($E359="Blocked",$E359="Done",$E359="Archive"),-9999,IF(AND($E359="Waiting",SUMPRODUCT((($E$5:$E$500="Next")+($E$5:$E$500="In Progress")+($E$5:$E$500="Captured"))*($D$5:$D$500&lt;&gt;""))&gt;0),-500,VLOOKUP($F359,Lists!$L$2:$M$4,2,FALSE)+IF($E359="In Progress",10,0)+IF(AND($I359&lt;&gt;"",$I359&lt;TODAY()),25,0)+IF(AND($I359&lt;&gt;"",$I359&gt;=TODAY(),$I359&lt;=TODAY()+7),15,0)+IF($M359&lt;=VLOOKUP(Home!$C$7,Lists!$N$2:$O$6,2,FALSE),20,-10)+IF($G359=Home!$E$7,15,IF(Home!$E$7="",0,-5))-ROW()/100000)))</f>
        <v/>
      </c>
      <c r="O359" s="88">
        <f>IF($D359="","",IF($N359&lt;=-500,"Not recommended right now",IF($E359="Waiting","Nothing else actionable right now — Waiting on: "&amp;IF($K359="","this item",$K359),TEXTJOIN(" • ",TRUE,IF($F359="High","High Priority",""),IF(AND($I359&lt;&gt;"",$I359&lt;TODAY()),"Overdue",""),IF(AND($I359&lt;&gt;"",$I359&gt;=TODAY(),$I359&lt;=TODAY()+7),"Due This Week",""),IF($M359&lt;=VLOOKUP(Home!$C$7,Lists!$N$2:$O$6,2,FALSE),$H359&amp;" Task",""),IF($G359=Home!$E$7,"Fits Current Energy",""),"No Blockers"))))</f>
        <v/>
      </c>
      <c r="P359" s="88">
        <f>IF($D359="","",SWITCH('Task Finder'!$C$6,"High Priority",AND($F359="High",$E359&lt;&gt;"Done",$E359&lt;&gt;"Archive"),"Due This Week",AND($I359&lt;&gt;"",$I359&gt;=TODAY(),$I359&lt;=TODAY()+7,$E359&lt;&gt;"Done"),"Quick Wins (15 mins or less)",AND($M359&lt;=15,$E359&lt;&gt;"Done",$E359&lt;&gt;"Blocked"),"Deep Thinking",AND($G359="Deep Thinking",$E359&lt;&gt;"Done"),"Processing",AND($G359="Processing",$E359&lt;&gt;"Done"),"Blocked",$E359="Blocked","Waiting",$E359="Waiting","Recently Updated",AND($L359&lt;&gt;"",$L359&gt;=TODAY()-7),"Keyword",AND('Task Finder'!$C$7&lt;&gt;"",OR(ISNUMBER(SEARCH('Task Finder'!$C$7,$A359)),ISNUMBER(SEARCH('Task Finder'!$C$7,$B359)),ISNUMBER(SEARCH('Task Finder'!$C$7,$C359)),ISNUMBER(SEARCH('Task Finder'!$C$7,$D359)),ISNUMBER(SEARCH('Task Finder'!$C$7,$K359)))),TRUE))</f>
        <v/>
      </c>
    </row>
    <row r="360">
      <c r="A360" s="19" t="n"/>
      <c r="B360" s="19" t="n"/>
      <c r="C360" s="19" t="n"/>
      <c r="D360" s="19" t="n"/>
      <c r="E360" s="19" t="n"/>
      <c r="F360" s="19" t="n"/>
      <c r="G360" s="19" t="n"/>
      <c r="H360" s="19" t="n"/>
      <c r="I360" s="19" t="n"/>
      <c r="J360" s="19" t="n"/>
      <c r="K360" s="19" t="n"/>
      <c r="L360" s="125" t="n"/>
      <c r="M360" s="88">
        <f>IF($D360="","",IFERROR(VLOOKUP($H360,Lists!$N$2:$O$6,2,FALSE),0))</f>
        <v/>
      </c>
      <c r="N360" s="88">
        <f>IF($D360="","",IF(OR($E360="Blocked",$E360="Done",$E360="Archive"),-9999,IF(AND($E360="Waiting",SUMPRODUCT((($E$5:$E$500="Next")+($E$5:$E$500="In Progress")+($E$5:$E$500="Captured"))*($D$5:$D$500&lt;&gt;""))&gt;0),-500,VLOOKUP($F360,Lists!$L$2:$M$4,2,FALSE)+IF($E360="In Progress",10,0)+IF(AND($I360&lt;&gt;"",$I360&lt;TODAY()),25,0)+IF(AND($I360&lt;&gt;"",$I360&gt;=TODAY(),$I360&lt;=TODAY()+7),15,0)+IF($M360&lt;=VLOOKUP(Home!$C$7,Lists!$N$2:$O$6,2,FALSE),20,-10)+IF($G360=Home!$E$7,15,IF(Home!$E$7="",0,-5))-ROW()/100000)))</f>
        <v/>
      </c>
      <c r="O360" s="88">
        <f>IF($D360="","",IF($N360&lt;=-500,"Not recommended right now",IF($E360="Waiting","Nothing else actionable right now — Waiting on: "&amp;IF($K360="","this item",$K360),TEXTJOIN(" • ",TRUE,IF($F360="High","High Priority",""),IF(AND($I360&lt;&gt;"",$I360&lt;TODAY()),"Overdue",""),IF(AND($I360&lt;&gt;"",$I360&gt;=TODAY(),$I360&lt;=TODAY()+7),"Due This Week",""),IF($M360&lt;=VLOOKUP(Home!$C$7,Lists!$N$2:$O$6,2,FALSE),$H360&amp;" Task",""),IF($G360=Home!$E$7,"Fits Current Energy",""),"No Blockers"))))</f>
        <v/>
      </c>
      <c r="P360" s="88">
        <f>IF($D360="","",SWITCH('Task Finder'!$C$6,"High Priority",AND($F360="High",$E360&lt;&gt;"Done",$E360&lt;&gt;"Archive"),"Due This Week",AND($I360&lt;&gt;"",$I360&gt;=TODAY(),$I360&lt;=TODAY()+7,$E360&lt;&gt;"Done"),"Quick Wins (15 mins or less)",AND($M360&lt;=15,$E360&lt;&gt;"Done",$E360&lt;&gt;"Blocked"),"Deep Thinking",AND($G360="Deep Thinking",$E360&lt;&gt;"Done"),"Processing",AND($G360="Processing",$E360&lt;&gt;"Done"),"Blocked",$E360="Blocked","Waiting",$E360="Waiting","Recently Updated",AND($L360&lt;&gt;"",$L360&gt;=TODAY()-7),"Keyword",AND('Task Finder'!$C$7&lt;&gt;"",OR(ISNUMBER(SEARCH('Task Finder'!$C$7,$A360)),ISNUMBER(SEARCH('Task Finder'!$C$7,$B360)),ISNUMBER(SEARCH('Task Finder'!$C$7,$C360)),ISNUMBER(SEARCH('Task Finder'!$C$7,$D360)),ISNUMBER(SEARCH('Task Finder'!$C$7,$K360)))),TRUE))</f>
        <v/>
      </c>
    </row>
    <row r="361">
      <c r="A361" s="19" t="n"/>
      <c r="B361" s="19" t="n"/>
      <c r="C361" s="19" t="n"/>
      <c r="D361" s="19" t="n"/>
      <c r="E361" s="19" t="n"/>
      <c r="F361" s="19" t="n"/>
      <c r="G361" s="19" t="n"/>
      <c r="H361" s="19" t="n"/>
      <c r="I361" s="19" t="n"/>
      <c r="J361" s="19" t="n"/>
      <c r="K361" s="19" t="n"/>
      <c r="L361" s="125" t="n"/>
      <c r="M361" s="88">
        <f>IF($D361="","",IFERROR(VLOOKUP($H361,Lists!$N$2:$O$6,2,FALSE),0))</f>
        <v/>
      </c>
      <c r="N361" s="88">
        <f>IF($D361="","",IF(OR($E361="Blocked",$E361="Done",$E361="Archive"),-9999,IF(AND($E361="Waiting",SUMPRODUCT((($E$5:$E$500="Next")+($E$5:$E$500="In Progress")+($E$5:$E$500="Captured"))*($D$5:$D$500&lt;&gt;""))&gt;0),-500,VLOOKUP($F361,Lists!$L$2:$M$4,2,FALSE)+IF($E361="In Progress",10,0)+IF(AND($I361&lt;&gt;"",$I361&lt;TODAY()),25,0)+IF(AND($I361&lt;&gt;"",$I361&gt;=TODAY(),$I361&lt;=TODAY()+7),15,0)+IF($M361&lt;=VLOOKUP(Home!$C$7,Lists!$N$2:$O$6,2,FALSE),20,-10)+IF($G361=Home!$E$7,15,IF(Home!$E$7="",0,-5))-ROW()/100000)))</f>
        <v/>
      </c>
      <c r="O361" s="88">
        <f>IF($D361="","",IF($N361&lt;=-500,"Not recommended right now",IF($E361="Waiting","Nothing else actionable right now — Waiting on: "&amp;IF($K361="","this item",$K361),TEXTJOIN(" • ",TRUE,IF($F361="High","High Priority",""),IF(AND($I361&lt;&gt;"",$I361&lt;TODAY()),"Overdue",""),IF(AND($I361&lt;&gt;"",$I361&gt;=TODAY(),$I361&lt;=TODAY()+7),"Due This Week",""),IF($M361&lt;=VLOOKUP(Home!$C$7,Lists!$N$2:$O$6,2,FALSE),$H361&amp;" Task",""),IF($G361=Home!$E$7,"Fits Current Energy",""),"No Blockers"))))</f>
        <v/>
      </c>
      <c r="P361" s="88">
        <f>IF($D361="","",SWITCH('Task Finder'!$C$6,"High Priority",AND($F361="High",$E361&lt;&gt;"Done",$E361&lt;&gt;"Archive"),"Due This Week",AND($I361&lt;&gt;"",$I361&gt;=TODAY(),$I361&lt;=TODAY()+7,$E361&lt;&gt;"Done"),"Quick Wins (15 mins or less)",AND($M361&lt;=15,$E361&lt;&gt;"Done",$E361&lt;&gt;"Blocked"),"Deep Thinking",AND($G361="Deep Thinking",$E361&lt;&gt;"Done"),"Processing",AND($G361="Processing",$E361&lt;&gt;"Done"),"Blocked",$E361="Blocked","Waiting",$E361="Waiting","Recently Updated",AND($L361&lt;&gt;"",$L361&gt;=TODAY()-7),"Keyword",AND('Task Finder'!$C$7&lt;&gt;"",OR(ISNUMBER(SEARCH('Task Finder'!$C$7,$A361)),ISNUMBER(SEARCH('Task Finder'!$C$7,$B361)),ISNUMBER(SEARCH('Task Finder'!$C$7,$C361)),ISNUMBER(SEARCH('Task Finder'!$C$7,$D361)),ISNUMBER(SEARCH('Task Finder'!$C$7,$K361)))),TRUE))</f>
        <v/>
      </c>
    </row>
    <row r="362">
      <c r="A362" s="19" t="n"/>
      <c r="B362" s="19" t="n"/>
      <c r="C362" s="19" t="n"/>
      <c r="D362" s="19" t="n"/>
      <c r="E362" s="19" t="n"/>
      <c r="F362" s="19" t="n"/>
      <c r="G362" s="19" t="n"/>
      <c r="H362" s="19" t="n"/>
      <c r="I362" s="19" t="n"/>
      <c r="J362" s="19" t="n"/>
      <c r="K362" s="19" t="n"/>
      <c r="L362" s="125" t="n"/>
      <c r="M362" s="88">
        <f>IF($D362="","",IFERROR(VLOOKUP($H362,Lists!$N$2:$O$6,2,FALSE),0))</f>
        <v/>
      </c>
      <c r="N362" s="88">
        <f>IF($D362="","",IF(OR($E362="Blocked",$E362="Done",$E362="Archive"),-9999,IF(AND($E362="Waiting",SUMPRODUCT((($E$5:$E$500="Next")+($E$5:$E$500="In Progress")+($E$5:$E$500="Captured"))*($D$5:$D$500&lt;&gt;""))&gt;0),-500,VLOOKUP($F362,Lists!$L$2:$M$4,2,FALSE)+IF($E362="In Progress",10,0)+IF(AND($I362&lt;&gt;"",$I362&lt;TODAY()),25,0)+IF(AND($I362&lt;&gt;"",$I362&gt;=TODAY(),$I362&lt;=TODAY()+7),15,0)+IF($M362&lt;=VLOOKUP(Home!$C$7,Lists!$N$2:$O$6,2,FALSE),20,-10)+IF($G362=Home!$E$7,15,IF(Home!$E$7="",0,-5))-ROW()/100000)))</f>
        <v/>
      </c>
      <c r="O362" s="88">
        <f>IF($D362="","",IF($N362&lt;=-500,"Not recommended right now",IF($E362="Waiting","Nothing else actionable right now — Waiting on: "&amp;IF($K362="","this item",$K362),TEXTJOIN(" • ",TRUE,IF($F362="High","High Priority",""),IF(AND($I362&lt;&gt;"",$I362&lt;TODAY()),"Overdue",""),IF(AND($I362&lt;&gt;"",$I362&gt;=TODAY(),$I362&lt;=TODAY()+7),"Due This Week",""),IF($M362&lt;=VLOOKUP(Home!$C$7,Lists!$N$2:$O$6,2,FALSE),$H362&amp;" Task",""),IF($G362=Home!$E$7,"Fits Current Energy",""),"No Blockers"))))</f>
        <v/>
      </c>
      <c r="P362" s="88">
        <f>IF($D362="","",SWITCH('Task Finder'!$C$6,"High Priority",AND($F362="High",$E362&lt;&gt;"Done",$E362&lt;&gt;"Archive"),"Due This Week",AND($I362&lt;&gt;"",$I362&gt;=TODAY(),$I362&lt;=TODAY()+7,$E362&lt;&gt;"Done"),"Quick Wins (15 mins or less)",AND($M362&lt;=15,$E362&lt;&gt;"Done",$E362&lt;&gt;"Blocked"),"Deep Thinking",AND($G362="Deep Thinking",$E362&lt;&gt;"Done"),"Processing",AND($G362="Processing",$E362&lt;&gt;"Done"),"Blocked",$E362="Blocked","Waiting",$E362="Waiting","Recently Updated",AND($L362&lt;&gt;"",$L362&gt;=TODAY()-7),"Keyword",AND('Task Finder'!$C$7&lt;&gt;"",OR(ISNUMBER(SEARCH('Task Finder'!$C$7,$A362)),ISNUMBER(SEARCH('Task Finder'!$C$7,$B362)),ISNUMBER(SEARCH('Task Finder'!$C$7,$C362)),ISNUMBER(SEARCH('Task Finder'!$C$7,$D362)),ISNUMBER(SEARCH('Task Finder'!$C$7,$K362)))),TRUE))</f>
        <v/>
      </c>
    </row>
    <row r="363">
      <c r="A363" s="19" t="n"/>
      <c r="B363" s="19" t="n"/>
      <c r="C363" s="19" t="n"/>
      <c r="D363" s="19" t="n"/>
      <c r="E363" s="19" t="n"/>
      <c r="F363" s="19" t="n"/>
      <c r="G363" s="19" t="n"/>
      <c r="H363" s="19" t="n"/>
      <c r="I363" s="19" t="n"/>
      <c r="J363" s="19" t="n"/>
      <c r="K363" s="19" t="n"/>
      <c r="L363" s="125" t="n"/>
      <c r="M363" s="88">
        <f>IF($D363="","",IFERROR(VLOOKUP($H363,Lists!$N$2:$O$6,2,FALSE),0))</f>
        <v/>
      </c>
      <c r="N363" s="88">
        <f>IF($D363="","",IF(OR($E363="Blocked",$E363="Done",$E363="Archive"),-9999,IF(AND($E363="Waiting",SUMPRODUCT((($E$5:$E$500="Next")+($E$5:$E$500="In Progress")+($E$5:$E$500="Captured"))*($D$5:$D$500&lt;&gt;""))&gt;0),-500,VLOOKUP($F363,Lists!$L$2:$M$4,2,FALSE)+IF($E363="In Progress",10,0)+IF(AND($I363&lt;&gt;"",$I363&lt;TODAY()),25,0)+IF(AND($I363&lt;&gt;"",$I363&gt;=TODAY(),$I363&lt;=TODAY()+7),15,0)+IF($M363&lt;=VLOOKUP(Home!$C$7,Lists!$N$2:$O$6,2,FALSE),20,-10)+IF($G363=Home!$E$7,15,IF(Home!$E$7="",0,-5))-ROW()/100000)))</f>
        <v/>
      </c>
      <c r="O363" s="88">
        <f>IF($D363="","",IF($N363&lt;=-500,"Not recommended right now",IF($E363="Waiting","Nothing else actionable right now — Waiting on: "&amp;IF($K363="","this item",$K363),TEXTJOIN(" • ",TRUE,IF($F363="High","High Priority",""),IF(AND($I363&lt;&gt;"",$I363&lt;TODAY()),"Overdue",""),IF(AND($I363&lt;&gt;"",$I363&gt;=TODAY(),$I363&lt;=TODAY()+7),"Due This Week",""),IF($M363&lt;=VLOOKUP(Home!$C$7,Lists!$N$2:$O$6,2,FALSE),$H363&amp;" Task",""),IF($G363=Home!$E$7,"Fits Current Energy",""),"No Blockers"))))</f>
        <v/>
      </c>
      <c r="P363" s="88">
        <f>IF($D363="","",SWITCH('Task Finder'!$C$6,"High Priority",AND($F363="High",$E363&lt;&gt;"Done",$E363&lt;&gt;"Archive"),"Due This Week",AND($I363&lt;&gt;"",$I363&gt;=TODAY(),$I363&lt;=TODAY()+7,$E363&lt;&gt;"Done"),"Quick Wins (15 mins or less)",AND($M363&lt;=15,$E363&lt;&gt;"Done",$E363&lt;&gt;"Blocked"),"Deep Thinking",AND($G363="Deep Thinking",$E363&lt;&gt;"Done"),"Processing",AND($G363="Processing",$E363&lt;&gt;"Done"),"Blocked",$E363="Blocked","Waiting",$E363="Waiting","Recently Updated",AND($L363&lt;&gt;"",$L363&gt;=TODAY()-7),"Keyword",AND('Task Finder'!$C$7&lt;&gt;"",OR(ISNUMBER(SEARCH('Task Finder'!$C$7,$A363)),ISNUMBER(SEARCH('Task Finder'!$C$7,$B363)),ISNUMBER(SEARCH('Task Finder'!$C$7,$C363)),ISNUMBER(SEARCH('Task Finder'!$C$7,$D363)),ISNUMBER(SEARCH('Task Finder'!$C$7,$K363)))),TRUE))</f>
        <v/>
      </c>
    </row>
    <row r="364">
      <c r="A364" s="19" t="n"/>
      <c r="B364" s="19" t="n"/>
      <c r="C364" s="19" t="n"/>
      <c r="D364" s="19" t="n"/>
      <c r="E364" s="19" t="n"/>
      <c r="F364" s="19" t="n"/>
      <c r="G364" s="19" t="n"/>
      <c r="H364" s="19" t="n"/>
      <c r="I364" s="19" t="n"/>
      <c r="J364" s="19" t="n"/>
      <c r="K364" s="19" t="n"/>
      <c r="L364" s="125" t="n"/>
      <c r="M364" s="88">
        <f>IF($D364="","",IFERROR(VLOOKUP($H364,Lists!$N$2:$O$6,2,FALSE),0))</f>
        <v/>
      </c>
      <c r="N364" s="88">
        <f>IF($D364="","",IF(OR($E364="Blocked",$E364="Done",$E364="Archive"),-9999,IF(AND($E364="Waiting",SUMPRODUCT((($E$5:$E$500="Next")+($E$5:$E$500="In Progress")+($E$5:$E$500="Captured"))*($D$5:$D$500&lt;&gt;""))&gt;0),-500,VLOOKUP($F364,Lists!$L$2:$M$4,2,FALSE)+IF($E364="In Progress",10,0)+IF(AND($I364&lt;&gt;"",$I364&lt;TODAY()),25,0)+IF(AND($I364&lt;&gt;"",$I364&gt;=TODAY(),$I364&lt;=TODAY()+7),15,0)+IF($M364&lt;=VLOOKUP(Home!$C$7,Lists!$N$2:$O$6,2,FALSE),20,-10)+IF($G364=Home!$E$7,15,IF(Home!$E$7="",0,-5))-ROW()/100000)))</f>
        <v/>
      </c>
      <c r="O364" s="88">
        <f>IF($D364="","",IF($N364&lt;=-500,"Not recommended right now",IF($E364="Waiting","Nothing else actionable right now — Waiting on: "&amp;IF($K364="","this item",$K364),TEXTJOIN(" • ",TRUE,IF($F364="High","High Priority",""),IF(AND($I364&lt;&gt;"",$I364&lt;TODAY()),"Overdue",""),IF(AND($I364&lt;&gt;"",$I364&gt;=TODAY(),$I364&lt;=TODAY()+7),"Due This Week",""),IF($M364&lt;=VLOOKUP(Home!$C$7,Lists!$N$2:$O$6,2,FALSE),$H364&amp;" Task",""),IF($G364=Home!$E$7,"Fits Current Energy",""),"No Blockers"))))</f>
        <v/>
      </c>
      <c r="P364" s="88">
        <f>IF($D364="","",SWITCH('Task Finder'!$C$6,"High Priority",AND($F364="High",$E364&lt;&gt;"Done",$E364&lt;&gt;"Archive"),"Due This Week",AND($I364&lt;&gt;"",$I364&gt;=TODAY(),$I364&lt;=TODAY()+7,$E364&lt;&gt;"Done"),"Quick Wins (15 mins or less)",AND($M364&lt;=15,$E364&lt;&gt;"Done",$E364&lt;&gt;"Blocked"),"Deep Thinking",AND($G364="Deep Thinking",$E364&lt;&gt;"Done"),"Processing",AND($G364="Processing",$E364&lt;&gt;"Done"),"Blocked",$E364="Blocked","Waiting",$E364="Waiting","Recently Updated",AND($L364&lt;&gt;"",$L364&gt;=TODAY()-7),"Keyword",AND('Task Finder'!$C$7&lt;&gt;"",OR(ISNUMBER(SEARCH('Task Finder'!$C$7,$A364)),ISNUMBER(SEARCH('Task Finder'!$C$7,$B364)),ISNUMBER(SEARCH('Task Finder'!$C$7,$C364)),ISNUMBER(SEARCH('Task Finder'!$C$7,$D364)),ISNUMBER(SEARCH('Task Finder'!$C$7,$K364)))),TRUE))</f>
        <v/>
      </c>
    </row>
    <row r="365">
      <c r="A365" s="19" t="n"/>
      <c r="B365" s="19" t="n"/>
      <c r="C365" s="19" t="n"/>
      <c r="D365" s="19" t="n"/>
      <c r="E365" s="19" t="n"/>
      <c r="F365" s="19" t="n"/>
      <c r="G365" s="19" t="n"/>
      <c r="H365" s="19" t="n"/>
      <c r="I365" s="19" t="n"/>
      <c r="J365" s="19" t="n"/>
      <c r="K365" s="19" t="n"/>
      <c r="L365" s="125" t="n"/>
      <c r="M365" s="88">
        <f>IF($D365="","",IFERROR(VLOOKUP($H365,Lists!$N$2:$O$6,2,FALSE),0))</f>
        <v/>
      </c>
      <c r="N365" s="88">
        <f>IF($D365="","",IF(OR($E365="Blocked",$E365="Done",$E365="Archive"),-9999,IF(AND($E365="Waiting",SUMPRODUCT((($E$5:$E$500="Next")+($E$5:$E$500="In Progress")+($E$5:$E$500="Captured"))*($D$5:$D$500&lt;&gt;""))&gt;0),-500,VLOOKUP($F365,Lists!$L$2:$M$4,2,FALSE)+IF($E365="In Progress",10,0)+IF(AND($I365&lt;&gt;"",$I365&lt;TODAY()),25,0)+IF(AND($I365&lt;&gt;"",$I365&gt;=TODAY(),$I365&lt;=TODAY()+7),15,0)+IF($M365&lt;=VLOOKUP(Home!$C$7,Lists!$N$2:$O$6,2,FALSE),20,-10)+IF($G365=Home!$E$7,15,IF(Home!$E$7="",0,-5))-ROW()/100000)))</f>
        <v/>
      </c>
      <c r="O365" s="88">
        <f>IF($D365="","",IF($N365&lt;=-500,"Not recommended right now",IF($E365="Waiting","Nothing else actionable right now — Waiting on: "&amp;IF($K365="","this item",$K365),TEXTJOIN(" • ",TRUE,IF($F365="High","High Priority",""),IF(AND($I365&lt;&gt;"",$I365&lt;TODAY()),"Overdue",""),IF(AND($I365&lt;&gt;"",$I365&gt;=TODAY(),$I365&lt;=TODAY()+7),"Due This Week",""),IF($M365&lt;=VLOOKUP(Home!$C$7,Lists!$N$2:$O$6,2,FALSE),$H365&amp;" Task",""),IF($G365=Home!$E$7,"Fits Current Energy",""),"No Blockers"))))</f>
        <v/>
      </c>
      <c r="P365" s="88">
        <f>IF($D365="","",SWITCH('Task Finder'!$C$6,"High Priority",AND($F365="High",$E365&lt;&gt;"Done",$E365&lt;&gt;"Archive"),"Due This Week",AND($I365&lt;&gt;"",$I365&gt;=TODAY(),$I365&lt;=TODAY()+7,$E365&lt;&gt;"Done"),"Quick Wins (15 mins or less)",AND($M365&lt;=15,$E365&lt;&gt;"Done",$E365&lt;&gt;"Blocked"),"Deep Thinking",AND($G365="Deep Thinking",$E365&lt;&gt;"Done"),"Processing",AND($G365="Processing",$E365&lt;&gt;"Done"),"Blocked",$E365="Blocked","Waiting",$E365="Waiting","Recently Updated",AND($L365&lt;&gt;"",$L365&gt;=TODAY()-7),"Keyword",AND('Task Finder'!$C$7&lt;&gt;"",OR(ISNUMBER(SEARCH('Task Finder'!$C$7,$A365)),ISNUMBER(SEARCH('Task Finder'!$C$7,$B365)),ISNUMBER(SEARCH('Task Finder'!$C$7,$C365)),ISNUMBER(SEARCH('Task Finder'!$C$7,$D365)),ISNUMBER(SEARCH('Task Finder'!$C$7,$K365)))),TRUE))</f>
        <v/>
      </c>
    </row>
    <row r="366">
      <c r="A366" s="19" t="n"/>
      <c r="B366" s="19" t="n"/>
      <c r="C366" s="19" t="n"/>
      <c r="D366" s="19" t="n"/>
      <c r="E366" s="19" t="n"/>
      <c r="F366" s="19" t="n"/>
      <c r="G366" s="19" t="n"/>
      <c r="H366" s="19" t="n"/>
      <c r="I366" s="19" t="n"/>
      <c r="J366" s="19" t="n"/>
      <c r="K366" s="19" t="n"/>
      <c r="L366" s="125" t="n"/>
      <c r="M366" s="88">
        <f>IF($D366="","",IFERROR(VLOOKUP($H366,Lists!$N$2:$O$6,2,FALSE),0))</f>
        <v/>
      </c>
      <c r="N366" s="88">
        <f>IF($D366="","",IF(OR($E366="Blocked",$E366="Done",$E366="Archive"),-9999,IF(AND($E366="Waiting",SUMPRODUCT((($E$5:$E$500="Next")+($E$5:$E$500="In Progress")+($E$5:$E$500="Captured"))*($D$5:$D$500&lt;&gt;""))&gt;0),-500,VLOOKUP($F366,Lists!$L$2:$M$4,2,FALSE)+IF($E366="In Progress",10,0)+IF(AND($I366&lt;&gt;"",$I366&lt;TODAY()),25,0)+IF(AND($I366&lt;&gt;"",$I366&gt;=TODAY(),$I366&lt;=TODAY()+7),15,0)+IF($M366&lt;=VLOOKUP(Home!$C$7,Lists!$N$2:$O$6,2,FALSE),20,-10)+IF($G366=Home!$E$7,15,IF(Home!$E$7="",0,-5))-ROW()/100000)))</f>
        <v/>
      </c>
      <c r="O366" s="88">
        <f>IF($D366="","",IF($N366&lt;=-500,"Not recommended right now",IF($E366="Waiting","Nothing else actionable right now — Waiting on: "&amp;IF($K366="","this item",$K366),TEXTJOIN(" • ",TRUE,IF($F366="High","High Priority",""),IF(AND($I366&lt;&gt;"",$I366&lt;TODAY()),"Overdue",""),IF(AND($I366&lt;&gt;"",$I366&gt;=TODAY(),$I366&lt;=TODAY()+7),"Due This Week",""),IF($M366&lt;=VLOOKUP(Home!$C$7,Lists!$N$2:$O$6,2,FALSE),$H366&amp;" Task",""),IF($G366=Home!$E$7,"Fits Current Energy",""),"No Blockers"))))</f>
        <v/>
      </c>
      <c r="P366" s="88">
        <f>IF($D366="","",SWITCH('Task Finder'!$C$6,"High Priority",AND($F366="High",$E366&lt;&gt;"Done",$E366&lt;&gt;"Archive"),"Due This Week",AND($I366&lt;&gt;"",$I366&gt;=TODAY(),$I366&lt;=TODAY()+7,$E366&lt;&gt;"Done"),"Quick Wins (15 mins or less)",AND($M366&lt;=15,$E366&lt;&gt;"Done",$E366&lt;&gt;"Blocked"),"Deep Thinking",AND($G366="Deep Thinking",$E366&lt;&gt;"Done"),"Processing",AND($G366="Processing",$E366&lt;&gt;"Done"),"Blocked",$E366="Blocked","Waiting",$E366="Waiting","Recently Updated",AND($L366&lt;&gt;"",$L366&gt;=TODAY()-7),"Keyword",AND('Task Finder'!$C$7&lt;&gt;"",OR(ISNUMBER(SEARCH('Task Finder'!$C$7,$A366)),ISNUMBER(SEARCH('Task Finder'!$C$7,$B366)),ISNUMBER(SEARCH('Task Finder'!$C$7,$C366)),ISNUMBER(SEARCH('Task Finder'!$C$7,$D366)),ISNUMBER(SEARCH('Task Finder'!$C$7,$K366)))),TRUE))</f>
        <v/>
      </c>
    </row>
    <row r="367">
      <c r="A367" s="19" t="n"/>
      <c r="B367" s="19" t="n"/>
      <c r="C367" s="19" t="n"/>
      <c r="D367" s="19" t="n"/>
      <c r="E367" s="19" t="n"/>
      <c r="F367" s="19" t="n"/>
      <c r="G367" s="19" t="n"/>
      <c r="H367" s="19" t="n"/>
      <c r="I367" s="19" t="n"/>
      <c r="J367" s="19" t="n"/>
      <c r="K367" s="19" t="n"/>
      <c r="L367" s="125" t="n"/>
      <c r="M367" s="88">
        <f>IF($D367="","",IFERROR(VLOOKUP($H367,Lists!$N$2:$O$6,2,FALSE),0))</f>
        <v/>
      </c>
      <c r="N367" s="88">
        <f>IF($D367="","",IF(OR($E367="Blocked",$E367="Done",$E367="Archive"),-9999,IF(AND($E367="Waiting",SUMPRODUCT((($E$5:$E$500="Next")+($E$5:$E$500="In Progress")+($E$5:$E$500="Captured"))*($D$5:$D$500&lt;&gt;""))&gt;0),-500,VLOOKUP($F367,Lists!$L$2:$M$4,2,FALSE)+IF($E367="In Progress",10,0)+IF(AND($I367&lt;&gt;"",$I367&lt;TODAY()),25,0)+IF(AND($I367&lt;&gt;"",$I367&gt;=TODAY(),$I367&lt;=TODAY()+7),15,0)+IF($M367&lt;=VLOOKUP(Home!$C$7,Lists!$N$2:$O$6,2,FALSE),20,-10)+IF($G367=Home!$E$7,15,IF(Home!$E$7="",0,-5))-ROW()/100000)))</f>
        <v/>
      </c>
      <c r="O367" s="88">
        <f>IF($D367="","",IF($N367&lt;=-500,"Not recommended right now",IF($E367="Waiting","Nothing else actionable right now — Waiting on: "&amp;IF($K367="","this item",$K367),TEXTJOIN(" • ",TRUE,IF($F367="High","High Priority",""),IF(AND($I367&lt;&gt;"",$I367&lt;TODAY()),"Overdue",""),IF(AND($I367&lt;&gt;"",$I367&gt;=TODAY(),$I367&lt;=TODAY()+7),"Due This Week",""),IF($M367&lt;=VLOOKUP(Home!$C$7,Lists!$N$2:$O$6,2,FALSE),$H367&amp;" Task",""),IF($G367=Home!$E$7,"Fits Current Energy",""),"No Blockers"))))</f>
        <v/>
      </c>
      <c r="P367" s="88">
        <f>IF($D367="","",SWITCH('Task Finder'!$C$6,"High Priority",AND($F367="High",$E367&lt;&gt;"Done",$E367&lt;&gt;"Archive"),"Due This Week",AND($I367&lt;&gt;"",$I367&gt;=TODAY(),$I367&lt;=TODAY()+7,$E367&lt;&gt;"Done"),"Quick Wins (15 mins or less)",AND($M367&lt;=15,$E367&lt;&gt;"Done",$E367&lt;&gt;"Blocked"),"Deep Thinking",AND($G367="Deep Thinking",$E367&lt;&gt;"Done"),"Processing",AND($G367="Processing",$E367&lt;&gt;"Done"),"Blocked",$E367="Blocked","Waiting",$E367="Waiting","Recently Updated",AND($L367&lt;&gt;"",$L367&gt;=TODAY()-7),"Keyword",AND('Task Finder'!$C$7&lt;&gt;"",OR(ISNUMBER(SEARCH('Task Finder'!$C$7,$A367)),ISNUMBER(SEARCH('Task Finder'!$C$7,$B367)),ISNUMBER(SEARCH('Task Finder'!$C$7,$C367)),ISNUMBER(SEARCH('Task Finder'!$C$7,$D367)),ISNUMBER(SEARCH('Task Finder'!$C$7,$K367)))),TRUE))</f>
        <v/>
      </c>
    </row>
    <row r="368">
      <c r="A368" s="19" t="n"/>
      <c r="B368" s="19" t="n"/>
      <c r="C368" s="19" t="n"/>
      <c r="D368" s="19" t="n"/>
      <c r="E368" s="19" t="n"/>
      <c r="F368" s="19" t="n"/>
      <c r="G368" s="19" t="n"/>
      <c r="H368" s="19" t="n"/>
      <c r="I368" s="19" t="n"/>
      <c r="J368" s="19" t="n"/>
      <c r="K368" s="19" t="n"/>
      <c r="L368" s="125" t="n"/>
      <c r="M368" s="88">
        <f>IF($D368="","",IFERROR(VLOOKUP($H368,Lists!$N$2:$O$6,2,FALSE),0))</f>
        <v/>
      </c>
      <c r="N368" s="88">
        <f>IF($D368="","",IF(OR($E368="Blocked",$E368="Done",$E368="Archive"),-9999,IF(AND($E368="Waiting",SUMPRODUCT((($E$5:$E$500="Next")+($E$5:$E$500="In Progress")+($E$5:$E$500="Captured"))*($D$5:$D$500&lt;&gt;""))&gt;0),-500,VLOOKUP($F368,Lists!$L$2:$M$4,2,FALSE)+IF($E368="In Progress",10,0)+IF(AND($I368&lt;&gt;"",$I368&lt;TODAY()),25,0)+IF(AND($I368&lt;&gt;"",$I368&gt;=TODAY(),$I368&lt;=TODAY()+7),15,0)+IF($M368&lt;=VLOOKUP(Home!$C$7,Lists!$N$2:$O$6,2,FALSE),20,-10)+IF($G368=Home!$E$7,15,IF(Home!$E$7="",0,-5))-ROW()/100000)))</f>
        <v/>
      </c>
      <c r="O368" s="88">
        <f>IF($D368="","",IF($N368&lt;=-500,"Not recommended right now",IF($E368="Waiting","Nothing else actionable right now — Waiting on: "&amp;IF($K368="","this item",$K368),TEXTJOIN(" • ",TRUE,IF($F368="High","High Priority",""),IF(AND($I368&lt;&gt;"",$I368&lt;TODAY()),"Overdue",""),IF(AND($I368&lt;&gt;"",$I368&gt;=TODAY(),$I368&lt;=TODAY()+7),"Due This Week",""),IF($M368&lt;=VLOOKUP(Home!$C$7,Lists!$N$2:$O$6,2,FALSE),$H368&amp;" Task",""),IF($G368=Home!$E$7,"Fits Current Energy",""),"No Blockers"))))</f>
        <v/>
      </c>
      <c r="P368" s="88">
        <f>IF($D368="","",SWITCH('Task Finder'!$C$6,"High Priority",AND($F368="High",$E368&lt;&gt;"Done",$E368&lt;&gt;"Archive"),"Due This Week",AND($I368&lt;&gt;"",$I368&gt;=TODAY(),$I368&lt;=TODAY()+7,$E368&lt;&gt;"Done"),"Quick Wins (15 mins or less)",AND($M368&lt;=15,$E368&lt;&gt;"Done",$E368&lt;&gt;"Blocked"),"Deep Thinking",AND($G368="Deep Thinking",$E368&lt;&gt;"Done"),"Processing",AND($G368="Processing",$E368&lt;&gt;"Done"),"Blocked",$E368="Blocked","Waiting",$E368="Waiting","Recently Updated",AND($L368&lt;&gt;"",$L368&gt;=TODAY()-7),"Keyword",AND('Task Finder'!$C$7&lt;&gt;"",OR(ISNUMBER(SEARCH('Task Finder'!$C$7,$A368)),ISNUMBER(SEARCH('Task Finder'!$C$7,$B368)),ISNUMBER(SEARCH('Task Finder'!$C$7,$C368)),ISNUMBER(SEARCH('Task Finder'!$C$7,$D368)),ISNUMBER(SEARCH('Task Finder'!$C$7,$K368)))),TRUE))</f>
        <v/>
      </c>
    </row>
    <row r="369">
      <c r="A369" s="19" t="n"/>
      <c r="B369" s="19" t="n"/>
      <c r="C369" s="19" t="n"/>
      <c r="D369" s="19" t="n"/>
      <c r="E369" s="19" t="n"/>
      <c r="F369" s="19" t="n"/>
      <c r="G369" s="19" t="n"/>
      <c r="H369" s="19" t="n"/>
      <c r="I369" s="19" t="n"/>
      <c r="J369" s="19" t="n"/>
      <c r="K369" s="19" t="n"/>
      <c r="L369" s="125" t="n"/>
      <c r="M369" s="88">
        <f>IF($D369="","",IFERROR(VLOOKUP($H369,Lists!$N$2:$O$6,2,FALSE),0))</f>
        <v/>
      </c>
      <c r="N369" s="88">
        <f>IF($D369="","",IF(OR($E369="Blocked",$E369="Done",$E369="Archive"),-9999,IF(AND($E369="Waiting",SUMPRODUCT((($E$5:$E$500="Next")+($E$5:$E$500="In Progress")+($E$5:$E$500="Captured"))*($D$5:$D$500&lt;&gt;""))&gt;0),-500,VLOOKUP($F369,Lists!$L$2:$M$4,2,FALSE)+IF($E369="In Progress",10,0)+IF(AND($I369&lt;&gt;"",$I369&lt;TODAY()),25,0)+IF(AND($I369&lt;&gt;"",$I369&gt;=TODAY(),$I369&lt;=TODAY()+7),15,0)+IF($M369&lt;=VLOOKUP(Home!$C$7,Lists!$N$2:$O$6,2,FALSE),20,-10)+IF($G369=Home!$E$7,15,IF(Home!$E$7="",0,-5))-ROW()/100000)))</f>
        <v/>
      </c>
      <c r="O369" s="88">
        <f>IF($D369="","",IF($N369&lt;=-500,"Not recommended right now",IF($E369="Waiting","Nothing else actionable right now — Waiting on: "&amp;IF($K369="","this item",$K369),TEXTJOIN(" • ",TRUE,IF($F369="High","High Priority",""),IF(AND($I369&lt;&gt;"",$I369&lt;TODAY()),"Overdue",""),IF(AND($I369&lt;&gt;"",$I369&gt;=TODAY(),$I369&lt;=TODAY()+7),"Due This Week",""),IF($M369&lt;=VLOOKUP(Home!$C$7,Lists!$N$2:$O$6,2,FALSE),$H369&amp;" Task",""),IF($G369=Home!$E$7,"Fits Current Energy",""),"No Blockers"))))</f>
        <v/>
      </c>
      <c r="P369" s="88">
        <f>IF($D369="","",SWITCH('Task Finder'!$C$6,"High Priority",AND($F369="High",$E369&lt;&gt;"Done",$E369&lt;&gt;"Archive"),"Due This Week",AND($I369&lt;&gt;"",$I369&gt;=TODAY(),$I369&lt;=TODAY()+7,$E369&lt;&gt;"Done"),"Quick Wins (15 mins or less)",AND($M369&lt;=15,$E369&lt;&gt;"Done",$E369&lt;&gt;"Blocked"),"Deep Thinking",AND($G369="Deep Thinking",$E369&lt;&gt;"Done"),"Processing",AND($G369="Processing",$E369&lt;&gt;"Done"),"Blocked",$E369="Blocked","Waiting",$E369="Waiting","Recently Updated",AND($L369&lt;&gt;"",$L369&gt;=TODAY()-7),"Keyword",AND('Task Finder'!$C$7&lt;&gt;"",OR(ISNUMBER(SEARCH('Task Finder'!$C$7,$A369)),ISNUMBER(SEARCH('Task Finder'!$C$7,$B369)),ISNUMBER(SEARCH('Task Finder'!$C$7,$C369)),ISNUMBER(SEARCH('Task Finder'!$C$7,$D369)),ISNUMBER(SEARCH('Task Finder'!$C$7,$K369)))),TRUE))</f>
        <v/>
      </c>
    </row>
    <row r="370">
      <c r="A370" s="19" t="n"/>
      <c r="B370" s="19" t="n"/>
      <c r="C370" s="19" t="n"/>
      <c r="D370" s="19" t="n"/>
      <c r="E370" s="19" t="n"/>
      <c r="F370" s="19" t="n"/>
      <c r="G370" s="19" t="n"/>
      <c r="H370" s="19" t="n"/>
      <c r="I370" s="19" t="n"/>
      <c r="J370" s="19" t="n"/>
      <c r="K370" s="19" t="n"/>
      <c r="L370" s="125" t="n"/>
      <c r="M370" s="88">
        <f>IF($D370="","",IFERROR(VLOOKUP($H370,Lists!$N$2:$O$6,2,FALSE),0))</f>
        <v/>
      </c>
      <c r="N370" s="88">
        <f>IF($D370="","",IF(OR($E370="Blocked",$E370="Done",$E370="Archive"),-9999,IF(AND($E370="Waiting",SUMPRODUCT((($E$5:$E$500="Next")+($E$5:$E$500="In Progress")+($E$5:$E$500="Captured"))*($D$5:$D$500&lt;&gt;""))&gt;0),-500,VLOOKUP($F370,Lists!$L$2:$M$4,2,FALSE)+IF($E370="In Progress",10,0)+IF(AND($I370&lt;&gt;"",$I370&lt;TODAY()),25,0)+IF(AND($I370&lt;&gt;"",$I370&gt;=TODAY(),$I370&lt;=TODAY()+7),15,0)+IF($M370&lt;=VLOOKUP(Home!$C$7,Lists!$N$2:$O$6,2,FALSE),20,-10)+IF($G370=Home!$E$7,15,IF(Home!$E$7="",0,-5))-ROW()/100000)))</f>
        <v/>
      </c>
      <c r="O370" s="88">
        <f>IF($D370="","",IF($N370&lt;=-500,"Not recommended right now",IF($E370="Waiting","Nothing else actionable right now — Waiting on: "&amp;IF($K370="","this item",$K370),TEXTJOIN(" • ",TRUE,IF($F370="High","High Priority",""),IF(AND($I370&lt;&gt;"",$I370&lt;TODAY()),"Overdue",""),IF(AND($I370&lt;&gt;"",$I370&gt;=TODAY(),$I370&lt;=TODAY()+7),"Due This Week",""),IF($M370&lt;=VLOOKUP(Home!$C$7,Lists!$N$2:$O$6,2,FALSE),$H370&amp;" Task",""),IF($G370=Home!$E$7,"Fits Current Energy",""),"No Blockers"))))</f>
        <v/>
      </c>
      <c r="P370" s="88">
        <f>IF($D370="","",SWITCH('Task Finder'!$C$6,"High Priority",AND($F370="High",$E370&lt;&gt;"Done",$E370&lt;&gt;"Archive"),"Due This Week",AND($I370&lt;&gt;"",$I370&gt;=TODAY(),$I370&lt;=TODAY()+7,$E370&lt;&gt;"Done"),"Quick Wins (15 mins or less)",AND($M370&lt;=15,$E370&lt;&gt;"Done",$E370&lt;&gt;"Blocked"),"Deep Thinking",AND($G370="Deep Thinking",$E370&lt;&gt;"Done"),"Processing",AND($G370="Processing",$E370&lt;&gt;"Done"),"Blocked",$E370="Blocked","Waiting",$E370="Waiting","Recently Updated",AND($L370&lt;&gt;"",$L370&gt;=TODAY()-7),"Keyword",AND('Task Finder'!$C$7&lt;&gt;"",OR(ISNUMBER(SEARCH('Task Finder'!$C$7,$A370)),ISNUMBER(SEARCH('Task Finder'!$C$7,$B370)),ISNUMBER(SEARCH('Task Finder'!$C$7,$C370)),ISNUMBER(SEARCH('Task Finder'!$C$7,$D370)),ISNUMBER(SEARCH('Task Finder'!$C$7,$K370)))),TRUE))</f>
        <v/>
      </c>
    </row>
    <row r="371">
      <c r="A371" s="19" t="n"/>
      <c r="B371" s="19" t="n"/>
      <c r="C371" s="19" t="n"/>
      <c r="D371" s="19" t="n"/>
      <c r="E371" s="19" t="n"/>
      <c r="F371" s="19" t="n"/>
      <c r="G371" s="19" t="n"/>
      <c r="H371" s="19" t="n"/>
      <c r="I371" s="19" t="n"/>
      <c r="J371" s="19" t="n"/>
      <c r="K371" s="19" t="n"/>
      <c r="L371" s="125" t="n"/>
      <c r="M371" s="88">
        <f>IF($D371="","",IFERROR(VLOOKUP($H371,Lists!$N$2:$O$6,2,FALSE),0))</f>
        <v/>
      </c>
      <c r="N371" s="88">
        <f>IF($D371="","",IF(OR($E371="Blocked",$E371="Done",$E371="Archive"),-9999,IF(AND($E371="Waiting",SUMPRODUCT((($E$5:$E$500="Next")+($E$5:$E$500="In Progress")+($E$5:$E$500="Captured"))*($D$5:$D$500&lt;&gt;""))&gt;0),-500,VLOOKUP($F371,Lists!$L$2:$M$4,2,FALSE)+IF($E371="In Progress",10,0)+IF(AND($I371&lt;&gt;"",$I371&lt;TODAY()),25,0)+IF(AND($I371&lt;&gt;"",$I371&gt;=TODAY(),$I371&lt;=TODAY()+7),15,0)+IF($M371&lt;=VLOOKUP(Home!$C$7,Lists!$N$2:$O$6,2,FALSE),20,-10)+IF($G371=Home!$E$7,15,IF(Home!$E$7="",0,-5))-ROW()/100000)))</f>
        <v/>
      </c>
      <c r="O371" s="88">
        <f>IF($D371="","",IF($N371&lt;=-500,"Not recommended right now",IF($E371="Waiting","Nothing else actionable right now — Waiting on: "&amp;IF($K371="","this item",$K371),TEXTJOIN(" • ",TRUE,IF($F371="High","High Priority",""),IF(AND($I371&lt;&gt;"",$I371&lt;TODAY()),"Overdue",""),IF(AND($I371&lt;&gt;"",$I371&gt;=TODAY(),$I371&lt;=TODAY()+7),"Due This Week",""),IF($M371&lt;=VLOOKUP(Home!$C$7,Lists!$N$2:$O$6,2,FALSE),$H371&amp;" Task",""),IF($G371=Home!$E$7,"Fits Current Energy",""),"No Blockers"))))</f>
        <v/>
      </c>
      <c r="P371" s="88">
        <f>IF($D371="","",SWITCH('Task Finder'!$C$6,"High Priority",AND($F371="High",$E371&lt;&gt;"Done",$E371&lt;&gt;"Archive"),"Due This Week",AND($I371&lt;&gt;"",$I371&gt;=TODAY(),$I371&lt;=TODAY()+7,$E371&lt;&gt;"Done"),"Quick Wins (15 mins or less)",AND($M371&lt;=15,$E371&lt;&gt;"Done",$E371&lt;&gt;"Blocked"),"Deep Thinking",AND($G371="Deep Thinking",$E371&lt;&gt;"Done"),"Processing",AND($G371="Processing",$E371&lt;&gt;"Done"),"Blocked",$E371="Blocked","Waiting",$E371="Waiting","Recently Updated",AND($L371&lt;&gt;"",$L371&gt;=TODAY()-7),"Keyword",AND('Task Finder'!$C$7&lt;&gt;"",OR(ISNUMBER(SEARCH('Task Finder'!$C$7,$A371)),ISNUMBER(SEARCH('Task Finder'!$C$7,$B371)),ISNUMBER(SEARCH('Task Finder'!$C$7,$C371)),ISNUMBER(SEARCH('Task Finder'!$C$7,$D371)),ISNUMBER(SEARCH('Task Finder'!$C$7,$K371)))),TRUE))</f>
        <v/>
      </c>
    </row>
    <row r="372">
      <c r="A372" s="19" t="n"/>
      <c r="B372" s="19" t="n"/>
      <c r="C372" s="19" t="n"/>
      <c r="D372" s="19" t="n"/>
      <c r="E372" s="19" t="n"/>
      <c r="F372" s="19" t="n"/>
      <c r="G372" s="19" t="n"/>
      <c r="H372" s="19" t="n"/>
      <c r="I372" s="19" t="n"/>
      <c r="J372" s="19" t="n"/>
      <c r="K372" s="19" t="n"/>
      <c r="L372" s="125" t="n"/>
      <c r="M372" s="88">
        <f>IF($D372="","",IFERROR(VLOOKUP($H372,Lists!$N$2:$O$6,2,FALSE),0))</f>
        <v/>
      </c>
      <c r="N372" s="88">
        <f>IF($D372="","",IF(OR($E372="Blocked",$E372="Done",$E372="Archive"),-9999,IF(AND($E372="Waiting",SUMPRODUCT((($E$5:$E$500="Next")+($E$5:$E$500="In Progress")+($E$5:$E$500="Captured"))*($D$5:$D$500&lt;&gt;""))&gt;0),-500,VLOOKUP($F372,Lists!$L$2:$M$4,2,FALSE)+IF($E372="In Progress",10,0)+IF(AND($I372&lt;&gt;"",$I372&lt;TODAY()),25,0)+IF(AND($I372&lt;&gt;"",$I372&gt;=TODAY(),$I372&lt;=TODAY()+7),15,0)+IF($M372&lt;=VLOOKUP(Home!$C$7,Lists!$N$2:$O$6,2,FALSE),20,-10)+IF($G372=Home!$E$7,15,IF(Home!$E$7="",0,-5))-ROW()/100000)))</f>
        <v/>
      </c>
      <c r="O372" s="88">
        <f>IF($D372="","",IF($N372&lt;=-500,"Not recommended right now",IF($E372="Waiting","Nothing else actionable right now — Waiting on: "&amp;IF($K372="","this item",$K372),TEXTJOIN(" • ",TRUE,IF($F372="High","High Priority",""),IF(AND($I372&lt;&gt;"",$I372&lt;TODAY()),"Overdue",""),IF(AND($I372&lt;&gt;"",$I372&gt;=TODAY(),$I372&lt;=TODAY()+7),"Due This Week",""),IF($M372&lt;=VLOOKUP(Home!$C$7,Lists!$N$2:$O$6,2,FALSE),$H372&amp;" Task",""),IF($G372=Home!$E$7,"Fits Current Energy",""),"No Blockers"))))</f>
        <v/>
      </c>
      <c r="P372" s="88">
        <f>IF($D372="","",SWITCH('Task Finder'!$C$6,"High Priority",AND($F372="High",$E372&lt;&gt;"Done",$E372&lt;&gt;"Archive"),"Due This Week",AND($I372&lt;&gt;"",$I372&gt;=TODAY(),$I372&lt;=TODAY()+7,$E372&lt;&gt;"Done"),"Quick Wins (15 mins or less)",AND($M372&lt;=15,$E372&lt;&gt;"Done",$E372&lt;&gt;"Blocked"),"Deep Thinking",AND($G372="Deep Thinking",$E372&lt;&gt;"Done"),"Processing",AND($G372="Processing",$E372&lt;&gt;"Done"),"Blocked",$E372="Blocked","Waiting",$E372="Waiting","Recently Updated",AND($L372&lt;&gt;"",$L372&gt;=TODAY()-7),"Keyword",AND('Task Finder'!$C$7&lt;&gt;"",OR(ISNUMBER(SEARCH('Task Finder'!$C$7,$A372)),ISNUMBER(SEARCH('Task Finder'!$C$7,$B372)),ISNUMBER(SEARCH('Task Finder'!$C$7,$C372)),ISNUMBER(SEARCH('Task Finder'!$C$7,$D372)),ISNUMBER(SEARCH('Task Finder'!$C$7,$K372)))),TRUE))</f>
        <v/>
      </c>
    </row>
    <row r="373">
      <c r="A373" s="19" t="n"/>
      <c r="B373" s="19" t="n"/>
      <c r="C373" s="19" t="n"/>
      <c r="D373" s="19" t="n"/>
      <c r="E373" s="19" t="n"/>
      <c r="F373" s="19" t="n"/>
      <c r="G373" s="19" t="n"/>
      <c r="H373" s="19" t="n"/>
      <c r="I373" s="19" t="n"/>
      <c r="J373" s="19" t="n"/>
      <c r="K373" s="19" t="n"/>
      <c r="L373" s="125" t="n"/>
      <c r="M373" s="88">
        <f>IF($D373="","",IFERROR(VLOOKUP($H373,Lists!$N$2:$O$6,2,FALSE),0))</f>
        <v/>
      </c>
      <c r="N373" s="88">
        <f>IF($D373="","",IF(OR($E373="Blocked",$E373="Done",$E373="Archive"),-9999,IF(AND($E373="Waiting",SUMPRODUCT((($E$5:$E$500="Next")+($E$5:$E$500="In Progress")+($E$5:$E$500="Captured"))*($D$5:$D$500&lt;&gt;""))&gt;0),-500,VLOOKUP($F373,Lists!$L$2:$M$4,2,FALSE)+IF($E373="In Progress",10,0)+IF(AND($I373&lt;&gt;"",$I373&lt;TODAY()),25,0)+IF(AND($I373&lt;&gt;"",$I373&gt;=TODAY(),$I373&lt;=TODAY()+7),15,0)+IF($M373&lt;=VLOOKUP(Home!$C$7,Lists!$N$2:$O$6,2,FALSE),20,-10)+IF($G373=Home!$E$7,15,IF(Home!$E$7="",0,-5))-ROW()/100000)))</f>
        <v/>
      </c>
      <c r="O373" s="88">
        <f>IF($D373="","",IF($N373&lt;=-500,"Not recommended right now",IF($E373="Waiting","Nothing else actionable right now — Waiting on: "&amp;IF($K373="","this item",$K373),TEXTJOIN(" • ",TRUE,IF($F373="High","High Priority",""),IF(AND($I373&lt;&gt;"",$I373&lt;TODAY()),"Overdue",""),IF(AND($I373&lt;&gt;"",$I373&gt;=TODAY(),$I373&lt;=TODAY()+7),"Due This Week",""),IF($M373&lt;=VLOOKUP(Home!$C$7,Lists!$N$2:$O$6,2,FALSE),$H373&amp;" Task",""),IF($G373=Home!$E$7,"Fits Current Energy",""),"No Blockers"))))</f>
        <v/>
      </c>
      <c r="P373" s="88">
        <f>IF($D373="","",SWITCH('Task Finder'!$C$6,"High Priority",AND($F373="High",$E373&lt;&gt;"Done",$E373&lt;&gt;"Archive"),"Due This Week",AND($I373&lt;&gt;"",$I373&gt;=TODAY(),$I373&lt;=TODAY()+7,$E373&lt;&gt;"Done"),"Quick Wins (15 mins or less)",AND($M373&lt;=15,$E373&lt;&gt;"Done",$E373&lt;&gt;"Blocked"),"Deep Thinking",AND($G373="Deep Thinking",$E373&lt;&gt;"Done"),"Processing",AND($G373="Processing",$E373&lt;&gt;"Done"),"Blocked",$E373="Blocked","Waiting",$E373="Waiting","Recently Updated",AND($L373&lt;&gt;"",$L373&gt;=TODAY()-7),"Keyword",AND('Task Finder'!$C$7&lt;&gt;"",OR(ISNUMBER(SEARCH('Task Finder'!$C$7,$A373)),ISNUMBER(SEARCH('Task Finder'!$C$7,$B373)),ISNUMBER(SEARCH('Task Finder'!$C$7,$C373)),ISNUMBER(SEARCH('Task Finder'!$C$7,$D373)),ISNUMBER(SEARCH('Task Finder'!$C$7,$K373)))),TRUE))</f>
        <v/>
      </c>
    </row>
    <row r="374">
      <c r="A374" s="19" t="n"/>
      <c r="B374" s="19" t="n"/>
      <c r="C374" s="19" t="n"/>
      <c r="D374" s="19" t="n"/>
      <c r="E374" s="19" t="n"/>
      <c r="F374" s="19" t="n"/>
      <c r="G374" s="19" t="n"/>
      <c r="H374" s="19" t="n"/>
      <c r="I374" s="19" t="n"/>
      <c r="J374" s="19" t="n"/>
      <c r="K374" s="19" t="n"/>
      <c r="L374" s="125" t="n"/>
      <c r="M374" s="88">
        <f>IF($D374="","",IFERROR(VLOOKUP($H374,Lists!$N$2:$O$6,2,FALSE),0))</f>
        <v/>
      </c>
      <c r="N374" s="88">
        <f>IF($D374="","",IF(OR($E374="Blocked",$E374="Done",$E374="Archive"),-9999,IF(AND($E374="Waiting",SUMPRODUCT((($E$5:$E$500="Next")+($E$5:$E$500="In Progress")+($E$5:$E$500="Captured"))*($D$5:$D$500&lt;&gt;""))&gt;0),-500,VLOOKUP($F374,Lists!$L$2:$M$4,2,FALSE)+IF($E374="In Progress",10,0)+IF(AND($I374&lt;&gt;"",$I374&lt;TODAY()),25,0)+IF(AND($I374&lt;&gt;"",$I374&gt;=TODAY(),$I374&lt;=TODAY()+7),15,0)+IF($M374&lt;=VLOOKUP(Home!$C$7,Lists!$N$2:$O$6,2,FALSE),20,-10)+IF($G374=Home!$E$7,15,IF(Home!$E$7="",0,-5))-ROW()/100000)))</f>
        <v/>
      </c>
      <c r="O374" s="88">
        <f>IF($D374="","",IF($N374&lt;=-500,"Not recommended right now",IF($E374="Waiting","Nothing else actionable right now — Waiting on: "&amp;IF($K374="","this item",$K374),TEXTJOIN(" • ",TRUE,IF($F374="High","High Priority",""),IF(AND($I374&lt;&gt;"",$I374&lt;TODAY()),"Overdue",""),IF(AND($I374&lt;&gt;"",$I374&gt;=TODAY(),$I374&lt;=TODAY()+7),"Due This Week",""),IF($M374&lt;=VLOOKUP(Home!$C$7,Lists!$N$2:$O$6,2,FALSE),$H374&amp;" Task",""),IF($G374=Home!$E$7,"Fits Current Energy",""),"No Blockers"))))</f>
        <v/>
      </c>
      <c r="P374" s="88">
        <f>IF($D374="","",SWITCH('Task Finder'!$C$6,"High Priority",AND($F374="High",$E374&lt;&gt;"Done",$E374&lt;&gt;"Archive"),"Due This Week",AND($I374&lt;&gt;"",$I374&gt;=TODAY(),$I374&lt;=TODAY()+7,$E374&lt;&gt;"Done"),"Quick Wins (15 mins or less)",AND($M374&lt;=15,$E374&lt;&gt;"Done",$E374&lt;&gt;"Blocked"),"Deep Thinking",AND($G374="Deep Thinking",$E374&lt;&gt;"Done"),"Processing",AND($G374="Processing",$E374&lt;&gt;"Done"),"Blocked",$E374="Blocked","Waiting",$E374="Waiting","Recently Updated",AND($L374&lt;&gt;"",$L374&gt;=TODAY()-7),"Keyword",AND('Task Finder'!$C$7&lt;&gt;"",OR(ISNUMBER(SEARCH('Task Finder'!$C$7,$A374)),ISNUMBER(SEARCH('Task Finder'!$C$7,$B374)),ISNUMBER(SEARCH('Task Finder'!$C$7,$C374)),ISNUMBER(SEARCH('Task Finder'!$C$7,$D374)),ISNUMBER(SEARCH('Task Finder'!$C$7,$K374)))),TRUE))</f>
        <v/>
      </c>
    </row>
    <row r="375">
      <c r="A375" s="19" t="n"/>
      <c r="B375" s="19" t="n"/>
      <c r="C375" s="19" t="n"/>
      <c r="D375" s="19" t="n"/>
      <c r="E375" s="19" t="n"/>
      <c r="F375" s="19" t="n"/>
      <c r="G375" s="19" t="n"/>
      <c r="H375" s="19" t="n"/>
      <c r="I375" s="19" t="n"/>
      <c r="J375" s="19" t="n"/>
      <c r="K375" s="19" t="n"/>
      <c r="L375" s="125" t="n"/>
      <c r="M375" s="88">
        <f>IF($D375="","",IFERROR(VLOOKUP($H375,Lists!$N$2:$O$6,2,FALSE),0))</f>
        <v/>
      </c>
      <c r="N375" s="88">
        <f>IF($D375="","",IF(OR($E375="Blocked",$E375="Done",$E375="Archive"),-9999,IF(AND($E375="Waiting",SUMPRODUCT((($E$5:$E$500="Next")+($E$5:$E$500="In Progress")+($E$5:$E$500="Captured"))*($D$5:$D$500&lt;&gt;""))&gt;0),-500,VLOOKUP($F375,Lists!$L$2:$M$4,2,FALSE)+IF($E375="In Progress",10,0)+IF(AND($I375&lt;&gt;"",$I375&lt;TODAY()),25,0)+IF(AND($I375&lt;&gt;"",$I375&gt;=TODAY(),$I375&lt;=TODAY()+7),15,0)+IF($M375&lt;=VLOOKUP(Home!$C$7,Lists!$N$2:$O$6,2,FALSE),20,-10)+IF($G375=Home!$E$7,15,IF(Home!$E$7="",0,-5))-ROW()/100000)))</f>
        <v/>
      </c>
      <c r="O375" s="88">
        <f>IF($D375="","",IF($N375&lt;=-500,"Not recommended right now",IF($E375="Waiting","Nothing else actionable right now — Waiting on: "&amp;IF($K375="","this item",$K375),TEXTJOIN(" • ",TRUE,IF($F375="High","High Priority",""),IF(AND($I375&lt;&gt;"",$I375&lt;TODAY()),"Overdue",""),IF(AND($I375&lt;&gt;"",$I375&gt;=TODAY(),$I375&lt;=TODAY()+7),"Due This Week",""),IF($M375&lt;=VLOOKUP(Home!$C$7,Lists!$N$2:$O$6,2,FALSE),$H375&amp;" Task",""),IF($G375=Home!$E$7,"Fits Current Energy",""),"No Blockers"))))</f>
        <v/>
      </c>
      <c r="P375" s="88">
        <f>IF($D375="","",SWITCH('Task Finder'!$C$6,"High Priority",AND($F375="High",$E375&lt;&gt;"Done",$E375&lt;&gt;"Archive"),"Due This Week",AND($I375&lt;&gt;"",$I375&gt;=TODAY(),$I375&lt;=TODAY()+7,$E375&lt;&gt;"Done"),"Quick Wins (15 mins or less)",AND($M375&lt;=15,$E375&lt;&gt;"Done",$E375&lt;&gt;"Blocked"),"Deep Thinking",AND($G375="Deep Thinking",$E375&lt;&gt;"Done"),"Processing",AND($G375="Processing",$E375&lt;&gt;"Done"),"Blocked",$E375="Blocked","Waiting",$E375="Waiting","Recently Updated",AND($L375&lt;&gt;"",$L375&gt;=TODAY()-7),"Keyword",AND('Task Finder'!$C$7&lt;&gt;"",OR(ISNUMBER(SEARCH('Task Finder'!$C$7,$A375)),ISNUMBER(SEARCH('Task Finder'!$C$7,$B375)),ISNUMBER(SEARCH('Task Finder'!$C$7,$C375)),ISNUMBER(SEARCH('Task Finder'!$C$7,$D375)),ISNUMBER(SEARCH('Task Finder'!$C$7,$K375)))),TRUE))</f>
        <v/>
      </c>
    </row>
    <row r="376">
      <c r="A376" s="19" t="n"/>
      <c r="B376" s="19" t="n"/>
      <c r="C376" s="19" t="n"/>
      <c r="D376" s="19" t="n"/>
      <c r="E376" s="19" t="n"/>
      <c r="F376" s="19" t="n"/>
      <c r="G376" s="19" t="n"/>
      <c r="H376" s="19" t="n"/>
      <c r="I376" s="19" t="n"/>
      <c r="J376" s="19" t="n"/>
      <c r="K376" s="19" t="n"/>
      <c r="L376" s="125" t="n"/>
      <c r="M376" s="88">
        <f>IF($D376="","",IFERROR(VLOOKUP($H376,Lists!$N$2:$O$6,2,FALSE),0))</f>
        <v/>
      </c>
      <c r="N376" s="88">
        <f>IF($D376="","",IF(OR($E376="Blocked",$E376="Done",$E376="Archive"),-9999,IF(AND($E376="Waiting",SUMPRODUCT((($E$5:$E$500="Next")+($E$5:$E$500="In Progress")+($E$5:$E$500="Captured"))*($D$5:$D$500&lt;&gt;""))&gt;0),-500,VLOOKUP($F376,Lists!$L$2:$M$4,2,FALSE)+IF($E376="In Progress",10,0)+IF(AND($I376&lt;&gt;"",$I376&lt;TODAY()),25,0)+IF(AND($I376&lt;&gt;"",$I376&gt;=TODAY(),$I376&lt;=TODAY()+7),15,0)+IF($M376&lt;=VLOOKUP(Home!$C$7,Lists!$N$2:$O$6,2,FALSE),20,-10)+IF($G376=Home!$E$7,15,IF(Home!$E$7="",0,-5))-ROW()/100000)))</f>
        <v/>
      </c>
      <c r="O376" s="88">
        <f>IF($D376="","",IF($N376&lt;=-500,"Not recommended right now",IF($E376="Waiting","Nothing else actionable right now — Waiting on: "&amp;IF($K376="","this item",$K376),TEXTJOIN(" • ",TRUE,IF($F376="High","High Priority",""),IF(AND($I376&lt;&gt;"",$I376&lt;TODAY()),"Overdue",""),IF(AND($I376&lt;&gt;"",$I376&gt;=TODAY(),$I376&lt;=TODAY()+7),"Due This Week",""),IF($M376&lt;=VLOOKUP(Home!$C$7,Lists!$N$2:$O$6,2,FALSE),$H376&amp;" Task",""),IF($G376=Home!$E$7,"Fits Current Energy",""),"No Blockers"))))</f>
        <v/>
      </c>
      <c r="P376" s="88">
        <f>IF($D376="","",SWITCH('Task Finder'!$C$6,"High Priority",AND($F376="High",$E376&lt;&gt;"Done",$E376&lt;&gt;"Archive"),"Due This Week",AND($I376&lt;&gt;"",$I376&gt;=TODAY(),$I376&lt;=TODAY()+7,$E376&lt;&gt;"Done"),"Quick Wins (15 mins or less)",AND($M376&lt;=15,$E376&lt;&gt;"Done",$E376&lt;&gt;"Blocked"),"Deep Thinking",AND($G376="Deep Thinking",$E376&lt;&gt;"Done"),"Processing",AND($G376="Processing",$E376&lt;&gt;"Done"),"Blocked",$E376="Blocked","Waiting",$E376="Waiting","Recently Updated",AND($L376&lt;&gt;"",$L376&gt;=TODAY()-7),"Keyword",AND('Task Finder'!$C$7&lt;&gt;"",OR(ISNUMBER(SEARCH('Task Finder'!$C$7,$A376)),ISNUMBER(SEARCH('Task Finder'!$C$7,$B376)),ISNUMBER(SEARCH('Task Finder'!$C$7,$C376)),ISNUMBER(SEARCH('Task Finder'!$C$7,$D376)),ISNUMBER(SEARCH('Task Finder'!$C$7,$K376)))),TRUE))</f>
        <v/>
      </c>
    </row>
    <row r="377">
      <c r="A377" s="19" t="n"/>
      <c r="B377" s="19" t="n"/>
      <c r="C377" s="19" t="n"/>
      <c r="D377" s="19" t="n"/>
      <c r="E377" s="19" t="n"/>
      <c r="F377" s="19" t="n"/>
      <c r="G377" s="19" t="n"/>
      <c r="H377" s="19" t="n"/>
      <c r="I377" s="19" t="n"/>
      <c r="J377" s="19" t="n"/>
      <c r="K377" s="19" t="n"/>
      <c r="L377" s="125" t="n"/>
      <c r="M377" s="88">
        <f>IF($D377="","",IFERROR(VLOOKUP($H377,Lists!$N$2:$O$6,2,FALSE),0))</f>
        <v/>
      </c>
      <c r="N377" s="88">
        <f>IF($D377="","",IF(OR($E377="Blocked",$E377="Done",$E377="Archive"),-9999,IF(AND($E377="Waiting",SUMPRODUCT((($E$5:$E$500="Next")+($E$5:$E$500="In Progress")+($E$5:$E$500="Captured"))*($D$5:$D$500&lt;&gt;""))&gt;0),-500,VLOOKUP($F377,Lists!$L$2:$M$4,2,FALSE)+IF($E377="In Progress",10,0)+IF(AND($I377&lt;&gt;"",$I377&lt;TODAY()),25,0)+IF(AND($I377&lt;&gt;"",$I377&gt;=TODAY(),$I377&lt;=TODAY()+7),15,0)+IF($M377&lt;=VLOOKUP(Home!$C$7,Lists!$N$2:$O$6,2,FALSE),20,-10)+IF($G377=Home!$E$7,15,IF(Home!$E$7="",0,-5))-ROW()/100000)))</f>
        <v/>
      </c>
      <c r="O377" s="88">
        <f>IF($D377="","",IF($N377&lt;=-500,"Not recommended right now",IF($E377="Waiting","Nothing else actionable right now — Waiting on: "&amp;IF($K377="","this item",$K377),TEXTJOIN(" • ",TRUE,IF($F377="High","High Priority",""),IF(AND($I377&lt;&gt;"",$I377&lt;TODAY()),"Overdue",""),IF(AND($I377&lt;&gt;"",$I377&gt;=TODAY(),$I377&lt;=TODAY()+7),"Due This Week",""),IF($M377&lt;=VLOOKUP(Home!$C$7,Lists!$N$2:$O$6,2,FALSE),$H377&amp;" Task",""),IF($G377=Home!$E$7,"Fits Current Energy",""),"No Blockers"))))</f>
        <v/>
      </c>
      <c r="P377" s="88">
        <f>IF($D377="","",SWITCH('Task Finder'!$C$6,"High Priority",AND($F377="High",$E377&lt;&gt;"Done",$E377&lt;&gt;"Archive"),"Due This Week",AND($I377&lt;&gt;"",$I377&gt;=TODAY(),$I377&lt;=TODAY()+7,$E377&lt;&gt;"Done"),"Quick Wins (15 mins or less)",AND($M377&lt;=15,$E377&lt;&gt;"Done",$E377&lt;&gt;"Blocked"),"Deep Thinking",AND($G377="Deep Thinking",$E377&lt;&gt;"Done"),"Processing",AND($G377="Processing",$E377&lt;&gt;"Done"),"Blocked",$E377="Blocked","Waiting",$E377="Waiting","Recently Updated",AND($L377&lt;&gt;"",$L377&gt;=TODAY()-7),"Keyword",AND('Task Finder'!$C$7&lt;&gt;"",OR(ISNUMBER(SEARCH('Task Finder'!$C$7,$A377)),ISNUMBER(SEARCH('Task Finder'!$C$7,$B377)),ISNUMBER(SEARCH('Task Finder'!$C$7,$C377)),ISNUMBER(SEARCH('Task Finder'!$C$7,$D377)),ISNUMBER(SEARCH('Task Finder'!$C$7,$K377)))),TRUE))</f>
        <v/>
      </c>
    </row>
    <row r="378">
      <c r="A378" s="19" t="n"/>
      <c r="B378" s="19" t="n"/>
      <c r="C378" s="19" t="n"/>
      <c r="D378" s="19" t="n"/>
      <c r="E378" s="19" t="n"/>
      <c r="F378" s="19" t="n"/>
      <c r="G378" s="19" t="n"/>
      <c r="H378" s="19" t="n"/>
      <c r="I378" s="19" t="n"/>
      <c r="J378" s="19" t="n"/>
      <c r="K378" s="19" t="n"/>
      <c r="L378" s="125" t="n"/>
      <c r="M378" s="88">
        <f>IF($D378="","",IFERROR(VLOOKUP($H378,Lists!$N$2:$O$6,2,FALSE),0))</f>
        <v/>
      </c>
      <c r="N378" s="88">
        <f>IF($D378="","",IF(OR($E378="Blocked",$E378="Done",$E378="Archive"),-9999,IF(AND($E378="Waiting",SUMPRODUCT((($E$5:$E$500="Next")+($E$5:$E$500="In Progress")+($E$5:$E$500="Captured"))*($D$5:$D$500&lt;&gt;""))&gt;0),-500,VLOOKUP($F378,Lists!$L$2:$M$4,2,FALSE)+IF($E378="In Progress",10,0)+IF(AND($I378&lt;&gt;"",$I378&lt;TODAY()),25,0)+IF(AND($I378&lt;&gt;"",$I378&gt;=TODAY(),$I378&lt;=TODAY()+7),15,0)+IF($M378&lt;=VLOOKUP(Home!$C$7,Lists!$N$2:$O$6,2,FALSE),20,-10)+IF($G378=Home!$E$7,15,IF(Home!$E$7="",0,-5))-ROW()/100000)))</f>
        <v/>
      </c>
      <c r="O378" s="88">
        <f>IF($D378="","",IF($N378&lt;=-500,"Not recommended right now",IF($E378="Waiting","Nothing else actionable right now — Waiting on: "&amp;IF($K378="","this item",$K378),TEXTJOIN(" • ",TRUE,IF($F378="High","High Priority",""),IF(AND($I378&lt;&gt;"",$I378&lt;TODAY()),"Overdue",""),IF(AND($I378&lt;&gt;"",$I378&gt;=TODAY(),$I378&lt;=TODAY()+7),"Due This Week",""),IF($M378&lt;=VLOOKUP(Home!$C$7,Lists!$N$2:$O$6,2,FALSE),$H378&amp;" Task",""),IF($G378=Home!$E$7,"Fits Current Energy",""),"No Blockers"))))</f>
        <v/>
      </c>
      <c r="P378" s="88">
        <f>IF($D378="","",SWITCH('Task Finder'!$C$6,"High Priority",AND($F378="High",$E378&lt;&gt;"Done",$E378&lt;&gt;"Archive"),"Due This Week",AND($I378&lt;&gt;"",$I378&gt;=TODAY(),$I378&lt;=TODAY()+7,$E378&lt;&gt;"Done"),"Quick Wins (15 mins or less)",AND($M378&lt;=15,$E378&lt;&gt;"Done",$E378&lt;&gt;"Blocked"),"Deep Thinking",AND($G378="Deep Thinking",$E378&lt;&gt;"Done"),"Processing",AND($G378="Processing",$E378&lt;&gt;"Done"),"Blocked",$E378="Blocked","Waiting",$E378="Waiting","Recently Updated",AND($L378&lt;&gt;"",$L378&gt;=TODAY()-7),"Keyword",AND('Task Finder'!$C$7&lt;&gt;"",OR(ISNUMBER(SEARCH('Task Finder'!$C$7,$A378)),ISNUMBER(SEARCH('Task Finder'!$C$7,$B378)),ISNUMBER(SEARCH('Task Finder'!$C$7,$C378)),ISNUMBER(SEARCH('Task Finder'!$C$7,$D378)),ISNUMBER(SEARCH('Task Finder'!$C$7,$K378)))),TRUE))</f>
        <v/>
      </c>
    </row>
    <row r="379">
      <c r="A379" s="19" t="n"/>
      <c r="B379" s="19" t="n"/>
      <c r="C379" s="19" t="n"/>
      <c r="D379" s="19" t="n"/>
      <c r="E379" s="19" t="n"/>
      <c r="F379" s="19" t="n"/>
      <c r="G379" s="19" t="n"/>
      <c r="H379" s="19" t="n"/>
      <c r="I379" s="19" t="n"/>
      <c r="J379" s="19" t="n"/>
      <c r="K379" s="19" t="n"/>
      <c r="L379" s="125" t="n"/>
      <c r="M379" s="88">
        <f>IF($D379="","",IFERROR(VLOOKUP($H379,Lists!$N$2:$O$6,2,FALSE),0))</f>
        <v/>
      </c>
      <c r="N379" s="88">
        <f>IF($D379="","",IF(OR($E379="Blocked",$E379="Done",$E379="Archive"),-9999,IF(AND($E379="Waiting",SUMPRODUCT((($E$5:$E$500="Next")+($E$5:$E$500="In Progress")+($E$5:$E$500="Captured"))*($D$5:$D$500&lt;&gt;""))&gt;0),-500,VLOOKUP($F379,Lists!$L$2:$M$4,2,FALSE)+IF($E379="In Progress",10,0)+IF(AND($I379&lt;&gt;"",$I379&lt;TODAY()),25,0)+IF(AND($I379&lt;&gt;"",$I379&gt;=TODAY(),$I379&lt;=TODAY()+7),15,0)+IF($M379&lt;=VLOOKUP(Home!$C$7,Lists!$N$2:$O$6,2,FALSE),20,-10)+IF($G379=Home!$E$7,15,IF(Home!$E$7="",0,-5))-ROW()/100000)))</f>
        <v/>
      </c>
      <c r="O379" s="88">
        <f>IF($D379="","",IF($N379&lt;=-500,"Not recommended right now",IF($E379="Waiting","Nothing else actionable right now — Waiting on: "&amp;IF($K379="","this item",$K379),TEXTJOIN(" • ",TRUE,IF($F379="High","High Priority",""),IF(AND($I379&lt;&gt;"",$I379&lt;TODAY()),"Overdue",""),IF(AND($I379&lt;&gt;"",$I379&gt;=TODAY(),$I379&lt;=TODAY()+7),"Due This Week",""),IF($M379&lt;=VLOOKUP(Home!$C$7,Lists!$N$2:$O$6,2,FALSE),$H379&amp;" Task",""),IF($G379=Home!$E$7,"Fits Current Energy",""),"No Blockers"))))</f>
        <v/>
      </c>
      <c r="P379" s="88">
        <f>IF($D379="","",SWITCH('Task Finder'!$C$6,"High Priority",AND($F379="High",$E379&lt;&gt;"Done",$E379&lt;&gt;"Archive"),"Due This Week",AND($I379&lt;&gt;"",$I379&gt;=TODAY(),$I379&lt;=TODAY()+7,$E379&lt;&gt;"Done"),"Quick Wins (15 mins or less)",AND($M379&lt;=15,$E379&lt;&gt;"Done",$E379&lt;&gt;"Blocked"),"Deep Thinking",AND($G379="Deep Thinking",$E379&lt;&gt;"Done"),"Processing",AND($G379="Processing",$E379&lt;&gt;"Done"),"Blocked",$E379="Blocked","Waiting",$E379="Waiting","Recently Updated",AND($L379&lt;&gt;"",$L379&gt;=TODAY()-7),"Keyword",AND('Task Finder'!$C$7&lt;&gt;"",OR(ISNUMBER(SEARCH('Task Finder'!$C$7,$A379)),ISNUMBER(SEARCH('Task Finder'!$C$7,$B379)),ISNUMBER(SEARCH('Task Finder'!$C$7,$C379)),ISNUMBER(SEARCH('Task Finder'!$C$7,$D379)),ISNUMBER(SEARCH('Task Finder'!$C$7,$K379)))),TRUE))</f>
        <v/>
      </c>
    </row>
    <row r="380">
      <c r="A380" s="19" t="n"/>
      <c r="B380" s="19" t="n"/>
      <c r="C380" s="19" t="n"/>
      <c r="D380" s="19" t="n"/>
      <c r="E380" s="19" t="n"/>
      <c r="F380" s="19" t="n"/>
      <c r="G380" s="19" t="n"/>
      <c r="H380" s="19" t="n"/>
      <c r="I380" s="19" t="n"/>
      <c r="J380" s="19" t="n"/>
      <c r="K380" s="19" t="n"/>
      <c r="L380" s="125" t="n"/>
      <c r="M380" s="88">
        <f>IF($D380="","",IFERROR(VLOOKUP($H380,Lists!$N$2:$O$6,2,FALSE),0))</f>
        <v/>
      </c>
      <c r="N380" s="88">
        <f>IF($D380="","",IF(OR($E380="Blocked",$E380="Done",$E380="Archive"),-9999,IF(AND($E380="Waiting",SUMPRODUCT((($E$5:$E$500="Next")+($E$5:$E$500="In Progress")+($E$5:$E$500="Captured"))*($D$5:$D$500&lt;&gt;""))&gt;0),-500,VLOOKUP($F380,Lists!$L$2:$M$4,2,FALSE)+IF($E380="In Progress",10,0)+IF(AND($I380&lt;&gt;"",$I380&lt;TODAY()),25,0)+IF(AND($I380&lt;&gt;"",$I380&gt;=TODAY(),$I380&lt;=TODAY()+7),15,0)+IF($M380&lt;=VLOOKUP(Home!$C$7,Lists!$N$2:$O$6,2,FALSE),20,-10)+IF($G380=Home!$E$7,15,IF(Home!$E$7="",0,-5))-ROW()/100000)))</f>
        <v/>
      </c>
      <c r="O380" s="88">
        <f>IF($D380="","",IF($N380&lt;=-500,"Not recommended right now",IF($E380="Waiting","Nothing else actionable right now — Waiting on: "&amp;IF($K380="","this item",$K380),TEXTJOIN(" • ",TRUE,IF($F380="High","High Priority",""),IF(AND($I380&lt;&gt;"",$I380&lt;TODAY()),"Overdue",""),IF(AND($I380&lt;&gt;"",$I380&gt;=TODAY(),$I380&lt;=TODAY()+7),"Due This Week",""),IF($M380&lt;=VLOOKUP(Home!$C$7,Lists!$N$2:$O$6,2,FALSE),$H380&amp;" Task",""),IF($G380=Home!$E$7,"Fits Current Energy",""),"No Blockers"))))</f>
        <v/>
      </c>
      <c r="P380" s="88">
        <f>IF($D380="","",SWITCH('Task Finder'!$C$6,"High Priority",AND($F380="High",$E380&lt;&gt;"Done",$E380&lt;&gt;"Archive"),"Due This Week",AND($I380&lt;&gt;"",$I380&gt;=TODAY(),$I380&lt;=TODAY()+7,$E380&lt;&gt;"Done"),"Quick Wins (15 mins or less)",AND($M380&lt;=15,$E380&lt;&gt;"Done",$E380&lt;&gt;"Blocked"),"Deep Thinking",AND($G380="Deep Thinking",$E380&lt;&gt;"Done"),"Processing",AND($G380="Processing",$E380&lt;&gt;"Done"),"Blocked",$E380="Blocked","Waiting",$E380="Waiting","Recently Updated",AND($L380&lt;&gt;"",$L380&gt;=TODAY()-7),"Keyword",AND('Task Finder'!$C$7&lt;&gt;"",OR(ISNUMBER(SEARCH('Task Finder'!$C$7,$A380)),ISNUMBER(SEARCH('Task Finder'!$C$7,$B380)),ISNUMBER(SEARCH('Task Finder'!$C$7,$C380)),ISNUMBER(SEARCH('Task Finder'!$C$7,$D380)),ISNUMBER(SEARCH('Task Finder'!$C$7,$K380)))),TRUE))</f>
        <v/>
      </c>
    </row>
    <row r="381">
      <c r="A381" s="19" t="n"/>
      <c r="B381" s="19" t="n"/>
      <c r="C381" s="19" t="n"/>
      <c r="D381" s="19" t="n"/>
      <c r="E381" s="19" t="n"/>
      <c r="F381" s="19" t="n"/>
      <c r="G381" s="19" t="n"/>
      <c r="H381" s="19" t="n"/>
      <c r="I381" s="19" t="n"/>
      <c r="J381" s="19" t="n"/>
      <c r="K381" s="19" t="n"/>
      <c r="L381" s="125" t="n"/>
      <c r="M381" s="88">
        <f>IF($D381="","",IFERROR(VLOOKUP($H381,Lists!$N$2:$O$6,2,FALSE),0))</f>
        <v/>
      </c>
      <c r="N381" s="88">
        <f>IF($D381="","",IF(OR($E381="Blocked",$E381="Done",$E381="Archive"),-9999,IF(AND($E381="Waiting",SUMPRODUCT((($E$5:$E$500="Next")+($E$5:$E$500="In Progress")+($E$5:$E$500="Captured"))*($D$5:$D$500&lt;&gt;""))&gt;0),-500,VLOOKUP($F381,Lists!$L$2:$M$4,2,FALSE)+IF($E381="In Progress",10,0)+IF(AND($I381&lt;&gt;"",$I381&lt;TODAY()),25,0)+IF(AND($I381&lt;&gt;"",$I381&gt;=TODAY(),$I381&lt;=TODAY()+7),15,0)+IF($M381&lt;=VLOOKUP(Home!$C$7,Lists!$N$2:$O$6,2,FALSE),20,-10)+IF($G381=Home!$E$7,15,IF(Home!$E$7="",0,-5))-ROW()/100000)))</f>
        <v/>
      </c>
      <c r="O381" s="88">
        <f>IF($D381="","",IF($N381&lt;=-500,"Not recommended right now",IF($E381="Waiting","Nothing else actionable right now — Waiting on: "&amp;IF($K381="","this item",$K381),TEXTJOIN(" • ",TRUE,IF($F381="High","High Priority",""),IF(AND($I381&lt;&gt;"",$I381&lt;TODAY()),"Overdue",""),IF(AND($I381&lt;&gt;"",$I381&gt;=TODAY(),$I381&lt;=TODAY()+7),"Due This Week",""),IF($M381&lt;=VLOOKUP(Home!$C$7,Lists!$N$2:$O$6,2,FALSE),$H381&amp;" Task",""),IF($G381=Home!$E$7,"Fits Current Energy",""),"No Blockers"))))</f>
        <v/>
      </c>
      <c r="P381" s="88">
        <f>IF($D381="","",SWITCH('Task Finder'!$C$6,"High Priority",AND($F381="High",$E381&lt;&gt;"Done",$E381&lt;&gt;"Archive"),"Due This Week",AND($I381&lt;&gt;"",$I381&gt;=TODAY(),$I381&lt;=TODAY()+7,$E381&lt;&gt;"Done"),"Quick Wins (15 mins or less)",AND($M381&lt;=15,$E381&lt;&gt;"Done",$E381&lt;&gt;"Blocked"),"Deep Thinking",AND($G381="Deep Thinking",$E381&lt;&gt;"Done"),"Processing",AND($G381="Processing",$E381&lt;&gt;"Done"),"Blocked",$E381="Blocked","Waiting",$E381="Waiting","Recently Updated",AND($L381&lt;&gt;"",$L381&gt;=TODAY()-7),"Keyword",AND('Task Finder'!$C$7&lt;&gt;"",OR(ISNUMBER(SEARCH('Task Finder'!$C$7,$A381)),ISNUMBER(SEARCH('Task Finder'!$C$7,$B381)),ISNUMBER(SEARCH('Task Finder'!$C$7,$C381)),ISNUMBER(SEARCH('Task Finder'!$C$7,$D381)),ISNUMBER(SEARCH('Task Finder'!$C$7,$K381)))),TRUE))</f>
        <v/>
      </c>
    </row>
    <row r="382">
      <c r="A382" s="19" t="n"/>
      <c r="B382" s="19" t="n"/>
      <c r="C382" s="19" t="n"/>
      <c r="D382" s="19" t="n"/>
      <c r="E382" s="19" t="n"/>
      <c r="F382" s="19" t="n"/>
      <c r="G382" s="19" t="n"/>
      <c r="H382" s="19" t="n"/>
      <c r="I382" s="19" t="n"/>
      <c r="J382" s="19" t="n"/>
      <c r="K382" s="19" t="n"/>
      <c r="L382" s="125" t="n"/>
      <c r="M382" s="88">
        <f>IF($D382="","",IFERROR(VLOOKUP($H382,Lists!$N$2:$O$6,2,FALSE),0))</f>
        <v/>
      </c>
      <c r="N382" s="88">
        <f>IF($D382="","",IF(OR($E382="Blocked",$E382="Done",$E382="Archive"),-9999,IF(AND($E382="Waiting",SUMPRODUCT((($E$5:$E$500="Next")+($E$5:$E$500="In Progress")+($E$5:$E$500="Captured"))*($D$5:$D$500&lt;&gt;""))&gt;0),-500,VLOOKUP($F382,Lists!$L$2:$M$4,2,FALSE)+IF($E382="In Progress",10,0)+IF(AND($I382&lt;&gt;"",$I382&lt;TODAY()),25,0)+IF(AND($I382&lt;&gt;"",$I382&gt;=TODAY(),$I382&lt;=TODAY()+7),15,0)+IF($M382&lt;=VLOOKUP(Home!$C$7,Lists!$N$2:$O$6,2,FALSE),20,-10)+IF($G382=Home!$E$7,15,IF(Home!$E$7="",0,-5))-ROW()/100000)))</f>
        <v/>
      </c>
      <c r="O382" s="88">
        <f>IF($D382="","",IF($N382&lt;=-500,"Not recommended right now",IF($E382="Waiting","Nothing else actionable right now — Waiting on: "&amp;IF($K382="","this item",$K382),TEXTJOIN(" • ",TRUE,IF($F382="High","High Priority",""),IF(AND($I382&lt;&gt;"",$I382&lt;TODAY()),"Overdue",""),IF(AND($I382&lt;&gt;"",$I382&gt;=TODAY(),$I382&lt;=TODAY()+7),"Due This Week",""),IF($M382&lt;=VLOOKUP(Home!$C$7,Lists!$N$2:$O$6,2,FALSE),$H382&amp;" Task",""),IF($G382=Home!$E$7,"Fits Current Energy",""),"No Blockers"))))</f>
        <v/>
      </c>
      <c r="P382" s="88">
        <f>IF($D382="","",SWITCH('Task Finder'!$C$6,"High Priority",AND($F382="High",$E382&lt;&gt;"Done",$E382&lt;&gt;"Archive"),"Due This Week",AND($I382&lt;&gt;"",$I382&gt;=TODAY(),$I382&lt;=TODAY()+7,$E382&lt;&gt;"Done"),"Quick Wins (15 mins or less)",AND($M382&lt;=15,$E382&lt;&gt;"Done",$E382&lt;&gt;"Blocked"),"Deep Thinking",AND($G382="Deep Thinking",$E382&lt;&gt;"Done"),"Processing",AND($G382="Processing",$E382&lt;&gt;"Done"),"Blocked",$E382="Blocked","Waiting",$E382="Waiting","Recently Updated",AND($L382&lt;&gt;"",$L382&gt;=TODAY()-7),"Keyword",AND('Task Finder'!$C$7&lt;&gt;"",OR(ISNUMBER(SEARCH('Task Finder'!$C$7,$A382)),ISNUMBER(SEARCH('Task Finder'!$C$7,$B382)),ISNUMBER(SEARCH('Task Finder'!$C$7,$C382)),ISNUMBER(SEARCH('Task Finder'!$C$7,$D382)),ISNUMBER(SEARCH('Task Finder'!$C$7,$K382)))),TRUE))</f>
        <v/>
      </c>
    </row>
    <row r="383">
      <c r="A383" s="19" t="n"/>
      <c r="B383" s="19" t="n"/>
      <c r="C383" s="19" t="n"/>
      <c r="D383" s="19" t="n"/>
      <c r="E383" s="19" t="n"/>
      <c r="F383" s="19" t="n"/>
      <c r="G383" s="19" t="n"/>
      <c r="H383" s="19" t="n"/>
      <c r="I383" s="19" t="n"/>
      <c r="J383" s="19" t="n"/>
      <c r="K383" s="19" t="n"/>
      <c r="L383" s="125" t="n"/>
      <c r="M383" s="88">
        <f>IF($D383="","",IFERROR(VLOOKUP($H383,Lists!$N$2:$O$6,2,FALSE),0))</f>
        <v/>
      </c>
      <c r="N383" s="88">
        <f>IF($D383="","",IF(OR($E383="Blocked",$E383="Done",$E383="Archive"),-9999,IF(AND($E383="Waiting",SUMPRODUCT((($E$5:$E$500="Next")+($E$5:$E$500="In Progress")+($E$5:$E$500="Captured"))*($D$5:$D$500&lt;&gt;""))&gt;0),-500,VLOOKUP($F383,Lists!$L$2:$M$4,2,FALSE)+IF($E383="In Progress",10,0)+IF(AND($I383&lt;&gt;"",$I383&lt;TODAY()),25,0)+IF(AND($I383&lt;&gt;"",$I383&gt;=TODAY(),$I383&lt;=TODAY()+7),15,0)+IF($M383&lt;=VLOOKUP(Home!$C$7,Lists!$N$2:$O$6,2,FALSE),20,-10)+IF($G383=Home!$E$7,15,IF(Home!$E$7="",0,-5))-ROW()/100000)))</f>
        <v/>
      </c>
      <c r="O383" s="88">
        <f>IF($D383="","",IF($N383&lt;=-500,"Not recommended right now",IF($E383="Waiting","Nothing else actionable right now — Waiting on: "&amp;IF($K383="","this item",$K383),TEXTJOIN(" • ",TRUE,IF($F383="High","High Priority",""),IF(AND($I383&lt;&gt;"",$I383&lt;TODAY()),"Overdue",""),IF(AND($I383&lt;&gt;"",$I383&gt;=TODAY(),$I383&lt;=TODAY()+7),"Due This Week",""),IF($M383&lt;=VLOOKUP(Home!$C$7,Lists!$N$2:$O$6,2,FALSE),$H383&amp;" Task",""),IF($G383=Home!$E$7,"Fits Current Energy",""),"No Blockers"))))</f>
        <v/>
      </c>
      <c r="P383" s="88">
        <f>IF($D383="","",SWITCH('Task Finder'!$C$6,"High Priority",AND($F383="High",$E383&lt;&gt;"Done",$E383&lt;&gt;"Archive"),"Due This Week",AND($I383&lt;&gt;"",$I383&gt;=TODAY(),$I383&lt;=TODAY()+7,$E383&lt;&gt;"Done"),"Quick Wins (15 mins or less)",AND($M383&lt;=15,$E383&lt;&gt;"Done",$E383&lt;&gt;"Blocked"),"Deep Thinking",AND($G383="Deep Thinking",$E383&lt;&gt;"Done"),"Processing",AND($G383="Processing",$E383&lt;&gt;"Done"),"Blocked",$E383="Blocked","Waiting",$E383="Waiting","Recently Updated",AND($L383&lt;&gt;"",$L383&gt;=TODAY()-7),"Keyword",AND('Task Finder'!$C$7&lt;&gt;"",OR(ISNUMBER(SEARCH('Task Finder'!$C$7,$A383)),ISNUMBER(SEARCH('Task Finder'!$C$7,$B383)),ISNUMBER(SEARCH('Task Finder'!$C$7,$C383)),ISNUMBER(SEARCH('Task Finder'!$C$7,$D383)),ISNUMBER(SEARCH('Task Finder'!$C$7,$K383)))),TRUE))</f>
        <v/>
      </c>
    </row>
    <row r="384">
      <c r="A384" s="19" t="n"/>
      <c r="B384" s="19" t="n"/>
      <c r="C384" s="19" t="n"/>
      <c r="D384" s="19" t="n"/>
      <c r="E384" s="19" t="n"/>
      <c r="F384" s="19" t="n"/>
      <c r="G384" s="19" t="n"/>
      <c r="H384" s="19" t="n"/>
      <c r="I384" s="19" t="n"/>
      <c r="J384" s="19" t="n"/>
      <c r="K384" s="19" t="n"/>
      <c r="L384" s="125" t="n"/>
      <c r="M384" s="88">
        <f>IF($D384="","",IFERROR(VLOOKUP($H384,Lists!$N$2:$O$6,2,FALSE),0))</f>
        <v/>
      </c>
      <c r="N384" s="88">
        <f>IF($D384="","",IF(OR($E384="Blocked",$E384="Done",$E384="Archive"),-9999,IF(AND($E384="Waiting",SUMPRODUCT((($E$5:$E$500="Next")+($E$5:$E$500="In Progress")+($E$5:$E$500="Captured"))*($D$5:$D$500&lt;&gt;""))&gt;0),-500,VLOOKUP($F384,Lists!$L$2:$M$4,2,FALSE)+IF($E384="In Progress",10,0)+IF(AND($I384&lt;&gt;"",$I384&lt;TODAY()),25,0)+IF(AND($I384&lt;&gt;"",$I384&gt;=TODAY(),$I384&lt;=TODAY()+7),15,0)+IF($M384&lt;=VLOOKUP(Home!$C$7,Lists!$N$2:$O$6,2,FALSE),20,-10)+IF($G384=Home!$E$7,15,IF(Home!$E$7="",0,-5))-ROW()/100000)))</f>
        <v/>
      </c>
      <c r="O384" s="88">
        <f>IF($D384="","",IF($N384&lt;=-500,"Not recommended right now",IF($E384="Waiting","Nothing else actionable right now — Waiting on: "&amp;IF($K384="","this item",$K384),TEXTJOIN(" • ",TRUE,IF($F384="High","High Priority",""),IF(AND($I384&lt;&gt;"",$I384&lt;TODAY()),"Overdue",""),IF(AND($I384&lt;&gt;"",$I384&gt;=TODAY(),$I384&lt;=TODAY()+7),"Due This Week",""),IF($M384&lt;=VLOOKUP(Home!$C$7,Lists!$N$2:$O$6,2,FALSE),$H384&amp;" Task",""),IF($G384=Home!$E$7,"Fits Current Energy",""),"No Blockers"))))</f>
        <v/>
      </c>
      <c r="P384" s="88">
        <f>IF($D384="","",SWITCH('Task Finder'!$C$6,"High Priority",AND($F384="High",$E384&lt;&gt;"Done",$E384&lt;&gt;"Archive"),"Due This Week",AND($I384&lt;&gt;"",$I384&gt;=TODAY(),$I384&lt;=TODAY()+7,$E384&lt;&gt;"Done"),"Quick Wins (15 mins or less)",AND($M384&lt;=15,$E384&lt;&gt;"Done",$E384&lt;&gt;"Blocked"),"Deep Thinking",AND($G384="Deep Thinking",$E384&lt;&gt;"Done"),"Processing",AND($G384="Processing",$E384&lt;&gt;"Done"),"Blocked",$E384="Blocked","Waiting",$E384="Waiting","Recently Updated",AND($L384&lt;&gt;"",$L384&gt;=TODAY()-7),"Keyword",AND('Task Finder'!$C$7&lt;&gt;"",OR(ISNUMBER(SEARCH('Task Finder'!$C$7,$A384)),ISNUMBER(SEARCH('Task Finder'!$C$7,$B384)),ISNUMBER(SEARCH('Task Finder'!$C$7,$C384)),ISNUMBER(SEARCH('Task Finder'!$C$7,$D384)),ISNUMBER(SEARCH('Task Finder'!$C$7,$K384)))),TRUE))</f>
        <v/>
      </c>
    </row>
    <row r="385">
      <c r="A385" s="19" t="n"/>
      <c r="B385" s="19" t="n"/>
      <c r="C385" s="19" t="n"/>
      <c r="D385" s="19" t="n"/>
      <c r="E385" s="19" t="n"/>
      <c r="F385" s="19" t="n"/>
      <c r="G385" s="19" t="n"/>
      <c r="H385" s="19" t="n"/>
      <c r="I385" s="19" t="n"/>
      <c r="J385" s="19" t="n"/>
      <c r="K385" s="19" t="n"/>
      <c r="L385" s="125" t="n"/>
      <c r="M385" s="88">
        <f>IF($D385="","",IFERROR(VLOOKUP($H385,Lists!$N$2:$O$6,2,FALSE),0))</f>
        <v/>
      </c>
      <c r="N385" s="88">
        <f>IF($D385="","",IF(OR($E385="Blocked",$E385="Done",$E385="Archive"),-9999,IF(AND($E385="Waiting",SUMPRODUCT((($E$5:$E$500="Next")+($E$5:$E$500="In Progress")+($E$5:$E$500="Captured"))*($D$5:$D$500&lt;&gt;""))&gt;0),-500,VLOOKUP($F385,Lists!$L$2:$M$4,2,FALSE)+IF($E385="In Progress",10,0)+IF(AND($I385&lt;&gt;"",$I385&lt;TODAY()),25,0)+IF(AND($I385&lt;&gt;"",$I385&gt;=TODAY(),$I385&lt;=TODAY()+7),15,0)+IF($M385&lt;=VLOOKUP(Home!$C$7,Lists!$N$2:$O$6,2,FALSE),20,-10)+IF($G385=Home!$E$7,15,IF(Home!$E$7="",0,-5))-ROW()/100000)))</f>
        <v/>
      </c>
      <c r="O385" s="88">
        <f>IF($D385="","",IF($N385&lt;=-500,"Not recommended right now",IF($E385="Waiting","Nothing else actionable right now — Waiting on: "&amp;IF($K385="","this item",$K385),TEXTJOIN(" • ",TRUE,IF($F385="High","High Priority",""),IF(AND($I385&lt;&gt;"",$I385&lt;TODAY()),"Overdue",""),IF(AND($I385&lt;&gt;"",$I385&gt;=TODAY(),$I385&lt;=TODAY()+7),"Due This Week",""),IF($M385&lt;=VLOOKUP(Home!$C$7,Lists!$N$2:$O$6,2,FALSE),$H385&amp;" Task",""),IF($G385=Home!$E$7,"Fits Current Energy",""),"No Blockers"))))</f>
        <v/>
      </c>
      <c r="P385" s="88">
        <f>IF($D385="","",SWITCH('Task Finder'!$C$6,"High Priority",AND($F385="High",$E385&lt;&gt;"Done",$E385&lt;&gt;"Archive"),"Due This Week",AND($I385&lt;&gt;"",$I385&gt;=TODAY(),$I385&lt;=TODAY()+7,$E385&lt;&gt;"Done"),"Quick Wins (15 mins or less)",AND($M385&lt;=15,$E385&lt;&gt;"Done",$E385&lt;&gt;"Blocked"),"Deep Thinking",AND($G385="Deep Thinking",$E385&lt;&gt;"Done"),"Processing",AND($G385="Processing",$E385&lt;&gt;"Done"),"Blocked",$E385="Blocked","Waiting",$E385="Waiting","Recently Updated",AND($L385&lt;&gt;"",$L385&gt;=TODAY()-7),"Keyword",AND('Task Finder'!$C$7&lt;&gt;"",OR(ISNUMBER(SEARCH('Task Finder'!$C$7,$A385)),ISNUMBER(SEARCH('Task Finder'!$C$7,$B385)),ISNUMBER(SEARCH('Task Finder'!$C$7,$C385)),ISNUMBER(SEARCH('Task Finder'!$C$7,$D385)),ISNUMBER(SEARCH('Task Finder'!$C$7,$K385)))),TRUE))</f>
        <v/>
      </c>
    </row>
    <row r="386">
      <c r="A386" s="19" t="n"/>
      <c r="B386" s="19" t="n"/>
      <c r="C386" s="19" t="n"/>
      <c r="D386" s="19" t="n"/>
      <c r="E386" s="19" t="n"/>
      <c r="F386" s="19" t="n"/>
      <c r="G386" s="19" t="n"/>
      <c r="H386" s="19" t="n"/>
      <c r="I386" s="19" t="n"/>
      <c r="J386" s="19" t="n"/>
      <c r="K386" s="19" t="n"/>
      <c r="L386" s="125" t="n"/>
      <c r="M386" s="88">
        <f>IF($D386="","",IFERROR(VLOOKUP($H386,Lists!$N$2:$O$6,2,FALSE),0))</f>
        <v/>
      </c>
      <c r="N386" s="88">
        <f>IF($D386="","",IF(OR($E386="Blocked",$E386="Done",$E386="Archive"),-9999,IF(AND($E386="Waiting",SUMPRODUCT((($E$5:$E$500="Next")+($E$5:$E$500="In Progress")+($E$5:$E$500="Captured"))*($D$5:$D$500&lt;&gt;""))&gt;0),-500,VLOOKUP($F386,Lists!$L$2:$M$4,2,FALSE)+IF($E386="In Progress",10,0)+IF(AND($I386&lt;&gt;"",$I386&lt;TODAY()),25,0)+IF(AND($I386&lt;&gt;"",$I386&gt;=TODAY(),$I386&lt;=TODAY()+7),15,0)+IF($M386&lt;=VLOOKUP(Home!$C$7,Lists!$N$2:$O$6,2,FALSE),20,-10)+IF($G386=Home!$E$7,15,IF(Home!$E$7="",0,-5))-ROW()/100000)))</f>
        <v/>
      </c>
      <c r="O386" s="88">
        <f>IF($D386="","",IF($N386&lt;=-500,"Not recommended right now",IF($E386="Waiting","Nothing else actionable right now — Waiting on: "&amp;IF($K386="","this item",$K386),TEXTJOIN(" • ",TRUE,IF($F386="High","High Priority",""),IF(AND($I386&lt;&gt;"",$I386&lt;TODAY()),"Overdue",""),IF(AND($I386&lt;&gt;"",$I386&gt;=TODAY(),$I386&lt;=TODAY()+7),"Due This Week",""),IF($M386&lt;=VLOOKUP(Home!$C$7,Lists!$N$2:$O$6,2,FALSE),$H386&amp;" Task",""),IF($G386=Home!$E$7,"Fits Current Energy",""),"No Blockers"))))</f>
        <v/>
      </c>
      <c r="P386" s="88">
        <f>IF($D386="","",SWITCH('Task Finder'!$C$6,"High Priority",AND($F386="High",$E386&lt;&gt;"Done",$E386&lt;&gt;"Archive"),"Due This Week",AND($I386&lt;&gt;"",$I386&gt;=TODAY(),$I386&lt;=TODAY()+7,$E386&lt;&gt;"Done"),"Quick Wins (15 mins or less)",AND($M386&lt;=15,$E386&lt;&gt;"Done",$E386&lt;&gt;"Blocked"),"Deep Thinking",AND($G386="Deep Thinking",$E386&lt;&gt;"Done"),"Processing",AND($G386="Processing",$E386&lt;&gt;"Done"),"Blocked",$E386="Blocked","Waiting",$E386="Waiting","Recently Updated",AND($L386&lt;&gt;"",$L386&gt;=TODAY()-7),"Keyword",AND('Task Finder'!$C$7&lt;&gt;"",OR(ISNUMBER(SEARCH('Task Finder'!$C$7,$A386)),ISNUMBER(SEARCH('Task Finder'!$C$7,$B386)),ISNUMBER(SEARCH('Task Finder'!$C$7,$C386)),ISNUMBER(SEARCH('Task Finder'!$C$7,$D386)),ISNUMBER(SEARCH('Task Finder'!$C$7,$K386)))),TRUE))</f>
        <v/>
      </c>
    </row>
    <row r="387">
      <c r="A387" s="19" t="n"/>
      <c r="B387" s="19" t="n"/>
      <c r="C387" s="19" t="n"/>
      <c r="D387" s="19" t="n"/>
      <c r="E387" s="19" t="n"/>
      <c r="F387" s="19" t="n"/>
      <c r="G387" s="19" t="n"/>
      <c r="H387" s="19" t="n"/>
      <c r="I387" s="19" t="n"/>
      <c r="J387" s="19" t="n"/>
      <c r="K387" s="19" t="n"/>
      <c r="L387" s="125" t="n"/>
      <c r="M387" s="88">
        <f>IF($D387="","",IFERROR(VLOOKUP($H387,Lists!$N$2:$O$6,2,FALSE),0))</f>
        <v/>
      </c>
      <c r="N387" s="88">
        <f>IF($D387="","",IF(OR($E387="Blocked",$E387="Done",$E387="Archive"),-9999,IF(AND($E387="Waiting",SUMPRODUCT((($E$5:$E$500="Next")+($E$5:$E$500="In Progress")+($E$5:$E$500="Captured"))*($D$5:$D$500&lt;&gt;""))&gt;0),-500,VLOOKUP($F387,Lists!$L$2:$M$4,2,FALSE)+IF($E387="In Progress",10,0)+IF(AND($I387&lt;&gt;"",$I387&lt;TODAY()),25,0)+IF(AND($I387&lt;&gt;"",$I387&gt;=TODAY(),$I387&lt;=TODAY()+7),15,0)+IF($M387&lt;=VLOOKUP(Home!$C$7,Lists!$N$2:$O$6,2,FALSE),20,-10)+IF($G387=Home!$E$7,15,IF(Home!$E$7="",0,-5))-ROW()/100000)))</f>
        <v/>
      </c>
      <c r="O387" s="88">
        <f>IF($D387="","",IF($N387&lt;=-500,"Not recommended right now",IF($E387="Waiting","Nothing else actionable right now — Waiting on: "&amp;IF($K387="","this item",$K387),TEXTJOIN(" • ",TRUE,IF($F387="High","High Priority",""),IF(AND($I387&lt;&gt;"",$I387&lt;TODAY()),"Overdue",""),IF(AND($I387&lt;&gt;"",$I387&gt;=TODAY(),$I387&lt;=TODAY()+7),"Due This Week",""),IF($M387&lt;=VLOOKUP(Home!$C$7,Lists!$N$2:$O$6,2,FALSE),$H387&amp;" Task",""),IF($G387=Home!$E$7,"Fits Current Energy",""),"No Blockers"))))</f>
        <v/>
      </c>
      <c r="P387" s="88">
        <f>IF($D387="","",SWITCH('Task Finder'!$C$6,"High Priority",AND($F387="High",$E387&lt;&gt;"Done",$E387&lt;&gt;"Archive"),"Due This Week",AND($I387&lt;&gt;"",$I387&gt;=TODAY(),$I387&lt;=TODAY()+7,$E387&lt;&gt;"Done"),"Quick Wins (15 mins or less)",AND($M387&lt;=15,$E387&lt;&gt;"Done",$E387&lt;&gt;"Blocked"),"Deep Thinking",AND($G387="Deep Thinking",$E387&lt;&gt;"Done"),"Processing",AND($G387="Processing",$E387&lt;&gt;"Done"),"Blocked",$E387="Blocked","Waiting",$E387="Waiting","Recently Updated",AND($L387&lt;&gt;"",$L387&gt;=TODAY()-7),"Keyword",AND('Task Finder'!$C$7&lt;&gt;"",OR(ISNUMBER(SEARCH('Task Finder'!$C$7,$A387)),ISNUMBER(SEARCH('Task Finder'!$C$7,$B387)),ISNUMBER(SEARCH('Task Finder'!$C$7,$C387)),ISNUMBER(SEARCH('Task Finder'!$C$7,$D387)),ISNUMBER(SEARCH('Task Finder'!$C$7,$K387)))),TRUE))</f>
        <v/>
      </c>
    </row>
    <row r="388">
      <c r="A388" s="19" t="n"/>
      <c r="B388" s="19" t="n"/>
      <c r="C388" s="19" t="n"/>
      <c r="D388" s="19" t="n"/>
      <c r="E388" s="19" t="n"/>
      <c r="F388" s="19" t="n"/>
      <c r="G388" s="19" t="n"/>
      <c r="H388" s="19" t="n"/>
      <c r="I388" s="19" t="n"/>
      <c r="J388" s="19" t="n"/>
      <c r="K388" s="19" t="n"/>
      <c r="L388" s="125" t="n"/>
      <c r="M388" s="88">
        <f>IF($D388="","",IFERROR(VLOOKUP($H388,Lists!$N$2:$O$6,2,FALSE),0))</f>
        <v/>
      </c>
      <c r="N388" s="88">
        <f>IF($D388="","",IF(OR($E388="Blocked",$E388="Done",$E388="Archive"),-9999,IF(AND($E388="Waiting",SUMPRODUCT((($E$5:$E$500="Next")+($E$5:$E$500="In Progress")+($E$5:$E$500="Captured"))*($D$5:$D$500&lt;&gt;""))&gt;0),-500,VLOOKUP($F388,Lists!$L$2:$M$4,2,FALSE)+IF($E388="In Progress",10,0)+IF(AND($I388&lt;&gt;"",$I388&lt;TODAY()),25,0)+IF(AND($I388&lt;&gt;"",$I388&gt;=TODAY(),$I388&lt;=TODAY()+7),15,0)+IF($M388&lt;=VLOOKUP(Home!$C$7,Lists!$N$2:$O$6,2,FALSE),20,-10)+IF($G388=Home!$E$7,15,IF(Home!$E$7="",0,-5))-ROW()/100000)))</f>
        <v/>
      </c>
      <c r="O388" s="88">
        <f>IF($D388="","",IF($N388&lt;=-500,"Not recommended right now",IF($E388="Waiting","Nothing else actionable right now — Waiting on: "&amp;IF($K388="","this item",$K388),TEXTJOIN(" • ",TRUE,IF($F388="High","High Priority",""),IF(AND($I388&lt;&gt;"",$I388&lt;TODAY()),"Overdue",""),IF(AND($I388&lt;&gt;"",$I388&gt;=TODAY(),$I388&lt;=TODAY()+7),"Due This Week",""),IF($M388&lt;=VLOOKUP(Home!$C$7,Lists!$N$2:$O$6,2,FALSE),$H388&amp;" Task",""),IF($G388=Home!$E$7,"Fits Current Energy",""),"No Blockers"))))</f>
        <v/>
      </c>
      <c r="P388" s="88">
        <f>IF($D388="","",SWITCH('Task Finder'!$C$6,"High Priority",AND($F388="High",$E388&lt;&gt;"Done",$E388&lt;&gt;"Archive"),"Due This Week",AND($I388&lt;&gt;"",$I388&gt;=TODAY(),$I388&lt;=TODAY()+7,$E388&lt;&gt;"Done"),"Quick Wins (15 mins or less)",AND($M388&lt;=15,$E388&lt;&gt;"Done",$E388&lt;&gt;"Blocked"),"Deep Thinking",AND($G388="Deep Thinking",$E388&lt;&gt;"Done"),"Processing",AND($G388="Processing",$E388&lt;&gt;"Done"),"Blocked",$E388="Blocked","Waiting",$E388="Waiting","Recently Updated",AND($L388&lt;&gt;"",$L388&gt;=TODAY()-7),"Keyword",AND('Task Finder'!$C$7&lt;&gt;"",OR(ISNUMBER(SEARCH('Task Finder'!$C$7,$A388)),ISNUMBER(SEARCH('Task Finder'!$C$7,$B388)),ISNUMBER(SEARCH('Task Finder'!$C$7,$C388)),ISNUMBER(SEARCH('Task Finder'!$C$7,$D388)),ISNUMBER(SEARCH('Task Finder'!$C$7,$K388)))),TRUE))</f>
        <v/>
      </c>
    </row>
    <row r="389">
      <c r="A389" s="19" t="n"/>
      <c r="B389" s="19" t="n"/>
      <c r="C389" s="19" t="n"/>
      <c r="D389" s="19" t="n"/>
      <c r="E389" s="19" t="n"/>
      <c r="F389" s="19" t="n"/>
      <c r="G389" s="19" t="n"/>
      <c r="H389" s="19" t="n"/>
      <c r="I389" s="19" t="n"/>
      <c r="J389" s="19" t="n"/>
      <c r="K389" s="19" t="n"/>
      <c r="L389" s="125" t="n"/>
      <c r="M389" s="88">
        <f>IF($D389="","",IFERROR(VLOOKUP($H389,Lists!$N$2:$O$6,2,FALSE),0))</f>
        <v/>
      </c>
      <c r="N389" s="88">
        <f>IF($D389="","",IF(OR($E389="Blocked",$E389="Done",$E389="Archive"),-9999,IF(AND($E389="Waiting",SUMPRODUCT((($E$5:$E$500="Next")+($E$5:$E$500="In Progress")+($E$5:$E$500="Captured"))*($D$5:$D$500&lt;&gt;""))&gt;0),-500,VLOOKUP($F389,Lists!$L$2:$M$4,2,FALSE)+IF($E389="In Progress",10,0)+IF(AND($I389&lt;&gt;"",$I389&lt;TODAY()),25,0)+IF(AND($I389&lt;&gt;"",$I389&gt;=TODAY(),$I389&lt;=TODAY()+7),15,0)+IF($M389&lt;=VLOOKUP(Home!$C$7,Lists!$N$2:$O$6,2,FALSE),20,-10)+IF($G389=Home!$E$7,15,IF(Home!$E$7="",0,-5))-ROW()/100000)))</f>
        <v/>
      </c>
      <c r="O389" s="88">
        <f>IF($D389="","",IF($N389&lt;=-500,"Not recommended right now",IF($E389="Waiting","Nothing else actionable right now — Waiting on: "&amp;IF($K389="","this item",$K389),TEXTJOIN(" • ",TRUE,IF($F389="High","High Priority",""),IF(AND($I389&lt;&gt;"",$I389&lt;TODAY()),"Overdue",""),IF(AND($I389&lt;&gt;"",$I389&gt;=TODAY(),$I389&lt;=TODAY()+7),"Due This Week",""),IF($M389&lt;=VLOOKUP(Home!$C$7,Lists!$N$2:$O$6,2,FALSE),$H389&amp;" Task",""),IF($G389=Home!$E$7,"Fits Current Energy",""),"No Blockers"))))</f>
        <v/>
      </c>
      <c r="P389" s="88">
        <f>IF($D389="","",SWITCH('Task Finder'!$C$6,"High Priority",AND($F389="High",$E389&lt;&gt;"Done",$E389&lt;&gt;"Archive"),"Due This Week",AND($I389&lt;&gt;"",$I389&gt;=TODAY(),$I389&lt;=TODAY()+7,$E389&lt;&gt;"Done"),"Quick Wins (15 mins or less)",AND($M389&lt;=15,$E389&lt;&gt;"Done",$E389&lt;&gt;"Blocked"),"Deep Thinking",AND($G389="Deep Thinking",$E389&lt;&gt;"Done"),"Processing",AND($G389="Processing",$E389&lt;&gt;"Done"),"Blocked",$E389="Blocked","Waiting",$E389="Waiting","Recently Updated",AND($L389&lt;&gt;"",$L389&gt;=TODAY()-7),"Keyword",AND('Task Finder'!$C$7&lt;&gt;"",OR(ISNUMBER(SEARCH('Task Finder'!$C$7,$A389)),ISNUMBER(SEARCH('Task Finder'!$C$7,$B389)),ISNUMBER(SEARCH('Task Finder'!$C$7,$C389)),ISNUMBER(SEARCH('Task Finder'!$C$7,$D389)),ISNUMBER(SEARCH('Task Finder'!$C$7,$K389)))),TRUE))</f>
        <v/>
      </c>
    </row>
    <row r="390">
      <c r="A390" s="19" t="n"/>
      <c r="B390" s="19" t="n"/>
      <c r="C390" s="19" t="n"/>
      <c r="D390" s="19" t="n"/>
      <c r="E390" s="19" t="n"/>
      <c r="F390" s="19" t="n"/>
      <c r="G390" s="19" t="n"/>
      <c r="H390" s="19" t="n"/>
      <c r="I390" s="19" t="n"/>
      <c r="J390" s="19" t="n"/>
      <c r="K390" s="19" t="n"/>
      <c r="L390" s="125" t="n"/>
      <c r="M390" s="88">
        <f>IF($D390="","",IFERROR(VLOOKUP($H390,Lists!$N$2:$O$6,2,FALSE),0))</f>
        <v/>
      </c>
      <c r="N390" s="88">
        <f>IF($D390="","",IF(OR($E390="Blocked",$E390="Done",$E390="Archive"),-9999,IF(AND($E390="Waiting",SUMPRODUCT((($E$5:$E$500="Next")+($E$5:$E$500="In Progress")+($E$5:$E$500="Captured"))*($D$5:$D$500&lt;&gt;""))&gt;0),-500,VLOOKUP($F390,Lists!$L$2:$M$4,2,FALSE)+IF($E390="In Progress",10,0)+IF(AND($I390&lt;&gt;"",$I390&lt;TODAY()),25,0)+IF(AND($I390&lt;&gt;"",$I390&gt;=TODAY(),$I390&lt;=TODAY()+7),15,0)+IF($M390&lt;=VLOOKUP(Home!$C$7,Lists!$N$2:$O$6,2,FALSE),20,-10)+IF($G390=Home!$E$7,15,IF(Home!$E$7="",0,-5))-ROW()/100000)))</f>
        <v/>
      </c>
      <c r="O390" s="88">
        <f>IF($D390="","",IF($N390&lt;=-500,"Not recommended right now",IF($E390="Waiting","Nothing else actionable right now — Waiting on: "&amp;IF($K390="","this item",$K390),TEXTJOIN(" • ",TRUE,IF($F390="High","High Priority",""),IF(AND($I390&lt;&gt;"",$I390&lt;TODAY()),"Overdue",""),IF(AND($I390&lt;&gt;"",$I390&gt;=TODAY(),$I390&lt;=TODAY()+7),"Due This Week",""),IF($M390&lt;=VLOOKUP(Home!$C$7,Lists!$N$2:$O$6,2,FALSE),$H390&amp;" Task",""),IF($G390=Home!$E$7,"Fits Current Energy",""),"No Blockers"))))</f>
        <v/>
      </c>
      <c r="P390" s="88">
        <f>IF($D390="","",SWITCH('Task Finder'!$C$6,"High Priority",AND($F390="High",$E390&lt;&gt;"Done",$E390&lt;&gt;"Archive"),"Due This Week",AND($I390&lt;&gt;"",$I390&gt;=TODAY(),$I390&lt;=TODAY()+7,$E390&lt;&gt;"Done"),"Quick Wins (15 mins or less)",AND($M390&lt;=15,$E390&lt;&gt;"Done",$E390&lt;&gt;"Blocked"),"Deep Thinking",AND($G390="Deep Thinking",$E390&lt;&gt;"Done"),"Processing",AND($G390="Processing",$E390&lt;&gt;"Done"),"Blocked",$E390="Blocked","Waiting",$E390="Waiting","Recently Updated",AND($L390&lt;&gt;"",$L390&gt;=TODAY()-7),"Keyword",AND('Task Finder'!$C$7&lt;&gt;"",OR(ISNUMBER(SEARCH('Task Finder'!$C$7,$A390)),ISNUMBER(SEARCH('Task Finder'!$C$7,$B390)),ISNUMBER(SEARCH('Task Finder'!$C$7,$C390)),ISNUMBER(SEARCH('Task Finder'!$C$7,$D390)),ISNUMBER(SEARCH('Task Finder'!$C$7,$K390)))),TRUE))</f>
        <v/>
      </c>
    </row>
    <row r="391">
      <c r="A391" s="19" t="n"/>
      <c r="B391" s="19" t="n"/>
      <c r="C391" s="19" t="n"/>
      <c r="D391" s="19" t="n"/>
      <c r="E391" s="19" t="n"/>
      <c r="F391" s="19" t="n"/>
      <c r="G391" s="19" t="n"/>
      <c r="H391" s="19" t="n"/>
      <c r="I391" s="19" t="n"/>
      <c r="J391" s="19" t="n"/>
      <c r="K391" s="19" t="n"/>
      <c r="L391" s="125" t="n"/>
      <c r="M391" s="88">
        <f>IF($D391="","",IFERROR(VLOOKUP($H391,Lists!$N$2:$O$6,2,FALSE),0))</f>
        <v/>
      </c>
      <c r="N391" s="88">
        <f>IF($D391="","",IF(OR($E391="Blocked",$E391="Done",$E391="Archive"),-9999,IF(AND($E391="Waiting",SUMPRODUCT((($E$5:$E$500="Next")+($E$5:$E$500="In Progress")+($E$5:$E$500="Captured"))*($D$5:$D$500&lt;&gt;""))&gt;0),-500,VLOOKUP($F391,Lists!$L$2:$M$4,2,FALSE)+IF($E391="In Progress",10,0)+IF(AND($I391&lt;&gt;"",$I391&lt;TODAY()),25,0)+IF(AND($I391&lt;&gt;"",$I391&gt;=TODAY(),$I391&lt;=TODAY()+7),15,0)+IF($M391&lt;=VLOOKUP(Home!$C$7,Lists!$N$2:$O$6,2,FALSE),20,-10)+IF($G391=Home!$E$7,15,IF(Home!$E$7="",0,-5))-ROW()/100000)))</f>
        <v/>
      </c>
      <c r="O391" s="88">
        <f>IF($D391="","",IF($N391&lt;=-500,"Not recommended right now",IF($E391="Waiting","Nothing else actionable right now — Waiting on: "&amp;IF($K391="","this item",$K391),TEXTJOIN(" • ",TRUE,IF($F391="High","High Priority",""),IF(AND($I391&lt;&gt;"",$I391&lt;TODAY()),"Overdue",""),IF(AND($I391&lt;&gt;"",$I391&gt;=TODAY(),$I391&lt;=TODAY()+7),"Due This Week",""),IF($M391&lt;=VLOOKUP(Home!$C$7,Lists!$N$2:$O$6,2,FALSE),$H391&amp;" Task",""),IF($G391=Home!$E$7,"Fits Current Energy",""),"No Blockers"))))</f>
        <v/>
      </c>
      <c r="P391" s="88">
        <f>IF($D391="","",SWITCH('Task Finder'!$C$6,"High Priority",AND($F391="High",$E391&lt;&gt;"Done",$E391&lt;&gt;"Archive"),"Due This Week",AND($I391&lt;&gt;"",$I391&gt;=TODAY(),$I391&lt;=TODAY()+7,$E391&lt;&gt;"Done"),"Quick Wins (15 mins or less)",AND($M391&lt;=15,$E391&lt;&gt;"Done",$E391&lt;&gt;"Blocked"),"Deep Thinking",AND($G391="Deep Thinking",$E391&lt;&gt;"Done"),"Processing",AND($G391="Processing",$E391&lt;&gt;"Done"),"Blocked",$E391="Blocked","Waiting",$E391="Waiting","Recently Updated",AND($L391&lt;&gt;"",$L391&gt;=TODAY()-7),"Keyword",AND('Task Finder'!$C$7&lt;&gt;"",OR(ISNUMBER(SEARCH('Task Finder'!$C$7,$A391)),ISNUMBER(SEARCH('Task Finder'!$C$7,$B391)),ISNUMBER(SEARCH('Task Finder'!$C$7,$C391)),ISNUMBER(SEARCH('Task Finder'!$C$7,$D391)),ISNUMBER(SEARCH('Task Finder'!$C$7,$K391)))),TRUE))</f>
        <v/>
      </c>
    </row>
    <row r="392">
      <c r="A392" s="19" t="n"/>
      <c r="B392" s="19" t="n"/>
      <c r="C392" s="19" t="n"/>
      <c r="D392" s="19" t="n"/>
      <c r="E392" s="19" t="n"/>
      <c r="F392" s="19" t="n"/>
      <c r="G392" s="19" t="n"/>
      <c r="H392" s="19" t="n"/>
      <c r="I392" s="19" t="n"/>
      <c r="J392" s="19" t="n"/>
      <c r="K392" s="19" t="n"/>
      <c r="L392" s="125" t="n"/>
      <c r="M392" s="88">
        <f>IF($D392="","",IFERROR(VLOOKUP($H392,Lists!$N$2:$O$6,2,FALSE),0))</f>
        <v/>
      </c>
      <c r="N392" s="88">
        <f>IF($D392="","",IF(OR($E392="Blocked",$E392="Done",$E392="Archive"),-9999,IF(AND($E392="Waiting",SUMPRODUCT((($E$5:$E$500="Next")+($E$5:$E$500="In Progress")+($E$5:$E$500="Captured"))*($D$5:$D$500&lt;&gt;""))&gt;0),-500,VLOOKUP($F392,Lists!$L$2:$M$4,2,FALSE)+IF($E392="In Progress",10,0)+IF(AND($I392&lt;&gt;"",$I392&lt;TODAY()),25,0)+IF(AND($I392&lt;&gt;"",$I392&gt;=TODAY(),$I392&lt;=TODAY()+7),15,0)+IF($M392&lt;=VLOOKUP(Home!$C$7,Lists!$N$2:$O$6,2,FALSE),20,-10)+IF($G392=Home!$E$7,15,IF(Home!$E$7="",0,-5))-ROW()/100000)))</f>
        <v/>
      </c>
      <c r="O392" s="88">
        <f>IF($D392="","",IF($N392&lt;=-500,"Not recommended right now",IF($E392="Waiting","Nothing else actionable right now — Waiting on: "&amp;IF($K392="","this item",$K392),TEXTJOIN(" • ",TRUE,IF($F392="High","High Priority",""),IF(AND($I392&lt;&gt;"",$I392&lt;TODAY()),"Overdue",""),IF(AND($I392&lt;&gt;"",$I392&gt;=TODAY(),$I392&lt;=TODAY()+7),"Due This Week",""),IF($M392&lt;=VLOOKUP(Home!$C$7,Lists!$N$2:$O$6,2,FALSE),$H392&amp;" Task",""),IF($G392=Home!$E$7,"Fits Current Energy",""),"No Blockers"))))</f>
        <v/>
      </c>
      <c r="P392" s="88">
        <f>IF($D392="","",SWITCH('Task Finder'!$C$6,"High Priority",AND($F392="High",$E392&lt;&gt;"Done",$E392&lt;&gt;"Archive"),"Due This Week",AND($I392&lt;&gt;"",$I392&gt;=TODAY(),$I392&lt;=TODAY()+7,$E392&lt;&gt;"Done"),"Quick Wins (15 mins or less)",AND($M392&lt;=15,$E392&lt;&gt;"Done",$E392&lt;&gt;"Blocked"),"Deep Thinking",AND($G392="Deep Thinking",$E392&lt;&gt;"Done"),"Processing",AND($G392="Processing",$E392&lt;&gt;"Done"),"Blocked",$E392="Blocked","Waiting",$E392="Waiting","Recently Updated",AND($L392&lt;&gt;"",$L392&gt;=TODAY()-7),"Keyword",AND('Task Finder'!$C$7&lt;&gt;"",OR(ISNUMBER(SEARCH('Task Finder'!$C$7,$A392)),ISNUMBER(SEARCH('Task Finder'!$C$7,$B392)),ISNUMBER(SEARCH('Task Finder'!$C$7,$C392)),ISNUMBER(SEARCH('Task Finder'!$C$7,$D392)),ISNUMBER(SEARCH('Task Finder'!$C$7,$K392)))),TRUE))</f>
        <v/>
      </c>
    </row>
    <row r="393">
      <c r="A393" s="19" t="n"/>
      <c r="B393" s="19" t="n"/>
      <c r="C393" s="19" t="n"/>
      <c r="D393" s="19" t="n"/>
      <c r="E393" s="19" t="n"/>
      <c r="F393" s="19" t="n"/>
      <c r="G393" s="19" t="n"/>
      <c r="H393" s="19" t="n"/>
      <c r="I393" s="19" t="n"/>
      <c r="J393" s="19" t="n"/>
      <c r="K393" s="19" t="n"/>
      <c r="L393" s="125" t="n"/>
      <c r="M393" s="88">
        <f>IF($D393="","",IFERROR(VLOOKUP($H393,Lists!$N$2:$O$6,2,FALSE),0))</f>
        <v/>
      </c>
      <c r="N393" s="88">
        <f>IF($D393="","",IF(OR($E393="Blocked",$E393="Done",$E393="Archive"),-9999,IF(AND($E393="Waiting",SUMPRODUCT((($E$5:$E$500="Next")+($E$5:$E$500="In Progress")+($E$5:$E$500="Captured"))*($D$5:$D$500&lt;&gt;""))&gt;0),-500,VLOOKUP($F393,Lists!$L$2:$M$4,2,FALSE)+IF($E393="In Progress",10,0)+IF(AND($I393&lt;&gt;"",$I393&lt;TODAY()),25,0)+IF(AND($I393&lt;&gt;"",$I393&gt;=TODAY(),$I393&lt;=TODAY()+7),15,0)+IF($M393&lt;=VLOOKUP(Home!$C$7,Lists!$N$2:$O$6,2,FALSE),20,-10)+IF($G393=Home!$E$7,15,IF(Home!$E$7="",0,-5))-ROW()/100000)))</f>
        <v/>
      </c>
      <c r="O393" s="88">
        <f>IF($D393="","",IF($N393&lt;=-500,"Not recommended right now",IF($E393="Waiting","Nothing else actionable right now — Waiting on: "&amp;IF($K393="","this item",$K393),TEXTJOIN(" • ",TRUE,IF($F393="High","High Priority",""),IF(AND($I393&lt;&gt;"",$I393&lt;TODAY()),"Overdue",""),IF(AND($I393&lt;&gt;"",$I393&gt;=TODAY(),$I393&lt;=TODAY()+7),"Due This Week",""),IF($M393&lt;=VLOOKUP(Home!$C$7,Lists!$N$2:$O$6,2,FALSE),$H393&amp;" Task",""),IF($G393=Home!$E$7,"Fits Current Energy",""),"No Blockers"))))</f>
        <v/>
      </c>
      <c r="P393" s="88">
        <f>IF($D393="","",SWITCH('Task Finder'!$C$6,"High Priority",AND($F393="High",$E393&lt;&gt;"Done",$E393&lt;&gt;"Archive"),"Due This Week",AND($I393&lt;&gt;"",$I393&gt;=TODAY(),$I393&lt;=TODAY()+7,$E393&lt;&gt;"Done"),"Quick Wins (15 mins or less)",AND($M393&lt;=15,$E393&lt;&gt;"Done",$E393&lt;&gt;"Blocked"),"Deep Thinking",AND($G393="Deep Thinking",$E393&lt;&gt;"Done"),"Processing",AND($G393="Processing",$E393&lt;&gt;"Done"),"Blocked",$E393="Blocked","Waiting",$E393="Waiting","Recently Updated",AND($L393&lt;&gt;"",$L393&gt;=TODAY()-7),"Keyword",AND('Task Finder'!$C$7&lt;&gt;"",OR(ISNUMBER(SEARCH('Task Finder'!$C$7,$A393)),ISNUMBER(SEARCH('Task Finder'!$C$7,$B393)),ISNUMBER(SEARCH('Task Finder'!$C$7,$C393)),ISNUMBER(SEARCH('Task Finder'!$C$7,$D393)),ISNUMBER(SEARCH('Task Finder'!$C$7,$K393)))),TRUE))</f>
        <v/>
      </c>
    </row>
    <row r="394">
      <c r="A394" s="19" t="n"/>
      <c r="B394" s="19" t="n"/>
      <c r="C394" s="19" t="n"/>
      <c r="D394" s="19" t="n"/>
      <c r="E394" s="19" t="n"/>
      <c r="F394" s="19" t="n"/>
      <c r="G394" s="19" t="n"/>
      <c r="H394" s="19" t="n"/>
      <c r="I394" s="19" t="n"/>
      <c r="J394" s="19" t="n"/>
      <c r="K394" s="19" t="n"/>
      <c r="L394" s="125" t="n"/>
      <c r="M394" s="88">
        <f>IF($D394="","",IFERROR(VLOOKUP($H394,Lists!$N$2:$O$6,2,FALSE),0))</f>
        <v/>
      </c>
      <c r="N394" s="88">
        <f>IF($D394="","",IF(OR($E394="Blocked",$E394="Done",$E394="Archive"),-9999,IF(AND($E394="Waiting",SUMPRODUCT((($E$5:$E$500="Next")+($E$5:$E$500="In Progress")+($E$5:$E$500="Captured"))*($D$5:$D$500&lt;&gt;""))&gt;0),-500,VLOOKUP($F394,Lists!$L$2:$M$4,2,FALSE)+IF($E394="In Progress",10,0)+IF(AND($I394&lt;&gt;"",$I394&lt;TODAY()),25,0)+IF(AND($I394&lt;&gt;"",$I394&gt;=TODAY(),$I394&lt;=TODAY()+7),15,0)+IF($M394&lt;=VLOOKUP(Home!$C$7,Lists!$N$2:$O$6,2,FALSE),20,-10)+IF($G394=Home!$E$7,15,IF(Home!$E$7="",0,-5))-ROW()/100000)))</f>
        <v/>
      </c>
      <c r="O394" s="88">
        <f>IF($D394="","",IF($N394&lt;=-500,"Not recommended right now",IF($E394="Waiting","Nothing else actionable right now — Waiting on: "&amp;IF($K394="","this item",$K394),TEXTJOIN(" • ",TRUE,IF($F394="High","High Priority",""),IF(AND($I394&lt;&gt;"",$I394&lt;TODAY()),"Overdue",""),IF(AND($I394&lt;&gt;"",$I394&gt;=TODAY(),$I394&lt;=TODAY()+7),"Due This Week",""),IF($M394&lt;=VLOOKUP(Home!$C$7,Lists!$N$2:$O$6,2,FALSE),$H394&amp;" Task",""),IF($G394=Home!$E$7,"Fits Current Energy",""),"No Blockers"))))</f>
        <v/>
      </c>
      <c r="P394" s="88">
        <f>IF($D394="","",SWITCH('Task Finder'!$C$6,"High Priority",AND($F394="High",$E394&lt;&gt;"Done",$E394&lt;&gt;"Archive"),"Due This Week",AND($I394&lt;&gt;"",$I394&gt;=TODAY(),$I394&lt;=TODAY()+7,$E394&lt;&gt;"Done"),"Quick Wins (15 mins or less)",AND($M394&lt;=15,$E394&lt;&gt;"Done",$E394&lt;&gt;"Blocked"),"Deep Thinking",AND($G394="Deep Thinking",$E394&lt;&gt;"Done"),"Processing",AND($G394="Processing",$E394&lt;&gt;"Done"),"Blocked",$E394="Blocked","Waiting",$E394="Waiting","Recently Updated",AND($L394&lt;&gt;"",$L394&gt;=TODAY()-7),"Keyword",AND('Task Finder'!$C$7&lt;&gt;"",OR(ISNUMBER(SEARCH('Task Finder'!$C$7,$A394)),ISNUMBER(SEARCH('Task Finder'!$C$7,$B394)),ISNUMBER(SEARCH('Task Finder'!$C$7,$C394)),ISNUMBER(SEARCH('Task Finder'!$C$7,$D394)),ISNUMBER(SEARCH('Task Finder'!$C$7,$K394)))),TRUE))</f>
        <v/>
      </c>
    </row>
    <row r="395">
      <c r="A395" s="19" t="n"/>
      <c r="B395" s="19" t="n"/>
      <c r="C395" s="19" t="n"/>
      <c r="D395" s="19" t="n"/>
      <c r="E395" s="19" t="n"/>
      <c r="F395" s="19" t="n"/>
      <c r="G395" s="19" t="n"/>
      <c r="H395" s="19" t="n"/>
      <c r="I395" s="19" t="n"/>
      <c r="J395" s="19" t="n"/>
      <c r="K395" s="19" t="n"/>
      <c r="L395" s="125" t="n"/>
      <c r="M395" s="88">
        <f>IF($D395="","",IFERROR(VLOOKUP($H395,Lists!$N$2:$O$6,2,FALSE),0))</f>
        <v/>
      </c>
      <c r="N395" s="88">
        <f>IF($D395="","",IF(OR($E395="Blocked",$E395="Done",$E395="Archive"),-9999,IF(AND($E395="Waiting",SUMPRODUCT((($E$5:$E$500="Next")+($E$5:$E$500="In Progress")+($E$5:$E$500="Captured"))*($D$5:$D$500&lt;&gt;""))&gt;0),-500,VLOOKUP($F395,Lists!$L$2:$M$4,2,FALSE)+IF($E395="In Progress",10,0)+IF(AND($I395&lt;&gt;"",$I395&lt;TODAY()),25,0)+IF(AND($I395&lt;&gt;"",$I395&gt;=TODAY(),$I395&lt;=TODAY()+7),15,0)+IF($M395&lt;=VLOOKUP(Home!$C$7,Lists!$N$2:$O$6,2,FALSE),20,-10)+IF($G395=Home!$E$7,15,IF(Home!$E$7="",0,-5))-ROW()/100000)))</f>
        <v/>
      </c>
      <c r="O395" s="88">
        <f>IF($D395="","",IF($N395&lt;=-500,"Not recommended right now",IF($E395="Waiting","Nothing else actionable right now — Waiting on: "&amp;IF($K395="","this item",$K395),TEXTJOIN(" • ",TRUE,IF($F395="High","High Priority",""),IF(AND($I395&lt;&gt;"",$I395&lt;TODAY()),"Overdue",""),IF(AND($I395&lt;&gt;"",$I395&gt;=TODAY(),$I395&lt;=TODAY()+7),"Due This Week",""),IF($M395&lt;=VLOOKUP(Home!$C$7,Lists!$N$2:$O$6,2,FALSE),$H395&amp;" Task",""),IF($G395=Home!$E$7,"Fits Current Energy",""),"No Blockers"))))</f>
        <v/>
      </c>
      <c r="P395" s="88">
        <f>IF($D395="","",SWITCH('Task Finder'!$C$6,"High Priority",AND($F395="High",$E395&lt;&gt;"Done",$E395&lt;&gt;"Archive"),"Due This Week",AND($I395&lt;&gt;"",$I395&gt;=TODAY(),$I395&lt;=TODAY()+7,$E395&lt;&gt;"Done"),"Quick Wins (15 mins or less)",AND($M395&lt;=15,$E395&lt;&gt;"Done",$E395&lt;&gt;"Blocked"),"Deep Thinking",AND($G395="Deep Thinking",$E395&lt;&gt;"Done"),"Processing",AND($G395="Processing",$E395&lt;&gt;"Done"),"Blocked",$E395="Blocked","Waiting",$E395="Waiting","Recently Updated",AND($L395&lt;&gt;"",$L395&gt;=TODAY()-7),"Keyword",AND('Task Finder'!$C$7&lt;&gt;"",OR(ISNUMBER(SEARCH('Task Finder'!$C$7,$A395)),ISNUMBER(SEARCH('Task Finder'!$C$7,$B395)),ISNUMBER(SEARCH('Task Finder'!$C$7,$C395)),ISNUMBER(SEARCH('Task Finder'!$C$7,$D395)),ISNUMBER(SEARCH('Task Finder'!$C$7,$K395)))),TRUE))</f>
        <v/>
      </c>
    </row>
    <row r="396">
      <c r="A396" s="19" t="n"/>
      <c r="B396" s="19" t="n"/>
      <c r="C396" s="19" t="n"/>
      <c r="D396" s="19" t="n"/>
      <c r="E396" s="19" t="n"/>
      <c r="F396" s="19" t="n"/>
      <c r="G396" s="19" t="n"/>
      <c r="H396" s="19" t="n"/>
      <c r="I396" s="19" t="n"/>
      <c r="J396" s="19" t="n"/>
      <c r="K396" s="19" t="n"/>
      <c r="L396" s="125" t="n"/>
      <c r="M396" s="88">
        <f>IF($D396="","",IFERROR(VLOOKUP($H396,Lists!$N$2:$O$6,2,FALSE),0))</f>
        <v/>
      </c>
      <c r="N396" s="88">
        <f>IF($D396="","",IF(OR($E396="Blocked",$E396="Done",$E396="Archive"),-9999,IF(AND($E396="Waiting",SUMPRODUCT((($E$5:$E$500="Next")+($E$5:$E$500="In Progress")+($E$5:$E$500="Captured"))*($D$5:$D$500&lt;&gt;""))&gt;0),-500,VLOOKUP($F396,Lists!$L$2:$M$4,2,FALSE)+IF($E396="In Progress",10,0)+IF(AND($I396&lt;&gt;"",$I396&lt;TODAY()),25,0)+IF(AND($I396&lt;&gt;"",$I396&gt;=TODAY(),$I396&lt;=TODAY()+7),15,0)+IF($M396&lt;=VLOOKUP(Home!$C$7,Lists!$N$2:$O$6,2,FALSE),20,-10)+IF($G396=Home!$E$7,15,IF(Home!$E$7="",0,-5))-ROW()/100000)))</f>
        <v/>
      </c>
      <c r="O396" s="88">
        <f>IF($D396="","",IF($N396&lt;=-500,"Not recommended right now",IF($E396="Waiting","Nothing else actionable right now — Waiting on: "&amp;IF($K396="","this item",$K396),TEXTJOIN(" • ",TRUE,IF($F396="High","High Priority",""),IF(AND($I396&lt;&gt;"",$I396&lt;TODAY()),"Overdue",""),IF(AND($I396&lt;&gt;"",$I396&gt;=TODAY(),$I396&lt;=TODAY()+7),"Due This Week",""),IF($M396&lt;=VLOOKUP(Home!$C$7,Lists!$N$2:$O$6,2,FALSE),$H396&amp;" Task",""),IF($G396=Home!$E$7,"Fits Current Energy",""),"No Blockers"))))</f>
        <v/>
      </c>
      <c r="P396" s="88">
        <f>IF($D396="","",SWITCH('Task Finder'!$C$6,"High Priority",AND($F396="High",$E396&lt;&gt;"Done",$E396&lt;&gt;"Archive"),"Due This Week",AND($I396&lt;&gt;"",$I396&gt;=TODAY(),$I396&lt;=TODAY()+7,$E396&lt;&gt;"Done"),"Quick Wins (15 mins or less)",AND($M396&lt;=15,$E396&lt;&gt;"Done",$E396&lt;&gt;"Blocked"),"Deep Thinking",AND($G396="Deep Thinking",$E396&lt;&gt;"Done"),"Processing",AND($G396="Processing",$E396&lt;&gt;"Done"),"Blocked",$E396="Blocked","Waiting",$E396="Waiting","Recently Updated",AND($L396&lt;&gt;"",$L396&gt;=TODAY()-7),"Keyword",AND('Task Finder'!$C$7&lt;&gt;"",OR(ISNUMBER(SEARCH('Task Finder'!$C$7,$A396)),ISNUMBER(SEARCH('Task Finder'!$C$7,$B396)),ISNUMBER(SEARCH('Task Finder'!$C$7,$C396)),ISNUMBER(SEARCH('Task Finder'!$C$7,$D396)),ISNUMBER(SEARCH('Task Finder'!$C$7,$K396)))),TRUE))</f>
        <v/>
      </c>
    </row>
    <row r="397">
      <c r="A397" s="19" t="n"/>
      <c r="B397" s="19" t="n"/>
      <c r="C397" s="19" t="n"/>
      <c r="D397" s="19" t="n"/>
      <c r="E397" s="19" t="n"/>
      <c r="F397" s="19" t="n"/>
      <c r="G397" s="19" t="n"/>
      <c r="H397" s="19" t="n"/>
      <c r="I397" s="19" t="n"/>
      <c r="J397" s="19" t="n"/>
      <c r="K397" s="19" t="n"/>
      <c r="L397" s="125" t="n"/>
      <c r="M397" s="88">
        <f>IF($D397="","",IFERROR(VLOOKUP($H397,Lists!$N$2:$O$6,2,FALSE),0))</f>
        <v/>
      </c>
      <c r="N397" s="88">
        <f>IF($D397="","",IF(OR($E397="Blocked",$E397="Done",$E397="Archive"),-9999,IF(AND($E397="Waiting",SUMPRODUCT((($E$5:$E$500="Next")+($E$5:$E$500="In Progress")+($E$5:$E$500="Captured"))*($D$5:$D$500&lt;&gt;""))&gt;0),-500,VLOOKUP($F397,Lists!$L$2:$M$4,2,FALSE)+IF($E397="In Progress",10,0)+IF(AND($I397&lt;&gt;"",$I397&lt;TODAY()),25,0)+IF(AND($I397&lt;&gt;"",$I397&gt;=TODAY(),$I397&lt;=TODAY()+7),15,0)+IF($M397&lt;=VLOOKUP(Home!$C$7,Lists!$N$2:$O$6,2,FALSE),20,-10)+IF($G397=Home!$E$7,15,IF(Home!$E$7="",0,-5))-ROW()/100000)))</f>
        <v/>
      </c>
      <c r="O397" s="88">
        <f>IF($D397="","",IF($N397&lt;=-500,"Not recommended right now",IF($E397="Waiting","Nothing else actionable right now — Waiting on: "&amp;IF($K397="","this item",$K397),TEXTJOIN(" • ",TRUE,IF($F397="High","High Priority",""),IF(AND($I397&lt;&gt;"",$I397&lt;TODAY()),"Overdue",""),IF(AND($I397&lt;&gt;"",$I397&gt;=TODAY(),$I397&lt;=TODAY()+7),"Due This Week",""),IF($M397&lt;=VLOOKUP(Home!$C$7,Lists!$N$2:$O$6,2,FALSE),$H397&amp;" Task",""),IF($G397=Home!$E$7,"Fits Current Energy",""),"No Blockers"))))</f>
        <v/>
      </c>
      <c r="P397" s="88">
        <f>IF($D397="","",SWITCH('Task Finder'!$C$6,"High Priority",AND($F397="High",$E397&lt;&gt;"Done",$E397&lt;&gt;"Archive"),"Due This Week",AND($I397&lt;&gt;"",$I397&gt;=TODAY(),$I397&lt;=TODAY()+7,$E397&lt;&gt;"Done"),"Quick Wins (15 mins or less)",AND($M397&lt;=15,$E397&lt;&gt;"Done",$E397&lt;&gt;"Blocked"),"Deep Thinking",AND($G397="Deep Thinking",$E397&lt;&gt;"Done"),"Processing",AND($G397="Processing",$E397&lt;&gt;"Done"),"Blocked",$E397="Blocked","Waiting",$E397="Waiting","Recently Updated",AND($L397&lt;&gt;"",$L397&gt;=TODAY()-7),"Keyword",AND('Task Finder'!$C$7&lt;&gt;"",OR(ISNUMBER(SEARCH('Task Finder'!$C$7,$A397)),ISNUMBER(SEARCH('Task Finder'!$C$7,$B397)),ISNUMBER(SEARCH('Task Finder'!$C$7,$C397)),ISNUMBER(SEARCH('Task Finder'!$C$7,$D397)),ISNUMBER(SEARCH('Task Finder'!$C$7,$K397)))),TRUE))</f>
        <v/>
      </c>
    </row>
    <row r="398">
      <c r="A398" s="19" t="n"/>
      <c r="B398" s="19" t="n"/>
      <c r="C398" s="19" t="n"/>
      <c r="D398" s="19" t="n"/>
      <c r="E398" s="19" t="n"/>
      <c r="F398" s="19" t="n"/>
      <c r="G398" s="19" t="n"/>
      <c r="H398" s="19" t="n"/>
      <c r="I398" s="19" t="n"/>
      <c r="J398" s="19" t="n"/>
      <c r="K398" s="19" t="n"/>
      <c r="L398" s="125" t="n"/>
      <c r="M398" s="88">
        <f>IF($D398="","",IFERROR(VLOOKUP($H398,Lists!$N$2:$O$6,2,FALSE),0))</f>
        <v/>
      </c>
      <c r="N398" s="88">
        <f>IF($D398="","",IF(OR($E398="Blocked",$E398="Done",$E398="Archive"),-9999,IF(AND($E398="Waiting",SUMPRODUCT((($E$5:$E$500="Next")+($E$5:$E$500="In Progress")+($E$5:$E$500="Captured"))*($D$5:$D$500&lt;&gt;""))&gt;0),-500,VLOOKUP($F398,Lists!$L$2:$M$4,2,FALSE)+IF($E398="In Progress",10,0)+IF(AND($I398&lt;&gt;"",$I398&lt;TODAY()),25,0)+IF(AND($I398&lt;&gt;"",$I398&gt;=TODAY(),$I398&lt;=TODAY()+7),15,0)+IF($M398&lt;=VLOOKUP(Home!$C$7,Lists!$N$2:$O$6,2,FALSE),20,-10)+IF($G398=Home!$E$7,15,IF(Home!$E$7="",0,-5))-ROW()/100000)))</f>
        <v/>
      </c>
      <c r="O398" s="88">
        <f>IF($D398="","",IF($N398&lt;=-500,"Not recommended right now",IF($E398="Waiting","Nothing else actionable right now — Waiting on: "&amp;IF($K398="","this item",$K398),TEXTJOIN(" • ",TRUE,IF($F398="High","High Priority",""),IF(AND($I398&lt;&gt;"",$I398&lt;TODAY()),"Overdue",""),IF(AND($I398&lt;&gt;"",$I398&gt;=TODAY(),$I398&lt;=TODAY()+7),"Due This Week",""),IF($M398&lt;=VLOOKUP(Home!$C$7,Lists!$N$2:$O$6,2,FALSE),$H398&amp;" Task",""),IF($G398=Home!$E$7,"Fits Current Energy",""),"No Blockers"))))</f>
        <v/>
      </c>
      <c r="P398" s="88">
        <f>IF($D398="","",SWITCH('Task Finder'!$C$6,"High Priority",AND($F398="High",$E398&lt;&gt;"Done",$E398&lt;&gt;"Archive"),"Due This Week",AND($I398&lt;&gt;"",$I398&gt;=TODAY(),$I398&lt;=TODAY()+7,$E398&lt;&gt;"Done"),"Quick Wins (15 mins or less)",AND($M398&lt;=15,$E398&lt;&gt;"Done",$E398&lt;&gt;"Blocked"),"Deep Thinking",AND($G398="Deep Thinking",$E398&lt;&gt;"Done"),"Processing",AND($G398="Processing",$E398&lt;&gt;"Done"),"Blocked",$E398="Blocked","Waiting",$E398="Waiting","Recently Updated",AND($L398&lt;&gt;"",$L398&gt;=TODAY()-7),"Keyword",AND('Task Finder'!$C$7&lt;&gt;"",OR(ISNUMBER(SEARCH('Task Finder'!$C$7,$A398)),ISNUMBER(SEARCH('Task Finder'!$C$7,$B398)),ISNUMBER(SEARCH('Task Finder'!$C$7,$C398)),ISNUMBER(SEARCH('Task Finder'!$C$7,$D398)),ISNUMBER(SEARCH('Task Finder'!$C$7,$K398)))),TRUE))</f>
        <v/>
      </c>
    </row>
    <row r="399">
      <c r="A399" s="19" t="n"/>
      <c r="B399" s="19" t="n"/>
      <c r="C399" s="19" t="n"/>
      <c r="D399" s="19" t="n"/>
      <c r="E399" s="19" t="n"/>
      <c r="F399" s="19" t="n"/>
      <c r="G399" s="19" t="n"/>
      <c r="H399" s="19" t="n"/>
      <c r="I399" s="19" t="n"/>
      <c r="J399" s="19" t="n"/>
      <c r="K399" s="19" t="n"/>
      <c r="L399" s="125" t="n"/>
      <c r="M399" s="88">
        <f>IF($D399="","",IFERROR(VLOOKUP($H399,Lists!$N$2:$O$6,2,FALSE),0))</f>
        <v/>
      </c>
      <c r="N399" s="88">
        <f>IF($D399="","",IF(OR($E399="Blocked",$E399="Done",$E399="Archive"),-9999,IF(AND($E399="Waiting",SUMPRODUCT((($E$5:$E$500="Next")+($E$5:$E$500="In Progress")+($E$5:$E$500="Captured"))*($D$5:$D$500&lt;&gt;""))&gt;0),-500,VLOOKUP($F399,Lists!$L$2:$M$4,2,FALSE)+IF($E399="In Progress",10,0)+IF(AND($I399&lt;&gt;"",$I399&lt;TODAY()),25,0)+IF(AND($I399&lt;&gt;"",$I399&gt;=TODAY(),$I399&lt;=TODAY()+7),15,0)+IF($M399&lt;=VLOOKUP(Home!$C$7,Lists!$N$2:$O$6,2,FALSE),20,-10)+IF($G399=Home!$E$7,15,IF(Home!$E$7="",0,-5))-ROW()/100000)))</f>
        <v/>
      </c>
      <c r="O399" s="88">
        <f>IF($D399="","",IF($N399&lt;=-500,"Not recommended right now",IF($E399="Waiting","Nothing else actionable right now — Waiting on: "&amp;IF($K399="","this item",$K399),TEXTJOIN(" • ",TRUE,IF($F399="High","High Priority",""),IF(AND($I399&lt;&gt;"",$I399&lt;TODAY()),"Overdue",""),IF(AND($I399&lt;&gt;"",$I399&gt;=TODAY(),$I399&lt;=TODAY()+7),"Due This Week",""),IF($M399&lt;=VLOOKUP(Home!$C$7,Lists!$N$2:$O$6,2,FALSE),$H399&amp;" Task",""),IF($G399=Home!$E$7,"Fits Current Energy",""),"No Blockers"))))</f>
        <v/>
      </c>
      <c r="P399" s="88">
        <f>IF($D399="","",SWITCH('Task Finder'!$C$6,"High Priority",AND($F399="High",$E399&lt;&gt;"Done",$E399&lt;&gt;"Archive"),"Due This Week",AND($I399&lt;&gt;"",$I399&gt;=TODAY(),$I399&lt;=TODAY()+7,$E399&lt;&gt;"Done"),"Quick Wins (15 mins or less)",AND($M399&lt;=15,$E399&lt;&gt;"Done",$E399&lt;&gt;"Blocked"),"Deep Thinking",AND($G399="Deep Thinking",$E399&lt;&gt;"Done"),"Processing",AND($G399="Processing",$E399&lt;&gt;"Done"),"Blocked",$E399="Blocked","Waiting",$E399="Waiting","Recently Updated",AND($L399&lt;&gt;"",$L399&gt;=TODAY()-7),"Keyword",AND('Task Finder'!$C$7&lt;&gt;"",OR(ISNUMBER(SEARCH('Task Finder'!$C$7,$A399)),ISNUMBER(SEARCH('Task Finder'!$C$7,$B399)),ISNUMBER(SEARCH('Task Finder'!$C$7,$C399)),ISNUMBER(SEARCH('Task Finder'!$C$7,$D399)),ISNUMBER(SEARCH('Task Finder'!$C$7,$K399)))),TRUE))</f>
        <v/>
      </c>
    </row>
    <row r="400">
      <c r="A400" s="19" t="n"/>
      <c r="B400" s="19" t="n"/>
      <c r="C400" s="19" t="n"/>
      <c r="D400" s="19" t="n"/>
      <c r="E400" s="19" t="n"/>
      <c r="F400" s="19" t="n"/>
      <c r="G400" s="19" t="n"/>
      <c r="H400" s="19" t="n"/>
      <c r="I400" s="19" t="n"/>
      <c r="J400" s="19" t="n"/>
      <c r="K400" s="19" t="n"/>
      <c r="L400" s="125" t="n"/>
      <c r="M400" s="88">
        <f>IF($D400="","",IFERROR(VLOOKUP($H400,Lists!$N$2:$O$6,2,FALSE),0))</f>
        <v/>
      </c>
      <c r="N400" s="88">
        <f>IF($D400="","",IF(OR($E400="Blocked",$E400="Done",$E400="Archive"),-9999,IF(AND($E400="Waiting",SUMPRODUCT((($E$5:$E$500="Next")+($E$5:$E$500="In Progress")+($E$5:$E$500="Captured"))*($D$5:$D$500&lt;&gt;""))&gt;0),-500,VLOOKUP($F400,Lists!$L$2:$M$4,2,FALSE)+IF($E400="In Progress",10,0)+IF(AND($I400&lt;&gt;"",$I400&lt;TODAY()),25,0)+IF(AND($I400&lt;&gt;"",$I400&gt;=TODAY(),$I400&lt;=TODAY()+7),15,0)+IF($M400&lt;=VLOOKUP(Home!$C$7,Lists!$N$2:$O$6,2,FALSE),20,-10)+IF($G400=Home!$E$7,15,IF(Home!$E$7="",0,-5))-ROW()/100000)))</f>
        <v/>
      </c>
      <c r="O400" s="88">
        <f>IF($D400="","",IF($N400&lt;=-500,"Not recommended right now",IF($E400="Waiting","Nothing else actionable right now — Waiting on: "&amp;IF($K400="","this item",$K400),TEXTJOIN(" • ",TRUE,IF($F400="High","High Priority",""),IF(AND($I400&lt;&gt;"",$I400&lt;TODAY()),"Overdue",""),IF(AND($I400&lt;&gt;"",$I400&gt;=TODAY(),$I400&lt;=TODAY()+7),"Due This Week",""),IF($M400&lt;=VLOOKUP(Home!$C$7,Lists!$N$2:$O$6,2,FALSE),$H400&amp;" Task",""),IF($G400=Home!$E$7,"Fits Current Energy",""),"No Blockers"))))</f>
        <v/>
      </c>
      <c r="P400" s="88">
        <f>IF($D400="","",SWITCH('Task Finder'!$C$6,"High Priority",AND($F400="High",$E400&lt;&gt;"Done",$E400&lt;&gt;"Archive"),"Due This Week",AND($I400&lt;&gt;"",$I400&gt;=TODAY(),$I400&lt;=TODAY()+7,$E400&lt;&gt;"Done"),"Quick Wins (15 mins or less)",AND($M400&lt;=15,$E400&lt;&gt;"Done",$E400&lt;&gt;"Blocked"),"Deep Thinking",AND($G400="Deep Thinking",$E400&lt;&gt;"Done"),"Processing",AND($G400="Processing",$E400&lt;&gt;"Done"),"Blocked",$E400="Blocked","Waiting",$E400="Waiting","Recently Updated",AND($L400&lt;&gt;"",$L400&gt;=TODAY()-7),"Keyword",AND('Task Finder'!$C$7&lt;&gt;"",OR(ISNUMBER(SEARCH('Task Finder'!$C$7,$A400)),ISNUMBER(SEARCH('Task Finder'!$C$7,$B400)),ISNUMBER(SEARCH('Task Finder'!$C$7,$C400)),ISNUMBER(SEARCH('Task Finder'!$C$7,$D400)),ISNUMBER(SEARCH('Task Finder'!$C$7,$K400)))),TRUE))</f>
        <v/>
      </c>
    </row>
    <row r="401">
      <c r="A401" s="19" t="n"/>
      <c r="B401" s="19" t="n"/>
      <c r="C401" s="19" t="n"/>
      <c r="D401" s="19" t="n"/>
      <c r="E401" s="19" t="n"/>
      <c r="F401" s="19" t="n"/>
      <c r="G401" s="19" t="n"/>
      <c r="H401" s="19" t="n"/>
      <c r="I401" s="19" t="n"/>
      <c r="J401" s="19" t="n"/>
      <c r="K401" s="19" t="n"/>
      <c r="L401" s="125" t="n"/>
      <c r="M401" s="88">
        <f>IF($D401="","",IFERROR(VLOOKUP($H401,Lists!$N$2:$O$6,2,FALSE),0))</f>
        <v/>
      </c>
      <c r="N401" s="88">
        <f>IF($D401="","",IF(OR($E401="Blocked",$E401="Done",$E401="Archive"),-9999,IF(AND($E401="Waiting",SUMPRODUCT((($E$5:$E$500="Next")+($E$5:$E$500="In Progress")+($E$5:$E$500="Captured"))*($D$5:$D$500&lt;&gt;""))&gt;0),-500,VLOOKUP($F401,Lists!$L$2:$M$4,2,FALSE)+IF($E401="In Progress",10,0)+IF(AND($I401&lt;&gt;"",$I401&lt;TODAY()),25,0)+IF(AND($I401&lt;&gt;"",$I401&gt;=TODAY(),$I401&lt;=TODAY()+7),15,0)+IF($M401&lt;=VLOOKUP(Home!$C$7,Lists!$N$2:$O$6,2,FALSE),20,-10)+IF($G401=Home!$E$7,15,IF(Home!$E$7="",0,-5))-ROW()/100000)))</f>
        <v/>
      </c>
      <c r="O401" s="88">
        <f>IF($D401="","",IF($N401&lt;=-500,"Not recommended right now",IF($E401="Waiting","Nothing else actionable right now — Waiting on: "&amp;IF($K401="","this item",$K401),TEXTJOIN(" • ",TRUE,IF($F401="High","High Priority",""),IF(AND($I401&lt;&gt;"",$I401&lt;TODAY()),"Overdue",""),IF(AND($I401&lt;&gt;"",$I401&gt;=TODAY(),$I401&lt;=TODAY()+7),"Due This Week",""),IF($M401&lt;=VLOOKUP(Home!$C$7,Lists!$N$2:$O$6,2,FALSE),$H401&amp;" Task",""),IF($G401=Home!$E$7,"Fits Current Energy",""),"No Blockers"))))</f>
        <v/>
      </c>
      <c r="P401" s="88">
        <f>IF($D401="","",SWITCH('Task Finder'!$C$6,"High Priority",AND($F401="High",$E401&lt;&gt;"Done",$E401&lt;&gt;"Archive"),"Due This Week",AND($I401&lt;&gt;"",$I401&gt;=TODAY(),$I401&lt;=TODAY()+7,$E401&lt;&gt;"Done"),"Quick Wins (15 mins or less)",AND($M401&lt;=15,$E401&lt;&gt;"Done",$E401&lt;&gt;"Blocked"),"Deep Thinking",AND($G401="Deep Thinking",$E401&lt;&gt;"Done"),"Processing",AND($G401="Processing",$E401&lt;&gt;"Done"),"Blocked",$E401="Blocked","Waiting",$E401="Waiting","Recently Updated",AND($L401&lt;&gt;"",$L401&gt;=TODAY()-7),"Keyword",AND('Task Finder'!$C$7&lt;&gt;"",OR(ISNUMBER(SEARCH('Task Finder'!$C$7,$A401)),ISNUMBER(SEARCH('Task Finder'!$C$7,$B401)),ISNUMBER(SEARCH('Task Finder'!$C$7,$C401)),ISNUMBER(SEARCH('Task Finder'!$C$7,$D401)),ISNUMBER(SEARCH('Task Finder'!$C$7,$K401)))),TRUE))</f>
        <v/>
      </c>
    </row>
    <row r="402">
      <c r="A402" s="19" t="n"/>
      <c r="B402" s="19" t="n"/>
      <c r="C402" s="19" t="n"/>
      <c r="D402" s="19" t="n"/>
      <c r="E402" s="19" t="n"/>
      <c r="F402" s="19" t="n"/>
      <c r="G402" s="19" t="n"/>
      <c r="H402" s="19" t="n"/>
      <c r="I402" s="19" t="n"/>
      <c r="J402" s="19" t="n"/>
      <c r="K402" s="19" t="n"/>
      <c r="L402" s="125" t="n"/>
      <c r="M402" s="88">
        <f>IF($D402="","",IFERROR(VLOOKUP($H402,Lists!$N$2:$O$6,2,FALSE),0))</f>
        <v/>
      </c>
      <c r="N402" s="88">
        <f>IF($D402="","",IF(OR($E402="Blocked",$E402="Done",$E402="Archive"),-9999,IF(AND($E402="Waiting",SUMPRODUCT((($E$5:$E$500="Next")+($E$5:$E$500="In Progress")+($E$5:$E$500="Captured"))*($D$5:$D$500&lt;&gt;""))&gt;0),-500,VLOOKUP($F402,Lists!$L$2:$M$4,2,FALSE)+IF($E402="In Progress",10,0)+IF(AND($I402&lt;&gt;"",$I402&lt;TODAY()),25,0)+IF(AND($I402&lt;&gt;"",$I402&gt;=TODAY(),$I402&lt;=TODAY()+7),15,0)+IF($M402&lt;=VLOOKUP(Home!$C$7,Lists!$N$2:$O$6,2,FALSE),20,-10)+IF($G402=Home!$E$7,15,IF(Home!$E$7="",0,-5))-ROW()/100000)))</f>
        <v/>
      </c>
      <c r="O402" s="88">
        <f>IF($D402="","",IF($N402&lt;=-500,"Not recommended right now",IF($E402="Waiting","Nothing else actionable right now — Waiting on: "&amp;IF($K402="","this item",$K402),TEXTJOIN(" • ",TRUE,IF($F402="High","High Priority",""),IF(AND($I402&lt;&gt;"",$I402&lt;TODAY()),"Overdue",""),IF(AND($I402&lt;&gt;"",$I402&gt;=TODAY(),$I402&lt;=TODAY()+7),"Due This Week",""),IF($M402&lt;=VLOOKUP(Home!$C$7,Lists!$N$2:$O$6,2,FALSE),$H402&amp;" Task",""),IF($G402=Home!$E$7,"Fits Current Energy",""),"No Blockers"))))</f>
        <v/>
      </c>
      <c r="P402" s="88">
        <f>IF($D402="","",SWITCH('Task Finder'!$C$6,"High Priority",AND($F402="High",$E402&lt;&gt;"Done",$E402&lt;&gt;"Archive"),"Due This Week",AND($I402&lt;&gt;"",$I402&gt;=TODAY(),$I402&lt;=TODAY()+7,$E402&lt;&gt;"Done"),"Quick Wins (15 mins or less)",AND($M402&lt;=15,$E402&lt;&gt;"Done",$E402&lt;&gt;"Blocked"),"Deep Thinking",AND($G402="Deep Thinking",$E402&lt;&gt;"Done"),"Processing",AND($G402="Processing",$E402&lt;&gt;"Done"),"Blocked",$E402="Blocked","Waiting",$E402="Waiting","Recently Updated",AND($L402&lt;&gt;"",$L402&gt;=TODAY()-7),"Keyword",AND('Task Finder'!$C$7&lt;&gt;"",OR(ISNUMBER(SEARCH('Task Finder'!$C$7,$A402)),ISNUMBER(SEARCH('Task Finder'!$C$7,$B402)),ISNUMBER(SEARCH('Task Finder'!$C$7,$C402)),ISNUMBER(SEARCH('Task Finder'!$C$7,$D402)),ISNUMBER(SEARCH('Task Finder'!$C$7,$K402)))),TRUE))</f>
        <v/>
      </c>
    </row>
    <row r="403">
      <c r="A403" s="19" t="n"/>
      <c r="B403" s="19" t="n"/>
      <c r="C403" s="19" t="n"/>
      <c r="D403" s="19" t="n"/>
      <c r="E403" s="19" t="n"/>
      <c r="F403" s="19" t="n"/>
      <c r="G403" s="19" t="n"/>
      <c r="H403" s="19" t="n"/>
      <c r="I403" s="19" t="n"/>
      <c r="J403" s="19" t="n"/>
      <c r="K403" s="19" t="n"/>
      <c r="L403" s="125" t="n"/>
      <c r="M403" s="88">
        <f>IF($D403="","",IFERROR(VLOOKUP($H403,Lists!$N$2:$O$6,2,FALSE),0))</f>
        <v/>
      </c>
      <c r="N403" s="88">
        <f>IF($D403="","",IF(OR($E403="Blocked",$E403="Done",$E403="Archive"),-9999,IF(AND($E403="Waiting",SUMPRODUCT((($E$5:$E$500="Next")+($E$5:$E$500="In Progress")+($E$5:$E$500="Captured"))*($D$5:$D$500&lt;&gt;""))&gt;0),-500,VLOOKUP($F403,Lists!$L$2:$M$4,2,FALSE)+IF($E403="In Progress",10,0)+IF(AND($I403&lt;&gt;"",$I403&lt;TODAY()),25,0)+IF(AND($I403&lt;&gt;"",$I403&gt;=TODAY(),$I403&lt;=TODAY()+7),15,0)+IF($M403&lt;=VLOOKUP(Home!$C$7,Lists!$N$2:$O$6,2,FALSE),20,-10)+IF($G403=Home!$E$7,15,IF(Home!$E$7="",0,-5))-ROW()/100000)))</f>
        <v/>
      </c>
      <c r="O403" s="88">
        <f>IF($D403="","",IF($N403&lt;=-500,"Not recommended right now",IF($E403="Waiting","Nothing else actionable right now — Waiting on: "&amp;IF($K403="","this item",$K403),TEXTJOIN(" • ",TRUE,IF($F403="High","High Priority",""),IF(AND($I403&lt;&gt;"",$I403&lt;TODAY()),"Overdue",""),IF(AND($I403&lt;&gt;"",$I403&gt;=TODAY(),$I403&lt;=TODAY()+7),"Due This Week",""),IF($M403&lt;=VLOOKUP(Home!$C$7,Lists!$N$2:$O$6,2,FALSE),$H403&amp;" Task",""),IF($G403=Home!$E$7,"Fits Current Energy",""),"No Blockers"))))</f>
        <v/>
      </c>
      <c r="P403" s="88">
        <f>IF($D403="","",SWITCH('Task Finder'!$C$6,"High Priority",AND($F403="High",$E403&lt;&gt;"Done",$E403&lt;&gt;"Archive"),"Due This Week",AND($I403&lt;&gt;"",$I403&gt;=TODAY(),$I403&lt;=TODAY()+7,$E403&lt;&gt;"Done"),"Quick Wins (15 mins or less)",AND($M403&lt;=15,$E403&lt;&gt;"Done",$E403&lt;&gt;"Blocked"),"Deep Thinking",AND($G403="Deep Thinking",$E403&lt;&gt;"Done"),"Processing",AND($G403="Processing",$E403&lt;&gt;"Done"),"Blocked",$E403="Blocked","Waiting",$E403="Waiting","Recently Updated",AND($L403&lt;&gt;"",$L403&gt;=TODAY()-7),"Keyword",AND('Task Finder'!$C$7&lt;&gt;"",OR(ISNUMBER(SEARCH('Task Finder'!$C$7,$A403)),ISNUMBER(SEARCH('Task Finder'!$C$7,$B403)),ISNUMBER(SEARCH('Task Finder'!$C$7,$C403)),ISNUMBER(SEARCH('Task Finder'!$C$7,$D403)),ISNUMBER(SEARCH('Task Finder'!$C$7,$K403)))),TRUE))</f>
        <v/>
      </c>
    </row>
    <row r="404">
      <c r="A404" s="19" t="n"/>
      <c r="B404" s="19" t="n"/>
      <c r="C404" s="19" t="n"/>
      <c r="D404" s="19" t="n"/>
      <c r="E404" s="19" t="n"/>
      <c r="F404" s="19" t="n"/>
      <c r="G404" s="19" t="n"/>
      <c r="H404" s="19" t="n"/>
      <c r="I404" s="19" t="n"/>
      <c r="J404" s="19" t="n"/>
      <c r="K404" s="19" t="n"/>
      <c r="L404" s="125" t="n"/>
      <c r="M404" s="88">
        <f>IF($D404="","",IFERROR(VLOOKUP($H404,Lists!$N$2:$O$6,2,FALSE),0))</f>
        <v/>
      </c>
      <c r="N404" s="88">
        <f>IF($D404="","",IF(OR($E404="Blocked",$E404="Done",$E404="Archive"),-9999,IF(AND($E404="Waiting",SUMPRODUCT((($E$5:$E$500="Next")+($E$5:$E$500="In Progress")+($E$5:$E$500="Captured"))*($D$5:$D$500&lt;&gt;""))&gt;0),-500,VLOOKUP($F404,Lists!$L$2:$M$4,2,FALSE)+IF($E404="In Progress",10,0)+IF(AND($I404&lt;&gt;"",$I404&lt;TODAY()),25,0)+IF(AND($I404&lt;&gt;"",$I404&gt;=TODAY(),$I404&lt;=TODAY()+7),15,0)+IF($M404&lt;=VLOOKUP(Home!$C$7,Lists!$N$2:$O$6,2,FALSE),20,-10)+IF($G404=Home!$E$7,15,IF(Home!$E$7="",0,-5))-ROW()/100000)))</f>
        <v/>
      </c>
      <c r="O404" s="88">
        <f>IF($D404="","",IF($N404&lt;=-500,"Not recommended right now",IF($E404="Waiting","Nothing else actionable right now — Waiting on: "&amp;IF($K404="","this item",$K404),TEXTJOIN(" • ",TRUE,IF($F404="High","High Priority",""),IF(AND($I404&lt;&gt;"",$I404&lt;TODAY()),"Overdue",""),IF(AND($I404&lt;&gt;"",$I404&gt;=TODAY(),$I404&lt;=TODAY()+7),"Due This Week",""),IF($M404&lt;=VLOOKUP(Home!$C$7,Lists!$N$2:$O$6,2,FALSE),$H404&amp;" Task",""),IF($G404=Home!$E$7,"Fits Current Energy",""),"No Blockers"))))</f>
        <v/>
      </c>
      <c r="P404" s="88">
        <f>IF($D404="","",SWITCH('Task Finder'!$C$6,"High Priority",AND($F404="High",$E404&lt;&gt;"Done",$E404&lt;&gt;"Archive"),"Due This Week",AND($I404&lt;&gt;"",$I404&gt;=TODAY(),$I404&lt;=TODAY()+7,$E404&lt;&gt;"Done"),"Quick Wins (15 mins or less)",AND($M404&lt;=15,$E404&lt;&gt;"Done",$E404&lt;&gt;"Blocked"),"Deep Thinking",AND($G404="Deep Thinking",$E404&lt;&gt;"Done"),"Processing",AND($G404="Processing",$E404&lt;&gt;"Done"),"Blocked",$E404="Blocked","Waiting",$E404="Waiting","Recently Updated",AND($L404&lt;&gt;"",$L404&gt;=TODAY()-7),"Keyword",AND('Task Finder'!$C$7&lt;&gt;"",OR(ISNUMBER(SEARCH('Task Finder'!$C$7,$A404)),ISNUMBER(SEARCH('Task Finder'!$C$7,$B404)),ISNUMBER(SEARCH('Task Finder'!$C$7,$C404)),ISNUMBER(SEARCH('Task Finder'!$C$7,$D404)),ISNUMBER(SEARCH('Task Finder'!$C$7,$K404)))),TRUE))</f>
        <v/>
      </c>
    </row>
    <row r="405">
      <c r="A405" s="19" t="n"/>
      <c r="B405" s="19" t="n"/>
      <c r="C405" s="19" t="n"/>
      <c r="D405" s="19" t="n"/>
      <c r="E405" s="19" t="n"/>
      <c r="F405" s="19" t="n"/>
      <c r="G405" s="19" t="n"/>
      <c r="H405" s="19" t="n"/>
      <c r="I405" s="19" t="n"/>
      <c r="J405" s="19" t="n"/>
      <c r="K405" s="19" t="n"/>
      <c r="L405" s="125" t="n"/>
      <c r="M405" s="88">
        <f>IF($D405="","",IFERROR(VLOOKUP($H405,Lists!$N$2:$O$6,2,FALSE),0))</f>
        <v/>
      </c>
      <c r="N405" s="88">
        <f>IF($D405="","",IF(OR($E405="Blocked",$E405="Done",$E405="Archive"),-9999,IF(AND($E405="Waiting",SUMPRODUCT((($E$5:$E$500="Next")+($E$5:$E$500="In Progress")+($E$5:$E$500="Captured"))*($D$5:$D$500&lt;&gt;""))&gt;0),-500,VLOOKUP($F405,Lists!$L$2:$M$4,2,FALSE)+IF($E405="In Progress",10,0)+IF(AND($I405&lt;&gt;"",$I405&lt;TODAY()),25,0)+IF(AND($I405&lt;&gt;"",$I405&gt;=TODAY(),$I405&lt;=TODAY()+7),15,0)+IF($M405&lt;=VLOOKUP(Home!$C$7,Lists!$N$2:$O$6,2,FALSE),20,-10)+IF($G405=Home!$E$7,15,IF(Home!$E$7="",0,-5))-ROW()/100000)))</f>
        <v/>
      </c>
      <c r="O405" s="88">
        <f>IF($D405="","",IF($N405&lt;=-500,"Not recommended right now",IF($E405="Waiting","Nothing else actionable right now — Waiting on: "&amp;IF($K405="","this item",$K405),TEXTJOIN(" • ",TRUE,IF($F405="High","High Priority",""),IF(AND($I405&lt;&gt;"",$I405&lt;TODAY()),"Overdue",""),IF(AND($I405&lt;&gt;"",$I405&gt;=TODAY(),$I405&lt;=TODAY()+7),"Due This Week",""),IF($M405&lt;=VLOOKUP(Home!$C$7,Lists!$N$2:$O$6,2,FALSE),$H405&amp;" Task",""),IF($G405=Home!$E$7,"Fits Current Energy",""),"No Blockers"))))</f>
        <v/>
      </c>
      <c r="P405" s="88">
        <f>IF($D405="","",SWITCH('Task Finder'!$C$6,"High Priority",AND($F405="High",$E405&lt;&gt;"Done",$E405&lt;&gt;"Archive"),"Due This Week",AND($I405&lt;&gt;"",$I405&gt;=TODAY(),$I405&lt;=TODAY()+7,$E405&lt;&gt;"Done"),"Quick Wins (15 mins or less)",AND($M405&lt;=15,$E405&lt;&gt;"Done",$E405&lt;&gt;"Blocked"),"Deep Thinking",AND($G405="Deep Thinking",$E405&lt;&gt;"Done"),"Processing",AND($G405="Processing",$E405&lt;&gt;"Done"),"Blocked",$E405="Blocked","Waiting",$E405="Waiting","Recently Updated",AND($L405&lt;&gt;"",$L405&gt;=TODAY()-7),"Keyword",AND('Task Finder'!$C$7&lt;&gt;"",OR(ISNUMBER(SEARCH('Task Finder'!$C$7,$A405)),ISNUMBER(SEARCH('Task Finder'!$C$7,$B405)),ISNUMBER(SEARCH('Task Finder'!$C$7,$C405)),ISNUMBER(SEARCH('Task Finder'!$C$7,$D405)),ISNUMBER(SEARCH('Task Finder'!$C$7,$K405)))),TRUE))</f>
        <v/>
      </c>
    </row>
    <row r="406">
      <c r="A406" s="19" t="n"/>
      <c r="B406" s="19" t="n"/>
      <c r="C406" s="19" t="n"/>
      <c r="D406" s="19" t="n"/>
      <c r="E406" s="19" t="n"/>
      <c r="F406" s="19" t="n"/>
      <c r="G406" s="19" t="n"/>
      <c r="H406" s="19" t="n"/>
      <c r="I406" s="19" t="n"/>
      <c r="J406" s="19" t="n"/>
      <c r="K406" s="19" t="n"/>
      <c r="L406" s="125" t="n"/>
      <c r="M406" s="88">
        <f>IF($D406="","",IFERROR(VLOOKUP($H406,Lists!$N$2:$O$6,2,FALSE),0))</f>
        <v/>
      </c>
      <c r="N406" s="88">
        <f>IF($D406="","",IF(OR($E406="Blocked",$E406="Done",$E406="Archive"),-9999,IF(AND($E406="Waiting",SUMPRODUCT((($E$5:$E$500="Next")+($E$5:$E$500="In Progress")+($E$5:$E$500="Captured"))*($D$5:$D$500&lt;&gt;""))&gt;0),-500,VLOOKUP($F406,Lists!$L$2:$M$4,2,FALSE)+IF($E406="In Progress",10,0)+IF(AND($I406&lt;&gt;"",$I406&lt;TODAY()),25,0)+IF(AND($I406&lt;&gt;"",$I406&gt;=TODAY(),$I406&lt;=TODAY()+7),15,0)+IF($M406&lt;=VLOOKUP(Home!$C$7,Lists!$N$2:$O$6,2,FALSE),20,-10)+IF($G406=Home!$E$7,15,IF(Home!$E$7="",0,-5))-ROW()/100000)))</f>
        <v/>
      </c>
      <c r="O406" s="88">
        <f>IF($D406="","",IF($N406&lt;=-500,"Not recommended right now",IF($E406="Waiting","Nothing else actionable right now — Waiting on: "&amp;IF($K406="","this item",$K406),TEXTJOIN(" • ",TRUE,IF($F406="High","High Priority",""),IF(AND($I406&lt;&gt;"",$I406&lt;TODAY()),"Overdue",""),IF(AND($I406&lt;&gt;"",$I406&gt;=TODAY(),$I406&lt;=TODAY()+7),"Due This Week",""),IF($M406&lt;=VLOOKUP(Home!$C$7,Lists!$N$2:$O$6,2,FALSE),$H406&amp;" Task",""),IF($G406=Home!$E$7,"Fits Current Energy",""),"No Blockers"))))</f>
        <v/>
      </c>
      <c r="P406" s="88">
        <f>IF($D406="","",SWITCH('Task Finder'!$C$6,"High Priority",AND($F406="High",$E406&lt;&gt;"Done",$E406&lt;&gt;"Archive"),"Due This Week",AND($I406&lt;&gt;"",$I406&gt;=TODAY(),$I406&lt;=TODAY()+7,$E406&lt;&gt;"Done"),"Quick Wins (15 mins or less)",AND($M406&lt;=15,$E406&lt;&gt;"Done",$E406&lt;&gt;"Blocked"),"Deep Thinking",AND($G406="Deep Thinking",$E406&lt;&gt;"Done"),"Processing",AND($G406="Processing",$E406&lt;&gt;"Done"),"Blocked",$E406="Blocked","Waiting",$E406="Waiting","Recently Updated",AND($L406&lt;&gt;"",$L406&gt;=TODAY()-7),"Keyword",AND('Task Finder'!$C$7&lt;&gt;"",OR(ISNUMBER(SEARCH('Task Finder'!$C$7,$A406)),ISNUMBER(SEARCH('Task Finder'!$C$7,$B406)),ISNUMBER(SEARCH('Task Finder'!$C$7,$C406)),ISNUMBER(SEARCH('Task Finder'!$C$7,$D406)),ISNUMBER(SEARCH('Task Finder'!$C$7,$K406)))),TRUE))</f>
        <v/>
      </c>
    </row>
    <row r="407">
      <c r="A407" s="19" t="n"/>
      <c r="B407" s="19" t="n"/>
      <c r="C407" s="19" t="n"/>
      <c r="D407" s="19" t="n"/>
      <c r="E407" s="19" t="n"/>
      <c r="F407" s="19" t="n"/>
      <c r="G407" s="19" t="n"/>
      <c r="H407" s="19" t="n"/>
      <c r="I407" s="19" t="n"/>
      <c r="J407" s="19" t="n"/>
      <c r="K407" s="19" t="n"/>
      <c r="L407" s="125" t="n"/>
      <c r="M407" s="88">
        <f>IF($D407="","",IFERROR(VLOOKUP($H407,Lists!$N$2:$O$6,2,FALSE),0))</f>
        <v/>
      </c>
      <c r="N407" s="88">
        <f>IF($D407="","",IF(OR($E407="Blocked",$E407="Done",$E407="Archive"),-9999,IF(AND($E407="Waiting",SUMPRODUCT((($E$5:$E$500="Next")+($E$5:$E$500="In Progress")+($E$5:$E$500="Captured"))*($D$5:$D$500&lt;&gt;""))&gt;0),-500,VLOOKUP($F407,Lists!$L$2:$M$4,2,FALSE)+IF($E407="In Progress",10,0)+IF(AND($I407&lt;&gt;"",$I407&lt;TODAY()),25,0)+IF(AND($I407&lt;&gt;"",$I407&gt;=TODAY(),$I407&lt;=TODAY()+7),15,0)+IF($M407&lt;=VLOOKUP(Home!$C$7,Lists!$N$2:$O$6,2,FALSE),20,-10)+IF($G407=Home!$E$7,15,IF(Home!$E$7="",0,-5))-ROW()/100000)))</f>
        <v/>
      </c>
      <c r="O407" s="88">
        <f>IF($D407="","",IF($N407&lt;=-500,"Not recommended right now",IF($E407="Waiting","Nothing else actionable right now — Waiting on: "&amp;IF($K407="","this item",$K407),TEXTJOIN(" • ",TRUE,IF($F407="High","High Priority",""),IF(AND($I407&lt;&gt;"",$I407&lt;TODAY()),"Overdue",""),IF(AND($I407&lt;&gt;"",$I407&gt;=TODAY(),$I407&lt;=TODAY()+7),"Due This Week",""),IF($M407&lt;=VLOOKUP(Home!$C$7,Lists!$N$2:$O$6,2,FALSE),$H407&amp;" Task",""),IF($G407=Home!$E$7,"Fits Current Energy",""),"No Blockers"))))</f>
        <v/>
      </c>
      <c r="P407" s="88">
        <f>IF($D407="","",SWITCH('Task Finder'!$C$6,"High Priority",AND($F407="High",$E407&lt;&gt;"Done",$E407&lt;&gt;"Archive"),"Due This Week",AND($I407&lt;&gt;"",$I407&gt;=TODAY(),$I407&lt;=TODAY()+7,$E407&lt;&gt;"Done"),"Quick Wins (15 mins or less)",AND($M407&lt;=15,$E407&lt;&gt;"Done",$E407&lt;&gt;"Blocked"),"Deep Thinking",AND($G407="Deep Thinking",$E407&lt;&gt;"Done"),"Processing",AND($G407="Processing",$E407&lt;&gt;"Done"),"Blocked",$E407="Blocked","Waiting",$E407="Waiting","Recently Updated",AND($L407&lt;&gt;"",$L407&gt;=TODAY()-7),"Keyword",AND('Task Finder'!$C$7&lt;&gt;"",OR(ISNUMBER(SEARCH('Task Finder'!$C$7,$A407)),ISNUMBER(SEARCH('Task Finder'!$C$7,$B407)),ISNUMBER(SEARCH('Task Finder'!$C$7,$C407)),ISNUMBER(SEARCH('Task Finder'!$C$7,$D407)),ISNUMBER(SEARCH('Task Finder'!$C$7,$K407)))),TRUE))</f>
        <v/>
      </c>
    </row>
    <row r="408">
      <c r="A408" s="19" t="n"/>
      <c r="B408" s="19" t="n"/>
      <c r="C408" s="19" t="n"/>
      <c r="D408" s="19" t="n"/>
      <c r="E408" s="19" t="n"/>
      <c r="F408" s="19" t="n"/>
      <c r="G408" s="19" t="n"/>
      <c r="H408" s="19" t="n"/>
      <c r="I408" s="19" t="n"/>
      <c r="J408" s="19" t="n"/>
      <c r="K408" s="19" t="n"/>
      <c r="L408" s="125" t="n"/>
      <c r="M408" s="88">
        <f>IF($D408="","",IFERROR(VLOOKUP($H408,Lists!$N$2:$O$6,2,FALSE),0))</f>
        <v/>
      </c>
      <c r="N408" s="88">
        <f>IF($D408="","",IF(OR($E408="Blocked",$E408="Done",$E408="Archive"),-9999,IF(AND($E408="Waiting",SUMPRODUCT((($E$5:$E$500="Next")+($E$5:$E$500="In Progress")+($E$5:$E$500="Captured"))*($D$5:$D$500&lt;&gt;""))&gt;0),-500,VLOOKUP($F408,Lists!$L$2:$M$4,2,FALSE)+IF($E408="In Progress",10,0)+IF(AND($I408&lt;&gt;"",$I408&lt;TODAY()),25,0)+IF(AND($I408&lt;&gt;"",$I408&gt;=TODAY(),$I408&lt;=TODAY()+7),15,0)+IF($M408&lt;=VLOOKUP(Home!$C$7,Lists!$N$2:$O$6,2,FALSE),20,-10)+IF($G408=Home!$E$7,15,IF(Home!$E$7="",0,-5))-ROW()/100000)))</f>
        <v/>
      </c>
      <c r="O408" s="88">
        <f>IF($D408="","",IF($N408&lt;=-500,"Not recommended right now",IF($E408="Waiting","Nothing else actionable right now — Waiting on: "&amp;IF($K408="","this item",$K408),TEXTJOIN(" • ",TRUE,IF($F408="High","High Priority",""),IF(AND($I408&lt;&gt;"",$I408&lt;TODAY()),"Overdue",""),IF(AND($I408&lt;&gt;"",$I408&gt;=TODAY(),$I408&lt;=TODAY()+7),"Due This Week",""),IF($M408&lt;=VLOOKUP(Home!$C$7,Lists!$N$2:$O$6,2,FALSE),$H408&amp;" Task",""),IF($G408=Home!$E$7,"Fits Current Energy",""),"No Blockers"))))</f>
        <v/>
      </c>
      <c r="P408" s="88">
        <f>IF($D408="","",SWITCH('Task Finder'!$C$6,"High Priority",AND($F408="High",$E408&lt;&gt;"Done",$E408&lt;&gt;"Archive"),"Due This Week",AND($I408&lt;&gt;"",$I408&gt;=TODAY(),$I408&lt;=TODAY()+7,$E408&lt;&gt;"Done"),"Quick Wins (15 mins or less)",AND($M408&lt;=15,$E408&lt;&gt;"Done",$E408&lt;&gt;"Blocked"),"Deep Thinking",AND($G408="Deep Thinking",$E408&lt;&gt;"Done"),"Processing",AND($G408="Processing",$E408&lt;&gt;"Done"),"Blocked",$E408="Blocked","Waiting",$E408="Waiting","Recently Updated",AND($L408&lt;&gt;"",$L408&gt;=TODAY()-7),"Keyword",AND('Task Finder'!$C$7&lt;&gt;"",OR(ISNUMBER(SEARCH('Task Finder'!$C$7,$A408)),ISNUMBER(SEARCH('Task Finder'!$C$7,$B408)),ISNUMBER(SEARCH('Task Finder'!$C$7,$C408)),ISNUMBER(SEARCH('Task Finder'!$C$7,$D408)),ISNUMBER(SEARCH('Task Finder'!$C$7,$K408)))),TRUE))</f>
        <v/>
      </c>
    </row>
    <row r="409">
      <c r="A409" s="19" t="n"/>
      <c r="B409" s="19" t="n"/>
      <c r="C409" s="19" t="n"/>
      <c r="D409" s="19" t="n"/>
      <c r="E409" s="19" t="n"/>
      <c r="F409" s="19" t="n"/>
      <c r="G409" s="19" t="n"/>
      <c r="H409" s="19" t="n"/>
      <c r="I409" s="19" t="n"/>
      <c r="J409" s="19" t="n"/>
      <c r="K409" s="19" t="n"/>
      <c r="L409" s="125" t="n"/>
      <c r="M409" s="88">
        <f>IF($D409="","",IFERROR(VLOOKUP($H409,Lists!$N$2:$O$6,2,FALSE),0))</f>
        <v/>
      </c>
      <c r="N409" s="88">
        <f>IF($D409="","",IF(OR($E409="Blocked",$E409="Done",$E409="Archive"),-9999,IF(AND($E409="Waiting",SUMPRODUCT((($E$5:$E$500="Next")+($E$5:$E$500="In Progress")+($E$5:$E$500="Captured"))*($D$5:$D$500&lt;&gt;""))&gt;0),-500,VLOOKUP($F409,Lists!$L$2:$M$4,2,FALSE)+IF($E409="In Progress",10,0)+IF(AND($I409&lt;&gt;"",$I409&lt;TODAY()),25,0)+IF(AND($I409&lt;&gt;"",$I409&gt;=TODAY(),$I409&lt;=TODAY()+7),15,0)+IF($M409&lt;=VLOOKUP(Home!$C$7,Lists!$N$2:$O$6,2,FALSE),20,-10)+IF($G409=Home!$E$7,15,IF(Home!$E$7="",0,-5))-ROW()/100000)))</f>
        <v/>
      </c>
      <c r="O409" s="88">
        <f>IF($D409="","",IF($N409&lt;=-500,"Not recommended right now",IF($E409="Waiting","Nothing else actionable right now — Waiting on: "&amp;IF($K409="","this item",$K409),TEXTJOIN(" • ",TRUE,IF($F409="High","High Priority",""),IF(AND($I409&lt;&gt;"",$I409&lt;TODAY()),"Overdue",""),IF(AND($I409&lt;&gt;"",$I409&gt;=TODAY(),$I409&lt;=TODAY()+7),"Due This Week",""),IF($M409&lt;=VLOOKUP(Home!$C$7,Lists!$N$2:$O$6,2,FALSE),$H409&amp;" Task",""),IF($G409=Home!$E$7,"Fits Current Energy",""),"No Blockers"))))</f>
        <v/>
      </c>
      <c r="P409" s="88">
        <f>IF($D409="","",SWITCH('Task Finder'!$C$6,"High Priority",AND($F409="High",$E409&lt;&gt;"Done",$E409&lt;&gt;"Archive"),"Due This Week",AND($I409&lt;&gt;"",$I409&gt;=TODAY(),$I409&lt;=TODAY()+7,$E409&lt;&gt;"Done"),"Quick Wins (15 mins or less)",AND($M409&lt;=15,$E409&lt;&gt;"Done",$E409&lt;&gt;"Blocked"),"Deep Thinking",AND($G409="Deep Thinking",$E409&lt;&gt;"Done"),"Processing",AND($G409="Processing",$E409&lt;&gt;"Done"),"Blocked",$E409="Blocked","Waiting",$E409="Waiting","Recently Updated",AND($L409&lt;&gt;"",$L409&gt;=TODAY()-7),"Keyword",AND('Task Finder'!$C$7&lt;&gt;"",OR(ISNUMBER(SEARCH('Task Finder'!$C$7,$A409)),ISNUMBER(SEARCH('Task Finder'!$C$7,$B409)),ISNUMBER(SEARCH('Task Finder'!$C$7,$C409)),ISNUMBER(SEARCH('Task Finder'!$C$7,$D409)),ISNUMBER(SEARCH('Task Finder'!$C$7,$K409)))),TRUE))</f>
        <v/>
      </c>
    </row>
    <row r="410">
      <c r="A410" s="19" t="n"/>
      <c r="B410" s="19" t="n"/>
      <c r="C410" s="19" t="n"/>
      <c r="D410" s="19" t="n"/>
      <c r="E410" s="19" t="n"/>
      <c r="F410" s="19" t="n"/>
      <c r="G410" s="19" t="n"/>
      <c r="H410" s="19" t="n"/>
      <c r="I410" s="19" t="n"/>
      <c r="J410" s="19" t="n"/>
      <c r="K410" s="19" t="n"/>
      <c r="L410" s="125" t="n"/>
      <c r="M410" s="88">
        <f>IF($D410="","",IFERROR(VLOOKUP($H410,Lists!$N$2:$O$6,2,FALSE),0))</f>
        <v/>
      </c>
      <c r="N410" s="88">
        <f>IF($D410="","",IF(OR($E410="Blocked",$E410="Done",$E410="Archive"),-9999,IF(AND($E410="Waiting",SUMPRODUCT((($E$5:$E$500="Next")+($E$5:$E$500="In Progress")+($E$5:$E$500="Captured"))*($D$5:$D$500&lt;&gt;""))&gt;0),-500,VLOOKUP($F410,Lists!$L$2:$M$4,2,FALSE)+IF($E410="In Progress",10,0)+IF(AND($I410&lt;&gt;"",$I410&lt;TODAY()),25,0)+IF(AND($I410&lt;&gt;"",$I410&gt;=TODAY(),$I410&lt;=TODAY()+7),15,0)+IF($M410&lt;=VLOOKUP(Home!$C$7,Lists!$N$2:$O$6,2,FALSE),20,-10)+IF($G410=Home!$E$7,15,IF(Home!$E$7="",0,-5))-ROW()/100000)))</f>
        <v/>
      </c>
      <c r="O410" s="88">
        <f>IF($D410="","",IF($N410&lt;=-500,"Not recommended right now",IF($E410="Waiting","Nothing else actionable right now — Waiting on: "&amp;IF($K410="","this item",$K410),TEXTJOIN(" • ",TRUE,IF($F410="High","High Priority",""),IF(AND($I410&lt;&gt;"",$I410&lt;TODAY()),"Overdue",""),IF(AND($I410&lt;&gt;"",$I410&gt;=TODAY(),$I410&lt;=TODAY()+7),"Due This Week",""),IF($M410&lt;=VLOOKUP(Home!$C$7,Lists!$N$2:$O$6,2,FALSE),$H410&amp;" Task",""),IF($G410=Home!$E$7,"Fits Current Energy",""),"No Blockers"))))</f>
        <v/>
      </c>
      <c r="P410" s="88">
        <f>IF($D410="","",SWITCH('Task Finder'!$C$6,"High Priority",AND($F410="High",$E410&lt;&gt;"Done",$E410&lt;&gt;"Archive"),"Due This Week",AND($I410&lt;&gt;"",$I410&gt;=TODAY(),$I410&lt;=TODAY()+7,$E410&lt;&gt;"Done"),"Quick Wins (15 mins or less)",AND($M410&lt;=15,$E410&lt;&gt;"Done",$E410&lt;&gt;"Blocked"),"Deep Thinking",AND($G410="Deep Thinking",$E410&lt;&gt;"Done"),"Processing",AND($G410="Processing",$E410&lt;&gt;"Done"),"Blocked",$E410="Blocked","Waiting",$E410="Waiting","Recently Updated",AND($L410&lt;&gt;"",$L410&gt;=TODAY()-7),"Keyword",AND('Task Finder'!$C$7&lt;&gt;"",OR(ISNUMBER(SEARCH('Task Finder'!$C$7,$A410)),ISNUMBER(SEARCH('Task Finder'!$C$7,$B410)),ISNUMBER(SEARCH('Task Finder'!$C$7,$C410)),ISNUMBER(SEARCH('Task Finder'!$C$7,$D410)),ISNUMBER(SEARCH('Task Finder'!$C$7,$K410)))),TRUE))</f>
        <v/>
      </c>
    </row>
    <row r="411">
      <c r="A411" s="19" t="n"/>
      <c r="B411" s="19" t="n"/>
      <c r="C411" s="19" t="n"/>
      <c r="D411" s="19" t="n"/>
      <c r="E411" s="19" t="n"/>
      <c r="F411" s="19" t="n"/>
      <c r="G411" s="19" t="n"/>
      <c r="H411" s="19" t="n"/>
      <c r="I411" s="19" t="n"/>
      <c r="J411" s="19" t="n"/>
      <c r="K411" s="19" t="n"/>
      <c r="L411" s="125" t="n"/>
      <c r="M411" s="88">
        <f>IF($D411="","",IFERROR(VLOOKUP($H411,Lists!$N$2:$O$6,2,FALSE),0))</f>
        <v/>
      </c>
      <c r="N411" s="88">
        <f>IF($D411="","",IF(OR($E411="Blocked",$E411="Done",$E411="Archive"),-9999,IF(AND($E411="Waiting",SUMPRODUCT((($E$5:$E$500="Next")+($E$5:$E$500="In Progress")+($E$5:$E$500="Captured"))*($D$5:$D$500&lt;&gt;""))&gt;0),-500,VLOOKUP($F411,Lists!$L$2:$M$4,2,FALSE)+IF($E411="In Progress",10,0)+IF(AND($I411&lt;&gt;"",$I411&lt;TODAY()),25,0)+IF(AND($I411&lt;&gt;"",$I411&gt;=TODAY(),$I411&lt;=TODAY()+7),15,0)+IF($M411&lt;=VLOOKUP(Home!$C$7,Lists!$N$2:$O$6,2,FALSE),20,-10)+IF($G411=Home!$E$7,15,IF(Home!$E$7="",0,-5))-ROW()/100000)))</f>
        <v/>
      </c>
      <c r="O411" s="88">
        <f>IF($D411="","",IF($N411&lt;=-500,"Not recommended right now",IF($E411="Waiting","Nothing else actionable right now — Waiting on: "&amp;IF($K411="","this item",$K411),TEXTJOIN(" • ",TRUE,IF($F411="High","High Priority",""),IF(AND($I411&lt;&gt;"",$I411&lt;TODAY()),"Overdue",""),IF(AND($I411&lt;&gt;"",$I411&gt;=TODAY(),$I411&lt;=TODAY()+7),"Due This Week",""),IF($M411&lt;=VLOOKUP(Home!$C$7,Lists!$N$2:$O$6,2,FALSE),$H411&amp;" Task",""),IF($G411=Home!$E$7,"Fits Current Energy",""),"No Blockers"))))</f>
        <v/>
      </c>
      <c r="P411" s="88">
        <f>IF($D411="","",SWITCH('Task Finder'!$C$6,"High Priority",AND($F411="High",$E411&lt;&gt;"Done",$E411&lt;&gt;"Archive"),"Due This Week",AND($I411&lt;&gt;"",$I411&gt;=TODAY(),$I411&lt;=TODAY()+7,$E411&lt;&gt;"Done"),"Quick Wins (15 mins or less)",AND($M411&lt;=15,$E411&lt;&gt;"Done",$E411&lt;&gt;"Blocked"),"Deep Thinking",AND($G411="Deep Thinking",$E411&lt;&gt;"Done"),"Processing",AND($G411="Processing",$E411&lt;&gt;"Done"),"Blocked",$E411="Blocked","Waiting",$E411="Waiting","Recently Updated",AND($L411&lt;&gt;"",$L411&gt;=TODAY()-7),"Keyword",AND('Task Finder'!$C$7&lt;&gt;"",OR(ISNUMBER(SEARCH('Task Finder'!$C$7,$A411)),ISNUMBER(SEARCH('Task Finder'!$C$7,$B411)),ISNUMBER(SEARCH('Task Finder'!$C$7,$C411)),ISNUMBER(SEARCH('Task Finder'!$C$7,$D411)),ISNUMBER(SEARCH('Task Finder'!$C$7,$K411)))),TRUE))</f>
        <v/>
      </c>
    </row>
    <row r="412">
      <c r="A412" s="19" t="n"/>
      <c r="B412" s="19" t="n"/>
      <c r="C412" s="19" t="n"/>
      <c r="D412" s="19" t="n"/>
      <c r="E412" s="19" t="n"/>
      <c r="F412" s="19" t="n"/>
      <c r="G412" s="19" t="n"/>
      <c r="H412" s="19" t="n"/>
      <c r="I412" s="19" t="n"/>
      <c r="J412" s="19" t="n"/>
      <c r="K412" s="19" t="n"/>
      <c r="L412" s="125" t="n"/>
      <c r="M412" s="88">
        <f>IF($D412="","",IFERROR(VLOOKUP($H412,Lists!$N$2:$O$6,2,FALSE),0))</f>
        <v/>
      </c>
      <c r="N412" s="88">
        <f>IF($D412="","",IF(OR($E412="Blocked",$E412="Done",$E412="Archive"),-9999,IF(AND($E412="Waiting",SUMPRODUCT((($E$5:$E$500="Next")+($E$5:$E$500="In Progress")+($E$5:$E$500="Captured"))*($D$5:$D$500&lt;&gt;""))&gt;0),-500,VLOOKUP($F412,Lists!$L$2:$M$4,2,FALSE)+IF($E412="In Progress",10,0)+IF(AND($I412&lt;&gt;"",$I412&lt;TODAY()),25,0)+IF(AND($I412&lt;&gt;"",$I412&gt;=TODAY(),$I412&lt;=TODAY()+7),15,0)+IF($M412&lt;=VLOOKUP(Home!$C$7,Lists!$N$2:$O$6,2,FALSE),20,-10)+IF($G412=Home!$E$7,15,IF(Home!$E$7="",0,-5))-ROW()/100000)))</f>
        <v/>
      </c>
      <c r="O412" s="88">
        <f>IF($D412="","",IF($N412&lt;=-500,"Not recommended right now",IF($E412="Waiting","Nothing else actionable right now — Waiting on: "&amp;IF($K412="","this item",$K412),TEXTJOIN(" • ",TRUE,IF($F412="High","High Priority",""),IF(AND($I412&lt;&gt;"",$I412&lt;TODAY()),"Overdue",""),IF(AND($I412&lt;&gt;"",$I412&gt;=TODAY(),$I412&lt;=TODAY()+7),"Due This Week",""),IF($M412&lt;=VLOOKUP(Home!$C$7,Lists!$N$2:$O$6,2,FALSE),$H412&amp;" Task",""),IF($G412=Home!$E$7,"Fits Current Energy",""),"No Blockers"))))</f>
        <v/>
      </c>
      <c r="P412" s="88">
        <f>IF($D412="","",SWITCH('Task Finder'!$C$6,"High Priority",AND($F412="High",$E412&lt;&gt;"Done",$E412&lt;&gt;"Archive"),"Due This Week",AND($I412&lt;&gt;"",$I412&gt;=TODAY(),$I412&lt;=TODAY()+7,$E412&lt;&gt;"Done"),"Quick Wins (15 mins or less)",AND($M412&lt;=15,$E412&lt;&gt;"Done",$E412&lt;&gt;"Blocked"),"Deep Thinking",AND($G412="Deep Thinking",$E412&lt;&gt;"Done"),"Processing",AND($G412="Processing",$E412&lt;&gt;"Done"),"Blocked",$E412="Blocked","Waiting",$E412="Waiting","Recently Updated",AND($L412&lt;&gt;"",$L412&gt;=TODAY()-7),"Keyword",AND('Task Finder'!$C$7&lt;&gt;"",OR(ISNUMBER(SEARCH('Task Finder'!$C$7,$A412)),ISNUMBER(SEARCH('Task Finder'!$C$7,$B412)),ISNUMBER(SEARCH('Task Finder'!$C$7,$C412)),ISNUMBER(SEARCH('Task Finder'!$C$7,$D412)),ISNUMBER(SEARCH('Task Finder'!$C$7,$K412)))),TRUE))</f>
        <v/>
      </c>
    </row>
    <row r="413">
      <c r="A413" s="19" t="n"/>
      <c r="B413" s="19" t="n"/>
      <c r="C413" s="19" t="n"/>
      <c r="D413" s="19" t="n"/>
      <c r="E413" s="19" t="n"/>
      <c r="F413" s="19" t="n"/>
      <c r="G413" s="19" t="n"/>
      <c r="H413" s="19" t="n"/>
      <c r="I413" s="19" t="n"/>
      <c r="J413" s="19" t="n"/>
      <c r="K413" s="19" t="n"/>
      <c r="L413" s="125" t="n"/>
      <c r="M413" s="88">
        <f>IF($D413="","",IFERROR(VLOOKUP($H413,Lists!$N$2:$O$6,2,FALSE),0))</f>
        <v/>
      </c>
      <c r="N413" s="88">
        <f>IF($D413="","",IF(OR($E413="Blocked",$E413="Done",$E413="Archive"),-9999,IF(AND($E413="Waiting",SUMPRODUCT((($E$5:$E$500="Next")+($E$5:$E$500="In Progress")+($E$5:$E$500="Captured"))*($D$5:$D$500&lt;&gt;""))&gt;0),-500,VLOOKUP($F413,Lists!$L$2:$M$4,2,FALSE)+IF($E413="In Progress",10,0)+IF(AND($I413&lt;&gt;"",$I413&lt;TODAY()),25,0)+IF(AND($I413&lt;&gt;"",$I413&gt;=TODAY(),$I413&lt;=TODAY()+7),15,0)+IF($M413&lt;=VLOOKUP(Home!$C$7,Lists!$N$2:$O$6,2,FALSE),20,-10)+IF($G413=Home!$E$7,15,IF(Home!$E$7="",0,-5))-ROW()/100000)))</f>
        <v/>
      </c>
      <c r="O413" s="88">
        <f>IF($D413="","",IF($N413&lt;=-500,"Not recommended right now",IF($E413="Waiting","Nothing else actionable right now — Waiting on: "&amp;IF($K413="","this item",$K413),TEXTJOIN(" • ",TRUE,IF($F413="High","High Priority",""),IF(AND($I413&lt;&gt;"",$I413&lt;TODAY()),"Overdue",""),IF(AND($I413&lt;&gt;"",$I413&gt;=TODAY(),$I413&lt;=TODAY()+7),"Due This Week",""),IF($M413&lt;=VLOOKUP(Home!$C$7,Lists!$N$2:$O$6,2,FALSE),$H413&amp;" Task",""),IF($G413=Home!$E$7,"Fits Current Energy",""),"No Blockers"))))</f>
        <v/>
      </c>
      <c r="P413" s="88">
        <f>IF($D413="","",SWITCH('Task Finder'!$C$6,"High Priority",AND($F413="High",$E413&lt;&gt;"Done",$E413&lt;&gt;"Archive"),"Due This Week",AND($I413&lt;&gt;"",$I413&gt;=TODAY(),$I413&lt;=TODAY()+7,$E413&lt;&gt;"Done"),"Quick Wins (15 mins or less)",AND($M413&lt;=15,$E413&lt;&gt;"Done",$E413&lt;&gt;"Blocked"),"Deep Thinking",AND($G413="Deep Thinking",$E413&lt;&gt;"Done"),"Processing",AND($G413="Processing",$E413&lt;&gt;"Done"),"Blocked",$E413="Blocked","Waiting",$E413="Waiting","Recently Updated",AND($L413&lt;&gt;"",$L413&gt;=TODAY()-7),"Keyword",AND('Task Finder'!$C$7&lt;&gt;"",OR(ISNUMBER(SEARCH('Task Finder'!$C$7,$A413)),ISNUMBER(SEARCH('Task Finder'!$C$7,$B413)),ISNUMBER(SEARCH('Task Finder'!$C$7,$C413)),ISNUMBER(SEARCH('Task Finder'!$C$7,$D413)),ISNUMBER(SEARCH('Task Finder'!$C$7,$K413)))),TRUE))</f>
        <v/>
      </c>
    </row>
    <row r="414">
      <c r="A414" s="19" t="n"/>
      <c r="B414" s="19" t="n"/>
      <c r="C414" s="19" t="n"/>
      <c r="D414" s="19" t="n"/>
      <c r="E414" s="19" t="n"/>
      <c r="F414" s="19" t="n"/>
      <c r="G414" s="19" t="n"/>
      <c r="H414" s="19" t="n"/>
      <c r="I414" s="19" t="n"/>
      <c r="J414" s="19" t="n"/>
      <c r="K414" s="19" t="n"/>
      <c r="L414" s="125" t="n"/>
      <c r="M414" s="88">
        <f>IF($D414="","",IFERROR(VLOOKUP($H414,Lists!$N$2:$O$6,2,FALSE),0))</f>
        <v/>
      </c>
      <c r="N414" s="88">
        <f>IF($D414="","",IF(OR($E414="Blocked",$E414="Done",$E414="Archive"),-9999,IF(AND($E414="Waiting",SUMPRODUCT((($E$5:$E$500="Next")+($E$5:$E$500="In Progress")+($E$5:$E$500="Captured"))*($D$5:$D$500&lt;&gt;""))&gt;0),-500,VLOOKUP($F414,Lists!$L$2:$M$4,2,FALSE)+IF($E414="In Progress",10,0)+IF(AND($I414&lt;&gt;"",$I414&lt;TODAY()),25,0)+IF(AND($I414&lt;&gt;"",$I414&gt;=TODAY(),$I414&lt;=TODAY()+7),15,0)+IF($M414&lt;=VLOOKUP(Home!$C$7,Lists!$N$2:$O$6,2,FALSE),20,-10)+IF($G414=Home!$E$7,15,IF(Home!$E$7="",0,-5))-ROW()/100000)))</f>
        <v/>
      </c>
      <c r="O414" s="88">
        <f>IF($D414="","",IF($N414&lt;=-500,"Not recommended right now",IF($E414="Waiting","Nothing else actionable right now — Waiting on: "&amp;IF($K414="","this item",$K414),TEXTJOIN(" • ",TRUE,IF($F414="High","High Priority",""),IF(AND($I414&lt;&gt;"",$I414&lt;TODAY()),"Overdue",""),IF(AND($I414&lt;&gt;"",$I414&gt;=TODAY(),$I414&lt;=TODAY()+7),"Due This Week",""),IF($M414&lt;=VLOOKUP(Home!$C$7,Lists!$N$2:$O$6,2,FALSE),$H414&amp;" Task",""),IF($G414=Home!$E$7,"Fits Current Energy",""),"No Blockers"))))</f>
        <v/>
      </c>
      <c r="P414" s="88">
        <f>IF($D414="","",SWITCH('Task Finder'!$C$6,"High Priority",AND($F414="High",$E414&lt;&gt;"Done",$E414&lt;&gt;"Archive"),"Due This Week",AND($I414&lt;&gt;"",$I414&gt;=TODAY(),$I414&lt;=TODAY()+7,$E414&lt;&gt;"Done"),"Quick Wins (15 mins or less)",AND($M414&lt;=15,$E414&lt;&gt;"Done",$E414&lt;&gt;"Blocked"),"Deep Thinking",AND($G414="Deep Thinking",$E414&lt;&gt;"Done"),"Processing",AND($G414="Processing",$E414&lt;&gt;"Done"),"Blocked",$E414="Blocked","Waiting",$E414="Waiting","Recently Updated",AND($L414&lt;&gt;"",$L414&gt;=TODAY()-7),"Keyword",AND('Task Finder'!$C$7&lt;&gt;"",OR(ISNUMBER(SEARCH('Task Finder'!$C$7,$A414)),ISNUMBER(SEARCH('Task Finder'!$C$7,$B414)),ISNUMBER(SEARCH('Task Finder'!$C$7,$C414)),ISNUMBER(SEARCH('Task Finder'!$C$7,$D414)),ISNUMBER(SEARCH('Task Finder'!$C$7,$K414)))),TRUE))</f>
        <v/>
      </c>
    </row>
    <row r="415">
      <c r="A415" s="19" t="n"/>
      <c r="B415" s="19" t="n"/>
      <c r="C415" s="19" t="n"/>
      <c r="D415" s="19" t="n"/>
      <c r="E415" s="19" t="n"/>
      <c r="F415" s="19" t="n"/>
      <c r="G415" s="19" t="n"/>
      <c r="H415" s="19" t="n"/>
      <c r="I415" s="19" t="n"/>
      <c r="J415" s="19" t="n"/>
      <c r="K415" s="19" t="n"/>
      <c r="L415" s="125" t="n"/>
      <c r="M415" s="88">
        <f>IF($D415="","",IFERROR(VLOOKUP($H415,Lists!$N$2:$O$6,2,FALSE),0))</f>
        <v/>
      </c>
      <c r="N415" s="88">
        <f>IF($D415="","",IF(OR($E415="Blocked",$E415="Done",$E415="Archive"),-9999,IF(AND($E415="Waiting",SUMPRODUCT((($E$5:$E$500="Next")+($E$5:$E$500="In Progress")+($E$5:$E$500="Captured"))*($D$5:$D$500&lt;&gt;""))&gt;0),-500,VLOOKUP($F415,Lists!$L$2:$M$4,2,FALSE)+IF($E415="In Progress",10,0)+IF(AND($I415&lt;&gt;"",$I415&lt;TODAY()),25,0)+IF(AND($I415&lt;&gt;"",$I415&gt;=TODAY(),$I415&lt;=TODAY()+7),15,0)+IF($M415&lt;=VLOOKUP(Home!$C$7,Lists!$N$2:$O$6,2,FALSE),20,-10)+IF($G415=Home!$E$7,15,IF(Home!$E$7="",0,-5))-ROW()/100000)))</f>
        <v/>
      </c>
      <c r="O415" s="88">
        <f>IF($D415="","",IF($N415&lt;=-500,"Not recommended right now",IF($E415="Waiting","Nothing else actionable right now — Waiting on: "&amp;IF($K415="","this item",$K415),TEXTJOIN(" • ",TRUE,IF($F415="High","High Priority",""),IF(AND($I415&lt;&gt;"",$I415&lt;TODAY()),"Overdue",""),IF(AND($I415&lt;&gt;"",$I415&gt;=TODAY(),$I415&lt;=TODAY()+7),"Due This Week",""),IF($M415&lt;=VLOOKUP(Home!$C$7,Lists!$N$2:$O$6,2,FALSE),$H415&amp;" Task",""),IF($G415=Home!$E$7,"Fits Current Energy",""),"No Blockers"))))</f>
        <v/>
      </c>
      <c r="P415" s="88">
        <f>IF($D415="","",SWITCH('Task Finder'!$C$6,"High Priority",AND($F415="High",$E415&lt;&gt;"Done",$E415&lt;&gt;"Archive"),"Due This Week",AND($I415&lt;&gt;"",$I415&gt;=TODAY(),$I415&lt;=TODAY()+7,$E415&lt;&gt;"Done"),"Quick Wins (15 mins or less)",AND($M415&lt;=15,$E415&lt;&gt;"Done",$E415&lt;&gt;"Blocked"),"Deep Thinking",AND($G415="Deep Thinking",$E415&lt;&gt;"Done"),"Processing",AND($G415="Processing",$E415&lt;&gt;"Done"),"Blocked",$E415="Blocked","Waiting",$E415="Waiting","Recently Updated",AND($L415&lt;&gt;"",$L415&gt;=TODAY()-7),"Keyword",AND('Task Finder'!$C$7&lt;&gt;"",OR(ISNUMBER(SEARCH('Task Finder'!$C$7,$A415)),ISNUMBER(SEARCH('Task Finder'!$C$7,$B415)),ISNUMBER(SEARCH('Task Finder'!$C$7,$C415)),ISNUMBER(SEARCH('Task Finder'!$C$7,$D415)),ISNUMBER(SEARCH('Task Finder'!$C$7,$K415)))),TRUE))</f>
        <v/>
      </c>
    </row>
    <row r="416">
      <c r="A416" s="19" t="n"/>
      <c r="B416" s="19" t="n"/>
      <c r="C416" s="19" t="n"/>
      <c r="D416" s="19" t="n"/>
      <c r="E416" s="19" t="n"/>
      <c r="F416" s="19" t="n"/>
      <c r="G416" s="19" t="n"/>
      <c r="H416" s="19" t="n"/>
      <c r="I416" s="19" t="n"/>
      <c r="J416" s="19" t="n"/>
      <c r="K416" s="19" t="n"/>
      <c r="L416" s="125" t="n"/>
      <c r="M416" s="88">
        <f>IF($D416="","",IFERROR(VLOOKUP($H416,Lists!$N$2:$O$6,2,FALSE),0))</f>
        <v/>
      </c>
      <c r="N416" s="88">
        <f>IF($D416="","",IF(OR($E416="Blocked",$E416="Done",$E416="Archive"),-9999,IF(AND($E416="Waiting",SUMPRODUCT((($E$5:$E$500="Next")+($E$5:$E$500="In Progress")+($E$5:$E$500="Captured"))*($D$5:$D$500&lt;&gt;""))&gt;0),-500,VLOOKUP($F416,Lists!$L$2:$M$4,2,FALSE)+IF($E416="In Progress",10,0)+IF(AND($I416&lt;&gt;"",$I416&lt;TODAY()),25,0)+IF(AND($I416&lt;&gt;"",$I416&gt;=TODAY(),$I416&lt;=TODAY()+7),15,0)+IF($M416&lt;=VLOOKUP(Home!$C$7,Lists!$N$2:$O$6,2,FALSE),20,-10)+IF($G416=Home!$E$7,15,IF(Home!$E$7="",0,-5))-ROW()/100000)))</f>
        <v/>
      </c>
      <c r="O416" s="88">
        <f>IF($D416="","",IF($N416&lt;=-500,"Not recommended right now",IF($E416="Waiting","Nothing else actionable right now — Waiting on: "&amp;IF($K416="","this item",$K416),TEXTJOIN(" • ",TRUE,IF($F416="High","High Priority",""),IF(AND($I416&lt;&gt;"",$I416&lt;TODAY()),"Overdue",""),IF(AND($I416&lt;&gt;"",$I416&gt;=TODAY(),$I416&lt;=TODAY()+7),"Due This Week",""),IF($M416&lt;=VLOOKUP(Home!$C$7,Lists!$N$2:$O$6,2,FALSE),$H416&amp;" Task",""),IF($G416=Home!$E$7,"Fits Current Energy",""),"No Blockers"))))</f>
        <v/>
      </c>
      <c r="P416" s="88">
        <f>IF($D416="","",SWITCH('Task Finder'!$C$6,"High Priority",AND($F416="High",$E416&lt;&gt;"Done",$E416&lt;&gt;"Archive"),"Due This Week",AND($I416&lt;&gt;"",$I416&gt;=TODAY(),$I416&lt;=TODAY()+7,$E416&lt;&gt;"Done"),"Quick Wins (15 mins or less)",AND($M416&lt;=15,$E416&lt;&gt;"Done",$E416&lt;&gt;"Blocked"),"Deep Thinking",AND($G416="Deep Thinking",$E416&lt;&gt;"Done"),"Processing",AND($G416="Processing",$E416&lt;&gt;"Done"),"Blocked",$E416="Blocked","Waiting",$E416="Waiting","Recently Updated",AND($L416&lt;&gt;"",$L416&gt;=TODAY()-7),"Keyword",AND('Task Finder'!$C$7&lt;&gt;"",OR(ISNUMBER(SEARCH('Task Finder'!$C$7,$A416)),ISNUMBER(SEARCH('Task Finder'!$C$7,$B416)),ISNUMBER(SEARCH('Task Finder'!$C$7,$C416)),ISNUMBER(SEARCH('Task Finder'!$C$7,$D416)),ISNUMBER(SEARCH('Task Finder'!$C$7,$K416)))),TRUE))</f>
        <v/>
      </c>
    </row>
    <row r="417">
      <c r="A417" s="19" t="n"/>
      <c r="B417" s="19" t="n"/>
      <c r="C417" s="19" t="n"/>
      <c r="D417" s="19" t="n"/>
      <c r="E417" s="19" t="n"/>
      <c r="F417" s="19" t="n"/>
      <c r="G417" s="19" t="n"/>
      <c r="H417" s="19" t="n"/>
      <c r="I417" s="19" t="n"/>
      <c r="J417" s="19" t="n"/>
      <c r="K417" s="19" t="n"/>
      <c r="L417" s="125" t="n"/>
      <c r="M417" s="88">
        <f>IF($D417="","",IFERROR(VLOOKUP($H417,Lists!$N$2:$O$6,2,FALSE),0))</f>
        <v/>
      </c>
      <c r="N417" s="88">
        <f>IF($D417="","",IF(OR($E417="Blocked",$E417="Done",$E417="Archive"),-9999,IF(AND($E417="Waiting",SUMPRODUCT((($E$5:$E$500="Next")+($E$5:$E$500="In Progress")+($E$5:$E$500="Captured"))*($D$5:$D$500&lt;&gt;""))&gt;0),-500,VLOOKUP($F417,Lists!$L$2:$M$4,2,FALSE)+IF($E417="In Progress",10,0)+IF(AND($I417&lt;&gt;"",$I417&lt;TODAY()),25,0)+IF(AND($I417&lt;&gt;"",$I417&gt;=TODAY(),$I417&lt;=TODAY()+7),15,0)+IF($M417&lt;=VLOOKUP(Home!$C$7,Lists!$N$2:$O$6,2,FALSE),20,-10)+IF($G417=Home!$E$7,15,IF(Home!$E$7="",0,-5))-ROW()/100000)))</f>
        <v/>
      </c>
      <c r="O417" s="88">
        <f>IF($D417="","",IF($N417&lt;=-500,"Not recommended right now",IF($E417="Waiting","Nothing else actionable right now — Waiting on: "&amp;IF($K417="","this item",$K417),TEXTJOIN(" • ",TRUE,IF($F417="High","High Priority",""),IF(AND($I417&lt;&gt;"",$I417&lt;TODAY()),"Overdue",""),IF(AND($I417&lt;&gt;"",$I417&gt;=TODAY(),$I417&lt;=TODAY()+7),"Due This Week",""),IF($M417&lt;=VLOOKUP(Home!$C$7,Lists!$N$2:$O$6,2,FALSE),$H417&amp;" Task",""),IF($G417=Home!$E$7,"Fits Current Energy",""),"No Blockers"))))</f>
        <v/>
      </c>
      <c r="P417" s="88">
        <f>IF($D417="","",SWITCH('Task Finder'!$C$6,"High Priority",AND($F417="High",$E417&lt;&gt;"Done",$E417&lt;&gt;"Archive"),"Due This Week",AND($I417&lt;&gt;"",$I417&gt;=TODAY(),$I417&lt;=TODAY()+7,$E417&lt;&gt;"Done"),"Quick Wins (15 mins or less)",AND($M417&lt;=15,$E417&lt;&gt;"Done",$E417&lt;&gt;"Blocked"),"Deep Thinking",AND($G417="Deep Thinking",$E417&lt;&gt;"Done"),"Processing",AND($G417="Processing",$E417&lt;&gt;"Done"),"Blocked",$E417="Blocked","Waiting",$E417="Waiting","Recently Updated",AND($L417&lt;&gt;"",$L417&gt;=TODAY()-7),"Keyword",AND('Task Finder'!$C$7&lt;&gt;"",OR(ISNUMBER(SEARCH('Task Finder'!$C$7,$A417)),ISNUMBER(SEARCH('Task Finder'!$C$7,$B417)),ISNUMBER(SEARCH('Task Finder'!$C$7,$C417)),ISNUMBER(SEARCH('Task Finder'!$C$7,$D417)),ISNUMBER(SEARCH('Task Finder'!$C$7,$K417)))),TRUE))</f>
        <v/>
      </c>
    </row>
    <row r="418">
      <c r="A418" s="19" t="n"/>
      <c r="B418" s="19" t="n"/>
      <c r="C418" s="19" t="n"/>
      <c r="D418" s="19" t="n"/>
      <c r="E418" s="19" t="n"/>
      <c r="F418" s="19" t="n"/>
      <c r="G418" s="19" t="n"/>
      <c r="H418" s="19" t="n"/>
      <c r="I418" s="19" t="n"/>
      <c r="J418" s="19" t="n"/>
      <c r="K418" s="19" t="n"/>
      <c r="L418" s="125" t="n"/>
      <c r="M418" s="88">
        <f>IF($D418="","",IFERROR(VLOOKUP($H418,Lists!$N$2:$O$6,2,FALSE),0))</f>
        <v/>
      </c>
      <c r="N418" s="88">
        <f>IF($D418="","",IF(OR($E418="Blocked",$E418="Done",$E418="Archive"),-9999,IF(AND($E418="Waiting",SUMPRODUCT((($E$5:$E$500="Next")+($E$5:$E$500="In Progress")+($E$5:$E$500="Captured"))*($D$5:$D$500&lt;&gt;""))&gt;0),-500,VLOOKUP($F418,Lists!$L$2:$M$4,2,FALSE)+IF($E418="In Progress",10,0)+IF(AND($I418&lt;&gt;"",$I418&lt;TODAY()),25,0)+IF(AND($I418&lt;&gt;"",$I418&gt;=TODAY(),$I418&lt;=TODAY()+7),15,0)+IF($M418&lt;=VLOOKUP(Home!$C$7,Lists!$N$2:$O$6,2,FALSE),20,-10)+IF($G418=Home!$E$7,15,IF(Home!$E$7="",0,-5))-ROW()/100000)))</f>
        <v/>
      </c>
      <c r="O418" s="88">
        <f>IF($D418="","",IF($N418&lt;=-500,"Not recommended right now",IF($E418="Waiting","Nothing else actionable right now — Waiting on: "&amp;IF($K418="","this item",$K418),TEXTJOIN(" • ",TRUE,IF($F418="High","High Priority",""),IF(AND($I418&lt;&gt;"",$I418&lt;TODAY()),"Overdue",""),IF(AND($I418&lt;&gt;"",$I418&gt;=TODAY(),$I418&lt;=TODAY()+7),"Due This Week",""),IF($M418&lt;=VLOOKUP(Home!$C$7,Lists!$N$2:$O$6,2,FALSE),$H418&amp;" Task",""),IF($G418=Home!$E$7,"Fits Current Energy",""),"No Blockers"))))</f>
        <v/>
      </c>
      <c r="P418" s="88">
        <f>IF($D418="","",SWITCH('Task Finder'!$C$6,"High Priority",AND($F418="High",$E418&lt;&gt;"Done",$E418&lt;&gt;"Archive"),"Due This Week",AND($I418&lt;&gt;"",$I418&gt;=TODAY(),$I418&lt;=TODAY()+7,$E418&lt;&gt;"Done"),"Quick Wins (15 mins or less)",AND($M418&lt;=15,$E418&lt;&gt;"Done",$E418&lt;&gt;"Blocked"),"Deep Thinking",AND($G418="Deep Thinking",$E418&lt;&gt;"Done"),"Processing",AND($G418="Processing",$E418&lt;&gt;"Done"),"Blocked",$E418="Blocked","Waiting",$E418="Waiting","Recently Updated",AND($L418&lt;&gt;"",$L418&gt;=TODAY()-7),"Keyword",AND('Task Finder'!$C$7&lt;&gt;"",OR(ISNUMBER(SEARCH('Task Finder'!$C$7,$A418)),ISNUMBER(SEARCH('Task Finder'!$C$7,$B418)),ISNUMBER(SEARCH('Task Finder'!$C$7,$C418)),ISNUMBER(SEARCH('Task Finder'!$C$7,$D418)),ISNUMBER(SEARCH('Task Finder'!$C$7,$K418)))),TRUE))</f>
        <v/>
      </c>
    </row>
    <row r="419">
      <c r="A419" s="19" t="n"/>
      <c r="B419" s="19" t="n"/>
      <c r="C419" s="19" t="n"/>
      <c r="D419" s="19" t="n"/>
      <c r="E419" s="19" t="n"/>
      <c r="F419" s="19" t="n"/>
      <c r="G419" s="19" t="n"/>
      <c r="H419" s="19" t="n"/>
      <c r="I419" s="19" t="n"/>
      <c r="J419" s="19" t="n"/>
      <c r="K419" s="19" t="n"/>
      <c r="L419" s="125" t="n"/>
      <c r="M419" s="88">
        <f>IF($D419="","",IFERROR(VLOOKUP($H419,Lists!$N$2:$O$6,2,FALSE),0))</f>
        <v/>
      </c>
      <c r="N419" s="88">
        <f>IF($D419="","",IF(OR($E419="Blocked",$E419="Done",$E419="Archive"),-9999,IF(AND($E419="Waiting",SUMPRODUCT((($E$5:$E$500="Next")+($E$5:$E$500="In Progress")+($E$5:$E$500="Captured"))*($D$5:$D$500&lt;&gt;""))&gt;0),-500,VLOOKUP($F419,Lists!$L$2:$M$4,2,FALSE)+IF($E419="In Progress",10,0)+IF(AND($I419&lt;&gt;"",$I419&lt;TODAY()),25,0)+IF(AND($I419&lt;&gt;"",$I419&gt;=TODAY(),$I419&lt;=TODAY()+7),15,0)+IF($M419&lt;=VLOOKUP(Home!$C$7,Lists!$N$2:$O$6,2,FALSE),20,-10)+IF($G419=Home!$E$7,15,IF(Home!$E$7="",0,-5))-ROW()/100000)))</f>
        <v/>
      </c>
      <c r="O419" s="88">
        <f>IF($D419="","",IF($N419&lt;=-500,"Not recommended right now",IF($E419="Waiting","Nothing else actionable right now — Waiting on: "&amp;IF($K419="","this item",$K419),TEXTJOIN(" • ",TRUE,IF($F419="High","High Priority",""),IF(AND($I419&lt;&gt;"",$I419&lt;TODAY()),"Overdue",""),IF(AND($I419&lt;&gt;"",$I419&gt;=TODAY(),$I419&lt;=TODAY()+7),"Due This Week",""),IF($M419&lt;=VLOOKUP(Home!$C$7,Lists!$N$2:$O$6,2,FALSE),$H419&amp;" Task",""),IF($G419=Home!$E$7,"Fits Current Energy",""),"No Blockers"))))</f>
        <v/>
      </c>
      <c r="P419" s="88">
        <f>IF($D419="","",SWITCH('Task Finder'!$C$6,"High Priority",AND($F419="High",$E419&lt;&gt;"Done",$E419&lt;&gt;"Archive"),"Due This Week",AND($I419&lt;&gt;"",$I419&gt;=TODAY(),$I419&lt;=TODAY()+7,$E419&lt;&gt;"Done"),"Quick Wins (15 mins or less)",AND($M419&lt;=15,$E419&lt;&gt;"Done",$E419&lt;&gt;"Blocked"),"Deep Thinking",AND($G419="Deep Thinking",$E419&lt;&gt;"Done"),"Processing",AND($G419="Processing",$E419&lt;&gt;"Done"),"Blocked",$E419="Blocked","Waiting",$E419="Waiting","Recently Updated",AND($L419&lt;&gt;"",$L419&gt;=TODAY()-7),"Keyword",AND('Task Finder'!$C$7&lt;&gt;"",OR(ISNUMBER(SEARCH('Task Finder'!$C$7,$A419)),ISNUMBER(SEARCH('Task Finder'!$C$7,$B419)),ISNUMBER(SEARCH('Task Finder'!$C$7,$C419)),ISNUMBER(SEARCH('Task Finder'!$C$7,$D419)),ISNUMBER(SEARCH('Task Finder'!$C$7,$K419)))),TRUE))</f>
        <v/>
      </c>
    </row>
    <row r="420">
      <c r="A420" s="19" t="n"/>
      <c r="B420" s="19" t="n"/>
      <c r="C420" s="19" t="n"/>
      <c r="D420" s="19" t="n"/>
      <c r="E420" s="19" t="n"/>
      <c r="F420" s="19" t="n"/>
      <c r="G420" s="19" t="n"/>
      <c r="H420" s="19" t="n"/>
      <c r="I420" s="19" t="n"/>
      <c r="J420" s="19" t="n"/>
      <c r="K420" s="19" t="n"/>
      <c r="L420" s="125" t="n"/>
      <c r="M420" s="88">
        <f>IF($D420="","",IFERROR(VLOOKUP($H420,Lists!$N$2:$O$6,2,FALSE),0))</f>
        <v/>
      </c>
      <c r="N420" s="88">
        <f>IF($D420="","",IF(OR($E420="Blocked",$E420="Done",$E420="Archive"),-9999,IF(AND($E420="Waiting",SUMPRODUCT((($E$5:$E$500="Next")+($E$5:$E$500="In Progress")+($E$5:$E$500="Captured"))*($D$5:$D$500&lt;&gt;""))&gt;0),-500,VLOOKUP($F420,Lists!$L$2:$M$4,2,FALSE)+IF($E420="In Progress",10,0)+IF(AND($I420&lt;&gt;"",$I420&lt;TODAY()),25,0)+IF(AND($I420&lt;&gt;"",$I420&gt;=TODAY(),$I420&lt;=TODAY()+7),15,0)+IF($M420&lt;=VLOOKUP(Home!$C$7,Lists!$N$2:$O$6,2,FALSE),20,-10)+IF($G420=Home!$E$7,15,IF(Home!$E$7="",0,-5))-ROW()/100000)))</f>
        <v/>
      </c>
      <c r="O420" s="88">
        <f>IF($D420="","",IF($N420&lt;=-500,"Not recommended right now",IF($E420="Waiting","Nothing else actionable right now — Waiting on: "&amp;IF($K420="","this item",$K420),TEXTJOIN(" • ",TRUE,IF($F420="High","High Priority",""),IF(AND($I420&lt;&gt;"",$I420&lt;TODAY()),"Overdue",""),IF(AND($I420&lt;&gt;"",$I420&gt;=TODAY(),$I420&lt;=TODAY()+7),"Due This Week",""),IF($M420&lt;=VLOOKUP(Home!$C$7,Lists!$N$2:$O$6,2,FALSE),$H420&amp;" Task",""),IF($G420=Home!$E$7,"Fits Current Energy",""),"No Blockers"))))</f>
        <v/>
      </c>
      <c r="P420" s="88">
        <f>IF($D420="","",SWITCH('Task Finder'!$C$6,"High Priority",AND($F420="High",$E420&lt;&gt;"Done",$E420&lt;&gt;"Archive"),"Due This Week",AND($I420&lt;&gt;"",$I420&gt;=TODAY(),$I420&lt;=TODAY()+7,$E420&lt;&gt;"Done"),"Quick Wins (15 mins or less)",AND($M420&lt;=15,$E420&lt;&gt;"Done",$E420&lt;&gt;"Blocked"),"Deep Thinking",AND($G420="Deep Thinking",$E420&lt;&gt;"Done"),"Processing",AND($G420="Processing",$E420&lt;&gt;"Done"),"Blocked",$E420="Blocked","Waiting",$E420="Waiting","Recently Updated",AND($L420&lt;&gt;"",$L420&gt;=TODAY()-7),"Keyword",AND('Task Finder'!$C$7&lt;&gt;"",OR(ISNUMBER(SEARCH('Task Finder'!$C$7,$A420)),ISNUMBER(SEARCH('Task Finder'!$C$7,$B420)),ISNUMBER(SEARCH('Task Finder'!$C$7,$C420)),ISNUMBER(SEARCH('Task Finder'!$C$7,$D420)),ISNUMBER(SEARCH('Task Finder'!$C$7,$K420)))),TRUE))</f>
        <v/>
      </c>
    </row>
    <row r="421">
      <c r="A421" s="19" t="n"/>
      <c r="B421" s="19" t="n"/>
      <c r="C421" s="19" t="n"/>
      <c r="D421" s="19" t="n"/>
      <c r="E421" s="19" t="n"/>
      <c r="F421" s="19" t="n"/>
      <c r="G421" s="19" t="n"/>
      <c r="H421" s="19" t="n"/>
      <c r="I421" s="19" t="n"/>
      <c r="J421" s="19" t="n"/>
      <c r="K421" s="19" t="n"/>
      <c r="L421" s="125" t="n"/>
      <c r="M421" s="88">
        <f>IF($D421="","",IFERROR(VLOOKUP($H421,Lists!$N$2:$O$6,2,FALSE),0))</f>
        <v/>
      </c>
      <c r="N421" s="88">
        <f>IF($D421="","",IF(OR($E421="Blocked",$E421="Done",$E421="Archive"),-9999,IF(AND($E421="Waiting",SUMPRODUCT((($E$5:$E$500="Next")+($E$5:$E$500="In Progress")+($E$5:$E$500="Captured"))*($D$5:$D$500&lt;&gt;""))&gt;0),-500,VLOOKUP($F421,Lists!$L$2:$M$4,2,FALSE)+IF($E421="In Progress",10,0)+IF(AND($I421&lt;&gt;"",$I421&lt;TODAY()),25,0)+IF(AND($I421&lt;&gt;"",$I421&gt;=TODAY(),$I421&lt;=TODAY()+7),15,0)+IF($M421&lt;=VLOOKUP(Home!$C$7,Lists!$N$2:$O$6,2,FALSE),20,-10)+IF($G421=Home!$E$7,15,IF(Home!$E$7="",0,-5))-ROW()/100000)))</f>
        <v/>
      </c>
      <c r="O421" s="88">
        <f>IF($D421="","",IF($N421&lt;=-500,"Not recommended right now",IF($E421="Waiting","Nothing else actionable right now — Waiting on: "&amp;IF($K421="","this item",$K421),TEXTJOIN(" • ",TRUE,IF($F421="High","High Priority",""),IF(AND($I421&lt;&gt;"",$I421&lt;TODAY()),"Overdue",""),IF(AND($I421&lt;&gt;"",$I421&gt;=TODAY(),$I421&lt;=TODAY()+7),"Due This Week",""),IF($M421&lt;=VLOOKUP(Home!$C$7,Lists!$N$2:$O$6,2,FALSE),$H421&amp;" Task",""),IF($G421=Home!$E$7,"Fits Current Energy",""),"No Blockers"))))</f>
        <v/>
      </c>
      <c r="P421" s="88">
        <f>IF($D421="","",SWITCH('Task Finder'!$C$6,"High Priority",AND($F421="High",$E421&lt;&gt;"Done",$E421&lt;&gt;"Archive"),"Due This Week",AND($I421&lt;&gt;"",$I421&gt;=TODAY(),$I421&lt;=TODAY()+7,$E421&lt;&gt;"Done"),"Quick Wins (15 mins or less)",AND($M421&lt;=15,$E421&lt;&gt;"Done",$E421&lt;&gt;"Blocked"),"Deep Thinking",AND($G421="Deep Thinking",$E421&lt;&gt;"Done"),"Processing",AND($G421="Processing",$E421&lt;&gt;"Done"),"Blocked",$E421="Blocked","Waiting",$E421="Waiting","Recently Updated",AND($L421&lt;&gt;"",$L421&gt;=TODAY()-7),"Keyword",AND('Task Finder'!$C$7&lt;&gt;"",OR(ISNUMBER(SEARCH('Task Finder'!$C$7,$A421)),ISNUMBER(SEARCH('Task Finder'!$C$7,$B421)),ISNUMBER(SEARCH('Task Finder'!$C$7,$C421)),ISNUMBER(SEARCH('Task Finder'!$C$7,$D421)),ISNUMBER(SEARCH('Task Finder'!$C$7,$K421)))),TRUE))</f>
        <v/>
      </c>
    </row>
    <row r="422">
      <c r="A422" s="19" t="n"/>
      <c r="B422" s="19" t="n"/>
      <c r="C422" s="19" t="n"/>
      <c r="D422" s="19" t="n"/>
      <c r="E422" s="19" t="n"/>
      <c r="F422" s="19" t="n"/>
      <c r="G422" s="19" t="n"/>
      <c r="H422" s="19" t="n"/>
      <c r="I422" s="19" t="n"/>
      <c r="J422" s="19" t="n"/>
      <c r="K422" s="19" t="n"/>
      <c r="L422" s="125" t="n"/>
      <c r="M422" s="88">
        <f>IF($D422="","",IFERROR(VLOOKUP($H422,Lists!$N$2:$O$6,2,FALSE),0))</f>
        <v/>
      </c>
      <c r="N422" s="88">
        <f>IF($D422="","",IF(OR($E422="Blocked",$E422="Done",$E422="Archive"),-9999,IF(AND($E422="Waiting",SUMPRODUCT((($E$5:$E$500="Next")+($E$5:$E$500="In Progress")+($E$5:$E$500="Captured"))*($D$5:$D$500&lt;&gt;""))&gt;0),-500,VLOOKUP($F422,Lists!$L$2:$M$4,2,FALSE)+IF($E422="In Progress",10,0)+IF(AND($I422&lt;&gt;"",$I422&lt;TODAY()),25,0)+IF(AND($I422&lt;&gt;"",$I422&gt;=TODAY(),$I422&lt;=TODAY()+7),15,0)+IF($M422&lt;=VLOOKUP(Home!$C$7,Lists!$N$2:$O$6,2,FALSE),20,-10)+IF($G422=Home!$E$7,15,IF(Home!$E$7="",0,-5))-ROW()/100000)))</f>
        <v/>
      </c>
      <c r="O422" s="88">
        <f>IF($D422="","",IF($N422&lt;=-500,"Not recommended right now",IF($E422="Waiting","Nothing else actionable right now — Waiting on: "&amp;IF($K422="","this item",$K422),TEXTJOIN(" • ",TRUE,IF($F422="High","High Priority",""),IF(AND($I422&lt;&gt;"",$I422&lt;TODAY()),"Overdue",""),IF(AND($I422&lt;&gt;"",$I422&gt;=TODAY(),$I422&lt;=TODAY()+7),"Due This Week",""),IF($M422&lt;=VLOOKUP(Home!$C$7,Lists!$N$2:$O$6,2,FALSE),$H422&amp;" Task",""),IF($G422=Home!$E$7,"Fits Current Energy",""),"No Blockers"))))</f>
        <v/>
      </c>
      <c r="P422" s="88">
        <f>IF($D422="","",SWITCH('Task Finder'!$C$6,"High Priority",AND($F422="High",$E422&lt;&gt;"Done",$E422&lt;&gt;"Archive"),"Due This Week",AND($I422&lt;&gt;"",$I422&gt;=TODAY(),$I422&lt;=TODAY()+7,$E422&lt;&gt;"Done"),"Quick Wins (15 mins or less)",AND($M422&lt;=15,$E422&lt;&gt;"Done",$E422&lt;&gt;"Blocked"),"Deep Thinking",AND($G422="Deep Thinking",$E422&lt;&gt;"Done"),"Processing",AND($G422="Processing",$E422&lt;&gt;"Done"),"Blocked",$E422="Blocked","Waiting",$E422="Waiting","Recently Updated",AND($L422&lt;&gt;"",$L422&gt;=TODAY()-7),"Keyword",AND('Task Finder'!$C$7&lt;&gt;"",OR(ISNUMBER(SEARCH('Task Finder'!$C$7,$A422)),ISNUMBER(SEARCH('Task Finder'!$C$7,$B422)),ISNUMBER(SEARCH('Task Finder'!$C$7,$C422)),ISNUMBER(SEARCH('Task Finder'!$C$7,$D422)),ISNUMBER(SEARCH('Task Finder'!$C$7,$K422)))),TRUE))</f>
        <v/>
      </c>
    </row>
    <row r="423">
      <c r="A423" s="19" t="n"/>
      <c r="B423" s="19" t="n"/>
      <c r="C423" s="19" t="n"/>
      <c r="D423" s="19" t="n"/>
      <c r="E423" s="19" t="n"/>
      <c r="F423" s="19" t="n"/>
      <c r="G423" s="19" t="n"/>
      <c r="H423" s="19" t="n"/>
      <c r="I423" s="19" t="n"/>
      <c r="J423" s="19" t="n"/>
      <c r="K423" s="19" t="n"/>
      <c r="L423" s="125" t="n"/>
      <c r="M423" s="88">
        <f>IF($D423="","",IFERROR(VLOOKUP($H423,Lists!$N$2:$O$6,2,FALSE),0))</f>
        <v/>
      </c>
      <c r="N423" s="88">
        <f>IF($D423="","",IF(OR($E423="Blocked",$E423="Done",$E423="Archive"),-9999,IF(AND($E423="Waiting",SUMPRODUCT((($E$5:$E$500="Next")+($E$5:$E$500="In Progress")+($E$5:$E$500="Captured"))*($D$5:$D$500&lt;&gt;""))&gt;0),-500,VLOOKUP($F423,Lists!$L$2:$M$4,2,FALSE)+IF($E423="In Progress",10,0)+IF(AND($I423&lt;&gt;"",$I423&lt;TODAY()),25,0)+IF(AND($I423&lt;&gt;"",$I423&gt;=TODAY(),$I423&lt;=TODAY()+7),15,0)+IF($M423&lt;=VLOOKUP(Home!$C$7,Lists!$N$2:$O$6,2,FALSE),20,-10)+IF($G423=Home!$E$7,15,IF(Home!$E$7="",0,-5))-ROW()/100000)))</f>
        <v/>
      </c>
      <c r="O423" s="88">
        <f>IF($D423="","",IF($N423&lt;=-500,"Not recommended right now",IF($E423="Waiting","Nothing else actionable right now — Waiting on: "&amp;IF($K423="","this item",$K423),TEXTJOIN(" • ",TRUE,IF($F423="High","High Priority",""),IF(AND($I423&lt;&gt;"",$I423&lt;TODAY()),"Overdue",""),IF(AND($I423&lt;&gt;"",$I423&gt;=TODAY(),$I423&lt;=TODAY()+7),"Due This Week",""),IF($M423&lt;=VLOOKUP(Home!$C$7,Lists!$N$2:$O$6,2,FALSE),$H423&amp;" Task",""),IF($G423=Home!$E$7,"Fits Current Energy",""),"No Blockers"))))</f>
        <v/>
      </c>
      <c r="P423" s="88">
        <f>IF($D423="","",SWITCH('Task Finder'!$C$6,"High Priority",AND($F423="High",$E423&lt;&gt;"Done",$E423&lt;&gt;"Archive"),"Due This Week",AND($I423&lt;&gt;"",$I423&gt;=TODAY(),$I423&lt;=TODAY()+7,$E423&lt;&gt;"Done"),"Quick Wins (15 mins or less)",AND($M423&lt;=15,$E423&lt;&gt;"Done",$E423&lt;&gt;"Blocked"),"Deep Thinking",AND($G423="Deep Thinking",$E423&lt;&gt;"Done"),"Processing",AND($G423="Processing",$E423&lt;&gt;"Done"),"Blocked",$E423="Blocked","Waiting",$E423="Waiting","Recently Updated",AND($L423&lt;&gt;"",$L423&gt;=TODAY()-7),"Keyword",AND('Task Finder'!$C$7&lt;&gt;"",OR(ISNUMBER(SEARCH('Task Finder'!$C$7,$A423)),ISNUMBER(SEARCH('Task Finder'!$C$7,$B423)),ISNUMBER(SEARCH('Task Finder'!$C$7,$C423)),ISNUMBER(SEARCH('Task Finder'!$C$7,$D423)),ISNUMBER(SEARCH('Task Finder'!$C$7,$K423)))),TRUE))</f>
        <v/>
      </c>
    </row>
    <row r="424">
      <c r="A424" s="19" t="n"/>
      <c r="B424" s="19" t="n"/>
      <c r="C424" s="19" t="n"/>
      <c r="D424" s="19" t="n"/>
      <c r="E424" s="19" t="n"/>
      <c r="F424" s="19" t="n"/>
      <c r="G424" s="19" t="n"/>
      <c r="H424" s="19" t="n"/>
      <c r="I424" s="19" t="n"/>
      <c r="J424" s="19" t="n"/>
      <c r="K424" s="19" t="n"/>
      <c r="L424" s="125" t="n"/>
      <c r="M424" s="88">
        <f>IF($D424="","",IFERROR(VLOOKUP($H424,Lists!$N$2:$O$6,2,FALSE),0))</f>
        <v/>
      </c>
      <c r="N424" s="88">
        <f>IF($D424="","",IF(OR($E424="Blocked",$E424="Done",$E424="Archive"),-9999,IF(AND($E424="Waiting",SUMPRODUCT((($E$5:$E$500="Next")+($E$5:$E$500="In Progress")+($E$5:$E$500="Captured"))*($D$5:$D$500&lt;&gt;""))&gt;0),-500,VLOOKUP($F424,Lists!$L$2:$M$4,2,FALSE)+IF($E424="In Progress",10,0)+IF(AND($I424&lt;&gt;"",$I424&lt;TODAY()),25,0)+IF(AND($I424&lt;&gt;"",$I424&gt;=TODAY(),$I424&lt;=TODAY()+7),15,0)+IF($M424&lt;=VLOOKUP(Home!$C$7,Lists!$N$2:$O$6,2,FALSE),20,-10)+IF($G424=Home!$E$7,15,IF(Home!$E$7="",0,-5))-ROW()/100000)))</f>
        <v/>
      </c>
      <c r="O424" s="88">
        <f>IF($D424="","",IF($N424&lt;=-500,"Not recommended right now",IF($E424="Waiting","Nothing else actionable right now — Waiting on: "&amp;IF($K424="","this item",$K424),TEXTJOIN(" • ",TRUE,IF($F424="High","High Priority",""),IF(AND($I424&lt;&gt;"",$I424&lt;TODAY()),"Overdue",""),IF(AND($I424&lt;&gt;"",$I424&gt;=TODAY(),$I424&lt;=TODAY()+7),"Due This Week",""),IF($M424&lt;=VLOOKUP(Home!$C$7,Lists!$N$2:$O$6,2,FALSE),$H424&amp;" Task",""),IF($G424=Home!$E$7,"Fits Current Energy",""),"No Blockers"))))</f>
        <v/>
      </c>
      <c r="P424" s="88">
        <f>IF($D424="","",SWITCH('Task Finder'!$C$6,"High Priority",AND($F424="High",$E424&lt;&gt;"Done",$E424&lt;&gt;"Archive"),"Due This Week",AND($I424&lt;&gt;"",$I424&gt;=TODAY(),$I424&lt;=TODAY()+7,$E424&lt;&gt;"Done"),"Quick Wins (15 mins or less)",AND($M424&lt;=15,$E424&lt;&gt;"Done",$E424&lt;&gt;"Blocked"),"Deep Thinking",AND($G424="Deep Thinking",$E424&lt;&gt;"Done"),"Processing",AND($G424="Processing",$E424&lt;&gt;"Done"),"Blocked",$E424="Blocked","Waiting",$E424="Waiting","Recently Updated",AND($L424&lt;&gt;"",$L424&gt;=TODAY()-7),"Keyword",AND('Task Finder'!$C$7&lt;&gt;"",OR(ISNUMBER(SEARCH('Task Finder'!$C$7,$A424)),ISNUMBER(SEARCH('Task Finder'!$C$7,$B424)),ISNUMBER(SEARCH('Task Finder'!$C$7,$C424)),ISNUMBER(SEARCH('Task Finder'!$C$7,$D424)),ISNUMBER(SEARCH('Task Finder'!$C$7,$K424)))),TRUE))</f>
        <v/>
      </c>
    </row>
    <row r="425">
      <c r="A425" s="19" t="n"/>
      <c r="B425" s="19" t="n"/>
      <c r="C425" s="19" t="n"/>
      <c r="D425" s="19" t="n"/>
      <c r="E425" s="19" t="n"/>
      <c r="F425" s="19" t="n"/>
      <c r="G425" s="19" t="n"/>
      <c r="H425" s="19" t="n"/>
      <c r="I425" s="19" t="n"/>
      <c r="J425" s="19" t="n"/>
      <c r="K425" s="19" t="n"/>
      <c r="L425" s="125" t="n"/>
      <c r="M425" s="88">
        <f>IF($D425="","",IFERROR(VLOOKUP($H425,Lists!$N$2:$O$6,2,FALSE),0))</f>
        <v/>
      </c>
      <c r="N425" s="88">
        <f>IF($D425="","",IF(OR($E425="Blocked",$E425="Done",$E425="Archive"),-9999,IF(AND($E425="Waiting",SUMPRODUCT((($E$5:$E$500="Next")+($E$5:$E$500="In Progress")+($E$5:$E$500="Captured"))*($D$5:$D$500&lt;&gt;""))&gt;0),-500,VLOOKUP($F425,Lists!$L$2:$M$4,2,FALSE)+IF($E425="In Progress",10,0)+IF(AND($I425&lt;&gt;"",$I425&lt;TODAY()),25,0)+IF(AND($I425&lt;&gt;"",$I425&gt;=TODAY(),$I425&lt;=TODAY()+7),15,0)+IF($M425&lt;=VLOOKUP(Home!$C$7,Lists!$N$2:$O$6,2,FALSE),20,-10)+IF($G425=Home!$E$7,15,IF(Home!$E$7="",0,-5))-ROW()/100000)))</f>
        <v/>
      </c>
      <c r="O425" s="88">
        <f>IF($D425="","",IF($N425&lt;=-500,"Not recommended right now",IF($E425="Waiting","Nothing else actionable right now — Waiting on: "&amp;IF($K425="","this item",$K425),TEXTJOIN(" • ",TRUE,IF($F425="High","High Priority",""),IF(AND($I425&lt;&gt;"",$I425&lt;TODAY()),"Overdue",""),IF(AND($I425&lt;&gt;"",$I425&gt;=TODAY(),$I425&lt;=TODAY()+7),"Due This Week",""),IF($M425&lt;=VLOOKUP(Home!$C$7,Lists!$N$2:$O$6,2,FALSE),$H425&amp;" Task",""),IF($G425=Home!$E$7,"Fits Current Energy",""),"No Blockers"))))</f>
        <v/>
      </c>
      <c r="P425" s="88">
        <f>IF($D425="","",SWITCH('Task Finder'!$C$6,"High Priority",AND($F425="High",$E425&lt;&gt;"Done",$E425&lt;&gt;"Archive"),"Due This Week",AND($I425&lt;&gt;"",$I425&gt;=TODAY(),$I425&lt;=TODAY()+7,$E425&lt;&gt;"Done"),"Quick Wins (15 mins or less)",AND($M425&lt;=15,$E425&lt;&gt;"Done",$E425&lt;&gt;"Blocked"),"Deep Thinking",AND($G425="Deep Thinking",$E425&lt;&gt;"Done"),"Processing",AND($G425="Processing",$E425&lt;&gt;"Done"),"Blocked",$E425="Blocked","Waiting",$E425="Waiting","Recently Updated",AND($L425&lt;&gt;"",$L425&gt;=TODAY()-7),"Keyword",AND('Task Finder'!$C$7&lt;&gt;"",OR(ISNUMBER(SEARCH('Task Finder'!$C$7,$A425)),ISNUMBER(SEARCH('Task Finder'!$C$7,$B425)),ISNUMBER(SEARCH('Task Finder'!$C$7,$C425)),ISNUMBER(SEARCH('Task Finder'!$C$7,$D425)),ISNUMBER(SEARCH('Task Finder'!$C$7,$K425)))),TRUE))</f>
        <v/>
      </c>
    </row>
    <row r="426">
      <c r="A426" s="19" t="n"/>
      <c r="B426" s="19" t="n"/>
      <c r="C426" s="19" t="n"/>
      <c r="D426" s="19" t="n"/>
      <c r="E426" s="19" t="n"/>
      <c r="F426" s="19" t="n"/>
      <c r="G426" s="19" t="n"/>
      <c r="H426" s="19" t="n"/>
      <c r="I426" s="19" t="n"/>
      <c r="J426" s="19" t="n"/>
      <c r="K426" s="19" t="n"/>
      <c r="L426" s="125" t="n"/>
      <c r="M426" s="88">
        <f>IF($D426="","",IFERROR(VLOOKUP($H426,Lists!$N$2:$O$6,2,FALSE),0))</f>
        <v/>
      </c>
      <c r="N426" s="88">
        <f>IF($D426="","",IF(OR($E426="Blocked",$E426="Done",$E426="Archive"),-9999,IF(AND($E426="Waiting",SUMPRODUCT((($E$5:$E$500="Next")+($E$5:$E$500="In Progress")+($E$5:$E$500="Captured"))*($D$5:$D$500&lt;&gt;""))&gt;0),-500,VLOOKUP($F426,Lists!$L$2:$M$4,2,FALSE)+IF($E426="In Progress",10,0)+IF(AND($I426&lt;&gt;"",$I426&lt;TODAY()),25,0)+IF(AND($I426&lt;&gt;"",$I426&gt;=TODAY(),$I426&lt;=TODAY()+7),15,0)+IF($M426&lt;=VLOOKUP(Home!$C$7,Lists!$N$2:$O$6,2,FALSE),20,-10)+IF($G426=Home!$E$7,15,IF(Home!$E$7="",0,-5))-ROW()/100000)))</f>
        <v/>
      </c>
      <c r="O426" s="88">
        <f>IF($D426="","",IF($N426&lt;=-500,"Not recommended right now",IF($E426="Waiting","Nothing else actionable right now — Waiting on: "&amp;IF($K426="","this item",$K426),TEXTJOIN(" • ",TRUE,IF($F426="High","High Priority",""),IF(AND($I426&lt;&gt;"",$I426&lt;TODAY()),"Overdue",""),IF(AND($I426&lt;&gt;"",$I426&gt;=TODAY(),$I426&lt;=TODAY()+7),"Due This Week",""),IF($M426&lt;=VLOOKUP(Home!$C$7,Lists!$N$2:$O$6,2,FALSE),$H426&amp;" Task",""),IF($G426=Home!$E$7,"Fits Current Energy",""),"No Blockers"))))</f>
        <v/>
      </c>
      <c r="P426" s="88">
        <f>IF($D426="","",SWITCH('Task Finder'!$C$6,"High Priority",AND($F426="High",$E426&lt;&gt;"Done",$E426&lt;&gt;"Archive"),"Due This Week",AND($I426&lt;&gt;"",$I426&gt;=TODAY(),$I426&lt;=TODAY()+7,$E426&lt;&gt;"Done"),"Quick Wins (15 mins or less)",AND($M426&lt;=15,$E426&lt;&gt;"Done",$E426&lt;&gt;"Blocked"),"Deep Thinking",AND($G426="Deep Thinking",$E426&lt;&gt;"Done"),"Processing",AND($G426="Processing",$E426&lt;&gt;"Done"),"Blocked",$E426="Blocked","Waiting",$E426="Waiting","Recently Updated",AND($L426&lt;&gt;"",$L426&gt;=TODAY()-7),"Keyword",AND('Task Finder'!$C$7&lt;&gt;"",OR(ISNUMBER(SEARCH('Task Finder'!$C$7,$A426)),ISNUMBER(SEARCH('Task Finder'!$C$7,$B426)),ISNUMBER(SEARCH('Task Finder'!$C$7,$C426)),ISNUMBER(SEARCH('Task Finder'!$C$7,$D426)),ISNUMBER(SEARCH('Task Finder'!$C$7,$K426)))),TRUE))</f>
        <v/>
      </c>
    </row>
    <row r="427">
      <c r="A427" s="19" t="n"/>
      <c r="B427" s="19" t="n"/>
      <c r="C427" s="19" t="n"/>
      <c r="D427" s="19" t="n"/>
      <c r="E427" s="19" t="n"/>
      <c r="F427" s="19" t="n"/>
      <c r="G427" s="19" t="n"/>
      <c r="H427" s="19" t="n"/>
      <c r="I427" s="19" t="n"/>
      <c r="J427" s="19" t="n"/>
      <c r="K427" s="19" t="n"/>
      <c r="L427" s="125" t="n"/>
      <c r="M427" s="88">
        <f>IF($D427="","",IFERROR(VLOOKUP($H427,Lists!$N$2:$O$6,2,FALSE),0))</f>
        <v/>
      </c>
      <c r="N427" s="88">
        <f>IF($D427="","",IF(OR($E427="Blocked",$E427="Done",$E427="Archive"),-9999,IF(AND($E427="Waiting",SUMPRODUCT((($E$5:$E$500="Next")+($E$5:$E$500="In Progress")+($E$5:$E$500="Captured"))*($D$5:$D$500&lt;&gt;""))&gt;0),-500,VLOOKUP($F427,Lists!$L$2:$M$4,2,FALSE)+IF($E427="In Progress",10,0)+IF(AND($I427&lt;&gt;"",$I427&lt;TODAY()),25,0)+IF(AND($I427&lt;&gt;"",$I427&gt;=TODAY(),$I427&lt;=TODAY()+7),15,0)+IF($M427&lt;=VLOOKUP(Home!$C$7,Lists!$N$2:$O$6,2,FALSE),20,-10)+IF($G427=Home!$E$7,15,IF(Home!$E$7="",0,-5))-ROW()/100000)))</f>
        <v/>
      </c>
      <c r="O427" s="88">
        <f>IF($D427="","",IF($N427&lt;=-500,"Not recommended right now",IF($E427="Waiting","Nothing else actionable right now — Waiting on: "&amp;IF($K427="","this item",$K427),TEXTJOIN(" • ",TRUE,IF($F427="High","High Priority",""),IF(AND($I427&lt;&gt;"",$I427&lt;TODAY()),"Overdue",""),IF(AND($I427&lt;&gt;"",$I427&gt;=TODAY(),$I427&lt;=TODAY()+7),"Due This Week",""),IF($M427&lt;=VLOOKUP(Home!$C$7,Lists!$N$2:$O$6,2,FALSE),$H427&amp;" Task",""),IF($G427=Home!$E$7,"Fits Current Energy",""),"No Blockers"))))</f>
        <v/>
      </c>
      <c r="P427" s="88">
        <f>IF($D427="","",SWITCH('Task Finder'!$C$6,"High Priority",AND($F427="High",$E427&lt;&gt;"Done",$E427&lt;&gt;"Archive"),"Due This Week",AND($I427&lt;&gt;"",$I427&gt;=TODAY(),$I427&lt;=TODAY()+7,$E427&lt;&gt;"Done"),"Quick Wins (15 mins or less)",AND($M427&lt;=15,$E427&lt;&gt;"Done",$E427&lt;&gt;"Blocked"),"Deep Thinking",AND($G427="Deep Thinking",$E427&lt;&gt;"Done"),"Processing",AND($G427="Processing",$E427&lt;&gt;"Done"),"Blocked",$E427="Blocked","Waiting",$E427="Waiting","Recently Updated",AND($L427&lt;&gt;"",$L427&gt;=TODAY()-7),"Keyword",AND('Task Finder'!$C$7&lt;&gt;"",OR(ISNUMBER(SEARCH('Task Finder'!$C$7,$A427)),ISNUMBER(SEARCH('Task Finder'!$C$7,$B427)),ISNUMBER(SEARCH('Task Finder'!$C$7,$C427)),ISNUMBER(SEARCH('Task Finder'!$C$7,$D427)),ISNUMBER(SEARCH('Task Finder'!$C$7,$K427)))),TRUE))</f>
        <v/>
      </c>
    </row>
    <row r="428">
      <c r="A428" s="19" t="n"/>
      <c r="B428" s="19" t="n"/>
      <c r="C428" s="19" t="n"/>
      <c r="D428" s="19" t="n"/>
      <c r="E428" s="19" t="n"/>
      <c r="F428" s="19" t="n"/>
      <c r="G428" s="19" t="n"/>
      <c r="H428" s="19" t="n"/>
      <c r="I428" s="19" t="n"/>
      <c r="J428" s="19" t="n"/>
      <c r="K428" s="19" t="n"/>
      <c r="L428" s="125" t="n"/>
      <c r="M428" s="88">
        <f>IF($D428="","",IFERROR(VLOOKUP($H428,Lists!$N$2:$O$6,2,FALSE),0))</f>
        <v/>
      </c>
      <c r="N428" s="88">
        <f>IF($D428="","",IF(OR($E428="Blocked",$E428="Done",$E428="Archive"),-9999,IF(AND($E428="Waiting",SUMPRODUCT((($E$5:$E$500="Next")+($E$5:$E$500="In Progress")+($E$5:$E$500="Captured"))*($D$5:$D$500&lt;&gt;""))&gt;0),-500,VLOOKUP($F428,Lists!$L$2:$M$4,2,FALSE)+IF($E428="In Progress",10,0)+IF(AND($I428&lt;&gt;"",$I428&lt;TODAY()),25,0)+IF(AND($I428&lt;&gt;"",$I428&gt;=TODAY(),$I428&lt;=TODAY()+7),15,0)+IF($M428&lt;=VLOOKUP(Home!$C$7,Lists!$N$2:$O$6,2,FALSE),20,-10)+IF($G428=Home!$E$7,15,IF(Home!$E$7="",0,-5))-ROW()/100000)))</f>
        <v/>
      </c>
      <c r="O428" s="88">
        <f>IF($D428="","",IF($N428&lt;=-500,"Not recommended right now",IF($E428="Waiting","Nothing else actionable right now — Waiting on: "&amp;IF($K428="","this item",$K428),TEXTJOIN(" • ",TRUE,IF($F428="High","High Priority",""),IF(AND($I428&lt;&gt;"",$I428&lt;TODAY()),"Overdue",""),IF(AND($I428&lt;&gt;"",$I428&gt;=TODAY(),$I428&lt;=TODAY()+7),"Due This Week",""),IF($M428&lt;=VLOOKUP(Home!$C$7,Lists!$N$2:$O$6,2,FALSE),$H428&amp;" Task",""),IF($G428=Home!$E$7,"Fits Current Energy",""),"No Blockers"))))</f>
        <v/>
      </c>
      <c r="P428" s="88">
        <f>IF($D428="","",SWITCH('Task Finder'!$C$6,"High Priority",AND($F428="High",$E428&lt;&gt;"Done",$E428&lt;&gt;"Archive"),"Due This Week",AND($I428&lt;&gt;"",$I428&gt;=TODAY(),$I428&lt;=TODAY()+7,$E428&lt;&gt;"Done"),"Quick Wins (15 mins or less)",AND($M428&lt;=15,$E428&lt;&gt;"Done",$E428&lt;&gt;"Blocked"),"Deep Thinking",AND($G428="Deep Thinking",$E428&lt;&gt;"Done"),"Processing",AND($G428="Processing",$E428&lt;&gt;"Done"),"Blocked",$E428="Blocked","Waiting",$E428="Waiting","Recently Updated",AND($L428&lt;&gt;"",$L428&gt;=TODAY()-7),"Keyword",AND('Task Finder'!$C$7&lt;&gt;"",OR(ISNUMBER(SEARCH('Task Finder'!$C$7,$A428)),ISNUMBER(SEARCH('Task Finder'!$C$7,$B428)),ISNUMBER(SEARCH('Task Finder'!$C$7,$C428)),ISNUMBER(SEARCH('Task Finder'!$C$7,$D428)),ISNUMBER(SEARCH('Task Finder'!$C$7,$K428)))),TRUE))</f>
        <v/>
      </c>
    </row>
    <row r="429">
      <c r="A429" s="19" t="n"/>
      <c r="B429" s="19" t="n"/>
      <c r="C429" s="19" t="n"/>
      <c r="D429" s="19" t="n"/>
      <c r="E429" s="19" t="n"/>
      <c r="F429" s="19" t="n"/>
      <c r="G429" s="19" t="n"/>
      <c r="H429" s="19" t="n"/>
      <c r="I429" s="19" t="n"/>
      <c r="J429" s="19" t="n"/>
      <c r="K429" s="19" t="n"/>
      <c r="L429" s="125" t="n"/>
      <c r="M429" s="88">
        <f>IF($D429="","",IFERROR(VLOOKUP($H429,Lists!$N$2:$O$6,2,FALSE),0))</f>
        <v/>
      </c>
      <c r="N429" s="88">
        <f>IF($D429="","",IF(OR($E429="Blocked",$E429="Done",$E429="Archive"),-9999,IF(AND($E429="Waiting",SUMPRODUCT((($E$5:$E$500="Next")+($E$5:$E$500="In Progress")+($E$5:$E$500="Captured"))*($D$5:$D$500&lt;&gt;""))&gt;0),-500,VLOOKUP($F429,Lists!$L$2:$M$4,2,FALSE)+IF($E429="In Progress",10,0)+IF(AND($I429&lt;&gt;"",$I429&lt;TODAY()),25,0)+IF(AND($I429&lt;&gt;"",$I429&gt;=TODAY(),$I429&lt;=TODAY()+7),15,0)+IF($M429&lt;=VLOOKUP(Home!$C$7,Lists!$N$2:$O$6,2,FALSE),20,-10)+IF($G429=Home!$E$7,15,IF(Home!$E$7="",0,-5))-ROW()/100000)))</f>
        <v/>
      </c>
      <c r="O429" s="88">
        <f>IF($D429="","",IF($N429&lt;=-500,"Not recommended right now",IF($E429="Waiting","Nothing else actionable right now — Waiting on: "&amp;IF($K429="","this item",$K429),TEXTJOIN(" • ",TRUE,IF($F429="High","High Priority",""),IF(AND($I429&lt;&gt;"",$I429&lt;TODAY()),"Overdue",""),IF(AND($I429&lt;&gt;"",$I429&gt;=TODAY(),$I429&lt;=TODAY()+7),"Due This Week",""),IF($M429&lt;=VLOOKUP(Home!$C$7,Lists!$N$2:$O$6,2,FALSE),$H429&amp;" Task",""),IF($G429=Home!$E$7,"Fits Current Energy",""),"No Blockers"))))</f>
        <v/>
      </c>
      <c r="P429" s="88">
        <f>IF($D429="","",SWITCH('Task Finder'!$C$6,"High Priority",AND($F429="High",$E429&lt;&gt;"Done",$E429&lt;&gt;"Archive"),"Due This Week",AND($I429&lt;&gt;"",$I429&gt;=TODAY(),$I429&lt;=TODAY()+7,$E429&lt;&gt;"Done"),"Quick Wins (15 mins or less)",AND($M429&lt;=15,$E429&lt;&gt;"Done",$E429&lt;&gt;"Blocked"),"Deep Thinking",AND($G429="Deep Thinking",$E429&lt;&gt;"Done"),"Processing",AND($G429="Processing",$E429&lt;&gt;"Done"),"Blocked",$E429="Blocked","Waiting",$E429="Waiting","Recently Updated",AND($L429&lt;&gt;"",$L429&gt;=TODAY()-7),"Keyword",AND('Task Finder'!$C$7&lt;&gt;"",OR(ISNUMBER(SEARCH('Task Finder'!$C$7,$A429)),ISNUMBER(SEARCH('Task Finder'!$C$7,$B429)),ISNUMBER(SEARCH('Task Finder'!$C$7,$C429)),ISNUMBER(SEARCH('Task Finder'!$C$7,$D429)),ISNUMBER(SEARCH('Task Finder'!$C$7,$K429)))),TRUE))</f>
        <v/>
      </c>
    </row>
    <row r="430">
      <c r="A430" s="19" t="n"/>
      <c r="B430" s="19" t="n"/>
      <c r="C430" s="19" t="n"/>
      <c r="D430" s="19" t="n"/>
      <c r="E430" s="19" t="n"/>
      <c r="F430" s="19" t="n"/>
      <c r="G430" s="19" t="n"/>
      <c r="H430" s="19" t="n"/>
      <c r="I430" s="19" t="n"/>
      <c r="J430" s="19" t="n"/>
      <c r="K430" s="19" t="n"/>
      <c r="L430" s="125" t="n"/>
      <c r="M430" s="88">
        <f>IF($D430="","",IFERROR(VLOOKUP($H430,Lists!$N$2:$O$6,2,FALSE),0))</f>
        <v/>
      </c>
      <c r="N430" s="88">
        <f>IF($D430="","",IF(OR($E430="Blocked",$E430="Done",$E430="Archive"),-9999,IF(AND($E430="Waiting",SUMPRODUCT((($E$5:$E$500="Next")+($E$5:$E$500="In Progress")+($E$5:$E$500="Captured"))*($D$5:$D$500&lt;&gt;""))&gt;0),-500,VLOOKUP($F430,Lists!$L$2:$M$4,2,FALSE)+IF($E430="In Progress",10,0)+IF(AND($I430&lt;&gt;"",$I430&lt;TODAY()),25,0)+IF(AND($I430&lt;&gt;"",$I430&gt;=TODAY(),$I430&lt;=TODAY()+7),15,0)+IF($M430&lt;=VLOOKUP(Home!$C$7,Lists!$N$2:$O$6,2,FALSE),20,-10)+IF($G430=Home!$E$7,15,IF(Home!$E$7="",0,-5))-ROW()/100000)))</f>
        <v/>
      </c>
      <c r="O430" s="88">
        <f>IF($D430="","",IF($N430&lt;=-500,"Not recommended right now",IF($E430="Waiting","Nothing else actionable right now — Waiting on: "&amp;IF($K430="","this item",$K430),TEXTJOIN(" • ",TRUE,IF($F430="High","High Priority",""),IF(AND($I430&lt;&gt;"",$I430&lt;TODAY()),"Overdue",""),IF(AND($I430&lt;&gt;"",$I430&gt;=TODAY(),$I430&lt;=TODAY()+7),"Due This Week",""),IF($M430&lt;=VLOOKUP(Home!$C$7,Lists!$N$2:$O$6,2,FALSE),$H430&amp;" Task",""),IF($G430=Home!$E$7,"Fits Current Energy",""),"No Blockers"))))</f>
        <v/>
      </c>
      <c r="P430" s="88">
        <f>IF($D430="","",SWITCH('Task Finder'!$C$6,"High Priority",AND($F430="High",$E430&lt;&gt;"Done",$E430&lt;&gt;"Archive"),"Due This Week",AND($I430&lt;&gt;"",$I430&gt;=TODAY(),$I430&lt;=TODAY()+7,$E430&lt;&gt;"Done"),"Quick Wins (15 mins or less)",AND($M430&lt;=15,$E430&lt;&gt;"Done",$E430&lt;&gt;"Blocked"),"Deep Thinking",AND($G430="Deep Thinking",$E430&lt;&gt;"Done"),"Processing",AND($G430="Processing",$E430&lt;&gt;"Done"),"Blocked",$E430="Blocked","Waiting",$E430="Waiting","Recently Updated",AND($L430&lt;&gt;"",$L430&gt;=TODAY()-7),"Keyword",AND('Task Finder'!$C$7&lt;&gt;"",OR(ISNUMBER(SEARCH('Task Finder'!$C$7,$A430)),ISNUMBER(SEARCH('Task Finder'!$C$7,$B430)),ISNUMBER(SEARCH('Task Finder'!$C$7,$C430)),ISNUMBER(SEARCH('Task Finder'!$C$7,$D430)),ISNUMBER(SEARCH('Task Finder'!$C$7,$K430)))),TRUE))</f>
        <v/>
      </c>
    </row>
    <row r="431">
      <c r="A431" s="19" t="n"/>
      <c r="B431" s="19" t="n"/>
      <c r="C431" s="19" t="n"/>
      <c r="D431" s="19" t="n"/>
      <c r="E431" s="19" t="n"/>
      <c r="F431" s="19" t="n"/>
      <c r="G431" s="19" t="n"/>
      <c r="H431" s="19" t="n"/>
      <c r="I431" s="19" t="n"/>
      <c r="J431" s="19" t="n"/>
      <c r="K431" s="19" t="n"/>
      <c r="L431" s="125" t="n"/>
      <c r="M431" s="88">
        <f>IF($D431="","",IFERROR(VLOOKUP($H431,Lists!$N$2:$O$6,2,FALSE),0))</f>
        <v/>
      </c>
      <c r="N431" s="88">
        <f>IF($D431="","",IF(OR($E431="Blocked",$E431="Done",$E431="Archive"),-9999,IF(AND($E431="Waiting",SUMPRODUCT((($E$5:$E$500="Next")+($E$5:$E$500="In Progress")+($E$5:$E$500="Captured"))*($D$5:$D$500&lt;&gt;""))&gt;0),-500,VLOOKUP($F431,Lists!$L$2:$M$4,2,FALSE)+IF($E431="In Progress",10,0)+IF(AND($I431&lt;&gt;"",$I431&lt;TODAY()),25,0)+IF(AND($I431&lt;&gt;"",$I431&gt;=TODAY(),$I431&lt;=TODAY()+7),15,0)+IF($M431&lt;=VLOOKUP(Home!$C$7,Lists!$N$2:$O$6,2,FALSE),20,-10)+IF($G431=Home!$E$7,15,IF(Home!$E$7="",0,-5))-ROW()/100000)))</f>
        <v/>
      </c>
      <c r="O431" s="88">
        <f>IF($D431="","",IF($N431&lt;=-500,"Not recommended right now",IF($E431="Waiting","Nothing else actionable right now — Waiting on: "&amp;IF($K431="","this item",$K431),TEXTJOIN(" • ",TRUE,IF($F431="High","High Priority",""),IF(AND($I431&lt;&gt;"",$I431&lt;TODAY()),"Overdue",""),IF(AND($I431&lt;&gt;"",$I431&gt;=TODAY(),$I431&lt;=TODAY()+7),"Due This Week",""),IF($M431&lt;=VLOOKUP(Home!$C$7,Lists!$N$2:$O$6,2,FALSE),$H431&amp;" Task",""),IF($G431=Home!$E$7,"Fits Current Energy",""),"No Blockers"))))</f>
        <v/>
      </c>
      <c r="P431" s="88">
        <f>IF($D431="","",SWITCH('Task Finder'!$C$6,"High Priority",AND($F431="High",$E431&lt;&gt;"Done",$E431&lt;&gt;"Archive"),"Due This Week",AND($I431&lt;&gt;"",$I431&gt;=TODAY(),$I431&lt;=TODAY()+7,$E431&lt;&gt;"Done"),"Quick Wins (15 mins or less)",AND($M431&lt;=15,$E431&lt;&gt;"Done",$E431&lt;&gt;"Blocked"),"Deep Thinking",AND($G431="Deep Thinking",$E431&lt;&gt;"Done"),"Processing",AND($G431="Processing",$E431&lt;&gt;"Done"),"Blocked",$E431="Blocked","Waiting",$E431="Waiting","Recently Updated",AND($L431&lt;&gt;"",$L431&gt;=TODAY()-7),"Keyword",AND('Task Finder'!$C$7&lt;&gt;"",OR(ISNUMBER(SEARCH('Task Finder'!$C$7,$A431)),ISNUMBER(SEARCH('Task Finder'!$C$7,$B431)),ISNUMBER(SEARCH('Task Finder'!$C$7,$C431)),ISNUMBER(SEARCH('Task Finder'!$C$7,$D431)),ISNUMBER(SEARCH('Task Finder'!$C$7,$K431)))),TRUE))</f>
        <v/>
      </c>
    </row>
    <row r="432">
      <c r="A432" s="19" t="n"/>
      <c r="B432" s="19" t="n"/>
      <c r="C432" s="19" t="n"/>
      <c r="D432" s="19" t="n"/>
      <c r="E432" s="19" t="n"/>
      <c r="F432" s="19" t="n"/>
      <c r="G432" s="19" t="n"/>
      <c r="H432" s="19" t="n"/>
      <c r="I432" s="19" t="n"/>
      <c r="J432" s="19" t="n"/>
      <c r="K432" s="19" t="n"/>
      <c r="L432" s="125" t="n"/>
      <c r="M432" s="88">
        <f>IF($D432="","",IFERROR(VLOOKUP($H432,Lists!$N$2:$O$6,2,FALSE),0))</f>
        <v/>
      </c>
      <c r="N432" s="88">
        <f>IF($D432="","",IF(OR($E432="Blocked",$E432="Done",$E432="Archive"),-9999,IF(AND($E432="Waiting",SUMPRODUCT((($E$5:$E$500="Next")+($E$5:$E$500="In Progress")+($E$5:$E$500="Captured"))*($D$5:$D$500&lt;&gt;""))&gt;0),-500,VLOOKUP($F432,Lists!$L$2:$M$4,2,FALSE)+IF($E432="In Progress",10,0)+IF(AND($I432&lt;&gt;"",$I432&lt;TODAY()),25,0)+IF(AND($I432&lt;&gt;"",$I432&gt;=TODAY(),$I432&lt;=TODAY()+7),15,0)+IF($M432&lt;=VLOOKUP(Home!$C$7,Lists!$N$2:$O$6,2,FALSE),20,-10)+IF($G432=Home!$E$7,15,IF(Home!$E$7="",0,-5))-ROW()/100000)))</f>
        <v/>
      </c>
      <c r="O432" s="88">
        <f>IF($D432="","",IF($N432&lt;=-500,"Not recommended right now",IF($E432="Waiting","Nothing else actionable right now — Waiting on: "&amp;IF($K432="","this item",$K432),TEXTJOIN(" • ",TRUE,IF($F432="High","High Priority",""),IF(AND($I432&lt;&gt;"",$I432&lt;TODAY()),"Overdue",""),IF(AND($I432&lt;&gt;"",$I432&gt;=TODAY(),$I432&lt;=TODAY()+7),"Due This Week",""),IF($M432&lt;=VLOOKUP(Home!$C$7,Lists!$N$2:$O$6,2,FALSE),$H432&amp;" Task",""),IF($G432=Home!$E$7,"Fits Current Energy",""),"No Blockers"))))</f>
        <v/>
      </c>
      <c r="P432" s="88">
        <f>IF($D432="","",SWITCH('Task Finder'!$C$6,"High Priority",AND($F432="High",$E432&lt;&gt;"Done",$E432&lt;&gt;"Archive"),"Due This Week",AND($I432&lt;&gt;"",$I432&gt;=TODAY(),$I432&lt;=TODAY()+7,$E432&lt;&gt;"Done"),"Quick Wins (15 mins or less)",AND($M432&lt;=15,$E432&lt;&gt;"Done",$E432&lt;&gt;"Blocked"),"Deep Thinking",AND($G432="Deep Thinking",$E432&lt;&gt;"Done"),"Processing",AND($G432="Processing",$E432&lt;&gt;"Done"),"Blocked",$E432="Blocked","Waiting",$E432="Waiting","Recently Updated",AND($L432&lt;&gt;"",$L432&gt;=TODAY()-7),"Keyword",AND('Task Finder'!$C$7&lt;&gt;"",OR(ISNUMBER(SEARCH('Task Finder'!$C$7,$A432)),ISNUMBER(SEARCH('Task Finder'!$C$7,$B432)),ISNUMBER(SEARCH('Task Finder'!$C$7,$C432)),ISNUMBER(SEARCH('Task Finder'!$C$7,$D432)),ISNUMBER(SEARCH('Task Finder'!$C$7,$K432)))),TRUE))</f>
        <v/>
      </c>
    </row>
    <row r="433">
      <c r="A433" s="19" t="n"/>
      <c r="B433" s="19" t="n"/>
      <c r="C433" s="19" t="n"/>
      <c r="D433" s="19" t="n"/>
      <c r="E433" s="19" t="n"/>
      <c r="F433" s="19" t="n"/>
      <c r="G433" s="19" t="n"/>
      <c r="H433" s="19" t="n"/>
      <c r="I433" s="19" t="n"/>
      <c r="J433" s="19" t="n"/>
      <c r="K433" s="19" t="n"/>
      <c r="L433" s="125" t="n"/>
      <c r="M433" s="88">
        <f>IF($D433="","",IFERROR(VLOOKUP($H433,Lists!$N$2:$O$6,2,FALSE),0))</f>
        <v/>
      </c>
      <c r="N433" s="88">
        <f>IF($D433="","",IF(OR($E433="Blocked",$E433="Done",$E433="Archive"),-9999,IF(AND($E433="Waiting",SUMPRODUCT((($E$5:$E$500="Next")+($E$5:$E$500="In Progress")+($E$5:$E$500="Captured"))*($D$5:$D$500&lt;&gt;""))&gt;0),-500,VLOOKUP($F433,Lists!$L$2:$M$4,2,FALSE)+IF($E433="In Progress",10,0)+IF(AND($I433&lt;&gt;"",$I433&lt;TODAY()),25,0)+IF(AND($I433&lt;&gt;"",$I433&gt;=TODAY(),$I433&lt;=TODAY()+7),15,0)+IF($M433&lt;=VLOOKUP(Home!$C$7,Lists!$N$2:$O$6,2,FALSE),20,-10)+IF($G433=Home!$E$7,15,IF(Home!$E$7="",0,-5))-ROW()/100000)))</f>
        <v/>
      </c>
      <c r="O433" s="88">
        <f>IF($D433="","",IF($N433&lt;=-500,"Not recommended right now",IF($E433="Waiting","Nothing else actionable right now — Waiting on: "&amp;IF($K433="","this item",$K433),TEXTJOIN(" • ",TRUE,IF($F433="High","High Priority",""),IF(AND($I433&lt;&gt;"",$I433&lt;TODAY()),"Overdue",""),IF(AND($I433&lt;&gt;"",$I433&gt;=TODAY(),$I433&lt;=TODAY()+7),"Due This Week",""),IF($M433&lt;=VLOOKUP(Home!$C$7,Lists!$N$2:$O$6,2,FALSE),$H433&amp;" Task",""),IF($G433=Home!$E$7,"Fits Current Energy",""),"No Blockers"))))</f>
        <v/>
      </c>
      <c r="P433" s="88">
        <f>IF($D433="","",SWITCH('Task Finder'!$C$6,"High Priority",AND($F433="High",$E433&lt;&gt;"Done",$E433&lt;&gt;"Archive"),"Due This Week",AND($I433&lt;&gt;"",$I433&gt;=TODAY(),$I433&lt;=TODAY()+7,$E433&lt;&gt;"Done"),"Quick Wins (15 mins or less)",AND($M433&lt;=15,$E433&lt;&gt;"Done",$E433&lt;&gt;"Blocked"),"Deep Thinking",AND($G433="Deep Thinking",$E433&lt;&gt;"Done"),"Processing",AND($G433="Processing",$E433&lt;&gt;"Done"),"Blocked",$E433="Blocked","Waiting",$E433="Waiting","Recently Updated",AND($L433&lt;&gt;"",$L433&gt;=TODAY()-7),"Keyword",AND('Task Finder'!$C$7&lt;&gt;"",OR(ISNUMBER(SEARCH('Task Finder'!$C$7,$A433)),ISNUMBER(SEARCH('Task Finder'!$C$7,$B433)),ISNUMBER(SEARCH('Task Finder'!$C$7,$C433)),ISNUMBER(SEARCH('Task Finder'!$C$7,$D433)),ISNUMBER(SEARCH('Task Finder'!$C$7,$K433)))),TRUE))</f>
        <v/>
      </c>
    </row>
    <row r="434">
      <c r="A434" s="19" t="n"/>
      <c r="B434" s="19" t="n"/>
      <c r="C434" s="19" t="n"/>
      <c r="D434" s="19" t="n"/>
      <c r="E434" s="19" t="n"/>
      <c r="F434" s="19" t="n"/>
      <c r="G434" s="19" t="n"/>
      <c r="H434" s="19" t="n"/>
      <c r="I434" s="19" t="n"/>
      <c r="J434" s="19" t="n"/>
      <c r="K434" s="19" t="n"/>
      <c r="L434" s="125" t="n"/>
      <c r="M434" s="88">
        <f>IF($D434="","",IFERROR(VLOOKUP($H434,Lists!$N$2:$O$6,2,FALSE),0))</f>
        <v/>
      </c>
      <c r="N434" s="88">
        <f>IF($D434="","",IF(OR($E434="Blocked",$E434="Done",$E434="Archive"),-9999,IF(AND($E434="Waiting",SUMPRODUCT((($E$5:$E$500="Next")+($E$5:$E$500="In Progress")+($E$5:$E$500="Captured"))*($D$5:$D$500&lt;&gt;""))&gt;0),-500,VLOOKUP($F434,Lists!$L$2:$M$4,2,FALSE)+IF($E434="In Progress",10,0)+IF(AND($I434&lt;&gt;"",$I434&lt;TODAY()),25,0)+IF(AND($I434&lt;&gt;"",$I434&gt;=TODAY(),$I434&lt;=TODAY()+7),15,0)+IF($M434&lt;=VLOOKUP(Home!$C$7,Lists!$N$2:$O$6,2,FALSE),20,-10)+IF($G434=Home!$E$7,15,IF(Home!$E$7="",0,-5))-ROW()/100000)))</f>
        <v/>
      </c>
      <c r="O434" s="88">
        <f>IF($D434="","",IF($N434&lt;=-500,"Not recommended right now",IF($E434="Waiting","Nothing else actionable right now — Waiting on: "&amp;IF($K434="","this item",$K434),TEXTJOIN(" • ",TRUE,IF($F434="High","High Priority",""),IF(AND($I434&lt;&gt;"",$I434&lt;TODAY()),"Overdue",""),IF(AND($I434&lt;&gt;"",$I434&gt;=TODAY(),$I434&lt;=TODAY()+7),"Due This Week",""),IF($M434&lt;=VLOOKUP(Home!$C$7,Lists!$N$2:$O$6,2,FALSE),$H434&amp;" Task",""),IF($G434=Home!$E$7,"Fits Current Energy",""),"No Blockers"))))</f>
        <v/>
      </c>
      <c r="P434" s="88">
        <f>IF($D434="","",SWITCH('Task Finder'!$C$6,"High Priority",AND($F434="High",$E434&lt;&gt;"Done",$E434&lt;&gt;"Archive"),"Due This Week",AND($I434&lt;&gt;"",$I434&gt;=TODAY(),$I434&lt;=TODAY()+7,$E434&lt;&gt;"Done"),"Quick Wins (15 mins or less)",AND($M434&lt;=15,$E434&lt;&gt;"Done",$E434&lt;&gt;"Blocked"),"Deep Thinking",AND($G434="Deep Thinking",$E434&lt;&gt;"Done"),"Processing",AND($G434="Processing",$E434&lt;&gt;"Done"),"Blocked",$E434="Blocked","Waiting",$E434="Waiting","Recently Updated",AND($L434&lt;&gt;"",$L434&gt;=TODAY()-7),"Keyword",AND('Task Finder'!$C$7&lt;&gt;"",OR(ISNUMBER(SEARCH('Task Finder'!$C$7,$A434)),ISNUMBER(SEARCH('Task Finder'!$C$7,$B434)),ISNUMBER(SEARCH('Task Finder'!$C$7,$C434)),ISNUMBER(SEARCH('Task Finder'!$C$7,$D434)),ISNUMBER(SEARCH('Task Finder'!$C$7,$K434)))),TRUE))</f>
        <v/>
      </c>
    </row>
    <row r="435">
      <c r="A435" s="19" t="n"/>
      <c r="B435" s="19" t="n"/>
      <c r="C435" s="19" t="n"/>
      <c r="D435" s="19" t="n"/>
      <c r="E435" s="19" t="n"/>
      <c r="F435" s="19" t="n"/>
      <c r="G435" s="19" t="n"/>
      <c r="H435" s="19" t="n"/>
      <c r="I435" s="19" t="n"/>
      <c r="J435" s="19" t="n"/>
      <c r="K435" s="19" t="n"/>
      <c r="L435" s="125" t="n"/>
      <c r="M435" s="88">
        <f>IF($D435="","",IFERROR(VLOOKUP($H435,Lists!$N$2:$O$6,2,FALSE),0))</f>
        <v/>
      </c>
      <c r="N435" s="88">
        <f>IF($D435="","",IF(OR($E435="Blocked",$E435="Done",$E435="Archive"),-9999,IF(AND($E435="Waiting",SUMPRODUCT((($E$5:$E$500="Next")+($E$5:$E$500="In Progress")+($E$5:$E$500="Captured"))*($D$5:$D$500&lt;&gt;""))&gt;0),-500,VLOOKUP($F435,Lists!$L$2:$M$4,2,FALSE)+IF($E435="In Progress",10,0)+IF(AND($I435&lt;&gt;"",$I435&lt;TODAY()),25,0)+IF(AND($I435&lt;&gt;"",$I435&gt;=TODAY(),$I435&lt;=TODAY()+7),15,0)+IF($M435&lt;=VLOOKUP(Home!$C$7,Lists!$N$2:$O$6,2,FALSE),20,-10)+IF($G435=Home!$E$7,15,IF(Home!$E$7="",0,-5))-ROW()/100000)))</f>
        <v/>
      </c>
      <c r="O435" s="88">
        <f>IF($D435="","",IF($N435&lt;=-500,"Not recommended right now",IF($E435="Waiting","Nothing else actionable right now — Waiting on: "&amp;IF($K435="","this item",$K435),TEXTJOIN(" • ",TRUE,IF($F435="High","High Priority",""),IF(AND($I435&lt;&gt;"",$I435&lt;TODAY()),"Overdue",""),IF(AND($I435&lt;&gt;"",$I435&gt;=TODAY(),$I435&lt;=TODAY()+7),"Due This Week",""),IF($M435&lt;=VLOOKUP(Home!$C$7,Lists!$N$2:$O$6,2,FALSE),$H435&amp;" Task",""),IF($G435=Home!$E$7,"Fits Current Energy",""),"No Blockers"))))</f>
        <v/>
      </c>
      <c r="P435" s="88">
        <f>IF($D435="","",SWITCH('Task Finder'!$C$6,"High Priority",AND($F435="High",$E435&lt;&gt;"Done",$E435&lt;&gt;"Archive"),"Due This Week",AND($I435&lt;&gt;"",$I435&gt;=TODAY(),$I435&lt;=TODAY()+7,$E435&lt;&gt;"Done"),"Quick Wins (15 mins or less)",AND($M435&lt;=15,$E435&lt;&gt;"Done",$E435&lt;&gt;"Blocked"),"Deep Thinking",AND($G435="Deep Thinking",$E435&lt;&gt;"Done"),"Processing",AND($G435="Processing",$E435&lt;&gt;"Done"),"Blocked",$E435="Blocked","Waiting",$E435="Waiting","Recently Updated",AND($L435&lt;&gt;"",$L435&gt;=TODAY()-7),"Keyword",AND('Task Finder'!$C$7&lt;&gt;"",OR(ISNUMBER(SEARCH('Task Finder'!$C$7,$A435)),ISNUMBER(SEARCH('Task Finder'!$C$7,$B435)),ISNUMBER(SEARCH('Task Finder'!$C$7,$C435)),ISNUMBER(SEARCH('Task Finder'!$C$7,$D435)),ISNUMBER(SEARCH('Task Finder'!$C$7,$K435)))),TRUE))</f>
        <v/>
      </c>
    </row>
    <row r="436">
      <c r="A436" s="19" t="n"/>
      <c r="B436" s="19" t="n"/>
      <c r="C436" s="19" t="n"/>
      <c r="D436" s="19" t="n"/>
      <c r="E436" s="19" t="n"/>
      <c r="F436" s="19" t="n"/>
      <c r="G436" s="19" t="n"/>
      <c r="H436" s="19" t="n"/>
      <c r="I436" s="19" t="n"/>
      <c r="J436" s="19" t="n"/>
      <c r="K436" s="19" t="n"/>
      <c r="L436" s="125" t="n"/>
      <c r="M436" s="88">
        <f>IF($D436="","",IFERROR(VLOOKUP($H436,Lists!$N$2:$O$6,2,FALSE),0))</f>
        <v/>
      </c>
      <c r="N436" s="88">
        <f>IF($D436="","",IF(OR($E436="Blocked",$E436="Done",$E436="Archive"),-9999,IF(AND($E436="Waiting",SUMPRODUCT((($E$5:$E$500="Next")+($E$5:$E$500="In Progress")+($E$5:$E$500="Captured"))*($D$5:$D$500&lt;&gt;""))&gt;0),-500,VLOOKUP($F436,Lists!$L$2:$M$4,2,FALSE)+IF($E436="In Progress",10,0)+IF(AND($I436&lt;&gt;"",$I436&lt;TODAY()),25,0)+IF(AND($I436&lt;&gt;"",$I436&gt;=TODAY(),$I436&lt;=TODAY()+7),15,0)+IF($M436&lt;=VLOOKUP(Home!$C$7,Lists!$N$2:$O$6,2,FALSE),20,-10)+IF($G436=Home!$E$7,15,IF(Home!$E$7="",0,-5))-ROW()/100000)))</f>
        <v/>
      </c>
      <c r="O436" s="88">
        <f>IF($D436="","",IF($N436&lt;=-500,"Not recommended right now",IF($E436="Waiting","Nothing else actionable right now — Waiting on: "&amp;IF($K436="","this item",$K436),TEXTJOIN(" • ",TRUE,IF($F436="High","High Priority",""),IF(AND($I436&lt;&gt;"",$I436&lt;TODAY()),"Overdue",""),IF(AND($I436&lt;&gt;"",$I436&gt;=TODAY(),$I436&lt;=TODAY()+7),"Due This Week",""),IF($M436&lt;=VLOOKUP(Home!$C$7,Lists!$N$2:$O$6,2,FALSE),$H436&amp;" Task",""),IF($G436=Home!$E$7,"Fits Current Energy",""),"No Blockers"))))</f>
        <v/>
      </c>
      <c r="P436" s="88">
        <f>IF($D436="","",SWITCH('Task Finder'!$C$6,"High Priority",AND($F436="High",$E436&lt;&gt;"Done",$E436&lt;&gt;"Archive"),"Due This Week",AND($I436&lt;&gt;"",$I436&gt;=TODAY(),$I436&lt;=TODAY()+7,$E436&lt;&gt;"Done"),"Quick Wins (15 mins or less)",AND($M436&lt;=15,$E436&lt;&gt;"Done",$E436&lt;&gt;"Blocked"),"Deep Thinking",AND($G436="Deep Thinking",$E436&lt;&gt;"Done"),"Processing",AND($G436="Processing",$E436&lt;&gt;"Done"),"Blocked",$E436="Blocked","Waiting",$E436="Waiting","Recently Updated",AND($L436&lt;&gt;"",$L436&gt;=TODAY()-7),"Keyword",AND('Task Finder'!$C$7&lt;&gt;"",OR(ISNUMBER(SEARCH('Task Finder'!$C$7,$A436)),ISNUMBER(SEARCH('Task Finder'!$C$7,$B436)),ISNUMBER(SEARCH('Task Finder'!$C$7,$C436)),ISNUMBER(SEARCH('Task Finder'!$C$7,$D436)),ISNUMBER(SEARCH('Task Finder'!$C$7,$K436)))),TRUE))</f>
        <v/>
      </c>
    </row>
    <row r="437">
      <c r="A437" s="19" t="n"/>
      <c r="B437" s="19" t="n"/>
      <c r="C437" s="19" t="n"/>
      <c r="D437" s="19" t="n"/>
      <c r="E437" s="19" t="n"/>
      <c r="F437" s="19" t="n"/>
      <c r="G437" s="19" t="n"/>
      <c r="H437" s="19" t="n"/>
      <c r="I437" s="19" t="n"/>
      <c r="J437" s="19" t="n"/>
      <c r="K437" s="19" t="n"/>
      <c r="L437" s="125" t="n"/>
      <c r="M437" s="88">
        <f>IF($D437="","",IFERROR(VLOOKUP($H437,Lists!$N$2:$O$6,2,FALSE),0))</f>
        <v/>
      </c>
      <c r="N437" s="88">
        <f>IF($D437="","",IF(OR($E437="Blocked",$E437="Done",$E437="Archive"),-9999,IF(AND($E437="Waiting",SUMPRODUCT((($E$5:$E$500="Next")+($E$5:$E$500="In Progress")+($E$5:$E$500="Captured"))*($D$5:$D$500&lt;&gt;""))&gt;0),-500,VLOOKUP($F437,Lists!$L$2:$M$4,2,FALSE)+IF($E437="In Progress",10,0)+IF(AND($I437&lt;&gt;"",$I437&lt;TODAY()),25,0)+IF(AND($I437&lt;&gt;"",$I437&gt;=TODAY(),$I437&lt;=TODAY()+7),15,0)+IF($M437&lt;=VLOOKUP(Home!$C$7,Lists!$N$2:$O$6,2,FALSE),20,-10)+IF($G437=Home!$E$7,15,IF(Home!$E$7="",0,-5))-ROW()/100000)))</f>
        <v/>
      </c>
      <c r="O437" s="88">
        <f>IF($D437="","",IF($N437&lt;=-500,"Not recommended right now",IF($E437="Waiting","Nothing else actionable right now — Waiting on: "&amp;IF($K437="","this item",$K437),TEXTJOIN(" • ",TRUE,IF($F437="High","High Priority",""),IF(AND($I437&lt;&gt;"",$I437&lt;TODAY()),"Overdue",""),IF(AND($I437&lt;&gt;"",$I437&gt;=TODAY(),$I437&lt;=TODAY()+7),"Due This Week",""),IF($M437&lt;=VLOOKUP(Home!$C$7,Lists!$N$2:$O$6,2,FALSE),$H437&amp;" Task",""),IF($G437=Home!$E$7,"Fits Current Energy",""),"No Blockers"))))</f>
        <v/>
      </c>
      <c r="P437" s="88">
        <f>IF($D437="","",SWITCH('Task Finder'!$C$6,"High Priority",AND($F437="High",$E437&lt;&gt;"Done",$E437&lt;&gt;"Archive"),"Due This Week",AND($I437&lt;&gt;"",$I437&gt;=TODAY(),$I437&lt;=TODAY()+7,$E437&lt;&gt;"Done"),"Quick Wins (15 mins or less)",AND($M437&lt;=15,$E437&lt;&gt;"Done",$E437&lt;&gt;"Blocked"),"Deep Thinking",AND($G437="Deep Thinking",$E437&lt;&gt;"Done"),"Processing",AND($G437="Processing",$E437&lt;&gt;"Done"),"Blocked",$E437="Blocked","Waiting",$E437="Waiting","Recently Updated",AND($L437&lt;&gt;"",$L437&gt;=TODAY()-7),"Keyword",AND('Task Finder'!$C$7&lt;&gt;"",OR(ISNUMBER(SEARCH('Task Finder'!$C$7,$A437)),ISNUMBER(SEARCH('Task Finder'!$C$7,$B437)),ISNUMBER(SEARCH('Task Finder'!$C$7,$C437)),ISNUMBER(SEARCH('Task Finder'!$C$7,$D437)),ISNUMBER(SEARCH('Task Finder'!$C$7,$K437)))),TRUE))</f>
        <v/>
      </c>
    </row>
    <row r="438">
      <c r="A438" s="19" t="n"/>
      <c r="B438" s="19" t="n"/>
      <c r="C438" s="19" t="n"/>
      <c r="D438" s="19" t="n"/>
      <c r="E438" s="19" t="n"/>
      <c r="F438" s="19" t="n"/>
      <c r="G438" s="19" t="n"/>
      <c r="H438" s="19" t="n"/>
      <c r="I438" s="19" t="n"/>
      <c r="J438" s="19" t="n"/>
      <c r="K438" s="19" t="n"/>
      <c r="L438" s="125" t="n"/>
      <c r="M438" s="88">
        <f>IF($D438="","",IFERROR(VLOOKUP($H438,Lists!$N$2:$O$6,2,FALSE),0))</f>
        <v/>
      </c>
      <c r="N438" s="88">
        <f>IF($D438="","",IF(OR($E438="Blocked",$E438="Done",$E438="Archive"),-9999,IF(AND($E438="Waiting",SUMPRODUCT((($E$5:$E$500="Next")+($E$5:$E$500="In Progress")+($E$5:$E$500="Captured"))*($D$5:$D$500&lt;&gt;""))&gt;0),-500,VLOOKUP($F438,Lists!$L$2:$M$4,2,FALSE)+IF($E438="In Progress",10,0)+IF(AND($I438&lt;&gt;"",$I438&lt;TODAY()),25,0)+IF(AND($I438&lt;&gt;"",$I438&gt;=TODAY(),$I438&lt;=TODAY()+7),15,0)+IF($M438&lt;=VLOOKUP(Home!$C$7,Lists!$N$2:$O$6,2,FALSE),20,-10)+IF($G438=Home!$E$7,15,IF(Home!$E$7="",0,-5))-ROW()/100000)))</f>
        <v/>
      </c>
      <c r="O438" s="88">
        <f>IF($D438="","",IF($N438&lt;=-500,"Not recommended right now",IF($E438="Waiting","Nothing else actionable right now — Waiting on: "&amp;IF($K438="","this item",$K438),TEXTJOIN(" • ",TRUE,IF($F438="High","High Priority",""),IF(AND($I438&lt;&gt;"",$I438&lt;TODAY()),"Overdue",""),IF(AND($I438&lt;&gt;"",$I438&gt;=TODAY(),$I438&lt;=TODAY()+7),"Due This Week",""),IF($M438&lt;=VLOOKUP(Home!$C$7,Lists!$N$2:$O$6,2,FALSE),$H438&amp;" Task",""),IF($G438=Home!$E$7,"Fits Current Energy",""),"No Blockers"))))</f>
        <v/>
      </c>
      <c r="P438" s="88">
        <f>IF($D438="","",SWITCH('Task Finder'!$C$6,"High Priority",AND($F438="High",$E438&lt;&gt;"Done",$E438&lt;&gt;"Archive"),"Due This Week",AND($I438&lt;&gt;"",$I438&gt;=TODAY(),$I438&lt;=TODAY()+7,$E438&lt;&gt;"Done"),"Quick Wins (15 mins or less)",AND($M438&lt;=15,$E438&lt;&gt;"Done",$E438&lt;&gt;"Blocked"),"Deep Thinking",AND($G438="Deep Thinking",$E438&lt;&gt;"Done"),"Processing",AND($G438="Processing",$E438&lt;&gt;"Done"),"Blocked",$E438="Blocked","Waiting",$E438="Waiting","Recently Updated",AND($L438&lt;&gt;"",$L438&gt;=TODAY()-7),"Keyword",AND('Task Finder'!$C$7&lt;&gt;"",OR(ISNUMBER(SEARCH('Task Finder'!$C$7,$A438)),ISNUMBER(SEARCH('Task Finder'!$C$7,$B438)),ISNUMBER(SEARCH('Task Finder'!$C$7,$C438)),ISNUMBER(SEARCH('Task Finder'!$C$7,$D438)),ISNUMBER(SEARCH('Task Finder'!$C$7,$K438)))),TRUE))</f>
        <v/>
      </c>
    </row>
    <row r="439">
      <c r="A439" s="19" t="n"/>
      <c r="B439" s="19" t="n"/>
      <c r="C439" s="19" t="n"/>
      <c r="D439" s="19" t="n"/>
      <c r="E439" s="19" t="n"/>
      <c r="F439" s="19" t="n"/>
      <c r="G439" s="19" t="n"/>
      <c r="H439" s="19" t="n"/>
      <c r="I439" s="19" t="n"/>
      <c r="J439" s="19" t="n"/>
      <c r="K439" s="19" t="n"/>
      <c r="L439" s="125" t="n"/>
      <c r="M439" s="88">
        <f>IF($D439="","",IFERROR(VLOOKUP($H439,Lists!$N$2:$O$6,2,FALSE),0))</f>
        <v/>
      </c>
      <c r="N439" s="88">
        <f>IF($D439="","",IF(OR($E439="Blocked",$E439="Done",$E439="Archive"),-9999,IF(AND($E439="Waiting",SUMPRODUCT((($E$5:$E$500="Next")+($E$5:$E$500="In Progress")+($E$5:$E$500="Captured"))*($D$5:$D$500&lt;&gt;""))&gt;0),-500,VLOOKUP($F439,Lists!$L$2:$M$4,2,FALSE)+IF($E439="In Progress",10,0)+IF(AND($I439&lt;&gt;"",$I439&lt;TODAY()),25,0)+IF(AND($I439&lt;&gt;"",$I439&gt;=TODAY(),$I439&lt;=TODAY()+7),15,0)+IF($M439&lt;=VLOOKUP(Home!$C$7,Lists!$N$2:$O$6,2,FALSE),20,-10)+IF($G439=Home!$E$7,15,IF(Home!$E$7="",0,-5))-ROW()/100000)))</f>
        <v/>
      </c>
      <c r="O439" s="88">
        <f>IF($D439="","",IF($N439&lt;=-500,"Not recommended right now",IF($E439="Waiting","Nothing else actionable right now — Waiting on: "&amp;IF($K439="","this item",$K439),TEXTJOIN(" • ",TRUE,IF($F439="High","High Priority",""),IF(AND($I439&lt;&gt;"",$I439&lt;TODAY()),"Overdue",""),IF(AND($I439&lt;&gt;"",$I439&gt;=TODAY(),$I439&lt;=TODAY()+7),"Due This Week",""),IF($M439&lt;=VLOOKUP(Home!$C$7,Lists!$N$2:$O$6,2,FALSE),$H439&amp;" Task",""),IF($G439=Home!$E$7,"Fits Current Energy",""),"No Blockers"))))</f>
        <v/>
      </c>
      <c r="P439" s="88">
        <f>IF($D439="","",SWITCH('Task Finder'!$C$6,"High Priority",AND($F439="High",$E439&lt;&gt;"Done",$E439&lt;&gt;"Archive"),"Due This Week",AND($I439&lt;&gt;"",$I439&gt;=TODAY(),$I439&lt;=TODAY()+7,$E439&lt;&gt;"Done"),"Quick Wins (15 mins or less)",AND($M439&lt;=15,$E439&lt;&gt;"Done",$E439&lt;&gt;"Blocked"),"Deep Thinking",AND($G439="Deep Thinking",$E439&lt;&gt;"Done"),"Processing",AND($G439="Processing",$E439&lt;&gt;"Done"),"Blocked",$E439="Blocked","Waiting",$E439="Waiting","Recently Updated",AND($L439&lt;&gt;"",$L439&gt;=TODAY()-7),"Keyword",AND('Task Finder'!$C$7&lt;&gt;"",OR(ISNUMBER(SEARCH('Task Finder'!$C$7,$A439)),ISNUMBER(SEARCH('Task Finder'!$C$7,$B439)),ISNUMBER(SEARCH('Task Finder'!$C$7,$C439)),ISNUMBER(SEARCH('Task Finder'!$C$7,$D439)),ISNUMBER(SEARCH('Task Finder'!$C$7,$K439)))),TRUE))</f>
        <v/>
      </c>
    </row>
    <row r="440">
      <c r="A440" s="19" t="n"/>
      <c r="B440" s="19" t="n"/>
      <c r="C440" s="19" t="n"/>
      <c r="D440" s="19" t="n"/>
      <c r="E440" s="19" t="n"/>
      <c r="F440" s="19" t="n"/>
      <c r="G440" s="19" t="n"/>
      <c r="H440" s="19" t="n"/>
      <c r="I440" s="19" t="n"/>
      <c r="J440" s="19" t="n"/>
      <c r="K440" s="19" t="n"/>
      <c r="L440" s="125" t="n"/>
      <c r="M440" s="88">
        <f>IF($D440="","",IFERROR(VLOOKUP($H440,Lists!$N$2:$O$6,2,FALSE),0))</f>
        <v/>
      </c>
      <c r="N440" s="88">
        <f>IF($D440="","",IF(OR($E440="Blocked",$E440="Done",$E440="Archive"),-9999,IF(AND($E440="Waiting",SUMPRODUCT((($E$5:$E$500="Next")+($E$5:$E$500="In Progress")+($E$5:$E$500="Captured"))*($D$5:$D$500&lt;&gt;""))&gt;0),-500,VLOOKUP($F440,Lists!$L$2:$M$4,2,FALSE)+IF($E440="In Progress",10,0)+IF(AND($I440&lt;&gt;"",$I440&lt;TODAY()),25,0)+IF(AND($I440&lt;&gt;"",$I440&gt;=TODAY(),$I440&lt;=TODAY()+7),15,0)+IF($M440&lt;=VLOOKUP(Home!$C$7,Lists!$N$2:$O$6,2,FALSE),20,-10)+IF($G440=Home!$E$7,15,IF(Home!$E$7="",0,-5))-ROW()/100000)))</f>
        <v/>
      </c>
      <c r="O440" s="88">
        <f>IF($D440="","",IF($N440&lt;=-500,"Not recommended right now",IF($E440="Waiting","Nothing else actionable right now — Waiting on: "&amp;IF($K440="","this item",$K440),TEXTJOIN(" • ",TRUE,IF($F440="High","High Priority",""),IF(AND($I440&lt;&gt;"",$I440&lt;TODAY()),"Overdue",""),IF(AND($I440&lt;&gt;"",$I440&gt;=TODAY(),$I440&lt;=TODAY()+7),"Due This Week",""),IF($M440&lt;=VLOOKUP(Home!$C$7,Lists!$N$2:$O$6,2,FALSE),$H440&amp;" Task",""),IF($G440=Home!$E$7,"Fits Current Energy",""),"No Blockers"))))</f>
        <v/>
      </c>
      <c r="P440" s="88">
        <f>IF($D440="","",SWITCH('Task Finder'!$C$6,"High Priority",AND($F440="High",$E440&lt;&gt;"Done",$E440&lt;&gt;"Archive"),"Due This Week",AND($I440&lt;&gt;"",$I440&gt;=TODAY(),$I440&lt;=TODAY()+7,$E440&lt;&gt;"Done"),"Quick Wins (15 mins or less)",AND($M440&lt;=15,$E440&lt;&gt;"Done",$E440&lt;&gt;"Blocked"),"Deep Thinking",AND($G440="Deep Thinking",$E440&lt;&gt;"Done"),"Processing",AND($G440="Processing",$E440&lt;&gt;"Done"),"Blocked",$E440="Blocked","Waiting",$E440="Waiting","Recently Updated",AND($L440&lt;&gt;"",$L440&gt;=TODAY()-7),"Keyword",AND('Task Finder'!$C$7&lt;&gt;"",OR(ISNUMBER(SEARCH('Task Finder'!$C$7,$A440)),ISNUMBER(SEARCH('Task Finder'!$C$7,$B440)),ISNUMBER(SEARCH('Task Finder'!$C$7,$C440)),ISNUMBER(SEARCH('Task Finder'!$C$7,$D440)),ISNUMBER(SEARCH('Task Finder'!$C$7,$K440)))),TRUE))</f>
        <v/>
      </c>
    </row>
    <row r="441">
      <c r="A441" s="19" t="n"/>
      <c r="B441" s="19" t="n"/>
      <c r="C441" s="19" t="n"/>
      <c r="D441" s="19" t="n"/>
      <c r="E441" s="19" t="n"/>
      <c r="F441" s="19" t="n"/>
      <c r="G441" s="19" t="n"/>
      <c r="H441" s="19" t="n"/>
      <c r="I441" s="19" t="n"/>
      <c r="J441" s="19" t="n"/>
      <c r="K441" s="19" t="n"/>
      <c r="L441" s="125" t="n"/>
      <c r="M441" s="88">
        <f>IF($D441="","",IFERROR(VLOOKUP($H441,Lists!$N$2:$O$6,2,FALSE),0))</f>
        <v/>
      </c>
      <c r="N441" s="88">
        <f>IF($D441="","",IF(OR($E441="Blocked",$E441="Done",$E441="Archive"),-9999,IF(AND($E441="Waiting",SUMPRODUCT((($E$5:$E$500="Next")+($E$5:$E$500="In Progress")+($E$5:$E$500="Captured"))*($D$5:$D$500&lt;&gt;""))&gt;0),-500,VLOOKUP($F441,Lists!$L$2:$M$4,2,FALSE)+IF($E441="In Progress",10,0)+IF(AND($I441&lt;&gt;"",$I441&lt;TODAY()),25,0)+IF(AND($I441&lt;&gt;"",$I441&gt;=TODAY(),$I441&lt;=TODAY()+7),15,0)+IF($M441&lt;=VLOOKUP(Home!$C$7,Lists!$N$2:$O$6,2,FALSE),20,-10)+IF($G441=Home!$E$7,15,IF(Home!$E$7="",0,-5))-ROW()/100000)))</f>
        <v/>
      </c>
      <c r="O441" s="88">
        <f>IF($D441="","",IF($N441&lt;=-500,"Not recommended right now",IF($E441="Waiting","Nothing else actionable right now — Waiting on: "&amp;IF($K441="","this item",$K441),TEXTJOIN(" • ",TRUE,IF($F441="High","High Priority",""),IF(AND($I441&lt;&gt;"",$I441&lt;TODAY()),"Overdue",""),IF(AND($I441&lt;&gt;"",$I441&gt;=TODAY(),$I441&lt;=TODAY()+7),"Due This Week",""),IF($M441&lt;=VLOOKUP(Home!$C$7,Lists!$N$2:$O$6,2,FALSE),$H441&amp;" Task",""),IF($G441=Home!$E$7,"Fits Current Energy",""),"No Blockers"))))</f>
        <v/>
      </c>
      <c r="P441" s="88">
        <f>IF($D441="","",SWITCH('Task Finder'!$C$6,"High Priority",AND($F441="High",$E441&lt;&gt;"Done",$E441&lt;&gt;"Archive"),"Due This Week",AND($I441&lt;&gt;"",$I441&gt;=TODAY(),$I441&lt;=TODAY()+7,$E441&lt;&gt;"Done"),"Quick Wins (15 mins or less)",AND($M441&lt;=15,$E441&lt;&gt;"Done",$E441&lt;&gt;"Blocked"),"Deep Thinking",AND($G441="Deep Thinking",$E441&lt;&gt;"Done"),"Processing",AND($G441="Processing",$E441&lt;&gt;"Done"),"Blocked",$E441="Blocked","Waiting",$E441="Waiting","Recently Updated",AND($L441&lt;&gt;"",$L441&gt;=TODAY()-7),"Keyword",AND('Task Finder'!$C$7&lt;&gt;"",OR(ISNUMBER(SEARCH('Task Finder'!$C$7,$A441)),ISNUMBER(SEARCH('Task Finder'!$C$7,$B441)),ISNUMBER(SEARCH('Task Finder'!$C$7,$C441)),ISNUMBER(SEARCH('Task Finder'!$C$7,$D441)),ISNUMBER(SEARCH('Task Finder'!$C$7,$K441)))),TRUE))</f>
        <v/>
      </c>
    </row>
    <row r="442">
      <c r="A442" s="19" t="n"/>
      <c r="B442" s="19" t="n"/>
      <c r="C442" s="19" t="n"/>
      <c r="D442" s="19" t="n"/>
      <c r="E442" s="19" t="n"/>
      <c r="F442" s="19" t="n"/>
      <c r="G442" s="19" t="n"/>
      <c r="H442" s="19" t="n"/>
      <c r="I442" s="19" t="n"/>
      <c r="J442" s="19" t="n"/>
      <c r="K442" s="19" t="n"/>
      <c r="L442" s="125" t="n"/>
      <c r="M442" s="88">
        <f>IF($D442="","",IFERROR(VLOOKUP($H442,Lists!$N$2:$O$6,2,FALSE),0))</f>
        <v/>
      </c>
      <c r="N442" s="88">
        <f>IF($D442="","",IF(OR($E442="Blocked",$E442="Done",$E442="Archive"),-9999,IF(AND($E442="Waiting",SUMPRODUCT((($E$5:$E$500="Next")+($E$5:$E$500="In Progress")+($E$5:$E$500="Captured"))*($D$5:$D$500&lt;&gt;""))&gt;0),-500,VLOOKUP($F442,Lists!$L$2:$M$4,2,FALSE)+IF($E442="In Progress",10,0)+IF(AND($I442&lt;&gt;"",$I442&lt;TODAY()),25,0)+IF(AND($I442&lt;&gt;"",$I442&gt;=TODAY(),$I442&lt;=TODAY()+7),15,0)+IF($M442&lt;=VLOOKUP(Home!$C$7,Lists!$N$2:$O$6,2,FALSE),20,-10)+IF($G442=Home!$E$7,15,IF(Home!$E$7="",0,-5))-ROW()/100000)))</f>
        <v/>
      </c>
      <c r="O442" s="88">
        <f>IF($D442="","",IF($N442&lt;=-500,"Not recommended right now",IF($E442="Waiting","Nothing else actionable right now — Waiting on: "&amp;IF($K442="","this item",$K442),TEXTJOIN(" • ",TRUE,IF($F442="High","High Priority",""),IF(AND($I442&lt;&gt;"",$I442&lt;TODAY()),"Overdue",""),IF(AND($I442&lt;&gt;"",$I442&gt;=TODAY(),$I442&lt;=TODAY()+7),"Due This Week",""),IF($M442&lt;=VLOOKUP(Home!$C$7,Lists!$N$2:$O$6,2,FALSE),$H442&amp;" Task",""),IF($G442=Home!$E$7,"Fits Current Energy",""),"No Blockers"))))</f>
        <v/>
      </c>
      <c r="P442" s="88">
        <f>IF($D442="","",SWITCH('Task Finder'!$C$6,"High Priority",AND($F442="High",$E442&lt;&gt;"Done",$E442&lt;&gt;"Archive"),"Due This Week",AND($I442&lt;&gt;"",$I442&gt;=TODAY(),$I442&lt;=TODAY()+7,$E442&lt;&gt;"Done"),"Quick Wins (15 mins or less)",AND($M442&lt;=15,$E442&lt;&gt;"Done",$E442&lt;&gt;"Blocked"),"Deep Thinking",AND($G442="Deep Thinking",$E442&lt;&gt;"Done"),"Processing",AND($G442="Processing",$E442&lt;&gt;"Done"),"Blocked",$E442="Blocked","Waiting",$E442="Waiting","Recently Updated",AND($L442&lt;&gt;"",$L442&gt;=TODAY()-7),"Keyword",AND('Task Finder'!$C$7&lt;&gt;"",OR(ISNUMBER(SEARCH('Task Finder'!$C$7,$A442)),ISNUMBER(SEARCH('Task Finder'!$C$7,$B442)),ISNUMBER(SEARCH('Task Finder'!$C$7,$C442)),ISNUMBER(SEARCH('Task Finder'!$C$7,$D442)),ISNUMBER(SEARCH('Task Finder'!$C$7,$K442)))),TRUE))</f>
        <v/>
      </c>
    </row>
    <row r="443">
      <c r="A443" s="19" t="n"/>
      <c r="B443" s="19" t="n"/>
      <c r="C443" s="19" t="n"/>
      <c r="D443" s="19" t="n"/>
      <c r="E443" s="19" t="n"/>
      <c r="F443" s="19" t="n"/>
      <c r="G443" s="19" t="n"/>
      <c r="H443" s="19" t="n"/>
      <c r="I443" s="19" t="n"/>
      <c r="J443" s="19" t="n"/>
      <c r="K443" s="19" t="n"/>
      <c r="L443" s="125" t="n"/>
      <c r="M443" s="88">
        <f>IF($D443="","",IFERROR(VLOOKUP($H443,Lists!$N$2:$O$6,2,FALSE),0))</f>
        <v/>
      </c>
      <c r="N443" s="88">
        <f>IF($D443="","",IF(OR($E443="Blocked",$E443="Done",$E443="Archive"),-9999,IF(AND($E443="Waiting",SUMPRODUCT((($E$5:$E$500="Next")+($E$5:$E$500="In Progress")+($E$5:$E$500="Captured"))*($D$5:$D$500&lt;&gt;""))&gt;0),-500,VLOOKUP($F443,Lists!$L$2:$M$4,2,FALSE)+IF($E443="In Progress",10,0)+IF(AND($I443&lt;&gt;"",$I443&lt;TODAY()),25,0)+IF(AND($I443&lt;&gt;"",$I443&gt;=TODAY(),$I443&lt;=TODAY()+7),15,0)+IF($M443&lt;=VLOOKUP(Home!$C$7,Lists!$N$2:$O$6,2,FALSE),20,-10)+IF($G443=Home!$E$7,15,IF(Home!$E$7="",0,-5))-ROW()/100000)))</f>
        <v/>
      </c>
      <c r="O443" s="88">
        <f>IF($D443="","",IF($N443&lt;=-500,"Not recommended right now",IF($E443="Waiting","Nothing else actionable right now — Waiting on: "&amp;IF($K443="","this item",$K443),TEXTJOIN(" • ",TRUE,IF($F443="High","High Priority",""),IF(AND($I443&lt;&gt;"",$I443&lt;TODAY()),"Overdue",""),IF(AND($I443&lt;&gt;"",$I443&gt;=TODAY(),$I443&lt;=TODAY()+7),"Due This Week",""),IF($M443&lt;=VLOOKUP(Home!$C$7,Lists!$N$2:$O$6,2,FALSE),$H443&amp;" Task",""),IF($G443=Home!$E$7,"Fits Current Energy",""),"No Blockers"))))</f>
        <v/>
      </c>
      <c r="P443" s="88">
        <f>IF($D443="","",SWITCH('Task Finder'!$C$6,"High Priority",AND($F443="High",$E443&lt;&gt;"Done",$E443&lt;&gt;"Archive"),"Due This Week",AND($I443&lt;&gt;"",$I443&gt;=TODAY(),$I443&lt;=TODAY()+7,$E443&lt;&gt;"Done"),"Quick Wins (15 mins or less)",AND($M443&lt;=15,$E443&lt;&gt;"Done",$E443&lt;&gt;"Blocked"),"Deep Thinking",AND($G443="Deep Thinking",$E443&lt;&gt;"Done"),"Processing",AND($G443="Processing",$E443&lt;&gt;"Done"),"Blocked",$E443="Blocked","Waiting",$E443="Waiting","Recently Updated",AND($L443&lt;&gt;"",$L443&gt;=TODAY()-7),"Keyword",AND('Task Finder'!$C$7&lt;&gt;"",OR(ISNUMBER(SEARCH('Task Finder'!$C$7,$A443)),ISNUMBER(SEARCH('Task Finder'!$C$7,$B443)),ISNUMBER(SEARCH('Task Finder'!$C$7,$C443)),ISNUMBER(SEARCH('Task Finder'!$C$7,$D443)),ISNUMBER(SEARCH('Task Finder'!$C$7,$K443)))),TRUE))</f>
        <v/>
      </c>
    </row>
    <row r="444">
      <c r="A444" s="19" t="n"/>
      <c r="B444" s="19" t="n"/>
      <c r="C444" s="19" t="n"/>
      <c r="D444" s="19" t="n"/>
      <c r="E444" s="19" t="n"/>
      <c r="F444" s="19" t="n"/>
      <c r="G444" s="19" t="n"/>
      <c r="H444" s="19" t="n"/>
      <c r="I444" s="19" t="n"/>
      <c r="J444" s="19" t="n"/>
      <c r="K444" s="19" t="n"/>
      <c r="L444" s="125" t="n"/>
      <c r="M444" s="88">
        <f>IF($D444="","",IFERROR(VLOOKUP($H444,Lists!$N$2:$O$6,2,FALSE),0))</f>
        <v/>
      </c>
      <c r="N444" s="88">
        <f>IF($D444="","",IF(OR($E444="Blocked",$E444="Done",$E444="Archive"),-9999,IF(AND($E444="Waiting",SUMPRODUCT((($E$5:$E$500="Next")+($E$5:$E$500="In Progress")+($E$5:$E$500="Captured"))*($D$5:$D$500&lt;&gt;""))&gt;0),-500,VLOOKUP($F444,Lists!$L$2:$M$4,2,FALSE)+IF($E444="In Progress",10,0)+IF(AND($I444&lt;&gt;"",$I444&lt;TODAY()),25,0)+IF(AND($I444&lt;&gt;"",$I444&gt;=TODAY(),$I444&lt;=TODAY()+7),15,0)+IF($M444&lt;=VLOOKUP(Home!$C$7,Lists!$N$2:$O$6,2,FALSE),20,-10)+IF($G444=Home!$E$7,15,IF(Home!$E$7="",0,-5))-ROW()/100000)))</f>
        <v/>
      </c>
      <c r="O444" s="88">
        <f>IF($D444="","",IF($N444&lt;=-500,"Not recommended right now",IF($E444="Waiting","Nothing else actionable right now — Waiting on: "&amp;IF($K444="","this item",$K444),TEXTJOIN(" • ",TRUE,IF($F444="High","High Priority",""),IF(AND($I444&lt;&gt;"",$I444&lt;TODAY()),"Overdue",""),IF(AND($I444&lt;&gt;"",$I444&gt;=TODAY(),$I444&lt;=TODAY()+7),"Due This Week",""),IF($M444&lt;=VLOOKUP(Home!$C$7,Lists!$N$2:$O$6,2,FALSE),$H444&amp;" Task",""),IF($G444=Home!$E$7,"Fits Current Energy",""),"No Blockers"))))</f>
        <v/>
      </c>
      <c r="P444" s="88">
        <f>IF($D444="","",SWITCH('Task Finder'!$C$6,"High Priority",AND($F444="High",$E444&lt;&gt;"Done",$E444&lt;&gt;"Archive"),"Due This Week",AND($I444&lt;&gt;"",$I444&gt;=TODAY(),$I444&lt;=TODAY()+7,$E444&lt;&gt;"Done"),"Quick Wins (15 mins or less)",AND($M444&lt;=15,$E444&lt;&gt;"Done",$E444&lt;&gt;"Blocked"),"Deep Thinking",AND($G444="Deep Thinking",$E444&lt;&gt;"Done"),"Processing",AND($G444="Processing",$E444&lt;&gt;"Done"),"Blocked",$E444="Blocked","Waiting",$E444="Waiting","Recently Updated",AND($L444&lt;&gt;"",$L444&gt;=TODAY()-7),"Keyword",AND('Task Finder'!$C$7&lt;&gt;"",OR(ISNUMBER(SEARCH('Task Finder'!$C$7,$A444)),ISNUMBER(SEARCH('Task Finder'!$C$7,$B444)),ISNUMBER(SEARCH('Task Finder'!$C$7,$C444)),ISNUMBER(SEARCH('Task Finder'!$C$7,$D444)),ISNUMBER(SEARCH('Task Finder'!$C$7,$K444)))),TRUE))</f>
        <v/>
      </c>
    </row>
    <row r="445">
      <c r="A445" s="19" t="n"/>
      <c r="B445" s="19" t="n"/>
      <c r="C445" s="19" t="n"/>
      <c r="D445" s="19" t="n"/>
      <c r="E445" s="19" t="n"/>
      <c r="F445" s="19" t="n"/>
      <c r="G445" s="19" t="n"/>
      <c r="H445" s="19" t="n"/>
      <c r="I445" s="19" t="n"/>
      <c r="J445" s="19" t="n"/>
      <c r="K445" s="19" t="n"/>
      <c r="L445" s="125" t="n"/>
      <c r="M445" s="88">
        <f>IF($D445="","",IFERROR(VLOOKUP($H445,Lists!$N$2:$O$6,2,FALSE),0))</f>
        <v/>
      </c>
      <c r="N445" s="88">
        <f>IF($D445="","",IF(OR($E445="Blocked",$E445="Done",$E445="Archive"),-9999,IF(AND($E445="Waiting",SUMPRODUCT((($E$5:$E$500="Next")+($E$5:$E$500="In Progress")+($E$5:$E$500="Captured"))*($D$5:$D$500&lt;&gt;""))&gt;0),-500,VLOOKUP($F445,Lists!$L$2:$M$4,2,FALSE)+IF($E445="In Progress",10,0)+IF(AND($I445&lt;&gt;"",$I445&lt;TODAY()),25,0)+IF(AND($I445&lt;&gt;"",$I445&gt;=TODAY(),$I445&lt;=TODAY()+7),15,0)+IF($M445&lt;=VLOOKUP(Home!$C$7,Lists!$N$2:$O$6,2,FALSE),20,-10)+IF($G445=Home!$E$7,15,IF(Home!$E$7="",0,-5))-ROW()/100000)))</f>
        <v/>
      </c>
      <c r="O445" s="88">
        <f>IF($D445="","",IF($N445&lt;=-500,"Not recommended right now",IF($E445="Waiting","Nothing else actionable right now — Waiting on: "&amp;IF($K445="","this item",$K445),TEXTJOIN(" • ",TRUE,IF($F445="High","High Priority",""),IF(AND($I445&lt;&gt;"",$I445&lt;TODAY()),"Overdue",""),IF(AND($I445&lt;&gt;"",$I445&gt;=TODAY(),$I445&lt;=TODAY()+7),"Due This Week",""),IF($M445&lt;=VLOOKUP(Home!$C$7,Lists!$N$2:$O$6,2,FALSE),$H445&amp;" Task",""),IF($G445=Home!$E$7,"Fits Current Energy",""),"No Blockers"))))</f>
        <v/>
      </c>
      <c r="P445" s="88">
        <f>IF($D445="","",SWITCH('Task Finder'!$C$6,"High Priority",AND($F445="High",$E445&lt;&gt;"Done",$E445&lt;&gt;"Archive"),"Due This Week",AND($I445&lt;&gt;"",$I445&gt;=TODAY(),$I445&lt;=TODAY()+7,$E445&lt;&gt;"Done"),"Quick Wins (15 mins or less)",AND($M445&lt;=15,$E445&lt;&gt;"Done",$E445&lt;&gt;"Blocked"),"Deep Thinking",AND($G445="Deep Thinking",$E445&lt;&gt;"Done"),"Processing",AND($G445="Processing",$E445&lt;&gt;"Done"),"Blocked",$E445="Blocked","Waiting",$E445="Waiting","Recently Updated",AND($L445&lt;&gt;"",$L445&gt;=TODAY()-7),"Keyword",AND('Task Finder'!$C$7&lt;&gt;"",OR(ISNUMBER(SEARCH('Task Finder'!$C$7,$A445)),ISNUMBER(SEARCH('Task Finder'!$C$7,$B445)),ISNUMBER(SEARCH('Task Finder'!$C$7,$C445)),ISNUMBER(SEARCH('Task Finder'!$C$7,$D445)),ISNUMBER(SEARCH('Task Finder'!$C$7,$K445)))),TRUE))</f>
        <v/>
      </c>
    </row>
    <row r="446">
      <c r="A446" s="19" t="n"/>
      <c r="B446" s="19" t="n"/>
      <c r="C446" s="19" t="n"/>
      <c r="D446" s="19" t="n"/>
      <c r="E446" s="19" t="n"/>
      <c r="F446" s="19" t="n"/>
      <c r="G446" s="19" t="n"/>
      <c r="H446" s="19" t="n"/>
      <c r="I446" s="19" t="n"/>
      <c r="J446" s="19" t="n"/>
      <c r="K446" s="19" t="n"/>
      <c r="L446" s="125" t="n"/>
      <c r="M446" s="88">
        <f>IF($D446="","",IFERROR(VLOOKUP($H446,Lists!$N$2:$O$6,2,FALSE),0))</f>
        <v/>
      </c>
      <c r="N446" s="88">
        <f>IF($D446="","",IF(OR($E446="Blocked",$E446="Done",$E446="Archive"),-9999,IF(AND($E446="Waiting",SUMPRODUCT((($E$5:$E$500="Next")+($E$5:$E$500="In Progress")+($E$5:$E$500="Captured"))*($D$5:$D$500&lt;&gt;""))&gt;0),-500,VLOOKUP($F446,Lists!$L$2:$M$4,2,FALSE)+IF($E446="In Progress",10,0)+IF(AND($I446&lt;&gt;"",$I446&lt;TODAY()),25,0)+IF(AND($I446&lt;&gt;"",$I446&gt;=TODAY(),$I446&lt;=TODAY()+7),15,0)+IF($M446&lt;=VLOOKUP(Home!$C$7,Lists!$N$2:$O$6,2,FALSE),20,-10)+IF($G446=Home!$E$7,15,IF(Home!$E$7="",0,-5))-ROW()/100000)))</f>
        <v/>
      </c>
      <c r="O446" s="88">
        <f>IF($D446="","",IF($N446&lt;=-500,"Not recommended right now",IF($E446="Waiting","Nothing else actionable right now — Waiting on: "&amp;IF($K446="","this item",$K446),TEXTJOIN(" • ",TRUE,IF($F446="High","High Priority",""),IF(AND($I446&lt;&gt;"",$I446&lt;TODAY()),"Overdue",""),IF(AND($I446&lt;&gt;"",$I446&gt;=TODAY(),$I446&lt;=TODAY()+7),"Due This Week",""),IF($M446&lt;=VLOOKUP(Home!$C$7,Lists!$N$2:$O$6,2,FALSE),$H446&amp;" Task",""),IF($G446=Home!$E$7,"Fits Current Energy",""),"No Blockers"))))</f>
        <v/>
      </c>
      <c r="P446" s="88">
        <f>IF($D446="","",SWITCH('Task Finder'!$C$6,"High Priority",AND($F446="High",$E446&lt;&gt;"Done",$E446&lt;&gt;"Archive"),"Due This Week",AND($I446&lt;&gt;"",$I446&gt;=TODAY(),$I446&lt;=TODAY()+7,$E446&lt;&gt;"Done"),"Quick Wins (15 mins or less)",AND($M446&lt;=15,$E446&lt;&gt;"Done",$E446&lt;&gt;"Blocked"),"Deep Thinking",AND($G446="Deep Thinking",$E446&lt;&gt;"Done"),"Processing",AND($G446="Processing",$E446&lt;&gt;"Done"),"Blocked",$E446="Blocked","Waiting",$E446="Waiting","Recently Updated",AND($L446&lt;&gt;"",$L446&gt;=TODAY()-7),"Keyword",AND('Task Finder'!$C$7&lt;&gt;"",OR(ISNUMBER(SEARCH('Task Finder'!$C$7,$A446)),ISNUMBER(SEARCH('Task Finder'!$C$7,$B446)),ISNUMBER(SEARCH('Task Finder'!$C$7,$C446)),ISNUMBER(SEARCH('Task Finder'!$C$7,$D446)),ISNUMBER(SEARCH('Task Finder'!$C$7,$K446)))),TRUE))</f>
        <v/>
      </c>
    </row>
    <row r="447">
      <c r="A447" s="19" t="n"/>
      <c r="B447" s="19" t="n"/>
      <c r="C447" s="19" t="n"/>
      <c r="D447" s="19" t="n"/>
      <c r="E447" s="19" t="n"/>
      <c r="F447" s="19" t="n"/>
      <c r="G447" s="19" t="n"/>
      <c r="H447" s="19" t="n"/>
      <c r="I447" s="19" t="n"/>
      <c r="J447" s="19" t="n"/>
      <c r="K447" s="19" t="n"/>
      <c r="L447" s="125" t="n"/>
      <c r="M447" s="88">
        <f>IF($D447="","",IFERROR(VLOOKUP($H447,Lists!$N$2:$O$6,2,FALSE),0))</f>
        <v/>
      </c>
      <c r="N447" s="88">
        <f>IF($D447="","",IF(OR($E447="Blocked",$E447="Done",$E447="Archive"),-9999,IF(AND($E447="Waiting",SUMPRODUCT((($E$5:$E$500="Next")+($E$5:$E$500="In Progress")+($E$5:$E$500="Captured"))*($D$5:$D$500&lt;&gt;""))&gt;0),-500,VLOOKUP($F447,Lists!$L$2:$M$4,2,FALSE)+IF($E447="In Progress",10,0)+IF(AND($I447&lt;&gt;"",$I447&lt;TODAY()),25,0)+IF(AND($I447&lt;&gt;"",$I447&gt;=TODAY(),$I447&lt;=TODAY()+7),15,0)+IF($M447&lt;=VLOOKUP(Home!$C$7,Lists!$N$2:$O$6,2,FALSE),20,-10)+IF($G447=Home!$E$7,15,IF(Home!$E$7="",0,-5))-ROW()/100000)))</f>
        <v/>
      </c>
      <c r="O447" s="88">
        <f>IF($D447="","",IF($N447&lt;=-500,"Not recommended right now",IF($E447="Waiting","Nothing else actionable right now — Waiting on: "&amp;IF($K447="","this item",$K447),TEXTJOIN(" • ",TRUE,IF($F447="High","High Priority",""),IF(AND($I447&lt;&gt;"",$I447&lt;TODAY()),"Overdue",""),IF(AND($I447&lt;&gt;"",$I447&gt;=TODAY(),$I447&lt;=TODAY()+7),"Due This Week",""),IF($M447&lt;=VLOOKUP(Home!$C$7,Lists!$N$2:$O$6,2,FALSE),$H447&amp;" Task",""),IF($G447=Home!$E$7,"Fits Current Energy",""),"No Blockers"))))</f>
        <v/>
      </c>
      <c r="P447" s="88">
        <f>IF($D447="","",SWITCH('Task Finder'!$C$6,"High Priority",AND($F447="High",$E447&lt;&gt;"Done",$E447&lt;&gt;"Archive"),"Due This Week",AND($I447&lt;&gt;"",$I447&gt;=TODAY(),$I447&lt;=TODAY()+7,$E447&lt;&gt;"Done"),"Quick Wins (15 mins or less)",AND($M447&lt;=15,$E447&lt;&gt;"Done",$E447&lt;&gt;"Blocked"),"Deep Thinking",AND($G447="Deep Thinking",$E447&lt;&gt;"Done"),"Processing",AND($G447="Processing",$E447&lt;&gt;"Done"),"Blocked",$E447="Blocked","Waiting",$E447="Waiting","Recently Updated",AND($L447&lt;&gt;"",$L447&gt;=TODAY()-7),"Keyword",AND('Task Finder'!$C$7&lt;&gt;"",OR(ISNUMBER(SEARCH('Task Finder'!$C$7,$A447)),ISNUMBER(SEARCH('Task Finder'!$C$7,$B447)),ISNUMBER(SEARCH('Task Finder'!$C$7,$C447)),ISNUMBER(SEARCH('Task Finder'!$C$7,$D447)),ISNUMBER(SEARCH('Task Finder'!$C$7,$K447)))),TRUE))</f>
        <v/>
      </c>
    </row>
    <row r="448">
      <c r="A448" s="19" t="n"/>
      <c r="B448" s="19" t="n"/>
      <c r="C448" s="19" t="n"/>
      <c r="D448" s="19" t="n"/>
      <c r="E448" s="19" t="n"/>
      <c r="F448" s="19" t="n"/>
      <c r="G448" s="19" t="n"/>
      <c r="H448" s="19" t="n"/>
      <c r="I448" s="19" t="n"/>
      <c r="J448" s="19" t="n"/>
      <c r="K448" s="19" t="n"/>
      <c r="L448" s="125" t="n"/>
      <c r="M448" s="88">
        <f>IF($D448="","",IFERROR(VLOOKUP($H448,Lists!$N$2:$O$6,2,FALSE),0))</f>
        <v/>
      </c>
      <c r="N448" s="88">
        <f>IF($D448="","",IF(OR($E448="Blocked",$E448="Done",$E448="Archive"),-9999,IF(AND($E448="Waiting",SUMPRODUCT((($E$5:$E$500="Next")+($E$5:$E$500="In Progress")+($E$5:$E$500="Captured"))*($D$5:$D$500&lt;&gt;""))&gt;0),-500,VLOOKUP($F448,Lists!$L$2:$M$4,2,FALSE)+IF($E448="In Progress",10,0)+IF(AND($I448&lt;&gt;"",$I448&lt;TODAY()),25,0)+IF(AND($I448&lt;&gt;"",$I448&gt;=TODAY(),$I448&lt;=TODAY()+7),15,0)+IF($M448&lt;=VLOOKUP(Home!$C$7,Lists!$N$2:$O$6,2,FALSE),20,-10)+IF($G448=Home!$E$7,15,IF(Home!$E$7="",0,-5))-ROW()/100000)))</f>
        <v/>
      </c>
      <c r="O448" s="88">
        <f>IF($D448="","",IF($N448&lt;=-500,"Not recommended right now",IF($E448="Waiting","Nothing else actionable right now — Waiting on: "&amp;IF($K448="","this item",$K448),TEXTJOIN(" • ",TRUE,IF($F448="High","High Priority",""),IF(AND($I448&lt;&gt;"",$I448&lt;TODAY()),"Overdue",""),IF(AND($I448&lt;&gt;"",$I448&gt;=TODAY(),$I448&lt;=TODAY()+7),"Due This Week",""),IF($M448&lt;=VLOOKUP(Home!$C$7,Lists!$N$2:$O$6,2,FALSE),$H448&amp;" Task",""),IF($G448=Home!$E$7,"Fits Current Energy",""),"No Blockers"))))</f>
        <v/>
      </c>
      <c r="P448" s="88">
        <f>IF($D448="","",SWITCH('Task Finder'!$C$6,"High Priority",AND($F448="High",$E448&lt;&gt;"Done",$E448&lt;&gt;"Archive"),"Due This Week",AND($I448&lt;&gt;"",$I448&gt;=TODAY(),$I448&lt;=TODAY()+7,$E448&lt;&gt;"Done"),"Quick Wins (15 mins or less)",AND($M448&lt;=15,$E448&lt;&gt;"Done",$E448&lt;&gt;"Blocked"),"Deep Thinking",AND($G448="Deep Thinking",$E448&lt;&gt;"Done"),"Processing",AND($G448="Processing",$E448&lt;&gt;"Done"),"Blocked",$E448="Blocked","Waiting",$E448="Waiting","Recently Updated",AND($L448&lt;&gt;"",$L448&gt;=TODAY()-7),"Keyword",AND('Task Finder'!$C$7&lt;&gt;"",OR(ISNUMBER(SEARCH('Task Finder'!$C$7,$A448)),ISNUMBER(SEARCH('Task Finder'!$C$7,$B448)),ISNUMBER(SEARCH('Task Finder'!$C$7,$C448)),ISNUMBER(SEARCH('Task Finder'!$C$7,$D448)),ISNUMBER(SEARCH('Task Finder'!$C$7,$K448)))),TRUE))</f>
        <v/>
      </c>
    </row>
    <row r="449">
      <c r="A449" s="19" t="n"/>
      <c r="B449" s="19" t="n"/>
      <c r="C449" s="19" t="n"/>
      <c r="D449" s="19" t="n"/>
      <c r="E449" s="19" t="n"/>
      <c r="F449" s="19" t="n"/>
      <c r="G449" s="19" t="n"/>
      <c r="H449" s="19" t="n"/>
      <c r="I449" s="19" t="n"/>
      <c r="J449" s="19" t="n"/>
      <c r="K449" s="19" t="n"/>
      <c r="L449" s="125" t="n"/>
      <c r="M449" s="88">
        <f>IF($D449="","",IFERROR(VLOOKUP($H449,Lists!$N$2:$O$6,2,FALSE),0))</f>
        <v/>
      </c>
      <c r="N449" s="88">
        <f>IF($D449="","",IF(OR($E449="Blocked",$E449="Done",$E449="Archive"),-9999,IF(AND($E449="Waiting",SUMPRODUCT((($E$5:$E$500="Next")+($E$5:$E$500="In Progress")+($E$5:$E$500="Captured"))*($D$5:$D$500&lt;&gt;""))&gt;0),-500,VLOOKUP($F449,Lists!$L$2:$M$4,2,FALSE)+IF($E449="In Progress",10,0)+IF(AND($I449&lt;&gt;"",$I449&lt;TODAY()),25,0)+IF(AND($I449&lt;&gt;"",$I449&gt;=TODAY(),$I449&lt;=TODAY()+7),15,0)+IF($M449&lt;=VLOOKUP(Home!$C$7,Lists!$N$2:$O$6,2,FALSE),20,-10)+IF($G449=Home!$E$7,15,IF(Home!$E$7="",0,-5))-ROW()/100000)))</f>
        <v/>
      </c>
      <c r="O449" s="88">
        <f>IF($D449="","",IF($N449&lt;=-500,"Not recommended right now",IF($E449="Waiting","Nothing else actionable right now — Waiting on: "&amp;IF($K449="","this item",$K449),TEXTJOIN(" • ",TRUE,IF($F449="High","High Priority",""),IF(AND($I449&lt;&gt;"",$I449&lt;TODAY()),"Overdue",""),IF(AND($I449&lt;&gt;"",$I449&gt;=TODAY(),$I449&lt;=TODAY()+7),"Due This Week",""),IF($M449&lt;=VLOOKUP(Home!$C$7,Lists!$N$2:$O$6,2,FALSE),$H449&amp;" Task",""),IF($G449=Home!$E$7,"Fits Current Energy",""),"No Blockers"))))</f>
        <v/>
      </c>
      <c r="P449" s="88">
        <f>IF($D449="","",SWITCH('Task Finder'!$C$6,"High Priority",AND($F449="High",$E449&lt;&gt;"Done",$E449&lt;&gt;"Archive"),"Due This Week",AND($I449&lt;&gt;"",$I449&gt;=TODAY(),$I449&lt;=TODAY()+7,$E449&lt;&gt;"Done"),"Quick Wins (15 mins or less)",AND($M449&lt;=15,$E449&lt;&gt;"Done",$E449&lt;&gt;"Blocked"),"Deep Thinking",AND($G449="Deep Thinking",$E449&lt;&gt;"Done"),"Processing",AND($G449="Processing",$E449&lt;&gt;"Done"),"Blocked",$E449="Blocked","Waiting",$E449="Waiting","Recently Updated",AND($L449&lt;&gt;"",$L449&gt;=TODAY()-7),"Keyword",AND('Task Finder'!$C$7&lt;&gt;"",OR(ISNUMBER(SEARCH('Task Finder'!$C$7,$A449)),ISNUMBER(SEARCH('Task Finder'!$C$7,$B449)),ISNUMBER(SEARCH('Task Finder'!$C$7,$C449)),ISNUMBER(SEARCH('Task Finder'!$C$7,$D449)),ISNUMBER(SEARCH('Task Finder'!$C$7,$K449)))),TRUE))</f>
        <v/>
      </c>
    </row>
    <row r="450">
      <c r="A450" s="19" t="n"/>
      <c r="B450" s="19" t="n"/>
      <c r="C450" s="19" t="n"/>
      <c r="D450" s="19" t="n"/>
      <c r="E450" s="19" t="n"/>
      <c r="F450" s="19" t="n"/>
      <c r="G450" s="19" t="n"/>
      <c r="H450" s="19" t="n"/>
      <c r="I450" s="19" t="n"/>
      <c r="J450" s="19" t="n"/>
      <c r="K450" s="19" t="n"/>
      <c r="L450" s="125" t="n"/>
      <c r="M450" s="88">
        <f>IF($D450="","",IFERROR(VLOOKUP($H450,Lists!$N$2:$O$6,2,FALSE),0))</f>
        <v/>
      </c>
      <c r="N450" s="88">
        <f>IF($D450="","",IF(OR($E450="Blocked",$E450="Done",$E450="Archive"),-9999,IF(AND($E450="Waiting",SUMPRODUCT((($E$5:$E$500="Next")+($E$5:$E$500="In Progress")+($E$5:$E$500="Captured"))*($D$5:$D$500&lt;&gt;""))&gt;0),-500,VLOOKUP($F450,Lists!$L$2:$M$4,2,FALSE)+IF($E450="In Progress",10,0)+IF(AND($I450&lt;&gt;"",$I450&lt;TODAY()),25,0)+IF(AND($I450&lt;&gt;"",$I450&gt;=TODAY(),$I450&lt;=TODAY()+7),15,0)+IF($M450&lt;=VLOOKUP(Home!$C$7,Lists!$N$2:$O$6,2,FALSE),20,-10)+IF($G450=Home!$E$7,15,IF(Home!$E$7="",0,-5))-ROW()/100000)))</f>
        <v/>
      </c>
      <c r="O450" s="88">
        <f>IF($D450="","",IF($N450&lt;=-500,"Not recommended right now",IF($E450="Waiting","Nothing else actionable right now — Waiting on: "&amp;IF($K450="","this item",$K450),TEXTJOIN(" • ",TRUE,IF($F450="High","High Priority",""),IF(AND($I450&lt;&gt;"",$I450&lt;TODAY()),"Overdue",""),IF(AND($I450&lt;&gt;"",$I450&gt;=TODAY(),$I450&lt;=TODAY()+7),"Due This Week",""),IF($M450&lt;=VLOOKUP(Home!$C$7,Lists!$N$2:$O$6,2,FALSE),$H450&amp;" Task",""),IF($G450=Home!$E$7,"Fits Current Energy",""),"No Blockers"))))</f>
        <v/>
      </c>
      <c r="P450" s="88">
        <f>IF($D450="","",SWITCH('Task Finder'!$C$6,"High Priority",AND($F450="High",$E450&lt;&gt;"Done",$E450&lt;&gt;"Archive"),"Due This Week",AND($I450&lt;&gt;"",$I450&gt;=TODAY(),$I450&lt;=TODAY()+7,$E450&lt;&gt;"Done"),"Quick Wins (15 mins or less)",AND($M450&lt;=15,$E450&lt;&gt;"Done",$E450&lt;&gt;"Blocked"),"Deep Thinking",AND($G450="Deep Thinking",$E450&lt;&gt;"Done"),"Processing",AND($G450="Processing",$E450&lt;&gt;"Done"),"Blocked",$E450="Blocked","Waiting",$E450="Waiting","Recently Updated",AND($L450&lt;&gt;"",$L450&gt;=TODAY()-7),"Keyword",AND('Task Finder'!$C$7&lt;&gt;"",OR(ISNUMBER(SEARCH('Task Finder'!$C$7,$A450)),ISNUMBER(SEARCH('Task Finder'!$C$7,$B450)),ISNUMBER(SEARCH('Task Finder'!$C$7,$C450)),ISNUMBER(SEARCH('Task Finder'!$C$7,$D450)),ISNUMBER(SEARCH('Task Finder'!$C$7,$K450)))),TRUE))</f>
        <v/>
      </c>
    </row>
    <row r="451">
      <c r="A451" s="19" t="n"/>
      <c r="B451" s="19" t="n"/>
      <c r="C451" s="19" t="n"/>
      <c r="D451" s="19" t="n"/>
      <c r="E451" s="19" t="n"/>
      <c r="F451" s="19" t="n"/>
      <c r="G451" s="19" t="n"/>
      <c r="H451" s="19" t="n"/>
      <c r="I451" s="19" t="n"/>
      <c r="J451" s="19" t="n"/>
      <c r="K451" s="19" t="n"/>
      <c r="L451" s="125" t="n"/>
      <c r="M451" s="88">
        <f>IF($D451="","",IFERROR(VLOOKUP($H451,Lists!$N$2:$O$6,2,FALSE),0))</f>
        <v/>
      </c>
      <c r="N451" s="88">
        <f>IF($D451="","",IF(OR($E451="Blocked",$E451="Done",$E451="Archive"),-9999,IF(AND($E451="Waiting",SUMPRODUCT((($E$5:$E$500="Next")+($E$5:$E$500="In Progress")+($E$5:$E$500="Captured"))*($D$5:$D$500&lt;&gt;""))&gt;0),-500,VLOOKUP($F451,Lists!$L$2:$M$4,2,FALSE)+IF($E451="In Progress",10,0)+IF(AND($I451&lt;&gt;"",$I451&lt;TODAY()),25,0)+IF(AND($I451&lt;&gt;"",$I451&gt;=TODAY(),$I451&lt;=TODAY()+7),15,0)+IF($M451&lt;=VLOOKUP(Home!$C$7,Lists!$N$2:$O$6,2,FALSE),20,-10)+IF($G451=Home!$E$7,15,IF(Home!$E$7="",0,-5))-ROW()/100000)))</f>
        <v/>
      </c>
      <c r="O451" s="88">
        <f>IF($D451="","",IF($N451&lt;=-500,"Not recommended right now",IF($E451="Waiting","Nothing else actionable right now — Waiting on: "&amp;IF($K451="","this item",$K451),TEXTJOIN(" • ",TRUE,IF($F451="High","High Priority",""),IF(AND($I451&lt;&gt;"",$I451&lt;TODAY()),"Overdue",""),IF(AND($I451&lt;&gt;"",$I451&gt;=TODAY(),$I451&lt;=TODAY()+7),"Due This Week",""),IF($M451&lt;=VLOOKUP(Home!$C$7,Lists!$N$2:$O$6,2,FALSE),$H451&amp;" Task",""),IF($G451=Home!$E$7,"Fits Current Energy",""),"No Blockers"))))</f>
        <v/>
      </c>
      <c r="P451" s="88">
        <f>IF($D451="","",SWITCH('Task Finder'!$C$6,"High Priority",AND($F451="High",$E451&lt;&gt;"Done",$E451&lt;&gt;"Archive"),"Due This Week",AND($I451&lt;&gt;"",$I451&gt;=TODAY(),$I451&lt;=TODAY()+7,$E451&lt;&gt;"Done"),"Quick Wins (15 mins or less)",AND($M451&lt;=15,$E451&lt;&gt;"Done",$E451&lt;&gt;"Blocked"),"Deep Thinking",AND($G451="Deep Thinking",$E451&lt;&gt;"Done"),"Processing",AND($G451="Processing",$E451&lt;&gt;"Done"),"Blocked",$E451="Blocked","Waiting",$E451="Waiting","Recently Updated",AND($L451&lt;&gt;"",$L451&gt;=TODAY()-7),"Keyword",AND('Task Finder'!$C$7&lt;&gt;"",OR(ISNUMBER(SEARCH('Task Finder'!$C$7,$A451)),ISNUMBER(SEARCH('Task Finder'!$C$7,$B451)),ISNUMBER(SEARCH('Task Finder'!$C$7,$C451)),ISNUMBER(SEARCH('Task Finder'!$C$7,$D451)),ISNUMBER(SEARCH('Task Finder'!$C$7,$K451)))),TRUE))</f>
        <v/>
      </c>
    </row>
    <row r="452">
      <c r="A452" s="19" t="n"/>
      <c r="B452" s="19" t="n"/>
      <c r="C452" s="19" t="n"/>
      <c r="D452" s="19" t="n"/>
      <c r="E452" s="19" t="n"/>
      <c r="F452" s="19" t="n"/>
      <c r="G452" s="19" t="n"/>
      <c r="H452" s="19" t="n"/>
      <c r="I452" s="19" t="n"/>
      <c r="J452" s="19" t="n"/>
      <c r="K452" s="19" t="n"/>
      <c r="L452" s="125" t="n"/>
      <c r="M452" s="88">
        <f>IF($D452="","",IFERROR(VLOOKUP($H452,Lists!$N$2:$O$6,2,FALSE),0))</f>
        <v/>
      </c>
      <c r="N452" s="88">
        <f>IF($D452="","",IF(OR($E452="Blocked",$E452="Done",$E452="Archive"),-9999,IF(AND($E452="Waiting",SUMPRODUCT((($E$5:$E$500="Next")+($E$5:$E$500="In Progress")+($E$5:$E$500="Captured"))*($D$5:$D$500&lt;&gt;""))&gt;0),-500,VLOOKUP($F452,Lists!$L$2:$M$4,2,FALSE)+IF($E452="In Progress",10,0)+IF(AND($I452&lt;&gt;"",$I452&lt;TODAY()),25,0)+IF(AND($I452&lt;&gt;"",$I452&gt;=TODAY(),$I452&lt;=TODAY()+7),15,0)+IF($M452&lt;=VLOOKUP(Home!$C$7,Lists!$N$2:$O$6,2,FALSE),20,-10)+IF($G452=Home!$E$7,15,IF(Home!$E$7="",0,-5))-ROW()/100000)))</f>
        <v/>
      </c>
      <c r="O452" s="88">
        <f>IF($D452="","",IF($N452&lt;=-500,"Not recommended right now",IF($E452="Waiting","Nothing else actionable right now — Waiting on: "&amp;IF($K452="","this item",$K452),TEXTJOIN(" • ",TRUE,IF($F452="High","High Priority",""),IF(AND($I452&lt;&gt;"",$I452&lt;TODAY()),"Overdue",""),IF(AND($I452&lt;&gt;"",$I452&gt;=TODAY(),$I452&lt;=TODAY()+7),"Due This Week",""),IF($M452&lt;=VLOOKUP(Home!$C$7,Lists!$N$2:$O$6,2,FALSE),$H452&amp;" Task",""),IF($G452=Home!$E$7,"Fits Current Energy",""),"No Blockers"))))</f>
        <v/>
      </c>
      <c r="P452" s="88">
        <f>IF($D452="","",SWITCH('Task Finder'!$C$6,"High Priority",AND($F452="High",$E452&lt;&gt;"Done",$E452&lt;&gt;"Archive"),"Due This Week",AND($I452&lt;&gt;"",$I452&gt;=TODAY(),$I452&lt;=TODAY()+7,$E452&lt;&gt;"Done"),"Quick Wins (15 mins or less)",AND($M452&lt;=15,$E452&lt;&gt;"Done",$E452&lt;&gt;"Blocked"),"Deep Thinking",AND($G452="Deep Thinking",$E452&lt;&gt;"Done"),"Processing",AND($G452="Processing",$E452&lt;&gt;"Done"),"Blocked",$E452="Blocked","Waiting",$E452="Waiting","Recently Updated",AND($L452&lt;&gt;"",$L452&gt;=TODAY()-7),"Keyword",AND('Task Finder'!$C$7&lt;&gt;"",OR(ISNUMBER(SEARCH('Task Finder'!$C$7,$A452)),ISNUMBER(SEARCH('Task Finder'!$C$7,$B452)),ISNUMBER(SEARCH('Task Finder'!$C$7,$C452)),ISNUMBER(SEARCH('Task Finder'!$C$7,$D452)),ISNUMBER(SEARCH('Task Finder'!$C$7,$K452)))),TRUE))</f>
        <v/>
      </c>
    </row>
    <row r="453">
      <c r="A453" s="19" t="n"/>
      <c r="B453" s="19" t="n"/>
      <c r="C453" s="19" t="n"/>
      <c r="D453" s="19" t="n"/>
      <c r="E453" s="19" t="n"/>
      <c r="F453" s="19" t="n"/>
      <c r="G453" s="19" t="n"/>
      <c r="H453" s="19" t="n"/>
      <c r="I453" s="19" t="n"/>
      <c r="J453" s="19" t="n"/>
      <c r="K453" s="19" t="n"/>
      <c r="L453" s="125" t="n"/>
      <c r="M453" s="88">
        <f>IF($D453="","",IFERROR(VLOOKUP($H453,Lists!$N$2:$O$6,2,FALSE),0))</f>
        <v/>
      </c>
      <c r="N453" s="88">
        <f>IF($D453="","",IF(OR($E453="Blocked",$E453="Done",$E453="Archive"),-9999,IF(AND($E453="Waiting",SUMPRODUCT((($E$5:$E$500="Next")+($E$5:$E$500="In Progress")+($E$5:$E$500="Captured"))*($D$5:$D$500&lt;&gt;""))&gt;0),-500,VLOOKUP($F453,Lists!$L$2:$M$4,2,FALSE)+IF($E453="In Progress",10,0)+IF(AND($I453&lt;&gt;"",$I453&lt;TODAY()),25,0)+IF(AND($I453&lt;&gt;"",$I453&gt;=TODAY(),$I453&lt;=TODAY()+7),15,0)+IF($M453&lt;=VLOOKUP(Home!$C$7,Lists!$N$2:$O$6,2,FALSE),20,-10)+IF($G453=Home!$E$7,15,IF(Home!$E$7="",0,-5))-ROW()/100000)))</f>
        <v/>
      </c>
      <c r="O453" s="88">
        <f>IF($D453="","",IF($N453&lt;=-500,"Not recommended right now",IF($E453="Waiting","Nothing else actionable right now — Waiting on: "&amp;IF($K453="","this item",$K453),TEXTJOIN(" • ",TRUE,IF($F453="High","High Priority",""),IF(AND($I453&lt;&gt;"",$I453&lt;TODAY()),"Overdue",""),IF(AND($I453&lt;&gt;"",$I453&gt;=TODAY(),$I453&lt;=TODAY()+7),"Due This Week",""),IF($M453&lt;=VLOOKUP(Home!$C$7,Lists!$N$2:$O$6,2,FALSE),$H453&amp;" Task",""),IF($G453=Home!$E$7,"Fits Current Energy",""),"No Blockers"))))</f>
        <v/>
      </c>
      <c r="P453" s="88">
        <f>IF($D453="","",SWITCH('Task Finder'!$C$6,"High Priority",AND($F453="High",$E453&lt;&gt;"Done",$E453&lt;&gt;"Archive"),"Due This Week",AND($I453&lt;&gt;"",$I453&gt;=TODAY(),$I453&lt;=TODAY()+7,$E453&lt;&gt;"Done"),"Quick Wins (15 mins or less)",AND($M453&lt;=15,$E453&lt;&gt;"Done",$E453&lt;&gt;"Blocked"),"Deep Thinking",AND($G453="Deep Thinking",$E453&lt;&gt;"Done"),"Processing",AND($G453="Processing",$E453&lt;&gt;"Done"),"Blocked",$E453="Blocked","Waiting",$E453="Waiting","Recently Updated",AND($L453&lt;&gt;"",$L453&gt;=TODAY()-7),"Keyword",AND('Task Finder'!$C$7&lt;&gt;"",OR(ISNUMBER(SEARCH('Task Finder'!$C$7,$A453)),ISNUMBER(SEARCH('Task Finder'!$C$7,$B453)),ISNUMBER(SEARCH('Task Finder'!$C$7,$C453)),ISNUMBER(SEARCH('Task Finder'!$C$7,$D453)),ISNUMBER(SEARCH('Task Finder'!$C$7,$K453)))),TRUE))</f>
        <v/>
      </c>
    </row>
    <row r="454">
      <c r="A454" s="19" t="n"/>
      <c r="B454" s="19" t="n"/>
      <c r="C454" s="19" t="n"/>
      <c r="D454" s="19" t="n"/>
      <c r="E454" s="19" t="n"/>
      <c r="F454" s="19" t="n"/>
      <c r="G454" s="19" t="n"/>
      <c r="H454" s="19" t="n"/>
      <c r="I454" s="19" t="n"/>
      <c r="J454" s="19" t="n"/>
      <c r="K454" s="19" t="n"/>
      <c r="L454" s="125" t="n"/>
      <c r="M454" s="88">
        <f>IF($D454="","",IFERROR(VLOOKUP($H454,Lists!$N$2:$O$6,2,FALSE),0))</f>
        <v/>
      </c>
      <c r="N454" s="88">
        <f>IF($D454="","",IF(OR($E454="Blocked",$E454="Done",$E454="Archive"),-9999,IF(AND($E454="Waiting",SUMPRODUCT((($E$5:$E$500="Next")+($E$5:$E$500="In Progress")+($E$5:$E$500="Captured"))*($D$5:$D$500&lt;&gt;""))&gt;0),-500,VLOOKUP($F454,Lists!$L$2:$M$4,2,FALSE)+IF($E454="In Progress",10,0)+IF(AND($I454&lt;&gt;"",$I454&lt;TODAY()),25,0)+IF(AND($I454&lt;&gt;"",$I454&gt;=TODAY(),$I454&lt;=TODAY()+7),15,0)+IF($M454&lt;=VLOOKUP(Home!$C$7,Lists!$N$2:$O$6,2,FALSE),20,-10)+IF($G454=Home!$E$7,15,IF(Home!$E$7="",0,-5))-ROW()/100000)))</f>
        <v/>
      </c>
      <c r="O454" s="88">
        <f>IF($D454="","",IF($N454&lt;=-500,"Not recommended right now",IF($E454="Waiting","Nothing else actionable right now — Waiting on: "&amp;IF($K454="","this item",$K454),TEXTJOIN(" • ",TRUE,IF($F454="High","High Priority",""),IF(AND($I454&lt;&gt;"",$I454&lt;TODAY()),"Overdue",""),IF(AND($I454&lt;&gt;"",$I454&gt;=TODAY(),$I454&lt;=TODAY()+7),"Due This Week",""),IF($M454&lt;=VLOOKUP(Home!$C$7,Lists!$N$2:$O$6,2,FALSE),$H454&amp;" Task",""),IF($G454=Home!$E$7,"Fits Current Energy",""),"No Blockers"))))</f>
        <v/>
      </c>
      <c r="P454" s="88">
        <f>IF($D454="","",SWITCH('Task Finder'!$C$6,"High Priority",AND($F454="High",$E454&lt;&gt;"Done",$E454&lt;&gt;"Archive"),"Due This Week",AND($I454&lt;&gt;"",$I454&gt;=TODAY(),$I454&lt;=TODAY()+7,$E454&lt;&gt;"Done"),"Quick Wins (15 mins or less)",AND($M454&lt;=15,$E454&lt;&gt;"Done",$E454&lt;&gt;"Blocked"),"Deep Thinking",AND($G454="Deep Thinking",$E454&lt;&gt;"Done"),"Processing",AND($G454="Processing",$E454&lt;&gt;"Done"),"Blocked",$E454="Blocked","Waiting",$E454="Waiting","Recently Updated",AND($L454&lt;&gt;"",$L454&gt;=TODAY()-7),"Keyword",AND('Task Finder'!$C$7&lt;&gt;"",OR(ISNUMBER(SEARCH('Task Finder'!$C$7,$A454)),ISNUMBER(SEARCH('Task Finder'!$C$7,$B454)),ISNUMBER(SEARCH('Task Finder'!$C$7,$C454)),ISNUMBER(SEARCH('Task Finder'!$C$7,$D454)),ISNUMBER(SEARCH('Task Finder'!$C$7,$K454)))),TRUE))</f>
        <v/>
      </c>
    </row>
    <row r="455">
      <c r="A455" s="19" t="n"/>
      <c r="B455" s="19" t="n"/>
      <c r="C455" s="19" t="n"/>
      <c r="D455" s="19" t="n"/>
      <c r="E455" s="19" t="n"/>
      <c r="F455" s="19" t="n"/>
      <c r="G455" s="19" t="n"/>
      <c r="H455" s="19" t="n"/>
      <c r="I455" s="19" t="n"/>
      <c r="J455" s="19" t="n"/>
      <c r="K455" s="19" t="n"/>
      <c r="L455" s="125" t="n"/>
      <c r="M455" s="88">
        <f>IF($D455="","",IFERROR(VLOOKUP($H455,Lists!$N$2:$O$6,2,FALSE),0))</f>
        <v/>
      </c>
      <c r="N455" s="88">
        <f>IF($D455="","",IF(OR($E455="Blocked",$E455="Done",$E455="Archive"),-9999,IF(AND($E455="Waiting",SUMPRODUCT((($E$5:$E$500="Next")+($E$5:$E$500="In Progress")+($E$5:$E$500="Captured"))*($D$5:$D$500&lt;&gt;""))&gt;0),-500,VLOOKUP($F455,Lists!$L$2:$M$4,2,FALSE)+IF($E455="In Progress",10,0)+IF(AND($I455&lt;&gt;"",$I455&lt;TODAY()),25,0)+IF(AND($I455&lt;&gt;"",$I455&gt;=TODAY(),$I455&lt;=TODAY()+7),15,0)+IF($M455&lt;=VLOOKUP(Home!$C$7,Lists!$N$2:$O$6,2,FALSE),20,-10)+IF($G455=Home!$E$7,15,IF(Home!$E$7="",0,-5))-ROW()/100000)))</f>
        <v/>
      </c>
      <c r="O455" s="88">
        <f>IF($D455="","",IF($N455&lt;=-500,"Not recommended right now",IF($E455="Waiting","Nothing else actionable right now — Waiting on: "&amp;IF($K455="","this item",$K455),TEXTJOIN(" • ",TRUE,IF($F455="High","High Priority",""),IF(AND($I455&lt;&gt;"",$I455&lt;TODAY()),"Overdue",""),IF(AND($I455&lt;&gt;"",$I455&gt;=TODAY(),$I455&lt;=TODAY()+7),"Due This Week",""),IF($M455&lt;=VLOOKUP(Home!$C$7,Lists!$N$2:$O$6,2,FALSE),$H455&amp;" Task",""),IF($G455=Home!$E$7,"Fits Current Energy",""),"No Blockers"))))</f>
        <v/>
      </c>
      <c r="P455" s="88">
        <f>IF($D455="","",SWITCH('Task Finder'!$C$6,"High Priority",AND($F455="High",$E455&lt;&gt;"Done",$E455&lt;&gt;"Archive"),"Due This Week",AND($I455&lt;&gt;"",$I455&gt;=TODAY(),$I455&lt;=TODAY()+7,$E455&lt;&gt;"Done"),"Quick Wins (15 mins or less)",AND($M455&lt;=15,$E455&lt;&gt;"Done",$E455&lt;&gt;"Blocked"),"Deep Thinking",AND($G455="Deep Thinking",$E455&lt;&gt;"Done"),"Processing",AND($G455="Processing",$E455&lt;&gt;"Done"),"Blocked",$E455="Blocked","Waiting",$E455="Waiting","Recently Updated",AND($L455&lt;&gt;"",$L455&gt;=TODAY()-7),"Keyword",AND('Task Finder'!$C$7&lt;&gt;"",OR(ISNUMBER(SEARCH('Task Finder'!$C$7,$A455)),ISNUMBER(SEARCH('Task Finder'!$C$7,$B455)),ISNUMBER(SEARCH('Task Finder'!$C$7,$C455)),ISNUMBER(SEARCH('Task Finder'!$C$7,$D455)),ISNUMBER(SEARCH('Task Finder'!$C$7,$K455)))),TRUE))</f>
        <v/>
      </c>
    </row>
    <row r="456">
      <c r="A456" s="19" t="n"/>
      <c r="B456" s="19" t="n"/>
      <c r="C456" s="19" t="n"/>
      <c r="D456" s="19" t="n"/>
      <c r="E456" s="19" t="n"/>
      <c r="F456" s="19" t="n"/>
      <c r="G456" s="19" t="n"/>
      <c r="H456" s="19" t="n"/>
      <c r="I456" s="19" t="n"/>
      <c r="J456" s="19" t="n"/>
      <c r="K456" s="19" t="n"/>
      <c r="L456" s="125" t="n"/>
      <c r="M456" s="88">
        <f>IF($D456="","",IFERROR(VLOOKUP($H456,Lists!$N$2:$O$6,2,FALSE),0))</f>
        <v/>
      </c>
      <c r="N456" s="88">
        <f>IF($D456="","",IF(OR($E456="Blocked",$E456="Done",$E456="Archive"),-9999,IF(AND($E456="Waiting",SUMPRODUCT((($E$5:$E$500="Next")+($E$5:$E$500="In Progress")+($E$5:$E$500="Captured"))*($D$5:$D$500&lt;&gt;""))&gt;0),-500,VLOOKUP($F456,Lists!$L$2:$M$4,2,FALSE)+IF($E456="In Progress",10,0)+IF(AND($I456&lt;&gt;"",$I456&lt;TODAY()),25,0)+IF(AND($I456&lt;&gt;"",$I456&gt;=TODAY(),$I456&lt;=TODAY()+7),15,0)+IF($M456&lt;=VLOOKUP(Home!$C$7,Lists!$N$2:$O$6,2,FALSE),20,-10)+IF($G456=Home!$E$7,15,IF(Home!$E$7="",0,-5))-ROW()/100000)))</f>
        <v/>
      </c>
      <c r="O456" s="88">
        <f>IF($D456="","",IF($N456&lt;=-500,"Not recommended right now",IF($E456="Waiting","Nothing else actionable right now — Waiting on: "&amp;IF($K456="","this item",$K456),TEXTJOIN(" • ",TRUE,IF($F456="High","High Priority",""),IF(AND($I456&lt;&gt;"",$I456&lt;TODAY()),"Overdue",""),IF(AND($I456&lt;&gt;"",$I456&gt;=TODAY(),$I456&lt;=TODAY()+7),"Due This Week",""),IF($M456&lt;=VLOOKUP(Home!$C$7,Lists!$N$2:$O$6,2,FALSE),$H456&amp;" Task",""),IF($G456=Home!$E$7,"Fits Current Energy",""),"No Blockers"))))</f>
        <v/>
      </c>
      <c r="P456" s="88">
        <f>IF($D456="","",SWITCH('Task Finder'!$C$6,"High Priority",AND($F456="High",$E456&lt;&gt;"Done",$E456&lt;&gt;"Archive"),"Due This Week",AND($I456&lt;&gt;"",$I456&gt;=TODAY(),$I456&lt;=TODAY()+7,$E456&lt;&gt;"Done"),"Quick Wins (15 mins or less)",AND($M456&lt;=15,$E456&lt;&gt;"Done",$E456&lt;&gt;"Blocked"),"Deep Thinking",AND($G456="Deep Thinking",$E456&lt;&gt;"Done"),"Processing",AND($G456="Processing",$E456&lt;&gt;"Done"),"Blocked",$E456="Blocked","Waiting",$E456="Waiting","Recently Updated",AND($L456&lt;&gt;"",$L456&gt;=TODAY()-7),"Keyword",AND('Task Finder'!$C$7&lt;&gt;"",OR(ISNUMBER(SEARCH('Task Finder'!$C$7,$A456)),ISNUMBER(SEARCH('Task Finder'!$C$7,$B456)),ISNUMBER(SEARCH('Task Finder'!$C$7,$C456)),ISNUMBER(SEARCH('Task Finder'!$C$7,$D456)),ISNUMBER(SEARCH('Task Finder'!$C$7,$K456)))),TRUE))</f>
        <v/>
      </c>
    </row>
    <row r="457">
      <c r="A457" s="19" t="n"/>
      <c r="B457" s="19" t="n"/>
      <c r="C457" s="19" t="n"/>
      <c r="D457" s="19" t="n"/>
      <c r="E457" s="19" t="n"/>
      <c r="F457" s="19" t="n"/>
      <c r="G457" s="19" t="n"/>
      <c r="H457" s="19" t="n"/>
      <c r="I457" s="19" t="n"/>
      <c r="J457" s="19" t="n"/>
      <c r="K457" s="19" t="n"/>
      <c r="L457" s="125" t="n"/>
      <c r="M457" s="88">
        <f>IF($D457="","",IFERROR(VLOOKUP($H457,Lists!$N$2:$O$6,2,FALSE),0))</f>
        <v/>
      </c>
      <c r="N457" s="88">
        <f>IF($D457="","",IF(OR($E457="Blocked",$E457="Done",$E457="Archive"),-9999,IF(AND($E457="Waiting",SUMPRODUCT((($E$5:$E$500="Next")+($E$5:$E$500="In Progress")+($E$5:$E$500="Captured"))*($D$5:$D$500&lt;&gt;""))&gt;0),-500,VLOOKUP($F457,Lists!$L$2:$M$4,2,FALSE)+IF($E457="In Progress",10,0)+IF(AND($I457&lt;&gt;"",$I457&lt;TODAY()),25,0)+IF(AND($I457&lt;&gt;"",$I457&gt;=TODAY(),$I457&lt;=TODAY()+7),15,0)+IF($M457&lt;=VLOOKUP(Home!$C$7,Lists!$N$2:$O$6,2,FALSE),20,-10)+IF($G457=Home!$E$7,15,IF(Home!$E$7="",0,-5))-ROW()/100000)))</f>
        <v/>
      </c>
      <c r="O457" s="88">
        <f>IF($D457="","",IF($N457&lt;=-500,"Not recommended right now",IF($E457="Waiting","Nothing else actionable right now — Waiting on: "&amp;IF($K457="","this item",$K457),TEXTJOIN(" • ",TRUE,IF($F457="High","High Priority",""),IF(AND($I457&lt;&gt;"",$I457&lt;TODAY()),"Overdue",""),IF(AND($I457&lt;&gt;"",$I457&gt;=TODAY(),$I457&lt;=TODAY()+7),"Due This Week",""),IF($M457&lt;=VLOOKUP(Home!$C$7,Lists!$N$2:$O$6,2,FALSE),$H457&amp;" Task",""),IF($G457=Home!$E$7,"Fits Current Energy",""),"No Blockers"))))</f>
        <v/>
      </c>
      <c r="P457" s="88">
        <f>IF($D457="","",SWITCH('Task Finder'!$C$6,"High Priority",AND($F457="High",$E457&lt;&gt;"Done",$E457&lt;&gt;"Archive"),"Due This Week",AND($I457&lt;&gt;"",$I457&gt;=TODAY(),$I457&lt;=TODAY()+7,$E457&lt;&gt;"Done"),"Quick Wins (15 mins or less)",AND($M457&lt;=15,$E457&lt;&gt;"Done",$E457&lt;&gt;"Blocked"),"Deep Thinking",AND($G457="Deep Thinking",$E457&lt;&gt;"Done"),"Processing",AND($G457="Processing",$E457&lt;&gt;"Done"),"Blocked",$E457="Blocked","Waiting",$E457="Waiting","Recently Updated",AND($L457&lt;&gt;"",$L457&gt;=TODAY()-7),"Keyword",AND('Task Finder'!$C$7&lt;&gt;"",OR(ISNUMBER(SEARCH('Task Finder'!$C$7,$A457)),ISNUMBER(SEARCH('Task Finder'!$C$7,$B457)),ISNUMBER(SEARCH('Task Finder'!$C$7,$C457)),ISNUMBER(SEARCH('Task Finder'!$C$7,$D457)),ISNUMBER(SEARCH('Task Finder'!$C$7,$K457)))),TRUE))</f>
        <v/>
      </c>
    </row>
    <row r="458">
      <c r="A458" s="19" t="n"/>
      <c r="B458" s="19" t="n"/>
      <c r="C458" s="19" t="n"/>
      <c r="D458" s="19" t="n"/>
      <c r="E458" s="19" t="n"/>
      <c r="F458" s="19" t="n"/>
      <c r="G458" s="19" t="n"/>
      <c r="H458" s="19" t="n"/>
      <c r="I458" s="19" t="n"/>
      <c r="J458" s="19" t="n"/>
      <c r="K458" s="19" t="n"/>
      <c r="L458" s="125" t="n"/>
      <c r="M458" s="88">
        <f>IF($D458="","",IFERROR(VLOOKUP($H458,Lists!$N$2:$O$6,2,FALSE),0))</f>
        <v/>
      </c>
      <c r="N458" s="88">
        <f>IF($D458="","",IF(OR($E458="Blocked",$E458="Done",$E458="Archive"),-9999,IF(AND($E458="Waiting",SUMPRODUCT((($E$5:$E$500="Next")+($E$5:$E$500="In Progress")+($E$5:$E$500="Captured"))*($D$5:$D$500&lt;&gt;""))&gt;0),-500,VLOOKUP($F458,Lists!$L$2:$M$4,2,FALSE)+IF($E458="In Progress",10,0)+IF(AND($I458&lt;&gt;"",$I458&lt;TODAY()),25,0)+IF(AND($I458&lt;&gt;"",$I458&gt;=TODAY(),$I458&lt;=TODAY()+7),15,0)+IF($M458&lt;=VLOOKUP(Home!$C$7,Lists!$N$2:$O$6,2,FALSE),20,-10)+IF($G458=Home!$E$7,15,IF(Home!$E$7="",0,-5))-ROW()/100000)))</f>
        <v/>
      </c>
      <c r="O458" s="88">
        <f>IF($D458="","",IF($N458&lt;=-500,"Not recommended right now",IF($E458="Waiting","Nothing else actionable right now — Waiting on: "&amp;IF($K458="","this item",$K458),TEXTJOIN(" • ",TRUE,IF($F458="High","High Priority",""),IF(AND($I458&lt;&gt;"",$I458&lt;TODAY()),"Overdue",""),IF(AND($I458&lt;&gt;"",$I458&gt;=TODAY(),$I458&lt;=TODAY()+7),"Due This Week",""),IF($M458&lt;=VLOOKUP(Home!$C$7,Lists!$N$2:$O$6,2,FALSE),$H458&amp;" Task",""),IF($G458=Home!$E$7,"Fits Current Energy",""),"No Blockers"))))</f>
        <v/>
      </c>
      <c r="P458" s="88">
        <f>IF($D458="","",SWITCH('Task Finder'!$C$6,"High Priority",AND($F458="High",$E458&lt;&gt;"Done",$E458&lt;&gt;"Archive"),"Due This Week",AND($I458&lt;&gt;"",$I458&gt;=TODAY(),$I458&lt;=TODAY()+7,$E458&lt;&gt;"Done"),"Quick Wins (15 mins or less)",AND($M458&lt;=15,$E458&lt;&gt;"Done",$E458&lt;&gt;"Blocked"),"Deep Thinking",AND($G458="Deep Thinking",$E458&lt;&gt;"Done"),"Processing",AND($G458="Processing",$E458&lt;&gt;"Done"),"Blocked",$E458="Blocked","Waiting",$E458="Waiting","Recently Updated",AND($L458&lt;&gt;"",$L458&gt;=TODAY()-7),"Keyword",AND('Task Finder'!$C$7&lt;&gt;"",OR(ISNUMBER(SEARCH('Task Finder'!$C$7,$A458)),ISNUMBER(SEARCH('Task Finder'!$C$7,$B458)),ISNUMBER(SEARCH('Task Finder'!$C$7,$C458)),ISNUMBER(SEARCH('Task Finder'!$C$7,$D458)),ISNUMBER(SEARCH('Task Finder'!$C$7,$K458)))),TRUE))</f>
        <v/>
      </c>
    </row>
    <row r="459">
      <c r="A459" s="19" t="n"/>
      <c r="B459" s="19" t="n"/>
      <c r="C459" s="19" t="n"/>
      <c r="D459" s="19" t="n"/>
      <c r="E459" s="19" t="n"/>
      <c r="F459" s="19" t="n"/>
      <c r="G459" s="19" t="n"/>
      <c r="H459" s="19" t="n"/>
      <c r="I459" s="19" t="n"/>
      <c r="J459" s="19" t="n"/>
      <c r="K459" s="19" t="n"/>
      <c r="L459" s="125" t="n"/>
      <c r="M459" s="88">
        <f>IF($D459="","",IFERROR(VLOOKUP($H459,Lists!$N$2:$O$6,2,FALSE),0))</f>
        <v/>
      </c>
      <c r="N459" s="88">
        <f>IF($D459="","",IF(OR($E459="Blocked",$E459="Done",$E459="Archive"),-9999,IF(AND($E459="Waiting",SUMPRODUCT((($E$5:$E$500="Next")+($E$5:$E$500="In Progress")+($E$5:$E$500="Captured"))*($D$5:$D$500&lt;&gt;""))&gt;0),-500,VLOOKUP($F459,Lists!$L$2:$M$4,2,FALSE)+IF($E459="In Progress",10,0)+IF(AND($I459&lt;&gt;"",$I459&lt;TODAY()),25,0)+IF(AND($I459&lt;&gt;"",$I459&gt;=TODAY(),$I459&lt;=TODAY()+7),15,0)+IF($M459&lt;=VLOOKUP(Home!$C$7,Lists!$N$2:$O$6,2,FALSE),20,-10)+IF($G459=Home!$E$7,15,IF(Home!$E$7="",0,-5))-ROW()/100000)))</f>
        <v/>
      </c>
      <c r="O459" s="88">
        <f>IF($D459="","",IF($N459&lt;=-500,"Not recommended right now",IF($E459="Waiting","Nothing else actionable right now — Waiting on: "&amp;IF($K459="","this item",$K459),TEXTJOIN(" • ",TRUE,IF($F459="High","High Priority",""),IF(AND($I459&lt;&gt;"",$I459&lt;TODAY()),"Overdue",""),IF(AND($I459&lt;&gt;"",$I459&gt;=TODAY(),$I459&lt;=TODAY()+7),"Due This Week",""),IF($M459&lt;=VLOOKUP(Home!$C$7,Lists!$N$2:$O$6,2,FALSE),$H459&amp;" Task",""),IF($G459=Home!$E$7,"Fits Current Energy",""),"No Blockers"))))</f>
        <v/>
      </c>
      <c r="P459" s="88">
        <f>IF($D459="","",SWITCH('Task Finder'!$C$6,"High Priority",AND($F459="High",$E459&lt;&gt;"Done",$E459&lt;&gt;"Archive"),"Due This Week",AND($I459&lt;&gt;"",$I459&gt;=TODAY(),$I459&lt;=TODAY()+7,$E459&lt;&gt;"Done"),"Quick Wins (15 mins or less)",AND($M459&lt;=15,$E459&lt;&gt;"Done",$E459&lt;&gt;"Blocked"),"Deep Thinking",AND($G459="Deep Thinking",$E459&lt;&gt;"Done"),"Processing",AND($G459="Processing",$E459&lt;&gt;"Done"),"Blocked",$E459="Blocked","Waiting",$E459="Waiting","Recently Updated",AND($L459&lt;&gt;"",$L459&gt;=TODAY()-7),"Keyword",AND('Task Finder'!$C$7&lt;&gt;"",OR(ISNUMBER(SEARCH('Task Finder'!$C$7,$A459)),ISNUMBER(SEARCH('Task Finder'!$C$7,$B459)),ISNUMBER(SEARCH('Task Finder'!$C$7,$C459)),ISNUMBER(SEARCH('Task Finder'!$C$7,$D459)),ISNUMBER(SEARCH('Task Finder'!$C$7,$K459)))),TRUE))</f>
        <v/>
      </c>
    </row>
    <row r="460">
      <c r="A460" s="19" t="n"/>
      <c r="B460" s="19" t="n"/>
      <c r="C460" s="19" t="n"/>
      <c r="D460" s="19" t="n"/>
      <c r="E460" s="19" t="n"/>
      <c r="F460" s="19" t="n"/>
      <c r="G460" s="19" t="n"/>
      <c r="H460" s="19" t="n"/>
      <c r="I460" s="19" t="n"/>
      <c r="J460" s="19" t="n"/>
      <c r="K460" s="19" t="n"/>
      <c r="L460" s="125" t="n"/>
      <c r="M460" s="88">
        <f>IF($D460="","",IFERROR(VLOOKUP($H460,Lists!$N$2:$O$6,2,FALSE),0))</f>
        <v/>
      </c>
      <c r="N460" s="88">
        <f>IF($D460="","",IF(OR($E460="Blocked",$E460="Done",$E460="Archive"),-9999,IF(AND($E460="Waiting",SUMPRODUCT((($E$5:$E$500="Next")+($E$5:$E$500="In Progress")+($E$5:$E$500="Captured"))*($D$5:$D$500&lt;&gt;""))&gt;0),-500,VLOOKUP($F460,Lists!$L$2:$M$4,2,FALSE)+IF($E460="In Progress",10,0)+IF(AND($I460&lt;&gt;"",$I460&lt;TODAY()),25,0)+IF(AND($I460&lt;&gt;"",$I460&gt;=TODAY(),$I460&lt;=TODAY()+7),15,0)+IF($M460&lt;=VLOOKUP(Home!$C$7,Lists!$N$2:$O$6,2,FALSE),20,-10)+IF($G460=Home!$E$7,15,IF(Home!$E$7="",0,-5))-ROW()/100000)))</f>
        <v/>
      </c>
      <c r="O460" s="88">
        <f>IF($D460="","",IF($N460&lt;=-500,"Not recommended right now",IF($E460="Waiting","Nothing else actionable right now — Waiting on: "&amp;IF($K460="","this item",$K460),TEXTJOIN(" • ",TRUE,IF($F460="High","High Priority",""),IF(AND($I460&lt;&gt;"",$I460&lt;TODAY()),"Overdue",""),IF(AND($I460&lt;&gt;"",$I460&gt;=TODAY(),$I460&lt;=TODAY()+7),"Due This Week",""),IF($M460&lt;=VLOOKUP(Home!$C$7,Lists!$N$2:$O$6,2,FALSE),$H460&amp;" Task",""),IF($G460=Home!$E$7,"Fits Current Energy",""),"No Blockers"))))</f>
        <v/>
      </c>
      <c r="P460" s="88">
        <f>IF($D460="","",SWITCH('Task Finder'!$C$6,"High Priority",AND($F460="High",$E460&lt;&gt;"Done",$E460&lt;&gt;"Archive"),"Due This Week",AND($I460&lt;&gt;"",$I460&gt;=TODAY(),$I460&lt;=TODAY()+7,$E460&lt;&gt;"Done"),"Quick Wins (15 mins or less)",AND($M460&lt;=15,$E460&lt;&gt;"Done",$E460&lt;&gt;"Blocked"),"Deep Thinking",AND($G460="Deep Thinking",$E460&lt;&gt;"Done"),"Processing",AND($G460="Processing",$E460&lt;&gt;"Done"),"Blocked",$E460="Blocked","Waiting",$E460="Waiting","Recently Updated",AND($L460&lt;&gt;"",$L460&gt;=TODAY()-7),"Keyword",AND('Task Finder'!$C$7&lt;&gt;"",OR(ISNUMBER(SEARCH('Task Finder'!$C$7,$A460)),ISNUMBER(SEARCH('Task Finder'!$C$7,$B460)),ISNUMBER(SEARCH('Task Finder'!$C$7,$C460)),ISNUMBER(SEARCH('Task Finder'!$C$7,$D460)),ISNUMBER(SEARCH('Task Finder'!$C$7,$K460)))),TRUE))</f>
        <v/>
      </c>
    </row>
    <row r="461">
      <c r="A461" s="19" t="n"/>
      <c r="B461" s="19" t="n"/>
      <c r="C461" s="19" t="n"/>
      <c r="D461" s="19" t="n"/>
      <c r="E461" s="19" t="n"/>
      <c r="F461" s="19" t="n"/>
      <c r="G461" s="19" t="n"/>
      <c r="H461" s="19" t="n"/>
      <c r="I461" s="19" t="n"/>
      <c r="J461" s="19" t="n"/>
      <c r="K461" s="19" t="n"/>
      <c r="L461" s="125" t="n"/>
      <c r="M461" s="88">
        <f>IF($D461="","",IFERROR(VLOOKUP($H461,Lists!$N$2:$O$6,2,FALSE),0))</f>
        <v/>
      </c>
      <c r="N461" s="88">
        <f>IF($D461="","",IF(OR($E461="Blocked",$E461="Done",$E461="Archive"),-9999,IF(AND($E461="Waiting",SUMPRODUCT((($E$5:$E$500="Next")+($E$5:$E$500="In Progress")+($E$5:$E$500="Captured"))*($D$5:$D$500&lt;&gt;""))&gt;0),-500,VLOOKUP($F461,Lists!$L$2:$M$4,2,FALSE)+IF($E461="In Progress",10,0)+IF(AND($I461&lt;&gt;"",$I461&lt;TODAY()),25,0)+IF(AND($I461&lt;&gt;"",$I461&gt;=TODAY(),$I461&lt;=TODAY()+7),15,0)+IF($M461&lt;=VLOOKUP(Home!$C$7,Lists!$N$2:$O$6,2,FALSE),20,-10)+IF($G461=Home!$E$7,15,IF(Home!$E$7="",0,-5))-ROW()/100000)))</f>
        <v/>
      </c>
      <c r="O461" s="88">
        <f>IF($D461="","",IF($N461&lt;=-500,"Not recommended right now",IF($E461="Waiting","Nothing else actionable right now — Waiting on: "&amp;IF($K461="","this item",$K461),TEXTJOIN(" • ",TRUE,IF($F461="High","High Priority",""),IF(AND($I461&lt;&gt;"",$I461&lt;TODAY()),"Overdue",""),IF(AND($I461&lt;&gt;"",$I461&gt;=TODAY(),$I461&lt;=TODAY()+7),"Due This Week",""),IF($M461&lt;=VLOOKUP(Home!$C$7,Lists!$N$2:$O$6,2,FALSE),$H461&amp;" Task",""),IF($G461=Home!$E$7,"Fits Current Energy",""),"No Blockers"))))</f>
        <v/>
      </c>
      <c r="P461" s="88">
        <f>IF($D461="","",SWITCH('Task Finder'!$C$6,"High Priority",AND($F461="High",$E461&lt;&gt;"Done",$E461&lt;&gt;"Archive"),"Due This Week",AND($I461&lt;&gt;"",$I461&gt;=TODAY(),$I461&lt;=TODAY()+7,$E461&lt;&gt;"Done"),"Quick Wins (15 mins or less)",AND($M461&lt;=15,$E461&lt;&gt;"Done",$E461&lt;&gt;"Blocked"),"Deep Thinking",AND($G461="Deep Thinking",$E461&lt;&gt;"Done"),"Processing",AND($G461="Processing",$E461&lt;&gt;"Done"),"Blocked",$E461="Blocked","Waiting",$E461="Waiting","Recently Updated",AND($L461&lt;&gt;"",$L461&gt;=TODAY()-7),"Keyword",AND('Task Finder'!$C$7&lt;&gt;"",OR(ISNUMBER(SEARCH('Task Finder'!$C$7,$A461)),ISNUMBER(SEARCH('Task Finder'!$C$7,$B461)),ISNUMBER(SEARCH('Task Finder'!$C$7,$C461)),ISNUMBER(SEARCH('Task Finder'!$C$7,$D461)),ISNUMBER(SEARCH('Task Finder'!$C$7,$K461)))),TRUE))</f>
        <v/>
      </c>
    </row>
    <row r="462">
      <c r="A462" s="19" t="n"/>
      <c r="B462" s="19" t="n"/>
      <c r="C462" s="19" t="n"/>
      <c r="D462" s="19" t="n"/>
      <c r="E462" s="19" t="n"/>
      <c r="F462" s="19" t="n"/>
      <c r="G462" s="19" t="n"/>
      <c r="H462" s="19" t="n"/>
      <c r="I462" s="19" t="n"/>
      <c r="J462" s="19" t="n"/>
      <c r="K462" s="19" t="n"/>
      <c r="L462" s="125" t="n"/>
      <c r="M462" s="88">
        <f>IF($D462="","",IFERROR(VLOOKUP($H462,Lists!$N$2:$O$6,2,FALSE),0))</f>
        <v/>
      </c>
      <c r="N462" s="88">
        <f>IF($D462="","",IF(OR($E462="Blocked",$E462="Done",$E462="Archive"),-9999,IF(AND($E462="Waiting",SUMPRODUCT((($E$5:$E$500="Next")+($E$5:$E$500="In Progress")+($E$5:$E$500="Captured"))*($D$5:$D$500&lt;&gt;""))&gt;0),-500,VLOOKUP($F462,Lists!$L$2:$M$4,2,FALSE)+IF($E462="In Progress",10,0)+IF(AND($I462&lt;&gt;"",$I462&lt;TODAY()),25,0)+IF(AND($I462&lt;&gt;"",$I462&gt;=TODAY(),$I462&lt;=TODAY()+7),15,0)+IF($M462&lt;=VLOOKUP(Home!$C$7,Lists!$N$2:$O$6,2,FALSE),20,-10)+IF($G462=Home!$E$7,15,IF(Home!$E$7="",0,-5))-ROW()/100000)))</f>
        <v/>
      </c>
      <c r="O462" s="88">
        <f>IF($D462="","",IF($N462&lt;=-500,"Not recommended right now",IF($E462="Waiting","Nothing else actionable right now — Waiting on: "&amp;IF($K462="","this item",$K462),TEXTJOIN(" • ",TRUE,IF($F462="High","High Priority",""),IF(AND($I462&lt;&gt;"",$I462&lt;TODAY()),"Overdue",""),IF(AND($I462&lt;&gt;"",$I462&gt;=TODAY(),$I462&lt;=TODAY()+7),"Due This Week",""),IF($M462&lt;=VLOOKUP(Home!$C$7,Lists!$N$2:$O$6,2,FALSE),$H462&amp;" Task",""),IF($G462=Home!$E$7,"Fits Current Energy",""),"No Blockers"))))</f>
        <v/>
      </c>
      <c r="P462" s="88">
        <f>IF($D462="","",SWITCH('Task Finder'!$C$6,"High Priority",AND($F462="High",$E462&lt;&gt;"Done",$E462&lt;&gt;"Archive"),"Due This Week",AND($I462&lt;&gt;"",$I462&gt;=TODAY(),$I462&lt;=TODAY()+7,$E462&lt;&gt;"Done"),"Quick Wins (15 mins or less)",AND($M462&lt;=15,$E462&lt;&gt;"Done",$E462&lt;&gt;"Blocked"),"Deep Thinking",AND($G462="Deep Thinking",$E462&lt;&gt;"Done"),"Processing",AND($G462="Processing",$E462&lt;&gt;"Done"),"Blocked",$E462="Blocked","Waiting",$E462="Waiting","Recently Updated",AND($L462&lt;&gt;"",$L462&gt;=TODAY()-7),"Keyword",AND('Task Finder'!$C$7&lt;&gt;"",OR(ISNUMBER(SEARCH('Task Finder'!$C$7,$A462)),ISNUMBER(SEARCH('Task Finder'!$C$7,$B462)),ISNUMBER(SEARCH('Task Finder'!$C$7,$C462)),ISNUMBER(SEARCH('Task Finder'!$C$7,$D462)),ISNUMBER(SEARCH('Task Finder'!$C$7,$K462)))),TRUE))</f>
        <v/>
      </c>
    </row>
    <row r="463">
      <c r="A463" s="19" t="n"/>
      <c r="B463" s="19" t="n"/>
      <c r="C463" s="19" t="n"/>
      <c r="D463" s="19" t="n"/>
      <c r="E463" s="19" t="n"/>
      <c r="F463" s="19" t="n"/>
      <c r="G463" s="19" t="n"/>
      <c r="H463" s="19" t="n"/>
      <c r="I463" s="19" t="n"/>
      <c r="J463" s="19" t="n"/>
      <c r="K463" s="19" t="n"/>
      <c r="L463" s="125" t="n"/>
      <c r="M463" s="88">
        <f>IF($D463="","",IFERROR(VLOOKUP($H463,Lists!$N$2:$O$6,2,FALSE),0))</f>
        <v/>
      </c>
      <c r="N463" s="88">
        <f>IF($D463="","",IF(OR($E463="Blocked",$E463="Done",$E463="Archive"),-9999,IF(AND($E463="Waiting",SUMPRODUCT((($E$5:$E$500="Next")+($E$5:$E$500="In Progress")+($E$5:$E$500="Captured"))*($D$5:$D$500&lt;&gt;""))&gt;0),-500,VLOOKUP($F463,Lists!$L$2:$M$4,2,FALSE)+IF($E463="In Progress",10,0)+IF(AND($I463&lt;&gt;"",$I463&lt;TODAY()),25,0)+IF(AND($I463&lt;&gt;"",$I463&gt;=TODAY(),$I463&lt;=TODAY()+7),15,0)+IF($M463&lt;=VLOOKUP(Home!$C$7,Lists!$N$2:$O$6,2,FALSE),20,-10)+IF($G463=Home!$E$7,15,IF(Home!$E$7="",0,-5))-ROW()/100000)))</f>
        <v/>
      </c>
      <c r="O463" s="88">
        <f>IF($D463="","",IF($N463&lt;=-500,"Not recommended right now",IF($E463="Waiting","Nothing else actionable right now — Waiting on: "&amp;IF($K463="","this item",$K463),TEXTJOIN(" • ",TRUE,IF($F463="High","High Priority",""),IF(AND($I463&lt;&gt;"",$I463&lt;TODAY()),"Overdue",""),IF(AND($I463&lt;&gt;"",$I463&gt;=TODAY(),$I463&lt;=TODAY()+7),"Due This Week",""),IF($M463&lt;=VLOOKUP(Home!$C$7,Lists!$N$2:$O$6,2,FALSE),$H463&amp;" Task",""),IF($G463=Home!$E$7,"Fits Current Energy",""),"No Blockers"))))</f>
        <v/>
      </c>
      <c r="P463" s="88">
        <f>IF($D463="","",SWITCH('Task Finder'!$C$6,"High Priority",AND($F463="High",$E463&lt;&gt;"Done",$E463&lt;&gt;"Archive"),"Due This Week",AND($I463&lt;&gt;"",$I463&gt;=TODAY(),$I463&lt;=TODAY()+7,$E463&lt;&gt;"Done"),"Quick Wins (15 mins or less)",AND($M463&lt;=15,$E463&lt;&gt;"Done",$E463&lt;&gt;"Blocked"),"Deep Thinking",AND($G463="Deep Thinking",$E463&lt;&gt;"Done"),"Processing",AND($G463="Processing",$E463&lt;&gt;"Done"),"Blocked",$E463="Blocked","Waiting",$E463="Waiting","Recently Updated",AND($L463&lt;&gt;"",$L463&gt;=TODAY()-7),"Keyword",AND('Task Finder'!$C$7&lt;&gt;"",OR(ISNUMBER(SEARCH('Task Finder'!$C$7,$A463)),ISNUMBER(SEARCH('Task Finder'!$C$7,$B463)),ISNUMBER(SEARCH('Task Finder'!$C$7,$C463)),ISNUMBER(SEARCH('Task Finder'!$C$7,$D463)),ISNUMBER(SEARCH('Task Finder'!$C$7,$K463)))),TRUE))</f>
        <v/>
      </c>
    </row>
    <row r="464">
      <c r="A464" s="19" t="n"/>
      <c r="B464" s="19" t="n"/>
      <c r="C464" s="19" t="n"/>
      <c r="D464" s="19" t="n"/>
      <c r="E464" s="19" t="n"/>
      <c r="F464" s="19" t="n"/>
      <c r="G464" s="19" t="n"/>
      <c r="H464" s="19" t="n"/>
      <c r="I464" s="19" t="n"/>
      <c r="J464" s="19" t="n"/>
      <c r="K464" s="19" t="n"/>
      <c r="L464" s="125" t="n"/>
      <c r="M464" s="88">
        <f>IF($D464="","",IFERROR(VLOOKUP($H464,Lists!$N$2:$O$6,2,FALSE),0))</f>
        <v/>
      </c>
      <c r="N464" s="88">
        <f>IF($D464="","",IF(OR($E464="Blocked",$E464="Done",$E464="Archive"),-9999,IF(AND($E464="Waiting",SUMPRODUCT((($E$5:$E$500="Next")+($E$5:$E$500="In Progress")+($E$5:$E$500="Captured"))*($D$5:$D$500&lt;&gt;""))&gt;0),-500,VLOOKUP($F464,Lists!$L$2:$M$4,2,FALSE)+IF($E464="In Progress",10,0)+IF(AND($I464&lt;&gt;"",$I464&lt;TODAY()),25,0)+IF(AND($I464&lt;&gt;"",$I464&gt;=TODAY(),$I464&lt;=TODAY()+7),15,0)+IF($M464&lt;=VLOOKUP(Home!$C$7,Lists!$N$2:$O$6,2,FALSE),20,-10)+IF($G464=Home!$E$7,15,IF(Home!$E$7="",0,-5))-ROW()/100000)))</f>
        <v/>
      </c>
      <c r="O464" s="88">
        <f>IF($D464="","",IF($N464&lt;=-500,"Not recommended right now",IF($E464="Waiting","Nothing else actionable right now — Waiting on: "&amp;IF($K464="","this item",$K464),TEXTJOIN(" • ",TRUE,IF($F464="High","High Priority",""),IF(AND($I464&lt;&gt;"",$I464&lt;TODAY()),"Overdue",""),IF(AND($I464&lt;&gt;"",$I464&gt;=TODAY(),$I464&lt;=TODAY()+7),"Due This Week",""),IF($M464&lt;=VLOOKUP(Home!$C$7,Lists!$N$2:$O$6,2,FALSE),$H464&amp;" Task",""),IF($G464=Home!$E$7,"Fits Current Energy",""),"No Blockers"))))</f>
        <v/>
      </c>
      <c r="P464" s="88">
        <f>IF($D464="","",SWITCH('Task Finder'!$C$6,"High Priority",AND($F464="High",$E464&lt;&gt;"Done",$E464&lt;&gt;"Archive"),"Due This Week",AND($I464&lt;&gt;"",$I464&gt;=TODAY(),$I464&lt;=TODAY()+7,$E464&lt;&gt;"Done"),"Quick Wins (15 mins or less)",AND($M464&lt;=15,$E464&lt;&gt;"Done",$E464&lt;&gt;"Blocked"),"Deep Thinking",AND($G464="Deep Thinking",$E464&lt;&gt;"Done"),"Processing",AND($G464="Processing",$E464&lt;&gt;"Done"),"Blocked",$E464="Blocked","Waiting",$E464="Waiting","Recently Updated",AND($L464&lt;&gt;"",$L464&gt;=TODAY()-7),"Keyword",AND('Task Finder'!$C$7&lt;&gt;"",OR(ISNUMBER(SEARCH('Task Finder'!$C$7,$A464)),ISNUMBER(SEARCH('Task Finder'!$C$7,$B464)),ISNUMBER(SEARCH('Task Finder'!$C$7,$C464)),ISNUMBER(SEARCH('Task Finder'!$C$7,$D464)),ISNUMBER(SEARCH('Task Finder'!$C$7,$K464)))),TRUE))</f>
        <v/>
      </c>
    </row>
    <row r="465">
      <c r="A465" s="19" t="n"/>
      <c r="B465" s="19" t="n"/>
      <c r="C465" s="19" t="n"/>
      <c r="D465" s="19" t="n"/>
      <c r="E465" s="19" t="n"/>
      <c r="F465" s="19" t="n"/>
      <c r="G465" s="19" t="n"/>
      <c r="H465" s="19" t="n"/>
      <c r="I465" s="19" t="n"/>
      <c r="J465" s="19" t="n"/>
      <c r="K465" s="19" t="n"/>
      <c r="L465" s="125" t="n"/>
      <c r="M465" s="88">
        <f>IF($D465="","",IFERROR(VLOOKUP($H465,Lists!$N$2:$O$6,2,FALSE),0))</f>
        <v/>
      </c>
      <c r="N465" s="88">
        <f>IF($D465="","",IF(OR($E465="Blocked",$E465="Done",$E465="Archive"),-9999,IF(AND($E465="Waiting",SUMPRODUCT((($E$5:$E$500="Next")+($E$5:$E$500="In Progress")+($E$5:$E$500="Captured"))*($D$5:$D$500&lt;&gt;""))&gt;0),-500,VLOOKUP($F465,Lists!$L$2:$M$4,2,FALSE)+IF($E465="In Progress",10,0)+IF(AND($I465&lt;&gt;"",$I465&lt;TODAY()),25,0)+IF(AND($I465&lt;&gt;"",$I465&gt;=TODAY(),$I465&lt;=TODAY()+7),15,0)+IF($M465&lt;=VLOOKUP(Home!$C$7,Lists!$N$2:$O$6,2,FALSE),20,-10)+IF($G465=Home!$E$7,15,IF(Home!$E$7="",0,-5))-ROW()/100000)))</f>
        <v/>
      </c>
      <c r="O465" s="88">
        <f>IF($D465="","",IF($N465&lt;=-500,"Not recommended right now",IF($E465="Waiting","Nothing else actionable right now — Waiting on: "&amp;IF($K465="","this item",$K465),TEXTJOIN(" • ",TRUE,IF($F465="High","High Priority",""),IF(AND($I465&lt;&gt;"",$I465&lt;TODAY()),"Overdue",""),IF(AND($I465&lt;&gt;"",$I465&gt;=TODAY(),$I465&lt;=TODAY()+7),"Due This Week",""),IF($M465&lt;=VLOOKUP(Home!$C$7,Lists!$N$2:$O$6,2,FALSE),$H465&amp;" Task",""),IF($G465=Home!$E$7,"Fits Current Energy",""),"No Blockers"))))</f>
        <v/>
      </c>
      <c r="P465" s="88">
        <f>IF($D465="","",SWITCH('Task Finder'!$C$6,"High Priority",AND($F465="High",$E465&lt;&gt;"Done",$E465&lt;&gt;"Archive"),"Due This Week",AND($I465&lt;&gt;"",$I465&gt;=TODAY(),$I465&lt;=TODAY()+7,$E465&lt;&gt;"Done"),"Quick Wins (15 mins or less)",AND($M465&lt;=15,$E465&lt;&gt;"Done",$E465&lt;&gt;"Blocked"),"Deep Thinking",AND($G465="Deep Thinking",$E465&lt;&gt;"Done"),"Processing",AND($G465="Processing",$E465&lt;&gt;"Done"),"Blocked",$E465="Blocked","Waiting",$E465="Waiting","Recently Updated",AND($L465&lt;&gt;"",$L465&gt;=TODAY()-7),"Keyword",AND('Task Finder'!$C$7&lt;&gt;"",OR(ISNUMBER(SEARCH('Task Finder'!$C$7,$A465)),ISNUMBER(SEARCH('Task Finder'!$C$7,$B465)),ISNUMBER(SEARCH('Task Finder'!$C$7,$C465)),ISNUMBER(SEARCH('Task Finder'!$C$7,$D465)),ISNUMBER(SEARCH('Task Finder'!$C$7,$K465)))),TRUE))</f>
        <v/>
      </c>
    </row>
    <row r="466">
      <c r="A466" s="19" t="n"/>
      <c r="B466" s="19" t="n"/>
      <c r="C466" s="19" t="n"/>
      <c r="D466" s="19" t="n"/>
      <c r="E466" s="19" t="n"/>
      <c r="F466" s="19" t="n"/>
      <c r="G466" s="19" t="n"/>
      <c r="H466" s="19" t="n"/>
      <c r="I466" s="19" t="n"/>
      <c r="J466" s="19" t="n"/>
      <c r="K466" s="19" t="n"/>
      <c r="L466" s="125" t="n"/>
      <c r="M466" s="88">
        <f>IF($D466="","",IFERROR(VLOOKUP($H466,Lists!$N$2:$O$6,2,FALSE),0))</f>
        <v/>
      </c>
      <c r="N466" s="88">
        <f>IF($D466="","",IF(OR($E466="Blocked",$E466="Done",$E466="Archive"),-9999,IF(AND($E466="Waiting",SUMPRODUCT((($E$5:$E$500="Next")+($E$5:$E$500="In Progress")+($E$5:$E$500="Captured"))*($D$5:$D$500&lt;&gt;""))&gt;0),-500,VLOOKUP($F466,Lists!$L$2:$M$4,2,FALSE)+IF($E466="In Progress",10,0)+IF(AND($I466&lt;&gt;"",$I466&lt;TODAY()),25,0)+IF(AND($I466&lt;&gt;"",$I466&gt;=TODAY(),$I466&lt;=TODAY()+7),15,0)+IF($M466&lt;=VLOOKUP(Home!$C$7,Lists!$N$2:$O$6,2,FALSE),20,-10)+IF($G466=Home!$E$7,15,IF(Home!$E$7="",0,-5))-ROW()/100000)))</f>
        <v/>
      </c>
      <c r="O466" s="88">
        <f>IF($D466="","",IF($N466&lt;=-500,"Not recommended right now",IF($E466="Waiting","Nothing else actionable right now — Waiting on: "&amp;IF($K466="","this item",$K466),TEXTJOIN(" • ",TRUE,IF($F466="High","High Priority",""),IF(AND($I466&lt;&gt;"",$I466&lt;TODAY()),"Overdue",""),IF(AND($I466&lt;&gt;"",$I466&gt;=TODAY(),$I466&lt;=TODAY()+7),"Due This Week",""),IF($M466&lt;=VLOOKUP(Home!$C$7,Lists!$N$2:$O$6,2,FALSE),$H466&amp;" Task",""),IF($G466=Home!$E$7,"Fits Current Energy",""),"No Blockers"))))</f>
        <v/>
      </c>
      <c r="P466" s="88">
        <f>IF($D466="","",SWITCH('Task Finder'!$C$6,"High Priority",AND($F466="High",$E466&lt;&gt;"Done",$E466&lt;&gt;"Archive"),"Due This Week",AND($I466&lt;&gt;"",$I466&gt;=TODAY(),$I466&lt;=TODAY()+7,$E466&lt;&gt;"Done"),"Quick Wins (15 mins or less)",AND($M466&lt;=15,$E466&lt;&gt;"Done",$E466&lt;&gt;"Blocked"),"Deep Thinking",AND($G466="Deep Thinking",$E466&lt;&gt;"Done"),"Processing",AND($G466="Processing",$E466&lt;&gt;"Done"),"Blocked",$E466="Blocked","Waiting",$E466="Waiting","Recently Updated",AND($L466&lt;&gt;"",$L466&gt;=TODAY()-7),"Keyword",AND('Task Finder'!$C$7&lt;&gt;"",OR(ISNUMBER(SEARCH('Task Finder'!$C$7,$A466)),ISNUMBER(SEARCH('Task Finder'!$C$7,$B466)),ISNUMBER(SEARCH('Task Finder'!$C$7,$C466)),ISNUMBER(SEARCH('Task Finder'!$C$7,$D466)),ISNUMBER(SEARCH('Task Finder'!$C$7,$K466)))),TRUE))</f>
        <v/>
      </c>
    </row>
    <row r="467">
      <c r="A467" s="19" t="n"/>
      <c r="B467" s="19" t="n"/>
      <c r="C467" s="19" t="n"/>
      <c r="D467" s="19" t="n"/>
      <c r="E467" s="19" t="n"/>
      <c r="F467" s="19" t="n"/>
      <c r="G467" s="19" t="n"/>
      <c r="H467" s="19" t="n"/>
      <c r="I467" s="19" t="n"/>
      <c r="J467" s="19" t="n"/>
      <c r="K467" s="19" t="n"/>
      <c r="L467" s="125" t="n"/>
      <c r="M467" s="88">
        <f>IF($D467="","",IFERROR(VLOOKUP($H467,Lists!$N$2:$O$6,2,FALSE),0))</f>
        <v/>
      </c>
      <c r="N467" s="88">
        <f>IF($D467="","",IF(OR($E467="Blocked",$E467="Done",$E467="Archive"),-9999,IF(AND($E467="Waiting",SUMPRODUCT((($E$5:$E$500="Next")+($E$5:$E$500="In Progress")+($E$5:$E$500="Captured"))*($D$5:$D$500&lt;&gt;""))&gt;0),-500,VLOOKUP($F467,Lists!$L$2:$M$4,2,FALSE)+IF($E467="In Progress",10,0)+IF(AND($I467&lt;&gt;"",$I467&lt;TODAY()),25,0)+IF(AND($I467&lt;&gt;"",$I467&gt;=TODAY(),$I467&lt;=TODAY()+7),15,0)+IF($M467&lt;=VLOOKUP(Home!$C$7,Lists!$N$2:$O$6,2,FALSE),20,-10)+IF($G467=Home!$E$7,15,IF(Home!$E$7="",0,-5))-ROW()/100000)))</f>
        <v/>
      </c>
      <c r="O467" s="88">
        <f>IF($D467="","",IF($N467&lt;=-500,"Not recommended right now",IF($E467="Waiting","Nothing else actionable right now — Waiting on: "&amp;IF($K467="","this item",$K467),TEXTJOIN(" • ",TRUE,IF($F467="High","High Priority",""),IF(AND($I467&lt;&gt;"",$I467&lt;TODAY()),"Overdue",""),IF(AND($I467&lt;&gt;"",$I467&gt;=TODAY(),$I467&lt;=TODAY()+7),"Due This Week",""),IF($M467&lt;=VLOOKUP(Home!$C$7,Lists!$N$2:$O$6,2,FALSE),$H467&amp;" Task",""),IF($G467=Home!$E$7,"Fits Current Energy",""),"No Blockers"))))</f>
        <v/>
      </c>
      <c r="P467" s="88">
        <f>IF($D467="","",SWITCH('Task Finder'!$C$6,"High Priority",AND($F467="High",$E467&lt;&gt;"Done",$E467&lt;&gt;"Archive"),"Due This Week",AND($I467&lt;&gt;"",$I467&gt;=TODAY(),$I467&lt;=TODAY()+7,$E467&lt;&gt;"Done"),"Quick Wins (15 mins or less)",AND($M467&lt;=15,$E467&lt;&gt;"Done",$E467&lt;&gt;"Blocked"),"Deep Thinking",AND($G467="Deep Thinking",$E467&lt;&gt;"Done"),"Processing",AND($G467="Processing",$E467&lt;&gt;"Done"),"Blocked",$E467="Blocked","Waiting",$E467="Waiting","Recently Updated",AND($L467&lt;&gt;"",$L467&gt;=TODAY()-7),"Keyword",AND('Task Finder'!$C$7&lt;&gt;"",OR(ISNUMBER(SEARCH('Task Finder'!$C$7,$A467)),ISNUMBER(SEARCH('Task Finder'!$C$7,$B467)),ISNUMBER(SEARCH('Task Finder'!$C$7,$C467)),ISNUMBER(SEARCH('Task Finder'!$C$7,$D467)),ISNUMBER(SEARCH('Task Finder'!$C$7,$K467)))),TRUE))</f>
        <v/>
      </c>
    </row>
    <row r="468">
      <c r="A468" s="19" t="n"/>
      <c r="B468" s="19" t="n"/>
      <c r="C468" s="19" t="n"/>
      <c r="D468" s="19" t="n"/>
      <c r="E468" s="19" t="n"/>
      <c r="F468" s="19" t="n"/>
      <c r="G468" s="19" t="n"/>
      <c r="H468" s="19" t="n"/>
      <c r="I468" s="19" t="n"/>
      <c r="J468" s="19" t="n"/>
      <c r="K468" s="19" t="n"/>
      <c r="L468" s="125" t="n"/>
      <c r="M468" s="88">
        <f>IF($D468="","",IFERROR(VLOOKUP($H468,Lists!$N$2:$O$6,2,FALSE),0))</f>
        <v/>
      </c>
      <c r="N468" s="88">
        <f>IF($D468="","",IF(OR($E468="Blocked",$E468="Done",$E468="Archive"),-9999,IF(AND($E468="Waiting",SUMPRODUCT((($E$5:$E$500="Next")+($E$5:$E$500="In Progress")+($E$5:$E$500="Captured"))*($D$5:$D$500&lt;&gt;""))&gt;0),-500,VLOOKUP($F468,Lists!$L$2:$M$4,2,FALSE)+IF($E468="In Progress",10,0)+IF(AND($I468&lt;&gt;"",$I468&lt;TODAY()),25,0)+IF(AND($I468&lt;&gt;"",$I468&gt;=TODAY(),$I468&lt;=TODAY()+7),15,0)+IF($M468&lt;=VLOOKUP(Home!$C$7,Lists!$N$2:$O$6,2,FALSE),20,-10)+IF($G468=Home!$E$7,15,IF(Home!$E$7="",0,-5))-ROW()/100000)))</f>
        <v/>
      </c>
      <c r="O468" s="88">
        <f>IF($D468="","",IF($N468&lt;=-500,"Not recommended right now",IF($E468="Waiting","Nothing else actionable right now — Waiting on: "&amp;IF($K468="","this item",$K468),TEXTJOIN(" • ",TRUE,IF($F468="High","High Priority",""),IF(AND($I468&lt;&gt;"",$I468&lt;TODAY()),"Overdue",""),IF(AND($I468&lt;&gt;"",$I468&gt;=TODAY(),$I468&lt;=TODAY()+7),"Due This Week",""),IF($M468&lt;=VLOOKUP(Home!$C$7,Lists!$N$2:$O$6,2,FALSE),$H468&amp;" Task",""),IF($G468=Home!$E$7,"Fits Current Energy",""),"No Blockers"))))</f>
        <v/>
      </c>
      <c r="P468" s="88">
        <f>IF($D468="","",SWITCH('Task Finder'!$C$6,"High Priority",AND($F468="High",$E468&lt;&gt;"Done",$E468&lt;&gt;"Archive"),"Due This Week",AND($I468&lt;&gt;"",$I468&gt;=TODAY(),$I468&lt;=TODAY()+7,$E468&lt;&gt;"Done"),"Quick Wins (15 mins or less)",AND($M468&lt;=15,$E468&lt;&gt;"Done",$E468&lt;&gt;"Blocked"),"Deep Thinking",AND($G468="Deep Thinking",$E468&lt;&gt;"Done"),"Processing",AND($G468="Processing",$E468&lt;&gt;"Done"),"Blocked",$E468="Blocked","Waiting",$E468="Waiting","Recently Updated",AND($L468&lt;&gt;"",$L468&gt;=TODAY()-7),"Keyword",AND('Task Finder'!$C$7&lt;&gt;"",OR(ISNUMBER(SEARCH('Task Finder'!$C$7,$A468)),ISNUMBER(SEARCH('Task Finder'!$C$7,$B468)),ISNUMBER(SEARCH('Task Finder'!$C$7,$C468)),ISNUMBER(SEARCH('Task Finder'!$C$7,$D468)),ISNUMBER(SEARCH('Task Finder'!$C$7,$K468)))),TRUE))</f>
        <v/>
      </c>
    </row>
    <row r="469">
      <c r="A469" s="19" t="n"/>
      <c r="B469" s="19" t="n"/>
      <c r="C469" s="19" t="n"/>
      <c r="D469" s="19" t="n"/>
      <c r="E469" s="19" t="n"/>
      <c r="F469" s="19" t="n"/>
      <c r="G469" s="19" t="n"/>
      <c r="H469" s="19" t="n"/>
      <c r="I469" s="19" t="n"/>
      <c r="J469" s="19" t="n"/>
      <c r="K469" s="19" t="n"/>
      <c r="L469" s="125" t="n"/>
      <c r="M469" s="88">
        <f>IF($D469="","",IFERROR(VLOOKUP($H469,Lists!$N$2:$O$6,2,FALSE),0))</f>
        <v/>
      </c>
      <c r="N469" s="88">
        <f>IF($D469="","",IF(OR($E469="Blocked",$E469="Done",$E469="Archive"),-9999,IF(AND($E469="Waiting",SUMPRODUCT((($E$5:$E$500="Next")+($E$5:$E$500="In Progress")+($E$5:$E$500="Captured"))*($D$5:$D$500&lt;&gt;""))&gt;0),-500,VLOOKUP($F469,Lists!$L$2:$M$4,2,FALSE)+IF($E469="In Progress",10,0)+IF(AND($I469&lt;&gt;"",$I469&lt;TODAY()),25,0)+IF(AND($I469&lt;&gt;"",$I469&gt;=TODAY(),$I469&lt;=TODAY()+7),15,0)+IF($M469&lt;=VLOOKUP(Home!$C$7,Lists!$N$2:$O$6,2,FALSE),20,-10)+IF($G469=Home!$E$7,15,IF(Home!$E$7="",0,-5))-ROW()/100000)))</f>
        <v/>
      </c>
      <c r="O469" s="88">
        <f>IF($D469="","",IF($N469&lt;=-500,"Not recommended right now",IF($E469="Waiting","Nothing else actionable right now — Waiting on: "&amp;IF($K469="","this item",$K469),TEXTJOIN(" • ",TRUE,IF($F469="High","High Priority",""),IF(AND($I469&lt;&gt;"",$I469&lt;TODAY()),"Overdue",""),IF(AND($I469&lt;&gt;"",$I469&gt;=TODAY(),$I469&lt;=TODAY()+7),"Due This Week",""),IF($M469&lt;=VLOOKUP(Home!$C$7,Lists!$N$2:$O$6,2,FALSE),$H469&amp;" Task",""),IF($G469=Home!$E$7,"Fits Current Energy",""),"No Blockers"))))</f>
        <v/>
      </c>
      <c r="P469" s="88">
        <f>IF($D469="","",SWITCH('Task Finder'!$C$6,"High Priority",AND($F469="High",$E469&lt;&gt;"Done",$E469&lt;&gt;"Archive"),"Due This Week",AND($I469&lt;&gt;"",$I469&gt;=TODAY(),$I469&lt;=TODAY()+7,$E469&lt;&gt;"Done"),"Quick Wins (15 mins or less)",AND($M469&lt;=15,$E469&lt;&gt;"Done",$E469&lt;&gt;"Blocked"),"Deep Thinking",AND($G469="Deep Thinking",$E469&lt;&gt;"Done"),"Processing",AND($G469="Processing",$E469&lt;&gt;"Done"),"Blocked",$E469="Blocked","Waiting",$E469="Waiting","Recently Updated",AND($L469&lt;&gt;"",$L469&gt;=TODAY()-7),"Keyword",AND('Task Finder'!$C$7&lt;&gt;"",OR(ISNUMBER(SEARCH('Task Finder'!$C$7,$A469)),ISNUMBER(SEARCH('Task Finder'!$C$7,$B469)),ISNUMBER(SEARCH('Task Finder'!$C$7,$C469)),ISNUMBER(SEARCH('Task Finder'!$C$7,$D469)),ISNUMBER(SEARCH('Task Finder'!$C$7,$K469)))),TRUE))</f>
        <v/>
      </c>
    </row>
    <row r="470">
      <c r="A470" s="19" t="n"/>
      <c r="B470" s="19" t="n"/>
      <c r="C470" s="19" t="n"/>
      <c r="D470" s="19" t="n"/>
      <c r="E470" s="19" t="n"/>
      <c r="F470" s="19" t="n"/>
      <c r="G470" s="19" t="n"/>
      <c r="H470" s="19" t="n"/>
      <c r="I470" s="19" t="n"/>
      <c r="J470" s="19" t="n"/>
      <c r="K470" s="19" t="n"/>
      <c r="L470" s="125" t="n"/>
      <c r="M470" s="88">
        <f>IF($D470="","",IFERROR(VLOOKUP($H470,Lists!$N$2:$O$6,2,FALSE),0))</f>
        <v/>
      </c>
      <c r="N470" s="88">
        <f>IF($D470="","",IF(OR($E470="Blocked",$E470="Done",$E470="Archive"),-9999,IF(AND($E470="Waiting",SUMPRODUCT((($E$5:$E$500="Next")+($E$5:$E$500="In Progress")+($E$5:$E$500="Captured"))*($D$5:$D$500&lt;&gt;""))&gt;0),-500,VLOOKUP($F470,Lists!$L$2:$M$4,2,FALSE)+IF($E470="In Progress",10,0)+IF(AND($I470&lt;&gt;"",$I470&lt;TODAY()),25,0)+IF(AND($I470&lt;&gt;"",$I470&gt;=TODAY(),$I470&lt;=TODAY()+7),15,0)+IF($M470&lt;=VLOOKUP(Home!$C$7,Lists!$N$2:$O$6,2,FALSE),20,-10)+IF($G470=Home!$E$7,15,IF(Home!$E$7="",0,-5))-ROW()/100000)))</f>
        <v/>
      </c>
      <c r="O470" s="88">
        <f>IF($D470="","",IF($N470&lt;=-500,"Not recommended right now",IF($E470="Waiting","Nothing else actionable right now — Waiting on: "&amp;IF($K470="","this item",$K470),TEXTJOIN(" • ",TRUE,IF($F470="High","High Priority",""),IF(AND($I470&lt;&gt;"",$I470&lt;TODAY()),"Overdue",""),IF(AND($I470&lt;&gt;"",$I470&gt;=TODAY(),$I470&lt;=TODAY()+7),"Due This Week",""),IF($M470&lt;=VLOOKUP(Home!$C$7,Lists!$N$2:$O$6,2,FALSE),$H470&amp;" Task",""),IF($G470=Home!$E$7,"Fits Current Energy",""),"No Blockers"))))</f>
        <v/>
      </c>
      <c r="P470" s="88">
        <f>IF($D470="","",SWITCH('Task Finder'!$C$6,"High Priority",AND($F470="High",$E470&lt;&gt;"Done",$E470&lt;&gt;"Archive"),"Due This Week",AND($I470&lt;&gt;"",$I470&gt;=TODAY(),$I470&lt;=TODAY()+7,$E470&lt;&gt;"Done"),"Quick Wins (15 mins or less)",AND($M470&lt;=15,$E470&lt;&gt;"Done",$E470&lt;&gt;"Blocked"),"Deep Thinking",AND($G470="Deep Thinking",$E470&lt;&gt;"Done"),"Processing",AND($G470="Processing",$E470&lt;&gt;"Done"),"Blocked",$E470="Blocked","Waiting",$E470="Waiting","Recently Updated",AND($L470&lt;&gt;"",$L470&gt;=TODAY()-7),"Keyword",AND('Task Finder'!$C$7&lt;&gt;"",OR(ISNUMBER(SEARCH('Task Finder'!$C$7,$A470)),ISNUMBER(SEARCH('Task Finder'!$C$7,$B470)),ISNUMBER(SEARCH('Task Finder'!$C$7,$C470)),ISNUMBER(SEARCH('Task Finder'!$C$7,$D470)),ISNUMBER(SEARCH('Task Finder'!$C$7,$K470)))),TRUE))</f>
        <v/>
      </c>
    </row>
    <row r="471">
      <c r="A471" s="19" t="n"/>
      <c r="B471" s="19" t="n"/>
      <c r="C471" s="19" t="n"/>
      <c r="D471" s="19" t="n"/>
      <c r="E471" s="19" t="n"/>
      <c r="F471" s="19" t="n"/>
      <c r="G471" s="19" t="n"/>
      <c r="H471" s="19" t="n"/>
      <c r="I471" s="19" t="n"/>
      <c r="J471" s="19" t="n"/>
      <c r="K471" s="19" t="n"/>
      <c r="L471" s="125" t="n"/>
      <c r="M471" s="88">
        <f>IF($D471="","",IFERROR(VLOOKUP($H471,Lists!$N$2:$O$6,2,FALSE),0))</f>
        <v/>
      </c>
      <c r="N471" s="88">
        <f>IF($D471="","",IF(OR($E471="Blocked",$E471="Done",$E471="Archive"),-9999,IF(AND($E471="Waiting",SUMPRODUCT((($E$5:$E$500="Next")+($E$5:$E$500="In Progress")+($E$5:$E$500="Captured"))*($D$5:$D$500&lt;&gt;""))&gt;0),-500,VLOOKUP($F471,Lists!$L$2:$M$4,2,FALSE)+IF($E471="In Progress",10,0)+IF(AND($I471&lt;&gt;"",$I471&lt;TODAY()),25,0)+IF(AND($I471&lt;&gt;"",$I471&gt;=TODAY(),$I471&lt;=TODAY()+7),15,0)+IF($M471&lt;=VLOOKUP(Home!$C$7,Lists!$N$2:$O$6,2,FALSE),20,-10)+IF($G471=Home!$E$7,15,IF(Home!$E$7="",0,-5))-ROW()/100000)))</f>
        <v/>
      </c>
      <c r="O471" s="88">
        <f>IF($D471="","",IF($N471&lt;=-500,"Not recommended right now",IF($E471="Waiting","Nothing else actionable right now — Waiting on: "&amp;IF($K471="","this item",$K471),TEXTJOIN(" • ",TRUE,IF($F471="High","High Priority",""),IF(AND($I471&lt;&gt;"",$I471&lt;TODAY()),"Overdue",""),IF(AND($I471&lt;&gt;"",$I471&gt;=TODAY(),$I471&lt;=TODAY()+7),"Due This Week",""),IF($M471&lt;=VLOOKUP(Home!$C$7,Lists!$N$2:$O$6,2,FALSE),$H471&amp;" Task",""),IF($G471=Home!$E$7,"Fits Current Energy",""),"No Blockers"))))</f>
        <v/>
      </c>
      <c r="P471" s="88">
        <f>IF($D471="","",SWITCH('Task Finder'!$C$6,"High Priority",AND($F471="High",$E471&lt;&gt;"Done",$E471&lt;&gt;"Archive"),"Due This Week",AND($I471&lt;&gt;"",$I471&gt;=TODAY(),$I471&lt;=TODAY()+7,$E471&lt;&gt;"Done"),"Quick Wins (15 mins or less)",AND($M471&lt;=15,$E471&lt;&gt;"Done",$E471&lt;&gt;"Blocked"),"Deep Thinking",AND($G471="Deep Thinking",$E471&lt;&gt;"Done"),"Processing",AND($G471="Processing",$E471&lt;&gt;"Done"),"Blocked",$E471="Blocked","Waiting",$E471="Waiting","Recently Updated",AND($L471&lt;&gt;"",$L471&gt;=TODAY()-7),"Keyword",AND('Task Finder'!$C$7&lt;&gt;"",OR(ISNUMBER(SEARCH('Task Finder'!$C$7,$A471)),ISNUMBER(SEARCH('Task Finder'!$C$7,$B471)),ISNUMBER(SEARCH('Task Finder'!$C$7,$C471)),ISNUMBER(SEARCH('Task Finder'!$C$7,$D471)),ISNUMBER(SEARCH('Task Finder'!$C$7,$K471)))),TRUE))</f>
        <v/>
      </c>
    </row>
    <row r="472">
      <c r="A472" s="19" t="n"/>
      <c r="B472" s="19" t="n"/>
      <c r="C472" s="19" t="n"/>
      <c r="D472" s="19" t="n"/>
      <c r="E472" s="19" t="n"/>
      <c r="F472" s="19" t="n"/>
      <c r="G472" s="19" t="n"/>
      <c r="H472" s="19" t="n"/>
      <c r="I472" s="19" t="n"/>
      <c r="J472" s="19" t="n"/>
      <c r="K472" s="19" t="n"/>
      <c r="L472" s="125" t="n"/>
      <c r="M472" s="88">
        <f>IF($D472="","",IFERROR(VLOOKUP($H472,Lists!$N$2:$O$6,2,FALSE),0))</f>
        <v/>
      </c>
      <c r="N472" s="88">
        <f>IF($D472="","",IF(OR($E472="Blocked",$E472="Done",$E472="Archive"),-9999,IF(AND($E472="Waiting",SUMPRODUCT((($E$5:$E$500="Next")+($E$5:$E$500="In Progress")+($E$5:$E$500="Captured"))*($D$5:$D$500&lt;&gt;""))&gt;0),-500,VLOOKUP($F472,Lists!$L$2:$M$4,2,FALSE)+IF($E472="In Progress",10,0)+IF(AND($I472&lt;&gt;"",$I472&lt;TODAY()),25,0)+IF(AND($I472&lt;&gt;"",$I472&gt;=TODAY(),$I472&lt;=TODAY()+7),15,0)+IF($M472&lt;=VLOOKUP(Home!$C$7,Lists!$N$2:$O$6,2,FALSE),20,-10)+IF($G472=Home!$E$7,15,IF(Home!$E$7="",0,-5))-ROW()/100000)))</f>
        <v/>
      </c>
      <c r="O472" s="88">
        <f>IF($D472="","",IF($N472&lt;=-500,"Not recommended right now",IF($E472="Waiting","Nothing else actionable right now — Waiting on: "&amp;IF($K472="","this item",$K472),TEXTJOIN(" • ",TRUE,IF($F472="High","High Priority",""),IF(AND($I472&lt;&gt;"",$I472&lt;TODAY()),"Overdue",""),IF(AND($I472&lt;&gt;"",$I472&gt;=TODAY(),$I472&lt;=TODAY()+7),"Due This Week",""),IF($M472&lt;=VLOOKUP(Home!$C$7,Lists!$N$2:$O$6,2,FALSE),$H472&amp;" Task",""),IF($G472=Home!$E$7,"Fits Current Energy",""),"No Blockers"))))</f>
        <v/>
      </c>
      <c r="P472" s="88">
        <f>IF($D472="","",SWITCH('Task Finder'!$C$6,"High Priority",AND($F472="High",$E472&lt;&gt;"Done",$E472&lt;&gt;"Archive"),"Due This Week",AND($I472&lt;&gt;"",$I472&gt;=TODAY(),$I472&lt;=TODAY()+7,$E472&lt;&gt;"Done"),"Quick Wins (15 mins or less)",AND($M472&lt;=15,$E472&lt;&gt;"Done",$E472&lt;&gt;"Blocked"),"Deep Thinking",AND($G472="Deep Thinking",$E472&lt;&gt;"Done"),"Processing",AND($G472="Processing",$E472&lt;&gt;"Done"),"Blocked",$E472="Blocked","Waiting",$E472="Waiting","Recently Updated",AND($L472&lt;&gt;"",$L472&gt;=TODAY()-7),"Keyword",AND('Task Finder'!$C$7&lt;&gt;"",OR(ISNUMBER(SEARCH('Task Finder'!$C$7,$A472)),ISNUMBER(SEARCH('Task Finder'!$C$7,$B472)),ISNUMBER(SEARCH('Task Finder'!$C$7,$C472)),ISNUMBER(SEARCH('Task Finder'!$C$7,$D472)),ISNUMBER(SEARCH('Task Finder'!$C$7,$K472)))),TRUE))</f>
        <v/>
      </c>
    </row>
    <row r="473">
      <c r="A473" s="19" t="n"/>
      <c r="B473" s="19" t="n"/>
      <c r="C473" s="19" t="n"/>
      <c r="D473" s="19" t="n"/>
      <c r="E473" s="19" t="n"/>
      <c r="F473" s="19" t="n"/>
      <c r="G473" s="19" t="n"/>
      <c r="H473" s="19" t="n"/>
      <c r="I473" s="19" t="n"/>
      <c r="J473" s="19" t="n"/>
      <c r="K473" s="19" t="n"/>
      <c r="L473" s="125" t="n"/>
      <c r="M473" s="88">
        <f>IF($D473="","",IFERROR(VLOOKUP($H473,Lists!$N$2:$O$6,2,FALSE),0))</f>
        <v/>
      </c>
      <c r="N473" s="88">
        <f>IF($D473="","",IF(OR($E473="Blocked",$E473="Done",$E473="Archive"),-9999,IF(AND($E473="Waiting",SUMPRODUCT((($E$5:$E$500="Next")+($E$5:$E$500="In Progress")+($E$5:$E$500="Captured"))*($D$5:$D$500&lt;&gt;""))&gt;0),-500,VLOOKUP($F473,Lists!$L$2:$M$4,2,FALSE)+IF($E473="In Progress",10,0)+IF(AND($I473&lt;&gt;"",$I473&lt;TODAY()),25,0)+IF(AND($I473&lt;&gt;"",$I473&gt;=TODAY(),$I473&lt;=TODAY()+7),15,0)+IF($M473&lt;=VLOOKUP(Home!$C$7,Lists!$N$2:$O$6,2,FALSE),20,-10)+IF($G473=Home!$E$7,15,IF(Home!$E$7="",0,-5))-ROW()/100000)))</f>
        <v/>
      </c>
      <c r="O473" s="88">
        <f>IF($D473="","",IF($N473&lt;=-500,"Not recommended right now",IF($E473="Waiting","Nothing else actionable right now — Waiting on: "&amp;IF($K473="","this item",$K473),TEXTJOIN(" • ",TRUE,IF($F473="High","High Priority",""),IF(AND($I473&lt;&gt;"",$I473&lt;TODAY()),"Overdue",""),IF(AND($I473&lt;&gt;"",$I473&gt;=TODAY(),$I473&lt;=TODAY()+7),"Due This Week",""),IF($M473&lt;=VLOOKUP(Home!$C$7,Lists!$N$2:$O$6,2,FALSE),$H473&amp;" Task",""),IF($G473=Home!$E$7,"Fits Current Energy",""),"No Blockers"))))</f>
        <v/>
      </c>
      <c r="P473" s="88">
        <f>IF($D473="","",SWITCH('Task Finder'!$C$6,"High Priority",AND($F473="High",$E473&lt;&gt;"Done",$E473&lt;&gt;"Archive"),"Due This Week",AND($I473&lt;&gt;"",$I473&gt;=TODAY(),$I473&lt;=TODAY()+7,$E473&lt;&gt;"Done"),"Quick Wins (15 mins or less)",AND($M473&lt;=15,$E473&lt;&gt;"Done",$E473&lt;&gt;"Blocked"),"Deep Thinking",AND($G473="Deep Thinking",$E473&lt;&gt;"Done"),"Processing",AND($G473="Processing",$E473&lt;&gt;"Done"),"Blocked",$E473="Blocked","Waiting",$E473="Waiting","Recently Updated",AND($L473&lt;&gt;"",$L473&gt;=TODAY()-7),"Keyword",AND('Task Finder'!$C$7&lt;&gt;"",OR(ISNUMBER(SEARCH('Task Finder'!$C$7,$A473)),ISNUMBER(SEARCH('Task Finder'!$C$7,$B473)),ISNUMBER(SEARCH('Task Finder'!$C$7,$C473)),ISNUMBER(SEARCH('Task Finder'!$C$7,$D473)),ISNUMBER(SEARCH('Task Finder'!$C$7,$K473)))),TRUE))</f>
        <v/>
      </c>
    </row>
    <row r="474">
      <c r="A474" s="19" t="n"/>
      <c r="B474" s="19" t="n"/>
      <c r="C474" s="19" t="n"/>
      <c r="D474" s="19" t="n"/>
      <c r="E474" s="19" t="n"/>
      <c r="F474" s="19" t="n"/>
      <c r="G474" s="19" t="n"/>
      <c r="H474" s="19" t="n"/>
      <c r="I474" s="19" t="n"/>
      <c r="J474" s="19" t="n"/>
      <c r="K474" s="19" t="n"/>
      <c r="L474" s="125" t="n"/>
      <c r="M474" s="88">
        <f>IF($D474="","",IFERROR(VLOOKUP($H474,Lists!$N$2:$O$6,2,FALSE),0))</f>
        <v/>
      </c>
      <c r="N474" s="88">
        <f>IF($D474="","",IF(OR($E474="Blocked",$E474="Done",$E474="Archive"),-9999,IF(AND($E474="Waiting",SUMPRODUCT((($E$5:$E$500="Next")+($E$5:$E$500="In Progress")+($E$5:$E$500="Captured"))*($D$5:$D$500&lt;&gt;""))&gt;0),-500,VLOOKUP($F474,Lists!$L$2:$M$4,2,FALSE)+IF($E474="In Progress",10,0)+IF(AND($I474&lt;&gt;"",$I474&lt;TODAY()),25,0)+IF(AND($I474&lt;&gt;"",$I474&gt;=TODAY(),$I474&lt;=TODAY()+7),15,0)+IF($M474&lt;=VLOOKUP(Home!$C$7,Lists!$N$2:$O$6,2,FALSE),20,-10)+IF($G474=Home!$E$7,15,IF(Home!$E$7="",0,-5))-ROW()/100000)))</f>
        <v/>
      </c>
      <c r="O474" s="88">
        <f>IF($D474="","",IF($N474&lt;=-500,"Not recommended right now",IF($E474="Waiting","Nothing else actionable right now — Waiting on: "&amp;IF($K474="","this item",$K474),TEXTJOIN(" • ",TRUE,IF($F474="High","High Priority",""),IF(AND($I474&lt;&gt;"",$I474&lt;TODAY()),"Overdue",""),IF(AND($I474&lt;&gt;"",$I474&gt;=TODAY(),$I474&lt;=TODAY()+7),"Due This Week",""),IF($M474&lt;=VLOOKUP(Home!$C$7,Lists!$N$2:$O$6,2,FALSE),$H474&amp;" Task",""),IF($G474=Home!$E$7,"Fits Current Energy",""),"No Blockers"))))</f>
        <v/>
      </c>
      <c r="P474" s="88">
        <f>IF($D474="","",SWITCH('Task Finder'!$C$6,"High Priority",AND($F474="High",$E474&lt;&gt;"Done",$E474&lt;&gt;"Archive"),"Due This Week",AND($I474&lt;&gt;"",$I474&gt;=TODAY(),$I474&lt;=TODAY()+7,$E474&lt;&gt;"Done"),"Quick Wins (15 mins or less)",AND($M474&lt;=15,$E474&lt;&gt;"Done",$E474&lt;&gt;"Blocked"),"Deep Thinking",AND($G474="Deep Thinking",$E474&lt;&gt;"Done"),"Processing",AND($G474="Processing",$E474&lt;&gt;"Done"),"Blocked",$E474="Blocked","Waiting",$E474="Waiting","Recently Updated",AND($L474&lt;&gt;"",$L474&gt;=TODAY()-7),"Keyword",AND('Task Finder'!$C$7&lt;&gt;"",OR(ISNUMBER(SEARCH('Task Finder'!$C$7,$A474)),ISNUMBER(SEARCH('Task Finder'!$C$7,$B474)),ISNUMBER(SEARCH('Task Finder'!$C$7,$C474)),ISNUMBER(SEARCH('Task Finder'!$C$7,$D474)),ISNUMBER(SEARCH('Task Finder'!$C$7,$K474)))),TRUE))</f>
        <v/>
      </c>
    </row>
    <row r="475">
      <c r="A475" s="19" t="n"/>
      <c r="B475" s="19" t="n"/>
      <c r="C475" s="19" t="n"/>
      <c r="D475" s="19" t="n"/>
      <c r="E475" s="19" t="n"/>
      <c r="F475" s="19" t="n"/>
      <c r="G475" s="19" t="n"/>
      <c r="H475" s="19" t="n"/>
      <c r="I475" s="19" t="n"/>
      <c r="J475" s="19" t="n"/>
      <c r="K475" s="19" t="n"/>
      <c r="L475" s="125" t="n"/>
      <c r="M475" s="88">
        <f>IF($D475="","",IFERROR(VLOOKUP($H475,Lists!$N$2:$O$6,2,FALSE),0))</f>
        <v/>
      </c>
      <c r="N475" s="88">
        <f>IF($D475="","",IF(OR($E475="Blocked",$E475="Done",$E475="Archive"),-9999,IF(AND($E475="Waiting",SUMPRODUCT((($E$5:$E$500="Next")+($E$5:$E$500="In Progress")+($E$5:$E$500="Captured"))*($D$5:$D$500&lt;&gt;""))&gt;0),-500,VLOOKUP($F475,Lists!$L$2:$M$4,2,FALSE)+IF($E475="In Progress",10,0)+IF(AND($I475&lt;&gt;"",$I475&lt;TODAY()),25,0)+IF(AND($I475&lt;&gt;"",$I475&gt;=TODAY(),$I475&lt;=TODAY()+7),15,0)+IF($M475&lt;=VLOOKUP(Home!$C$7,Lists!$N$2:$O$6,2,FALSE),20,-10)+IF($G475=Home!$E$7,15,IF(Home!$E$7="",0,-5))-ROW()/100000)))</f>
        <v/>
      </c>
      <c r="O475" s="88">
        <f>IF($D475="","",IF($N475&lt;=-500,"Not recommended right now",IF($E475="Waiting","Nothing else actionable right now — Waiting on: "&amp;IF($K475="","this item",$K475),TEXTJOIN(" • ",TRUE,IF($F475="High","High Priority",""),IF(AND($I475&lt;&gt;"",$I475&lt;TODAY()),"Overdue",""),IF(AND($I475&lt;&gt;"",$I475&gt;=TODAY(),$I475&lt;=TODAY()+7),"Due This Week",""),IF($M475&lt;=VLOOKUP(Home!$C$7,Lists!$N$2:$O$6,2,FALSE),$H475&amp;" Task",""),IF($G475=Home!$E$7,"Fits Current Energy",""),"No Blockers"))))</f>
        <v/>
      </c>
      <c r="P475" s="88">
        <f>IF($D475="","",SWITCH('Task Finder'!$C$6,"High Priority",AND($F475="High",$E475&lt;&gt;"Done",$E475&lt;&gt;"Archive"),"Due This Week",AND($I475&lt;&gt;"",$I475&gt;=TODAY(),$I475&lt;=TODAY()+7,$E475&lt;&gt;"Done"),"Quick Wins (15 mins or less)",AND($M475&lt;=15,$E475&lt;&gt;"Done",$E475&lt;&gt;"Blocked"),"Deep Thinking",AND($G475="Deep Thinking",$E475&lt;&gt;"Done"),"Processing",AND($G475="Processing",$E475&lt;&gt;"Done"),"Blocked",$E475="Blocked","Waiting",$E475="Waiting","Recently Updated",AND($L475&lt;&gt;"",$L475&gt;=TODAY()-7),"Keyword",AND('Task Finder'!$C$7&lt;&gt;"",OR(ISNUMBER(SEARCH('Task Finder'!$C$7,$A475)),ISNUMBER(SEARCH('Task Finder'!$C$7,$B475)),ISNUMBER(SEARCH('Task Finder'!$C$7,$C475)),ISNUMBER(SEARCH('Task Finder'!$C$7,$D475)),ISNUMBER(SEARCH('Task Finder'!$C$7,$K475)))),TRUE))</f>
        <v/>
      </c>
    </row>
    <row r="476">
      <c r="A476" s="19" t="n"/>
      <c r="B476" s="19" t="n"/>
      <c r="C476" s="19" t="n"/>
      <c r="D476" s="19" t="n"/>
      <c r="E476" s="19" t="n"/>
      <c r="F476" s="19" t="n"/>
      <c r="G476" s="19" t="n"/>
      <c r="H476" s="19" t="n"/>
      <c r="I476" s="19" t="n"/>
      <c r="J476" s="19" t="n"/>
      <c r="K476" s="19" t="n"/>
      <c r="L476" s="125" t="n"/>
      <c r="M476" s="88">
        <f>IF($D476="","",IFERROR(VLOOKUP($H476,Lists!$N$2:$O$6,2,FALSE),0))</f>
        <v/>
      </c>
      <c r="N476" s="88">
        <f>IF($D476="","",IF(OR($E476="Blocked",$E476="Done",$E476="Archive"),-9999,IF(AND($E476="Waiting",SUMPRODUCT((($E$5:$E$500="Next")+($E$5:$E$500="In Progress")+($E$5:$E$500="Captured"))*($D$5:$D$500&lt;&gt;""))&gt;0),-500,VLOOKUP($F476,Lists!$L$2:$M$4,2,FALSE)+IF($E476="In Progress",10,0)+IF(AND($I476&lt;&gt;"",$I476&lt;TODAY()),25,0)+IF(AND($I476&lt;&gt;"",$I476&gt;=TODAY(),$I476&lt;=TODAY()+7),15,0)+IF($M476&lt;=VLOOKUP(Home!$C$7,Lists!$N$2:$O$6,2,FALSE),20,-10)+IF($G476=Home!$E$7,15,IF(Home!$E$7="",0,-5))-ROW()/100000)))</f>
        <v/>
      </c>
      <c r="O476" s="88">
        <f>IF($D476="","",IF($N476&lt;=-500,"Not recommended right now",IF($E476="Waiting","Nothing else actionable right now — Waiting on: "&amp;IF($K476="","this item",$K476),TEXTJOIN(" • ",TRUE,IF($F476="High","High Priority",""),IF(AND($I476&lt;&gt;"",$I476&lt;TODAY()),"Overdue",""),IF(AND($I476&lt;&gt;"",$I476&gt;=TODAY(),$I476&lt;=TODAY()+7),"Due This Week",""),IF($M476&lt;=VLOOKUP(Home!$C$7,Lists!$N$2:$O$6,2,FALSE),$H476&amp;" Task",""),IF($G476=Home!$E$7,"Fits Current Energy",""),"No Blockers"))))</f>
        <v/>
      </c>
      <c r="P476" s="88">
        <f>IF($D476="","",SWITCH('Task Finder'!$C$6,"High Priority",AND($F476="High",$E476&lt;&gt;"Done",$E476&lt;&gt;"Archive"),"Due This Week",AND($I476&lt;&gt;"",$I476&gt;=TODAY(),$I476&lt;=TODAY()+7,$E476&lt;&gt;"Done"),"Quick Wins (15 mins or less)",AND($M476&lt;=15,$E476&lt;&gt;"Done",$E476&lt;&gt;"Blocked"),"Deep Thinking",AND($G476="Deep Thinking",$E476&lt;&gt;"Done"),"Processing",AND($G476="Processing",$E476&lt;&gt;"Done"),"Blocked",$E476="Blocked","Waiting",$E476="Waiting","Recently Updated",AND($L476&lt;&gt;"",$L476&gt;=TODAY()-7),"Keyword",AND('Task Finder'!$C$7&lt;&gt;"",OR(ISNUMBER(SEARCH('Task Finder'!$C$7,$A476)),ISNUMBER(SEARCH('Task Finder'!$C$7,$B476)),ISNUMBER(SEARCH('Task Finder'!$C$7,$C476)),ISNUMBER(SEARCH('Task Finder'!$C$7,$D476)),ISNUMBER(SEARCH('Task Finder'!$C$7,$K476)))),TRUE))</f>
        <v/>
      </c>
    </row>
    <row r="477">
      <c r="A477" s="19" t="n"/>
      <c r="B477" s="19" t="n"/>
      <c r="C477" s="19" t="n"/>
      <c r="D477" s="19" t="n"/>
      <c r="E477" s="19" t="n"/>
      <c r="F477" s="19" t="n"/>
      <c r="G477" s="19" t="n"/>
      <c r="H477" s="19" t="n"/>
      <c r="I477" s="19" t="n"/>
      <c r="J477" s="19" t="n"/>
      <c r="K477" s="19" t="n"/>
      <c r="L477" s="125" t="n"/>
      <c r="M477" s="88">
        <f>IF($D477="","",IFERROR(VLOOKUP($H477,Lists!$N$2:$O$6,2,FALSE),0))</f>
        <v/>
      </c>
      <c r="N477" s="88">
        <f>IF($D477="","",IF(OR($E477="Blocked",$E477="Done",$E477="Archive"),-9999,IF(AND($E477="Waiting",SUMPRODUCT((($E$5:$E$500="Next")+($E$5:$E$500="In Progress")+($E$5:$E$500="Captured"))*($D$5:$D$500&lt;&gt;""))&gt;0),-500,VLOOKUP($F477,Lists!$L$2:$M$4,2,FALSE)+IF($E477="In Progress",10,0)+IF(AND($I477&lt;&gt;"",$I477&lt;TODAY()),25,0)+IF(AND($I477&lt;&gt;"",$I477&gt;=TODAY(),$I477&lt;=TODAY()+7),15,0)+IF($M477&lt;=VLOOKUP(Home!$C$7,Lists!$N$2:$O$6,2,FALSE),20,-10)+IF($G477=Home!$E$7,15,IF(Home!$E$7="",0,-5))-ROW()/100000)))</f>
        <v/>
      </c>
      <c r="O477" s="88">
        <f>IF($D477="","",IF($N477&lt;=-500,"Not recommended right now",IF($E477="Waiting","Nothing else actionable right now — Waiting on: "&amp;IF($K477="","this item",$K477),TEXTJOIN(" • ",TRUE,IF($F477="High","High Priority",""),IF(AND($I477&lt;&gt;"",$I477&lt;TODAY()),"Overdue",""),IF(AND($I477&lt;&gt;"",$I477&gt;=TODAY(),$I477&lt;=TODAY()+7),"Due This Week",""),IF($M477&lt;=VLOOKUP(Home!$C$7,Lists!$N$2:$O$6,2,FALSE),$H477&amp;" Task",""),IF($G477=Home!$E$7,"Fits Current Energy",""),"No Blockers"))))</f>
        <v/>
      </c>
      <c r="P477" s="88">
        <f>IF($D477="","",SWITCH('Task Finder'!$C$6,"High Priority",AND($F477="High",$E477&lt;&gt;"Done",$E477&lt;&gt;"Archive"),"Due This Week",AND($I477&lt;&gt;"",$I477&gt;=TODAY(),$I477&lt;=TODAY()+7,$E477&lt;&gt;"Done"),"Quick Wins (15 mins or less)",AND($M477&lt;=15,$E477&lt;&gt;"Done",$E477&lt;&gt;"Blocked"),"Deep Thinking",AND($G477="Deep Thinking",$E477&lt;&gt;"Done"),"Processing",AND($G477="Processing",$E477&lt;&gt;"Done"),"Blocked",$E477="Blocked","Waiting",$E477="Waiting","Recently Updated",AND($L477&lt;&gt;"",$L477&gt;=TODAY()-7),"Keyword",AND('Task Finder'!$C$7&lt;&gt;"",OR(ISNUMBER(SEARCH('Task Finder'!$C$7,$A477)),ISNUMBER(SEARCH('Task Finder'!$C$7,$B477)),ISNUMBER(SEARCH('Task Finder'!$C$7,$C477)),ISNUMBER(SEARCH('Task Finder'!$C$7,$D477)),ISNUMBER(SEARCH('Task Finder'!$C$7,$K477)))),TRUE))</f>
        <v/>
      </c>
    </row>
    <row r="478">
      <c r="A478" s="19" t="n"/>
      <c r="B478" s="19" t="n"/>
      <c r="C478" s="19" t="n"/>
      <c r="D478" s="19" t="n"/>
      <c r="E478" s="19" t="n"/>
      <c r="F478" s="19" t="n"/>
      <c r="G478" s="19" t="n"/>
      <c r="H478" s="19" t="n"/>
      <c r="I478" s="19" t="n"/>
      <c r="J478" s="19" t="n"/>
      <c r="K478" s="19" t="n"/>
      <c r="L478" s="125" t="n"/>
      <c r="M478" s="88">
        <f>IF($D478="","",IFERROR(VLOOKUP($H478,Lists!$N$2:$O$6,2,FALSE),0))</f>
        <v/>
      </c>
      <c r="N478" s="88">
        <f>IF($D478="","",IF(OR($E478="Blocked",$E478="Done",$E478="Archive"),-9999,IF(AND($E478="Waiting",SUMPRODUCT((($E$5:$E$500="Next")+($E$5:$E$500="In Progress")+($E$5:$E$500="Captured"))*($D$5:$D$500&lt;&gt;""))&gt;0),-500,VLOOKUP($F478,Lists!$L$2:$M$4,2,FALSE)+IF($E478="In Progress",10,0)+IF(AND($I478&lt;&gt;"",$I478&lt;TODAY()),25,0)+IF(AND($I478&lt;&gt;"",$I478&gt;=TODAY(),$I478&lt;=TODAY()+7),15,0)+IF($M478&lt;=VLOOKUP(Home!$C$7,Lists!$N$2:$O$6,2,FALSE),20,-10)+IF($G478=Home!$E$7,15,IF(Home!$E$7="",0,-5))-ROW()/100000)))</f>
        <v/>
      </c>
      <c r="O478" s="88">
        <f>IF($D478="","",IF($N478&lt;=-500,"Not recommended right now",IF($E478="Waiting","Nothing else actionable right now — Waiting on: "&amp;IF($K478="","this item",$K478),TEXTJOIN(" • ",TRUE,IF($F478="High","High Priority",""),IF(AND($I478&lt;&gt;"",$I478&lt;TODAY()),"Overdue",""),IF(AND($I478&lt;&gt;"",$I478&gt;=TODAY(),$I478&lt;=TODAY()+7),"Due This Week",""),IF($M478&lt;=VLOOKUP(Home!$C$7,Lists!$N$2:$O$6,2,FALSE),$H478&amp;" Task",""),IF($G478=Home!$E$7,"Fits Current Energy",""),"No Blockers"))))</f>
        <v/>
      </c>
      <c r="P478" s="88">
        <f>IF($D478="","",SWITCH('Task Finder'!$C$6,"High Priority",AND($F478="High",$E478&lt;&gt;"Done",$E478&lt;&gt;"Archive"),"Due This Week",AND($I478&lt;&gt;"",$I478&gt;=TODAY(),$I478&lt;=TODAY()+7,$E478&lt;&gt;"Done"),"Quick Wins (15 mins or less)",AND($M478&lt;=15,$E478&lt;&gt;"Done",$E478&lt;&gt;"Blocked"),"Deep Thinking",AND($G478="Deep Thinking",$E478&lt;&gt;"Done"),"Processing",AND($G478="Processing",$E478&lt;&gt;"Done"),"Blocked",$E478="Blocked","Waiting",$E478="Waiting","Recently Updated",AND($L478&lt;&gt;"",$L478&gt;=TODAY()-7),"Keyword",AND('Task Finder'!$C$7&lt;&gt;"",OR(ISNUMBER(SEARCH('Task Finder'!$C$7,$A478)),ISNUMBER(SEARCH('Task Finder'!$C$7,$B478)),ISNUMBER(SEARCH('Task Finder'!$C$7,$C478)),ISNUMBER(SEARCH('Task Finder'!$C$7,$D478)),ISNUMBER(SEARCH('Task Finder'!$C$7,$K478)))),TRUE))</f>
        <v/>
      </c>
    </row>
    <row r="479">
      <c r="A479" s="19" t="n"/>
      <c r="B479" s="19" t="n"/>
      <c r="C479" s="19" t="n"/>
      <c r="D479" s="19" t="n"/>
      <c r="E479" s="19" t="n"/>
      <c r="F479" s="19" t="n"/>
      <c r="G479" s="19" t="n"/>
      <c r="H479" s="19" t="n"/>
      <c r="I479" s="19" t="n"/>
      <c r="J479" s="19" t="n"/>
      <c r="K479" s="19" t="n"/>
      <c r="L479" s="125" t="n"/>
      <c r="M479" s="88">
        <f>IF($D479="","",IFERROR(VLOOKUP($H479,Lists!$N$2:$O$6,2,FALSE),0))</f>
        <v/>
      </c>
      <c r="N479" s="88">
        <f>IF($D479="","",IF(OR($E479="Blocked",$E479="Done",$E479="Archive"),-9999,IF(AND($E479="Waiting",SUMPRODUCT((($E$5:$E$500="Next")+($E$5:$E$500="In Progress")+($E$5:$E$500="Captured"))*($D$5:$D$500&lt;&gt;""))&gt;0),-500,VLOOKUP($F479,Lists!$L$2:$M$4,2,FALSE)+IF($E479="In Progress",10,0)+IF(AND($I479&lt;&gt;"",$I479&lt;TODAY()),25,0)+IF(AND($I479&lt;&gt;"",$I479&gt;=TODAY(),$I479&lt;=TODAY()+7),15,0)+IF($M479&lt;=VLOOKUP(Home!$C$7,Lists!$N$2:$O$6,2,FALSE),20,-10)+IF($G479=Home!$E$7,15,IF(Home!$E$7="",0,-5))-ROW()/100000)))</f>
        <v/>
      </c>
      <c r="O479" s="88">
        <f>IF($D479="","",IF($N479&lt;=-500,"Not recommended right now",IF($E479="Waiting","Nothing else actionable right now — Waiting on: "&amp;IF($K479="","this item",$K479),TEXTJOIN(" • ",TRUE,IF($F479="High","High Priority",""),IF(AND($I479&lt;&gt;"",$I479&lt;TODAY()),"Overdue",""),IF(AND($I479&lt;&gt;"",$I479&gt;=TODAY(),$I479&lt;=TODAY()+7),"Due This Week",""),IF($M479&lt;=VLOOKUP(Home!$C$7,Lists!$N$2:$O$6,2,FALSE),$H479&amp;" Task",""),IF($G479=Home!$E$7,"Fits Current Energy",""),"No Blockers"))))</f>
        <v/>
      </c>
      <c r="P479" s="88">
        <f>IF($D479="","",SWITCH('Task Finder'!$C$6,"High Priority",AND($F479="High",$E479&lt;&gt;"Done",$E479&lt;&gt;"Archive"),"Due This Week",AND($I479&lt;&gt;"",$I479&gt;=TODAY(),$I479&lt;=TODAY()+7,$E479&lt;&gt;"Done"),"Quick Wins (15 mins or less)",AND($M479&lt;=15,$E479&lt;&gt;"Done",$E479&lt;&gt;"Blocked"),"Deep Thinking",AND($G479="Deep Thinking",$E479&lt;&gt;"Done"),"Processing",AND($G479="Processing",$E479&lt;&gt;"Done"),"Blocked",$E479="Blocked","Waiting",$E479="Waiting","Recently Updated",AND($L479&lt;&gt;"",$L479&gt;=TODAY()-7),"Keyword",AND('Task Finder'!$C$7&lt;&gt;"",OR(ISNUMBER(SEARCH('Task Finder'!$C$7,$A479)),ISNUMBER(SEARCH('Task Finder'!$C$7,$B479)),ISNUMBER(SEARCH('Task Finder'!$C$7,$C479)),ISNUMBER(SEARCH('Task Finder'!$C$7,$D479)),ISNUMBER(SEARCH('Task Finder'!$C$7,$K479)))),TRUE))</f>
        <v/>
      </c>
    </row>
    <row r="480">
      <c r="A480" s="19" t="n"/>
      <c r="B480" s="19" t="n"/>
      <c r="C480" s="19" t="n"/>
      <c r="D480" s="19" t="n"/>
      <c r="E480" s="19" t="n"/>
      <c r="F480" s="19" t="n"/>
      <c r="G480" s="19" t="n"/>
      <c r="H480" s="19" t="n"/>
      <c r="I480" s="19" t="n"/>
      <c r="J480" s="19" t="n"/>
      <c r="K480" s="19" t="n"/>
      <c r="L480" s="125" t="n"/>
      <c r="M480" s="88">
        <f>IF($D480="","",IFERROR(VLOOKUP($H480,Lists!$N$2:$O$6,2,FALSE),0))</f>
        <v/>
      </c>
      <c r="N480" s="88">
        <f>IF($D480="","",IF(OR($E480="Blocked",$E480="Done",$E480="Archive"),-9999,IF(AND($E480="Waiting",SUMPRODUCT((($E$5:$E$500="Next")+($E$5:$E$500="In Progress")+($E$5:$E$500="Captured"))*($D$5:$D$500&lt;&gt;""))&gt;0),-500,VLOOKUP($F480,Lists!$L$2:$M$4,2,FALSE)+IF($E480="In Progress",10,0)+IF(AND($I480&lt;&gt;"",$I480&lt;TODAY()),25,0)+IF(AND($I480&lt;&gt;"",$I480&gt;=TODAY(),$I480&lt;=TODAY()+7),15,0)+IF($M480&lt;=VLOOKUP(Home!$C$7,Lists!$N$2:$O$6,2,FALSE),20,-10)+IF($G480=Home!$E$7,15,IF(Home!$E$7="",0,-5))-ROW()/100000)))</f>
        <v/>
      </c>
      <c r="O480" s="88">
        <f>IF($D480="","",IF($N480&lt;=-500,"Not recommended right now",IF($E480="Waiting","Nothing else actionable right now — Waiting on: "&amp;IF($K480="","this item",$K480),TEXTJOIN(" • ",TRUE,IF($F480="High","High Priority",""),IF(AND($I480&lt;&gt;"",$I480&lt;TODAY()),"Overdue",""),IF(AND($I480&lt;&gt;"",$I480&gt;=TODAY(),$I480&lt;=TODAY()+7),"Due This Week",""),IF($M480&lt;=VLOOKUP(Home!$C$7,Lists!$N$2:$O$6,2,FALSE),$H480&amp;" Task",""),IF($G480=Home!$E$7,"Fits Current Energy",""),"No Blockers"))))</f>
        <v/>
      </c>
      <c r="P480" s="88">
        <f>IF($D480="","",SWITCH('Task Finder'!$C$6,"High Priority",AND($F480="High",$E480&lt;&gt;"Done",$E480&lt;&gt;"Archive"),"Due This Week",AND($I480&lt;&gt;"",$I480&gt;=TODAY(),$I480&lt;=TODAY()+7,$E480&lt;&gt;"Done"),"Quick Wins (15 mins or less)",AND($M480&lt;=15,$E480&lt;&gt;"Done",$E480&lt;&gt;"Blocked"),"Deep Thinking",AND($G480="Deep Thinking",$E480&lt;&gt;"Done"),"Processing",AND($G480="Processing",$E480&lt;&gt;"Done"),"Blocked",$E480="Blocked","Waiting",$E480="Waiting","Recently Updated",AND($L480&lt;&gt;"",$L480&gt;=TODAY()-7),"Keyword",AND('Task Finder'!$C$7&lt;&gt;"",OR(ISNUMBER(SEARCH('Task Finder'!$C$7,$A480)),ISNUMBER(SEARCH('Task Finder'!$C$7,$B480)),ISNUMBER(SEARCH('Task Finder'!$C$7,$C480)),ISNUMBER(SEARCH('Task Finder'!$C$7,$D480)),ISNUMBER(SEARCH('Task Finder'!$C$7,$K480)))),TRUE))</f>
        <v/>
      </c>
    </row>
    <row r="481">
      <c r="A481" s="19" t="n"/>
      <c r="B481" s="19" t="n"/>
      <c r="C481" s="19" t="n"/>
      <c r="D481" s="19" t="n"/>
      <c r="E481" s="19" t="n"/>
      <c r="F481" s="19" t="n"/>
      <c r="G481" s="19" t="n"/>
      <c r="H481" s="19" t="n"/>
      <c r="I481" s="19" t="n"/>
      <c r="J481" s="19" t="n"/>
      <c r="K481" s="19" t="n"/>
      <c r="L481" s="125" t="n"/>
      <c r="M481" s="88">
        <f>IF($D481="","",IFERROR(VLOOKUP($H481,Lists!$N$2:$O$6,2,FALSE),0))</f>
        <v/>
      </c>
      <c r="N481" s="88">
        <f>IF($D481="","",IF(OR($E481="Blocked",$E481="Done",$E481="Archive"),-9999,IF(AND($E481="Waiting",SUMPRODUCT((($E$5:$E$500="Next")+($E$5:$E$500="In Progress")+($E$5:$E$500="Captured"))*($D$5:$D$500&lt;&gt;""))&gt;0),-500,VLOOKUP($F481,Lists!$L$2:$M$4,2,FALSE)+IF($E481="In Progress",10,0)+IF(AND($I481&lt;&gt;"",$I481&lt;TODAY()),25,0)+IF(AND($I481&lt;&gt;"",$I481&gt;=TODAY(),$I481&lt;=TODAY()+7),15,0)+IF($M481&lt;=VLOOKUP(Home!$C$7,Lists!$N$2:$O$6,2,FALSE),20,-10)+IF($G481=Home!$E$7,15,IF(Home!$E$7="",0,-5))-ROW()/100000)))</f>
        <v/>
      </c>
      <c r="O481" s="88">
        <f>IF($D481="","",IF($N481&lt;=-500,"Not recommended right now",IF($E481="Waiting","Nothing else actionable right now — Waiting on: "&amp;IF($K481="","this item",$K481),TEXTJOIN(" • ",TRUE,IF($F481="High","High Priority",""),IF(AND($I481&lt;&gt;"",$I481&lt;TODAY()),"Overdue",""),IF(AND($I481&lt;&gt;"",$I481&gt;=TODAY(),$I481&lt;=TODAY()+7),"Due This Week",""),IF($M481&lt;=VLOOKUP(Home!$C$7,Lists!$N$2:$O$6,2,FALSE),$H481&amp;" Task",""),IF($G481=Home!$E$7,"Fits Current Energy",""),"No Blockers"))))</f>
        <v/>
      </c>
      <c r="P481" s="88">
        <f>IF($D481="","",SWITCH('Task Finder'!$C$6,"High Priority",AND($F481="High",$E481&lt;&gt;"Done",$E481&lt;&gt;"Archive"),"Due This Week",AND($I481&lt;&gt;"",$I481&gt;=TODAY(),$I481&lt;=TODAY()+7,$E481&lt;&gt;"Done"),"Quick Wins (15 mins or less)",AND($M481&lt;=15,$E481&lt;&gt;"Done",$E481&lt;&gt;"Blocked"),"Deep Thinking",AND($G481="Deep Thinking",$E481&lt;&gt;"Done"),"Processing",AND($G481="Processing",$E481&lt;&gt;"Done"),"Blocked",$E481="Blocked","Waiting",$E481="Waiting","Recently Updated",AND($L481&lt;&gt;"",$L481&gt;=TODAY()-7),"Keyword",AND('Task Finder'!$C$7&lt;&gt;"",OR(ISNUMBER(SEARCH('Task Finder'!$C$7,$A481)),ISNUMBER(SEARCH('Task Finder'!$C$7,$B481)),ISNUMBER(SEARCH('Task Finder'!$C$7,$C481)),ISNUMBER(SEARCH('Task Finder'!$C$7,$D481)),ISNUMBER(SEARCH('Task Finder'!$C$7,$K481)))),TRUE))</f>
        <v/>
      </c>
    </row>
    <row r="482">
      <c r="A482" s="19" t="n"/>
      <c r="B482" s="19" t="n"/>
      <c r="C482" s="19" t="n"/>
      <c r="D482" s="19" t="n"/>
      <c r="E482" s="19" t="n"/>
      <c r="F482" s="19" t="n"/>
      <c r="G482" s="19" t="n"/>
      <c r="H482" s="19" t="n"/>
      <c r="I482" s="19" t="n"/>
      <c r="J482" s="19" t="n"/>
      <c r="K482" s="19" t="n"/>
      <c r="L482" s="125" t="n"/>
      <c r="M482" s="88">
        <f>IF($D482="","",IFERROR(VLOOKUP($H482,Lists!$N$2:$O$6,2,FALSE),0))</f>
        <v/>
      </c>
      <c r="N482" s="88">
        <f>IF($D482="","",IF(OR($E482="Blocked",$E482="Done",$E482="Archive"),-9999,IF(AND($E482="Waiting",SUMPRODUCT((($E$5:$E$500="Next")+($E$5:$E$500="In Progress")+($E$5:$E$500="Captured"))*($D$5:$D$500&lt;&gt;""))&gt;0),-500,VLOOKUP($F482,Lists!$L$2:$M$4,2,FALSE)+IF($E482="In Progress",10,0)+IF(AND($I482&lt;&gt;"",$I482&lt;TODAY()),25,0)+IF(AND($I482&lt;&gt;"",$I482&gt;=TODAY(),$I482&lt;=TODAY()+7),15,0)+IF($M482&lt;=VLOOKUP(Home!$C$7,Lists!$N$2:$O$6,2,FALSE),20,-10)+IF($G482=Home!$E$7,15,IF(Home!$E$7="",0,-5))-ROW()/100000)))</f>
        <v/>
      </c>
      <c r="O482" s="88">
        <f>IF($D482="","",IF($N482&lt;=-500,"Not recommended right now",IF($E482="Waiting","Nothing else actionable right now — Waiting on: "&amp;IF($K482="","this item",$K482),TEXTJOIN(" • ",TRUE,IF($F482="High","High Priority",""),IF(AND($I482&lt;&gt;"",$I482&lt;TODAY()),"Overdue",""),IF(AND($I482&lt;&gt;"",$I482&gt;=TODAY(),$I482&lt;=TODAY()+7),"Due This Week",""),IF($M482&lt;=VLOOKUP(Home!$C$7,Lists!$N$2:$O$6,2,FALSE),$H482&amp;" Task",""),IF($G482=Home!$E$7,"Fits Current Energy",""),"No Blockers"))))</f>
        <v/>
      </c>
      <c r="P482" s="88">
        <f>IF($D482="","",SWITCH('Task Finder'!$C$6,"High Priority",AND($F482="High",$E482&lt;&gt;"Done",$E482&lt;&gt;"Archive"),"Due This Week",AND($I482&lt;&gt;"",$I482&gt;=TODAY(),$I482&lt;=TODAY()+7,$E482&lt;&gt;"Done"),"Quick Wins (15 mins or less)",AND($M482&lt;=15,$E482&lt;&gt;"Done",$E482&lt;&gt;"Blocked"),"Deep Thinking",AND($G482="Deep Thinking",$E482&lt;&gt;"Done"),"Processing",AND($G482="Processing",$E482&lt;&gt;"Done"),"Blocked",$E482="Blocked","Waiting",$E482="Waiting","Recently Updated",AND($L482&lt;&gt;"",$L482&gt;=TODAY()-7),"Keyword",AND('Task Finder'!$C$7&lt;&gt;"",OR(ISNUMBER(SEARCH('Task Finder'!$C$7,$A482)),ISNUMBER(SEARCH('Task Finder'!$C$7,$B482)),ISNUMBER(SEARCH('Task Finder'!$C$7,$C482)),ISNUMBER(SEARCH('Task Finder'!$C$7,$D482)),ISNUMBER(SEARCH('Task Finder'!$C$7,$K482)))),TRUE))</f>
        <v/>
      </c>
    </row>
    <row r="483">
      <c r="A483" s="19" t="n"/>
      <c r="B483" s="19" t="n"/>
      <c r="C483" s="19" t="n"/>
      <c r="D483" s="19" t="n"/>
      <c r="E483" s="19" t="n"/>
      <c r="F483" s="19" t="n"/>
      <c r="G483" s="19" t="n"/>
      <c r="H483" s="19" t="n"/>
      <c r="I483" s="19" t="n"/>
      <c r="J483" s="19" t="n"/>
      <c r="K483" s="19" t="n"/>
      <c r="L483" s="125" t="n"/>
      <c r="M483" s="88">
        <f>IF($D483="","",IFERROR(VLOOKUP($H483,Lists!$N$2:$O$6,2,FALSE),0))</f>
        <v/>
      </c>
      <c r="N483" s="88">
        <f>IF($D483="","",IF(OR($E483="Blocked",$E483="Done",$E483="Archive"),-9999,IF(AND($E483="Waiting",SUMPRODUCT((($E$5:$E$500="Next")+($E$5:$E$500="In Progress")+($E$5:$E$500="Captured"))*($D$5:$D$500&lt;&gt;""))&gt;0),-500,VLOOKUP($F483,Lists!$L$2:$M$4,2,FALSE)+IF($E483="In Progress",10,0)+IF(AND($I483&lt;&gt;"",$I483&lt;TODAY()),25,0)+IF(AND($I483&lt;&gt;"",$I483&gt;=TODAY(),$I483&lt;=TODAY()+7),15,0)+IF($M483&lt;=VLOOKUP(Home!$C$7,Lists!$N$2:$O$6,2,FALSE),20,-10)+IF($G483=Home!$E$7,15,IF(Home!$E$7="",0,-5))-ROW()/100000)))</f>
        <v/>
      </c>
      <c r="O483" s="88">
        <f>IF($D483="","",IF($N483&lt;=-500,"Not recommended right now",IF($E483="Waiting","Nothing else actionable right now — Waiting on: "&amp;IF($K483="","this item",$K483),TEXTJOIN(" • ",TRUE,IF($F483="High","High Priority",""),IF(AND($I483&lt;&gt;"",$I483&lt;TODAY()),"Overdue",""),IF(AND($I483&lt;&gt;"",$I483&gt;=TODAY(),$I483&lt;=TODAY()+7),"Due This Week",""),IF($M483&lt;=VLOOKUP(Home!$C$7,Lists!$N$2:$O$6,2,FALSE),$H483&amp;" Task",""),IF($G483=Home!$E$7,"Fits Current Energy",""),"No Blockers"))))</f>
        <v/>
      </c>
      <c r="P483" s="88">
        <f>IF($D483="","",SWITCH('Task Finder'!$C$6,"High Priority",AND($F483="High",$E483&lt;&gt;"Done",$E483&lt;&gt;"Archive"),"Due This Week",AND($I483&lt;&gt;"",$I483&gt;=TODAY(),$I483&lt;=TODAY()+7,$E483&lt;&gt;"Done"),"Quick Wins (15 mins or less)",AND($M483&lt;=15,$E483&lt;&gt;"Done",$E483&lt;&gt;"Blocked"),"Deep Thinking",AND($G483="Deep Thinking",$E483&lt;&gt;"Done"),"Processing",AND($G483="Processing",$E483&lt;&gt;"Done"),"Blocked",$E483="Blocked","Waiting",$E483="Waiting","Recently Updated",AND($L483&lt;&gt;"",$L483&gt;=TODAY()-7),"Keyword",AND('Task Finder'!$C$7&lt;&gt;"",OR(ISNUMBER(SEARCH('Task Finder'!$C$7,$A483)),ISNUMBER(SEARCH('Task Finder'!$C$7,$B483)),ISNUMBER(SEARCH('Task Finder'!$C$7,$C483)),ISNUMBER(SEARCH('Task Finder'!$C$7,$D483)),ISNUMBER(SEARCH('Task Finder'!$C$7,$K483)))),TRUE))</f>
        <v/>
      </c>
    </row>
    <row r="484">
      <c r="A484" s="19" t="n"/>
      <c r="B484" s="19" t="n"/>
      <c r="C484" s="19" t="n"/>
      <c r="D484" s="19" t="n"/>
      <c r="E484" s="19" t="n"/>
      <c r="F484" s="19" t="n"/>
      <c r="G484" s="19" t="n"/>
      <c r="H484" s="19" t="n"/>
      <c r="I484" s="19" t="n"/>
      <c r="J484" s="19" t="n"/>
      <c r="K484" s="19" t="n"/>
      <c r="L484" s="125" t="n"/>
      <c r="M484" s="88">
        <f>IF($D484="","",IFERROR(VLOOKUP($H484,Lists!$N$2:$O$6,2,FALSE),0))</f>
        <v/>
      </c>
      <c r="N484" s="88">
        <f>IF($D484="","",IF(OR($E484="Blocked",$E484="Done",$E484="Archive"),-9999,IF(AND($E484="Waiting",SUMPRODUCT((($E$5:$E$500="Next")+($E$5:$E$500="In Progress")+($E$5:$E$500="Captured"))*($D$5:$D$500&lt;&gt;""))&gt;0),-500,VLOOKUP($F484,Lists!$L$2:$M$4,2,FALSE)+IF($E484="In Progress",10,0)+IF(AND($I484&lt;&gt;"",$I484&lt;TODAY()),25,0)+IF(AND($I484&lt;&gt;"",$I484&gt;=TODAY(),$I484&lt;=TODAY()+7),15,0)+IF($M484&lt;=VLOOKUP(Home!$C$7,Lists!$N$2:$O$6,2,FALSE),20,-10)+IF($G484=Home!$E$7,15,IF(Home!$E$7="",0,-5))-ROW()/100000)))</f>
        <v/>
      </c>
      <c r="O484" s="88">
        <f>IF($D484="","",IF($N484&lt;=-500,"Not recommended right now",IF($E484="Waiting","Nothing else actionable right now — Waiting on: "&amp;IF($K484="","this item",$K484),TEXTJOIN(" • ",TRUE,IF($F484="High","High Priority",""),IF(AND($I484&lt;&gt;"",$I484&lt;TODAY()),"Overdue",""),IF(AND($I484&lt;&gt;"",$I484&gt;=TODAY(),$I484&lt;=TODAY()+7),"Due This Week",""),IF($M484&lt;=VLOOKUP(Home!$C$7,Lists!$N$2:$O$6,2,FALSE),$H484&amp;" Task",""),IF($G484=Home!$E$7,"Fits Current Energy",""),"No Blockers"))))</f>
        <v/>
      </c>
      <c r="P484" s="88">
        <f>IF($D484="","",SWITCH('Task Finder'!$C$6,"High Priority",AND($F484="High",$E484&lt;&gt;"Done",$E484&lt;&gt;"Archive"),"Due This Week",AND($I484&lt;&gt;"",$I484&gt;=TODAY(),$I484&lt;=TODAY()+7,$E484&lt;&gt;"Done"),"Quick Wins (15 mins or less)",AND($M484&lt;=15,$E484&lt;&gt;"Done",$E484&lt;&gt;"Blocked"),"Deep Thinking",AND($G484="Deep Thinking",$E484&lt;&gt;"Done"),"Processing",AND($G484="Processing",$E484&lt;&gt;"Done"),"Blocked",$E484="Blocked","Waiting",$E484="Waiting","Recently Updated",AND($L484&lt;&gt;"",$L484&gt;=TODAY()-7),"Keyword",AND('Task Finder'!$C$7&lt;&gt;"",OR(ISNUMBER(SEARCH('Task Finder'!$C$7,$A484)),ISNUMBER(SEARCH('Task Finder'!$C$7,$B484)),ISNUMBER(SEARCH('Task Finder'!$C$7,$C484)),ISNUMBER(SEARCH('Task Finder'!$C$7,$D484)),ISNUMBER(SEARCH('Task Finder'!$C$7,$K484)))),TRUE))</f>
        <v/>
      </c>
    </row>
    <row r="485">
      <c r="A485" s="19" t="n"/>
      <c r="B485" s="19" t="n"/>
      <c r="C485" s="19" t="n"/>
      <c r="D485" s="19" t="n"/>
      <c r="E485" s="19" t="n"/>
      <c r="F485" s="19" t="n"/>
      <c r="G485" s="19" t="n"/>
      <c r="H485" s="19" t="n"/>
      <c r="I485" s="19" t="n"/>
      <c r="J485" s="19" t="n"/>
      <c r="K485" s="19" t="n"/>
      <c r="L485" s="125" t="n"/>
      <c r="M485" s="88">
        <f>IF($D485="","",IFERROR(VLOOKUP($H485,Lists!$N$2:$O$6,2,FALSE),0))</f>
        <v/>
      </c>
      <c r="N485" s="88">
        <f>IF($D485="","",IF(OR($E485="Blocked",$E485="Done",$E485="Archive"),-9999,IF(AND($E485="Waiting",SUMPRODUCT((($E$5:$E$500="Next")+($E$5:$E$500="In Progress")+($E$5:$E$500="Captured"))*($D$5:$D$500&lt;&gt;""))&gt;0),-500,VLOOKUP($F485,Lists!$L$2:$M$4,2,FALSE)+IF($E485="In Progress",10,0)+IF(AND($I485&lt;&gt;"",$I485&lt;TODAY()),25,0)+IF(AND($I485&lt;&gt;"",$I485&gt;=TODAY(),$I485&lt;=TODAY()+7),15,0)+IF($M485&lt;=VLOOKUP(Home!$C$7,Lists!$N$2:$O$6,2,FALSE),20,-10)+IF($G485=Home!$E$7,15,IF(Home!$E$7="",0,-5))-ROW()/100000)))</f>
        <v/>
      </c>
      <c r="O485" s="88">
        <f>IF($D485="","",IF($N485&lt;=-500,"Not recommended right now",IF($E485="Waiting","Nothing else actionable right now — Waiting on: "&amp;IF($K485="","this item",$K485),TEXTJOIN(" • ",TRUE,IF($F485="High","High Priority",""),IF(AND($I485&lt;&gt;"",$I485&lt;TODAY()),"Overdue",""),IF(AND($I485&lt;&gt;"",$I485&gt;=TODAY(),$I485&lt;=TODAY()+7),"Due This Week",""),IF($M485&lt;=VLOOKUP(Home!$C$7,Lists!$N$2:$O$6,2,FALSE),$H485&amp;" Task",""),IF($G485=Home!$E$7,"Fits Current Energy",""),"No Blockers"))))</f>
        <v/>
      </c>
      <c r="P485" s="88">
        <f>IF($D485="","",SWITCH('Task Finder'!$C$6,"High Priority",AND($F485="High",$E485&lt;&gt;"Done",$E485&lt;&gt;"Archive"),"Due This Week",AND($I485&lt;&gt;"",$I485&gt;=TODAY(),$I485&lt;=TODAY()+7,$E485&lt;&gt;"Done"),"Quick Wins (15 mins or less)",AND($M485&lt;=15,$E485&lt;&gt;"Done",$E485&lt;&gt;"Blocked"),"Deep Thinking",AND($G485="Deep Thinking",$E485&lt;&gt;"Done"),"Processing",AND($G485="Processing",$E485&lt;&gt;"Done"),"Blocked",$E485="Blocked","Waiting",$E485="Waiting","Recently Updated",AND($L485&lt;&gt;"",$L485&gt;=TODAY()-7),"Keyword",AND('Task Finder'!$C$7&lt;&gt;"",OR(ISNUMBER(SEARCH('Task Finder'!$C$7,$A485)),ISNUMBER(SEARCH('Task Finder'!$C$7,$B485)),ISNUMBER(SEARCH('Task Finder'!$C$7,$C485)),ISNUMBER(SEARCH('Task Finder'!$C$7,$D485)),ISNUMBER(SEARCH('Task Finder'!$C$7,$K485)))),TRUE))</f>
        <v/>
      </c>
    </row>
    <row r="486">
      <c r="A486" s="19" t="n"/>
      <c r="B486" s="19" t="n"/>
      <c r="C486" s="19" t="n"/>
      <c r="D486" s="19" t="n"/>
      <c r="E486" s="19" t="n"/>
      <c r="F486" s="19" t="n"/>
      <c r="G486" s="19" t="n"/>
      <c r="H486" s="19" t="n"/>
      <c r="I486" s="19" t="n"/>
      <c r="J486" s="19" t="n"/>
      <c r="K486" s="19" t="n"/>
      <c r="L486" s="125" t="n"/>
      <c r="M486" s="88">
        <f>IF($D486="","",IFERROR(VLOOKUP($H486,Lists!$N$2:$O$6,2,FALSE),0))</f>
        <v/>
      </c>
      <c r="N486" s="88">
        <f>IF($D486="","",IF(OR($E486="Blocked",$E486="Done",$E486="Archive"),-9999,IF(AND($E486="Waiting",SUMPRODUCT((($E$5:$E$500="Next")+($E$5:$E$500="In Progress")+($E$5:$E$500="Captured"))*($D$5:$D$500&lt;&gt;""))&gt;0),-500,VLOOKUP($F486,Lists!$L$2:$M$4,2,FALSE)+IF($E486="In Progress",10,0)+IF(AND($I486&lt;&gt;"",$I486&lt;TODAY()),25,0)+IF(AND($I486&lt;&gt;"",$I486&gt;=TODAY(),$I486&lt;=TODAY()+7),15,0)+IF($M486&lt;=VLOOKUP(Home!$C$7,Lists!$N$2:$O$6,2,FALSE),20,-10)+IF($G486=Home!$E$7,15,IF(Home!$E$7="",0,-5))-ROW()/100000)))</f>
        <v/>
      </c>
      <c r="O486" s="88">
        <f>IF($D486="","",IF($N486&lt;=-500,"Not recommended right now",IF($E486="Waiting","Nothing else actionable right now — Waiting on: "&amp;IF($K486="","this item",$K486),TEXTJOIN(" • ",TRUE,IF($F486="High","High Priority",""),IF(AND($I486&lt;&gt;"",$I486&lt;TODAY()),"Overdue",""),IF(AND($I486&lt;&gt;"",$I486&gt;=TODAY(),$I486&lt;=TODAY()+7),"Due This Week",""),IF($M486&lt;=VLOOKUP(Home!$C$7,Lists!$N$2:$O$6,2,FALSE),$H486&amp;" Task",""),IF($G486=Home!$E$7,"Fits Current Energy",""),"No Blockers"))))</f>
        <v/>
      </c>
      <c r="P486" s="88">
        <f>IF($D486="","",SWITCH('Task Finder'!$C$6,"High Priority",AND($F486="High",$E486&lt;&gt;"Done",$E486&lt;&gt;"Archive"),"Due This Week",AND($I486&lt;&gt;"",$I486&gt;=TODAY(),$I486&lt;=TODAY()+7,$E486&lt;&gt;"Done"),"Quick Wins (15 mins or less)",AND($M486&lt;=15,$E486&lt;&gt;"Done",$E486&lt;&gt;"Blocked"),"Deep Thinking",AND($G486="Deep Thinking",$E486&lt;&gt;"Done"),"Processing",AND($G486="Processing",$E486&lt;&gt;"Done"),"Blocked",$E486="Blocked","Waiting",$E486="Waiting","Recently Updated",AND($L486&lt;&gt;"",$L486&gt;=TODAY()-7),"Keyword",AND('Task Finder'!$C$7&lt;&gt;"",OR(ISNUMBER(SEARCH('Task Finder'!$C$7,$A486)),ISNUMBER(SEARCH('Task Finder'!$C$7,$B486)),ISNUMBER(SEARCH('Task Finder'!$C$7,$C486)),ISNUMBER(SEARCH('Task Finder'!$C$7,$D486)),ISNUMBER(SEARCH('Task Finder'!$C$7,$K486)))),TRUE))</f>
        <v/>
      </c>
    </row>
    <row r="487">
      <c r="A487" s="19" t="n"/>
      <c r="B487" s="19" t="n"/>
      <c r="C487" s="19" t="n"/>
      <c r="D487" s="19" t="n"/>
      <c r="E487" s="19" t="n"/>
      <c r="F487" s="19" t="n"/>
      <c r="G487" s="19" t="n"/>
      <c r="H487" s="19" t="n"/>
      <c r="I487" s="19" t="n"/>
      <c r="J487" s="19" t="n"/>
      <c r="K487" s="19" t="n"/>
      <c r="L487" s="125" t="n"/>
      <c r="M487" s="88">
        <f>IF($D487="","",IFERROR(VLOOKUP($H487,Lists!$N$2:$O$6,2,FALSE),0))</f>
        <v/>
      </c>
      <c r="N487" s="88">
        <f>IF($D487="","",IF(OR($E487="Blocked",$E487="Done",$E487="Archive"),-9999,IF(AND($E487="Waiting",SUMPRODUCT((($E$5:$E$500="Next")+($E$5:$E$500="In Progress")+($E$5:$E$500="Captured"))*($D$5:$D$500&lt;&gt;""))&gt;0),-500,VLOOKUP($F487,Lists!$L$2:$M$4,2,FALSE)+IF($E487="In Progress",10,0)+IF(AND($I487&lt;&gt;"",$I487&lt;TODAY()),25,0)+IF(AND($I487&lt;&gt;"",$I487&gt;=TODAY(),$I487&lt;=TODAY()+7),15,0)+IF($M487&lt;=VLOOKUP(Home!$C$7,Lists!$N$2:$O$6,2,FALSE),20,-10)+IF($G487=Home!$E$7,15,IF(Home!$E$7="",0,-5))-ROW()/100000)))</f>
        <v/>
      </c>
      <c r="O487" s="88">
        <f>IF($D487="","",IF($N487&lt;=-500,"Not recommended right now",IF($E487="Waiting","Nothing else actionable right now — Waiting on: "&amp;IF($K487="","this item",$K487),TEXTJOIN(" • ",TRUE,IF($F487="High","High Priority",""),IF(AND($I487&lt;&gt;"",$I487&lt;TODAY()),"Overdue",""),IF(AND($I487&lt;&gt;"",$I487&gt;=TODAY(),$I487&lt;=TODAY()+7),"Due This Week",""),IF($M487&lt;=VLOOKUP(Home!$C$7,Lists!$N$2:$O$6,2,FALSE),$H487&amp;" Task",""),IF($G487=Home!$E$7,"Fits Current Energy",""),"No Blockers"))))</f>
        <v/>
      </c>
      <c r="P487" s="88">
        <f>IF($D487="","",SWITCH('Task Finder'!$C$6,"High Priority",AND($F487="High",$E487&lt;&gt;"Done",$E487&lt;&gt;"Archive"),"Due This Week",AND($I487&lt;&gt;"",$I487&gt;=TODAY(),$I487&lt;=TODAY()+7,$E487&lt;&gt;"Done"),"Quick Wins (15 mins or less)",AND($M487&lt;=15,$E487&lt;&gt;"Done",$E487&lt;&gt;"Blocked"),"Deep Thinking",AND($G487="Deep Thinking",$E487&lt;&gt;"Done"),"Processing",AND($G487="Processing",$E487&lt;&gt;"Done"),"Blocked",$E487="Blocked","Waiting",$E487="Waiting","Recently Updated",AND($L487&lt;&gt;"",$L487&gt;=TODAY()-7),"Keyword",AND('Task Finder'!$C$7&lt;&gt;"",OR(ISNUMBER(SEARCH('Task Finder'!$C$7,$A487)),ISNUMBER(SEARCH('Task Finder'!$C$7,$B487)),ISNUMBER(SEARCH('Task Finder'!$C$7,$C487)),ISNUMBER(SEARCH('Task Finder'!$C$7,$D487)),ISNUMBER(SEARCH('Task Finder'!$C$7,$K487)))),TRUE))</f>
        <v/>
      </c>
    </row>
    <row r="488">
      <c r="A488" s="19" t="n"/>
      <c r="B488" s="19" t="n"/>
      <c r="C488" s="19" t="n"/>
      <c r="D488" s="19" t="n"/>
      <c r="E488" s="19" t="n"/>
      <c r="F488" s="19" t="n"/>
      <c r="G488" s="19" t="n"/>
      <c r="H488" s="19" t="n"/>
      <c r="I488" s="19" t="n"/>
      <c r="J488" s="19" t="n"/>
      <c r="K488" s="19" t="n"/>
      <c r="L488" s="125" t="n"/>
      <c r="M488" s="88">
        <f>IF($D488="","",IFERROR(VLOOKUP($H488,Lists!$N$2:$O$6,2,FALSE),0))</f>
        <v/>
      </c>
      <c r="N488" s="88">
        <f>IF($D488="","",IF(OR($E488="Blocked",$E488="Done",$E488="Archive"),-9999,IF(AND($E488="Waiting",SUMPRODUCT((($E$5:$E$500="Next")+($E$5:$E$500="In Progress")+($E$5:$E$500="Captured"))*($D$5:$D$500&lt;&gt;""))&gt;0),-500,VLOOKUP($F488,Lists!$L$2:$M$4,2,FALSE)+IF($E488="In Progress",10,0)+IF(AND($I488&lt;&gt;"",$I488&lt;TODAY()),25,0)+IF(AND($I488&lt;&gt;"",$I488&gt;=TODAY(),$I488&lt;=TODAY()+7),15,0)+IF($M488&lt;=VLOOKUP(Home!$C$7,Lists!$N$2:$O$6,2,FALSE),20,-10)+IF($G488=Home!$E$7,15,IF(Home!$E$7="",0,-5))-ROW()/100000)))</f>
        <v/>
      </c>
      <c r="O488" s="88">
        <f>IF($D488="","",IF($N488&lt;=-500,"Not recommended right now",IF($E488="Waiting","Nothing else actionable right now — Waiting on: "&amp;IF($K488="","this item",$K488),TEXTJOIN(" • ",TRUE,IF($F488="High","High Priority",""),IF(AND($I488&lt;&gt;"",$I488&lt;TODAY()),"Overdue",""),IF(AND($I488&lt;&gt;"",$I488&gt;=TODAY(),$I488&lt;=TODAY()+7),"Due This Week",""),IF($M488&lt;=VLOOKUP(Home!$C$7,Lists!$N$2:$O$6,2,FALSE),$H488&amp;" Task",""),IF($G488=Home!$E$7,"Fits Current Energy",""),"No Blockers"))))</f>
        <v/>
      </c>
      <c r="P488" s="88">
        <f>IF($D488="","",SWITCH('Task Finder'!$C$6,"High Priority",AND($F488="High",$E488&lt;&gt;"Done",$E488&lt;&gt;"Archive"),"Due This Week",AND($I488&lt;&gt;"",$I488&gt;=TODAY(),$I488&lt;=TODAY()+7,$E488&lt;&gt;"Done"),"Quick Wins (15 mins or less)",AND($M488&lt;=15,$E488&lt;&gt;"Done",$E488&lt;&gt;"Blocked"),"Deep Thinking",AND($G488="Deep Thinking",$E488&lt;&gt;"Done"),"Processing",AND($G488="Processing",$E488&lt;&gt;"Done"),"Blocked",$E488="Blocked","Waiting",$E488="Waiting","Recently Updated",AND($L488&lt;&gt;"",$L488&gt;=TODAY()-7),"Keyword",AND('Task Finder'!$C$7&lt;&gt;"",OR(ISNUMBER(SEARCH('Task Finder'!$C$7,$A488)),ISNUMBER(SEARCH('Task Finder'!$C$7,$B488)),ISNUMBER(SEARCH('Task Finder'!$C$7,$C488)),ISNUMBER(SEARCH('Task Finder'!$C$7,$D488)),ISNUMBER(SEARCH('Task Finder'!$C$7,$K488)))),TRUE))</f>
        <v/>
      </c>
    </row>
    <row r="489">
      <c r="A489" s="19" t="n"/>
      <c r="B489" s="19" t="n"/>
      <c r="C489" s="19" t="n"/>
      <c r="D489" s="19" t="n"/>
      <c r="E489" s="19" t="n"/>
      <c r="F489" s="19" t="n"/>
      <c r="G489" s="19" t="n"/>
      <c r="H489" s="19" t="n"/>
      <c r="I489" s="19" t="n"/>
      <c r="J489" s="19" t="n"/>
      <c r="K489" s="19" t="n"/>
      <c r="L489" s="125" t="n"/>
      <c r="M489" s="88">
        <f>IF($D489="","",IFERROR(VLOOKUP($H489,Lists!$N$2:$O$6,2,FALSE),0))</f>
        <v/>
      </c>
      <c r="N489" s="88">
        <f>IF($D489="","",IF(OR($E489="Blocked",$E489="Done",$E489="Archive"),-9999,IF(AND($E489="Waiting",SUMPRODUCT((($E$5:$E$500="Next")+($E$5:$E$500="In Progress")+($E$5:$E$500="Captured"))*($D$5:$D$500&lt;&gt;""))&gt;0),-500,VLOOKUP($F489,Lists!$L$2:$M$4,2,FALSE)+IF($E489="In Progress",10,0)+IF(AND($I489&lt;&gt;"",$I489&lt;TODAY()),25,0)+IF(AND($I489&lt;&gt;"",$I489&gt;=TODAY(),$I489&lt;=TODAY()+7),15,0)+IF($M489&lt;=VLOOKUP(Home!$C$7,Lists!$N$2:$O$6,2,FALSE),20,-10)+IF($G489=Home!$E$7,15,IF(Home!$E$7="",0,-5))-ROW()/100000)))</f>
        <v/>
      </c>
      <c r="O489" s="88">
        <f>IF($D489="","",IF($N489&lt;=-500,"Not recommended right now",IF($E489="Waiting","Nothing else actionable right now — Waiting on: "&amp;IF($K489="","this item",$K489),TEXTJOIN(" • ",TRUE,IF($F489="High","High Priority",""),IF(AND($I489&lt;&gt;"",$I489&lt;TODAY()),"Overdue",""),IF(AND($I489&lt;&gt;"",$I489&gt;=TODAY(),$I489&lt;=TODAY()+7),"Due This Week",""),IF($M489&lt;=VLOOKUP(Home!$C$7,Lists!$N$2:$O$6,2,FALSE),$H489&amp;" Task",""),IF($G489=Home!$E$7,"Fits Current Energy",""),"No Blockers"))))</f>
        <v/>
      </c>
      <c r="P489" s="88">
        <f>IF($D489="","",SWITCH('Task Finder'!$C$6,"High Priority",AND($F489="High",$E489&lt;&gt;"Done",$E489&lt;&gt;"Archive"),"Due This Week",AND($I489&lt;&gt;"",$I489&gt;=TODAY(),$I489&lt;=TODAY()+7,$E489&lt;&gt;"Done"),"Quick Wins (15 mins or less)",AND($M489&lt;=15,$E489&lt;&gt;"Done",$E489&lt;&gt;"Blocked"),"Deep Thinking",AND($G489="Deep Thinking",$E489&lt;&gt;"Done"),"Processing",AND($G489="Processing",$E489&lt;&gt;"Done"),"Blocked",$E489="Blocked","Waiting",$E489="Waiting","Recently Updated",AND($L489&lt;&gt;"",$L489&gt;=TODAY()-7),"Keyword",AND('Task Finder'!$C$7&lt;&gt;"",OR(ISNUMBER(SEARCH('Task Finder'!$C$7,$A489)),ISNUMBER(SEARCH('Task Finder'!$C$7,$B489)),ISNUMBER(SEARCH('Task Finder'!$C$7,$C489)),ISNUMBER(SEARCH('Task Finder'!$C$7,$D489)),ISNUMBER(SEARCH('Task Finder'!$C$7,$K489)))),TRUE))</f>
        <v/>
      </c>
    </row>
    <row r="490">
      <c r="A490" s="19" t="n"/>
      <c r="B490" s="19" t="n"/>
      <c r="C490" s="19" t="n"/>
      <c r="D490" s="19" t="n"/>
      <c r="E490" s="19" t="n"/>
      <c r="F490" s="19" t="n"/>
      <c r="G490" s="19" t="n"/>
      <c r="H490" s="19" t="n"/>
      <c r="I490" s="19" t="n"/>
      <c r="J490" s="19" t="n"/>
      <c r="K490" s="19" t="n"/>
      <c r="L490" s="125" t="n"/>
      <c r="M490" s="88">
        <f>IF($D490="","",IFERROR(VLOOKUP($H490,Lists!$N$2:$O$6,2,FALSE),0))</f>
        <v/>
      </c>
      <c r="N490" s="88">
        <f>IF($D490="","",IF(OR($E490="Blocked",$E490="Done",$E490="Archive"),-9999,IF(AND($E490="Waiting",SUMPRODUCT((($E$5:$E$500="Next")+($E$5:$E$500="In Progress")+($E$5:$E$500="Captured"))*($D$5:$D$500&lt;&gt;""))&gt;0),-500,VLOOKUP($F490,Lists!$L$2:$M$4,2,FALSE)+IF($E490="In Progress",10,0)+IF(AND($I490&lt;&gt;"",$I490&lt;TODAY()),25,0)+IF(AND($I490&lt;&gt;"",$I490&gt;=TODAY(),$I490&lt;=TODAY()+7),15,0)+IF($M490&lt;=VLOOKUP(Home!$C$7,Lists!$N$2:$O$6,2,FALSE),20,-10)+IF($G490=Home!$E$7,15,IF(Home!$E$7="",0,-5))-ROW()/100000)))</f>
        <v/>
      </c>
      <c r="O490" s="88">
        <f>IF($D490="","",IF($N490&lt;=-500,"Not recommended right now",IF($E490="Waiting","Nothing else actionable right now — Waiting on: "&amp;IF($K490="","this item",$K490),TEXTJOIN(" • ",TRUE,IF($F490="High","High Priority",""),IF(AND($I490&lt;&gt;"",$I490&lt;TODAY()),"Overdue",""),IF(AND($I490&lt;&gt;"",$I490&gt;=TODAY(),$I490&lt;=TODAY()+7),"Due This Week",""),IF($M490&lt;=VLOOKUP(Home!$C$7,Lists!$N$2:$O$6,2,FALSE),$H490&amp;" Task",""),IF($G490=Home!$E$7,"Fits Current Energy",""),"No Blockers"))))</f>
        <v/>
      </c>
      <c r="P490" s="88">
        <f>IF($D490="","",SWITCH('Task Finder'!$C$6,"High Priority",AND($F490="High",$E490&lt;&gt;"Done",$E490&lt;&gt;"Archive"),"Due This Week",AND($I490&lt;&gt;"",$I490&gt;=TODAY(),$I490&lt;=TODAY()+7,$E490&lt;&gt;"Done"),"Quick Wins (15 mins or less)",AND($M490&lt;=15,$E490&lt;&gt;"Done",$E490&lt;&gt;"Blocked"),"Deep Thinking",AND($G490="Deep Thinking",$E490&lt;&gt;"Done"),"Processing",AND($G490="Processing",$E490&lt;&gt;"Done"),"Blocked",$E490="Blocked","Waiting",$E490="Waiting","Recently Updated",AND($L490&lt;&gt;"",$L490&gt;=TODAY()-7),"Keyword",AND('Task Finder'!$C$7&lt;&gt;"",OR(ISNUMBER(SEARCH('Task Finder'!$C$7,$A490)),ISNUMBER(SEARCH('Task Finder'!$C$7,$B490)),ISNUMBER(SEARCH('Task Finder'!$C$7,$C490)),ISNUMBER(SEARCH('Task Finder'!$C$7,$D490)),ISNUMBER(SEARCH('Task Finder'!$C$7,$K490)))),TRUE))</f>
        <v/>
      </c>
    </row>
    <row r="491">
      <c r="A491" s="19" t="n"/>
      <c r="B491" s="19" t="n"/>
      <c r="C491" s="19" t="n"/>
      <c r="D491" s="19" t="n"/>
      <c r="E491" s="19" t="n"/>
      <c r="F491" s="19" t="n"/>
      <c r="G491" s="19" t="n"/>
      <c r="H491" s="19" t="n"/>
      <c r="I491" s="19" t="n"/>
      <c r="J491" s="19" t="n"/>
      <c r="K491" s="19" t="n"/>
      <c r="L491" s="125" t="n"/>
      <c r="M491" s="88">
        <f>IF($D491="","",IFERROR(VLOOKUP($H491,Lists!$N$2:$O$6,2,FALSE),0))</f>
        <v/>
      </c>
      <c r="N491" s="88">
        <f>IF($D491="","",IF(OR($E491="Blocked",$E491="Done",$E491="Archive"),-9999,IF(AND($E491="Waiting",SUMPRODUCT((($E$5:$E$500="Next")+($E$5:$E$500="In Progress")+($E$5:$E$500="Captured"))*($D$5:$D$500&lt;&gt;""))&gt;0),-500,VLOOKUP($F491,Lists!$L$2:$M$4,2,FALSE)+IF($E491="In Progress",10,0)+IF(AND($I491&lt;&gt;"",$I491&lt;TODAY()),25,0)+IF(AND($I491&lt;&gt;"",$I491&gt;=TODAY(),$I491&lt;=TODAY()+7),15,0)+IF($M491&lt;=VLOOKUP(Home!$C$7,Lists!$N$2:$O$6,2,FALSE),20,-10)+IF($G491=Home!$E$7,15,IF(Home!$E$7="",0,-5))-ROW()/100000)))</f>
        <v/>
      </c>
      <c r="O491" s="88">
        <f>IF($D491="","",IF($N491&lt;=-500,"Not recommended right now",IF($E491="Waiting","Nothing else actionable right now — Waiting on: "&amp;IF($K491="","this item",$K491),TEXTJOIN(" • ",TRUE,IF($F491="High","High Priority",""),IF(AND($I491&lt;&gt;"",$I491&lt;TODAY()),"Overdue",""),IF(AND($I491&lt;&gt;"",$I491&gt;=TODAY(),$I491&lt;=TODAY()+7),"Due This Week",""),IF($M491&lt;=VLOOKUP(Home!$C$7,Lists!$N$2:$O$6,2,FALSE),$H491&amp;" Task",""),IF($G491=Home!$E$7,"Fits Current Energy",""),"No Blockers"))))</f>
        <v/>
      </c>
      <c r="P491" s="88">
        <f>IF($D491="","",SWITCH('Task Finder'!$C$6,"High Priority",AND($F491="High",$E491&lt;&gt;"Done",$E491&lt;&gt;"Archive"),"Due This Week",AND($I491&lt;&gt;"",$I491&gt;=TODAY(),$I491&lt;=TODAY()+7,$E491&lt;&gt;"Done"),"Quick Wins (15 mins or less)",AND($M491&lt;=15,$E491&lt;&gt;"Done",$E491&lt;&gt;"Blocked"),"Deep Thinking",AND($G491="Deep Thinking",$E491&lt;&gt;"Done"),"Processing",AND($G491="Processing",$E491&lt;&gt;"Done"),"Blocked",$E491="Blocked","Waiting",$E491="Waiting","Recently Updated",AND($L491&lt;&gt;"",$L491&gt;=TODAY()-7),"Keyword",AND('Task Finder'!$C$7&lt;&gt;"",OR(ISNUMBER(SEARCH('Task Finder'!$C$7,$A491)),ISNUMBER(SEARCH('Task Finder'!$C$7,$B491)),ISNUMBER(SEARCH('Task Finder'!$C$7,$C491)),ISNUMBER(SEARCH('Task Finder'!$C$7,$D491)),ISNUMBER(SEARCH('Task Finder'!$C$7,$K491)))),TRUE))</f>
        <v/>
      </c>
    </row>
    <row r="492">
      <c r="A492" s="19" t="n"/>
      <c r="B492" s="19" t="n"/>
      <c r="C492" s="19" t="n"/>
      <c r="D492" s="19" t="n"/>
      <c r="E492" s="19" t="n"/>
      <c r="F492" s="19" t="n"/>
      <c r="G492" s="19" t="n"/>
      <c r="H492" s="19" t="n"/>
      <c r="I492" s="19" t="n"/>
      <c r="J492" s="19" t="n"/>
      <c r="K492" s="19" t="n"/>
      <c r="L492" s="125" t="n"/>
      <c r="M492" s="88">
        <f>IF($D492="","",IFERROR(VLOOKUP($H492,Lists!$N$2:$O$6,2,FALSE),0))</f>
        <v/>
      </c>
      <c r="N492" s="88">
        <f>IF($D492="","",IF(OR($E492="Blocked",$E492="Done",$E492="Archive"),-9999,IF(AND($E492="Waiting",SUMPRODUCT((($E$5:$E$500="Next")+($E$5:$E$500="In Progress")+($E$5:$E$500="Captured"))*($D$5:$D$500&lt;&gt;""))&gt;0),-500,VLOOKUP($F492,Lists!$L$2:$M$4,2,FALSE)+IF($E492="In Progress",10,0)+IF(AND($I492&lt;&gt;"",$I492&lt;TODAY()),25,0)+IF(AND($I492&lt;&gt;"",$I492&gt;=TODAY(),$I492&lt;=TODAY()+7),15,0)+IF($M492&lt;=VLOOKUP(Home!$C$7,Lists!$N$2:$O$6,2,FALSE),20,-10)+IF($G492=Home!$E$7,15,IF(Home!$E$7="",0,-5))-ROW()/100000)))</f>
        <v/>
      </c>
      <c r="O492" s="88">
        <f>IF($D492="","",IF($N492&lt;=-500,"Not recommended right now",IF($E492="Waiting","Nothing else actionable right now — Waiting on: "&amp;IF($K492="","this item",$K492),TEXTJOIN(" • ",TRUE,IF($F492="High","High Priority",""),IF(AND($I492&lt;&gt;"",$I492&lt;TODAY()),"Overdue",""),IF(AND($I492&lt;&gt;"",$I492&gt;=TODAY(),$I492&lt;=TODAY()+7),"Due This Week",""),IF($M492&lt;=VLOOKUP(Home!$C$7,Lists!$N$2:$O$6,2,FALSE),$H492&amp;" Task",""),IF($G492=Home!$E$7,"Fits Current Energy",""),"No Blockers"))))</f>
        <v/>
      </c>
      <c r="P492" s="88">
        <f>IF($D492="","",SWITCH('Task Finder'!$C$6,"High Priority",AND($F492="High",$E492&lt;&gt;"Done",$E492&lt;&gt;"Archive"),"Due This Week",AND($I492&lt;&gt;"",$I492&gt;=TODAY(),$I492&lt;=TODAY()+7,$E492&lt;&gt;"Done"),"Quick Wins (15 mins or less)",AND($M492&lt;=15,$E492&lt;&gt;"Done",$E492&lt;&gt;"Blocked"),"Deep Thinking",AND($G492="Deep Thinking",$E492&lt;&gt;"Done"),"Processing",AND($G492="Processing",$E492&lt;&gt;"Done"),"Blocked",$E492="Blocked","Waiting",$E492="Waiting","Recently Updated",AND($L492&lt;&gt;"",$L492&gt;=TODAY()-7),"Keyword",AND('Task Finder'!$C$7&lt;&gt;"",OR(ISNUMBER(SEARCH('Task Finder'!$C$7,$A492)),ISNUMBER(SEARCH('Task Finder'!$C$7,$B492)),ISNUMBER(SEARCH('Task Finder'!$C$7,$C492)),ISNUMBER(SEARCH('Task Finder'!$C$7,$D492)),ISNUMBER(SEARCH('Task Finder'!$C$7,$K492)))),TRUE))</f>
        <v/>
      </c>
    </row>
    <row r="493">
      <c r="A493" s="19" t="n"/>
      <c r="B493" s="19" t="n"/>
      <c r="C493" s="19" t="n"/>
      <c r="D493" s="19" t="n"/>
      <c r="E493" s="19" t="n"/>
      <c r="F493" s="19" t="n"/>
      <c r="G493" s="19" t="n"/>
      <c r="H493" s="19" t="n"/>
      <c r="I493" s="19" t="n"/>
      <c r="J493" s="19" t="n"/>
      <c r="K493" s="19" t="n"/>
      <c r="L493" s="125" t="n"/>
      <c r="M493" s="88">
        <f>IF($D493="","",IFERROR(VLOOKUP($H493,Lists!$N$2:$O$6,2,FALSE),0))</f>
        <v/>
      </c>
      <c r="N493" s="88">
        <f>IF($D493="","",IF(OR($E493="Blocked",$E493="Done",$E493="Archive"),-9999,IF(AND($E493="Waiting",SUMPRODUCT((($E$5:$E$500="Next")+($E$5:$E$500="In Progress")+($E$5:$E$500="Captured"))*($D$5:$D$500&lt;&gt;""))&gt;0),-500,VLOOKUP($F493,Lists!$L$2:$M$4,2,FALSE)+IF($E493="In Progress",10,0)+IF(AND($I493&lt;&gt;"",$I493&lt;TODAY()),25,0)+IF(AND($I493&lt;&gt;"",$I493&gt;=TODAY(),$I493&lt;=TODAY()+7),15,0)+IF($M493&lt;=VLOOKUP(Home!$C$7,Lists!$N$2:$O$6,2,FALSE),20,-10)+IF($G493=Home!$E$7,15,IF(Home!$E$7="",0,-5))-ROW()/100000)))</f>
        <v/>
      </c>
      <c r="O493" s="88">
        <f>IF($D493="","",IF($N493&lt;=-500,"Not recommended right now",IF($E493="Waiting","Nothing else actionable right now — Waiting on: "&amp;IF($K493="","this item",$K493),TEXTJOIN(" • ",TRUE,IF($F493="High","High Priority",""),IF(AND($I493&lt;&gt;"",$I493&lt;TODAY()),"Overdue",""),IF(AND($I493&lt;&gt;"",$I493&gt;=TODAY(),$I493&lt;=TODAY()+7),"Due This Week",""),IF($M493&lt;=VLOOKUP(Home!$C$7,Lists!$N$2:$O$6,2,FALSE),$H493&amp;" Task",""),IF($G493=Home!$E$7,"Fits Current Energy",""),"No Blockers"))))</f>
        <v/>
      </c>
      <c r="P493" s="88">
        <f>IF($D493="","",SWITCH('Task Finder'!$C$6,"High Priority",AND($F493="High",$E493&lt;&gt;"Done",$E493&lt;&gt;"Archive"),"Due This Week",AND($I493&lt;&gt;"",$I493&gt;=TODAY(),$I493&lt;=TODAY()+7,$E493&lt;&gt;"Done"),"Quick Wins (15 mins or less)",AND($M493&lt;=15,$E493&lt;&gt;"Done",$E493&lt;&gt;"Blocked"),"Deep Thinking",AND($G493="Deep Thinking",$E493&lt;&gt;"Done"),"Processing",AND($G493="Processing",$E493&lt;&gt;"Done"),"Blocked",$E493="Blocked","Waiting",$E493="Waiting","Recently Updated",AND($L493&lt;&gt;"",$L493&gt;=TODAY()-7),"Keyword",AND('Task Finder'!$C$7&lt;&gt;"",OR(ISNUMBER(SEARCH('Task Finder'!$C$7,$A493)),ISNUMBER(SEARCH('Task Finder'!$C$7,$B493)),ISNUMBER(SEARCH('Task Finder'!$C$7,$C493)),ISNUMBER(SEARCH('Task Finder'!$C$7,$D493)),ISNUMBER(SEARCH('Task Finder'!$C$7,$K493)))),TRUE))</f>
        <v/>
      </c>
    </row>
    <row r="494">
      <c r="A494" s="19" t="n"/>
      <c r="B494" s="19" t="n"/>
      <c r="C494" s="19" t="n"/>
      <c r="D494" s="19" t="n"/>
      <c r="E494" s="19" t="n"/>
      <c r="F494" s="19" t="n"/>
      <c r="G494" s="19" t="n"/>
      <c r="H494" s="19" t="n"/>
      <c r="I494" s="19" t="n"/>
      <c r="J494" s="19" t="n"/>
      <c r="K494" s="19" t="n"/>
      <c r="L494" s="125" t="n"/>
      <c r="M494" s="88">
        <f>IF($D494="","",IFERROR(VLOOKUP($H494,Lists!$N$2:$O$6,2,FALSE),0))</f>
        <v/>
      </c>
      <c r="N494" s="88">
        <f>IF($D494="","",IF(OR($E494="Blocked",$E494="Done",$E494="Archive"),-9999,IF(AND($E494="Waiting",SUMPRODUCT((($E$5:$E$500="Next")+($E$5:$E$500="In Progress")+($E$5:$E$500="Captured"))*($D$5:$D$500&lt;&gt;""))&gt;0),-500,VLOOKUP($F494,Lists!$L$2:$M$4,2,FALSE)+IF($E494="In Progress",10,0)+IF(AND($I494&lt;&gt;"",$I494&lt;TODAY()),25,0)+IF(AND($I494&lt;&gt;"",$I494&gt;=TODAY(),$I494&lt;=TODAY()+7),15,0)+IF($M494&lt;=VLOOKUP(Home!$C$7,Lists!$N$2:$O$6,2,FALSE),20,-10)+IF($G494=Home!$E$7,15,IF(Home!$E$7="",0,-5))-ROW()/100000)))</f>
        <v/>
      </c>
      <c r="O494" s="88">
        <f>IF($D494="","",IF($N494&lt;=-500,"Not recommended right now",IF($E494="Waiting","Nothing else actionable right now — Waiting on: "&amp;IF($K494="","this item",$K494),TEXTJOIN(" • ",TRUE,IF($F494="High","High Priority",""),IF(AND($I494&lt;&gt;"",$I494&lt;TODAY()),"Overdue",""),IF(AND($I494&lt;&gt;"",$I494&gt;=TODAY(),$I494&lt;=TODAY()+7),"Due This Week",""),IF($M494&lt;=VLOOKUP(Home!$C$7,Lists!$N$2:$O$6,2,FALSE),$H494&amp;" Task",""),IF($G494=Home!$E$7,"Fits Current Energy",""),"No Blockers"))))</f>
        <v/>
      </c>
      <c r="P494" s="88">
        <f>IF($D494="","",SWITCH('Task Finder'!$C$6,"High Priority",AND($F494="High",$E494&lt;&gt;"Done",$E494&lt;&gt;"Archive"),"Due This Week",AND($I494&lt;&gt;"",$I494&gt;=TODAY(),$I494&lt;=TODAY()+7,$E494&lt;&gt;"Done"),"Quick Wins (15 mins or less)",AND($M494&lt;=15,$E494&lt;&gt;"Done",$E494&lt;&gt;"Blocked"),"Deep Thinking",AND($G494="Deep Thinking",$E494&lt;&gt;"Done"),"Processing",AND($G494="Processing",$E494&lt;&gt;"Done"),"Blocked",$E494="Blocked","Waiting",$E494="Waiting","Recently Updated",AND($L494&lt;&gt;"",$L494&gt;=TODAY()-7),"Keyword",AND('Task Finder'!$C$7&lt;&gt;"",OR(ISNUMBER(SEARCH('Task Finder'!$C$7,$A494)),ISNUMBER(SEARCH('Task Finder'!$C$7,$B494)),ISNUMBER(SEARCH('Task Finder'!$C$7,$C494)),ISNUMBER(SEARCH('Task Finder'!$C$7,$D494)),ISNUMBER(SEARCH('Task Finder'!$C$7,$K494)))),TRUE))</f>
        <v/>
      </c>
    </row>
    <row r="495">
      <c r="A495" s="19" t="n"/>
      <c r="B495" s="19" t="n"/>
      <c r="C495" s="19" t="n"/>
      <c r="D495" s="19" t="n"/>
      <c r="E495" s="19" t="n"/>
      <c r="F495" s="19" t="n"/>
      <c r="G495" s="19" t="n"/>
      <c r="H495" s="19" t="n"/>
      <c r="I495" s="19" t="n"/>
      <c r="J495" s="19" t="n"/>
      <c r="K495" s="19" t="n"/>
      <c r="L495" s="125" t="n"/>
      <c r="M495" s="88">
        <f>IF($D495="","",IFERROR(VLOOKUP($H495,Lists!$N$2:$O$6,2,FALSE),0))</f>
        <v/>
      </c>
      <c r="N495" s="88">
        <f>IF($D495="","",IF(OR($E495="Blocked",$E495="Done",$E495="Archive"),-9999,IF(AND($E495="Waiting",SUMPRODUCT((($E$5:$E$500="Next")+($E$5:$E$500="In Progress")+($E$5:$E$500="Captured"))*($D$5:$D$500&lt;&gt;""))&gt;0),-500,VLOOKUP($F495,Lists!$L$2:$M$4,2,FALSE)+IF($E495="In Progress",10,0)+IF(AND($I495&lt;&gt;"",$I495&lt;TODAY()),25,0)+IF(AND($I495&lt;&gt;"",$I495&gt;=TODAY(),$I495&lt;=TODAY()+7),15,0)+IF($M495&lt;=VLOOKUP(Home!$C$7,Lists!$N$2:$O$6,2,FALSE),20,-10)+IF($G495=Home!$E$7,15,IF(Home!$E$7="",0,-5))-ROW()/100000)))</f>
        <v/>
      </c>
      <c r="O495" s="88">
        <f>IF($D495="","",IF($N495&lt;=-500,"Not recommended right now",IF($E495="Waiting","Nothing else actionable right now — Waiting on: "&amp;IF($K495="","this item",$K495),TEXTJOIN(" • ",TRUE,IF($F495="High","High Priority",""),IF(AND($I495&lt;&gt;"",$I495&lt;TODAY()),"Overdue",""),IF(AND($I495&lt;&gt;"",$I495&gt;=TODAY(),$I495&lt;=TODAY()+7),"Due This Week",""),IF($M495&lt;=VLOOKUP(Home!$C$7,Lists!$N$2:$O$6,2,FALSE),$H495&amp;" Task",""),IF($G495=Home!$E$7,"Fits Current Energy",""),"No Blockers"))))</f>
        <v/>
      </c>
      <c r="P495" s="88">
        <f>IF($D495="","",SWITCH('Task Finder'!$C$6,"High Priority",AND($F495="High",$E495&lt;&gt;"Done",$E495&lt;&gt;"Archive"),"Due This Week",AND($I495&lt;&gt;"",$I495&gt;=TODAY(),$I495&lt;=TODAY()+7,$E495&lt;&gt;"Done"),"Quick Wins (15 mins or less)",AND($M495&lt;=15,$E495&lt;&gt;"Done",$E495&lt;&gt;"Blocked"),"Deep Thinking",AND($G495="Deep Thinking",$E495&lt;&gt;"Done"),"Processing",AND($G495="Processing",$E495&lt;&gt;"Done"),"Blocked",$E495="Blocked","Waiting",$E495="Waiting","Recently Updated",AND($L495&lt;&gt;"",$L495&gt;=TODAY()-7),"Keyword",AND('Task Finder'!$C$7&lt;&gt;"",OR(ISNUMBER(SEARCH('Task Finder'!$C$7,$A495)),ISNUMBER(SEARCH('Task Finder'!$C$7,$B495)),ISNUMBER(SEARCH('Task Finder'!$C$7,$C495)),ISNUMBER(SEARCH('Task Finder'!$C$7,$D495)),ISNUMBER(SEARCH('Task Finder'!$C$7,$K495)))),TRUE))</f>
        <v/>
      </c>
    </row>
    <row r="496">
      <c r="A496" s="19" t="n"/>
      <c r="B496" s="19" t="n"/>
      <c r="C496" s="19" t="n"/>
      <c r="D496" s="19" t="n"/>
      <c r="E496" s="19" t="n"/>
      <c r="F496" s="19" t="n"/>
      <c r="G496" s="19" t="n"/>
      <c r="H496" s="19" t="n"/>
      <c r="I496" s="19" t="n"/>
      <c r="J496" s="19" t="n"/>
      <c r="K496" s="19" t="n"/>
      <c r="L496" s="125" t="n"/>
      <c r="M496" s="88">
        <f>IF($D496="","",IFERROR(VLOOKUP($H496,Lists!$N$2:$O$6,2,FALSE),0))</f>
        <v/>
      </c>
      <c r="N496" s="88">
        <f>IF($D496="","",IF(OR($E496="Blocked",$E496="Done",$E496="Archive"),-9999,IF(AND($E496="Waiting",SUMPRODUCT((($E$5:$E$500="Next")+($E$5:$E$500="In Progress")+($E$5:$E$500="Captured"))*($D$5:$D$500&lt;&gt;""))&gt;0),-500,VLOOKUP($F496,Lists!$L$2:$M$4,2,FALSE)+IF($E496="In Progress",10,0)+IF(AND($I496&lt;&gt;"",$I496&lt;TODAY()),25,0)+IF(AND($I496&lt;&gt;"",$I496&gt;=TODAY(),$I496&lt;=TODAY()+7),15,0)+IF($M496&lt;=VLOOKUP(Home!$C$7,Lists!$N$2:$O$6,2,FALSE),20,-10)+IF($G496=Home!$E$7,15,IF(Home!$E$7="",0,-5))-ROW()/100000)))</f>
        <v/>
      </c>
      <c r="O496" s="88">
        <f>IF($D496="","",IF($N496&lt;=-500,"Not recommended right now",IF($E496="Waiting","Nothing else actionable right now — Waiting on: "&amp;IF($K496="","this item",$K496),TEXTJOIN(" • ",TRUE,IF($F496="High","High Priority",""),IF(AND($I496&lt;&gt;"",$I496&lt;TODAY()),"Overdue",""),IF(AND($I496&lt;&gt;"",$I496&gt;=TODAY(),$I496&lt;=TODAY()+7),"Due This Week",""),IF($M496&lt;=VLOOKUP(Home!$C$7,Lists!$N$2:$O$6,2,FALSE),$H496&amp;" Task",""),IF($G496=Home!$E$7,"Fits Current Energy",""),"No Blockers"))))</f>
        <v/>
      </c>
      <c r="P496" s="88">
        <f>IF($D496="","",SWITCH('Task Finder'!$C$6,"High Priority",AND($F496="High",$E496&lt;&gt;"Done",$E496&lt;&gt;"Archive"),"Due This Week",AND($I496&lt;&gt;"",$I496&gt;=TODAY(),$I496&lt;=TODAY()+7,$E496&lt;&gt;"Done"),"Quick Wins (15 mins or less)",AND($M496&lt;=15,$E496&lt;&gt;"Done",$E496&lt;&gt;"Blocked"),"Deep Thinking",AND($G496="Deep Thinking",$E496&lt;&gt;"Done"),"Processing",AND($G496="Processing",$E496&lt;&gt;"Done"),"Blocked",$E496="Blocked","Waiting",$E496="Waiting","Recently Updated",AND($L496&lt;&gt;"",$L496&gt;=TODAY()-7),"Keyword",AND('Task Finder'!$C$7&lt;&gt;"",OR(ISNUMBER(SEARCH('Task Finder'!$C$7,$A496)),ISNUMBER(SEARCH('Task Finder'!$C$7,$B496)),ISNUMBER(SEARCH('Task Finder'!$C$7,$C496)),ISNUMBER(SEARCH('Task Finder'!$C$7,$D496)),ISNUMBER(SEARCH('Task Finder'!$C$7,$K496)))),TRUE))</f>
        <v/>
      </c>
    </row>
    <row r="497">
      <c r="A497" s="19" t="n"/>
      <c r="B497" s="19" t="n"/>
      <c r="C497" s="19" t="n"/>
      <c r="D497" s="19" t="n"/>
      <c r="E497" s="19" t="n"/>
      <c r="F497" s="19" t="n"/>
      <c r="G497" s="19" t="n"/>
      <c r="H497" s="19" t="n"/>
      <c r="I497" s="19" t="n"/>
      <c r="J497" s="19" t="n"/>
      <c r="K497" s="19" t="n"/>
      <c r="L497" s="125" t="n"/>
      <c r="M497" s="88">
        <f>IF($D497="","",IFERROR(VLOOKUP($H497,Lists!$N$2:$O$6,2,FALSE),0))</f>
        <v/>
      </c>
      <c r="N497" s="88">
        <f>IF($D497="","",IF(OR($E497="Blocked",$E497="Done",$E497="Archive"),-9999,IF(AND($E497="Waiting",SUMPRODUCT((($E$5:$E$500="Next")+($E$5:$E$500="In Progress")+($E$5:$E$500="Captured"))*($D$5:$D$500&lt;&gt;""))&gt;0),-500,VLOOKUP($F497,Lists!$L$2:$M$4,2,FALSE)+IF($E497="In Progress",10,0)+IF(AND($I497&lt;&gt;"",$I497&lt;TODAY()),25,0)+IF(AND($I497&lt;&gt;"",$I497&gt;=TODAY(),$I497&lt;=TODAY()+7),15,0)+IF($M497&lt;=VLOOKUP(Home!$C$7,Lists!$N$2:$O$6,2,FALSE),20,-10)+IF($G497=Home!$E$7,15,IF(Home!$E$7="",0,-5))-ROW()/100000)))</f>
        <v/>
      </c>
      <c r="O497" s="88">
        <f>IF($D497="","",IF($N497&lt;=-500,"Not recommended right now",IF($E497="Waiting","Nothing else actionable right now — Waiting on: "&amp;IF($K497="","this item",$K497),TEXTJOIN(" • ",TRUE,IF($F497="High","High Priority",""),IF(AND($I497&lt;&gt;"",$I497&lt;TODAY()),"Overdue",""),IF(AND($I497&lt;&gt;"",$I497&gt;=TODAY(),$I497&lt;=TODAY()+7),"Due This Week",""),IF($M497&lt;=VLOOKUP(Home!$C$7,Lists!$N$2:$O$6,2,FALSE),$H497&amp;" Task",""),IF($G497=Home!$E$7,"Fits Current Energy",""),"No Blockers"))))</f>
        <v/>
      </c>
      <c r="P497" s="88">
        <f>IF($D497="","",SWITCH('Task Finder'!$C$6,"High Priority",AND($F497="High",$E497&lt;&gt;"Done",$E497&lt;&gt;"Archive"),"Due This Week",AND($I497&lt;&gt;"",$I497&gt;=TODAY(),$I497&lt;=TODAY()+7,$E497&lt;&gt;"Done"),"Quick Wins (15 mins or less)",AND($M497&lt;=15,$E497&lt;&gt;"Done",$E497&lt;&gt;"Blocked"),"Deep Thinking",AND($G497="Deep Thinking",$E497&lt;&gt;"Done"),"Processing",AND($G497="Processing",$E497&lt;&gt;"Done"),"Blocked",$E497="Blocked","Waiting",$E497="Waiting","Recently Updated",AND($L497&lt;&gt;"",$L497&gt;=TODAY()-7),"Keyword",AND('Task Finder'!$C$7&lt;&gt;"",OR(ISNUMBER(SEARCH('Task Finder'!$C$7,$A497)),ISNUMBER(SEARCH('Task Finder'!$C$7,$B497)),ISNUMBER(SEARCH('Task Finder'!$C$7,$C497)),ISNUMBER(SEARCH('Task Finder'!$C$7,$D497)),ISNUMBER(SEARCH('Task Finder'!$C$7,$K497)))),TRUE))</f>
        <v/>
      </c>
    </row>
    <row r="498">
      <c r="A498" s="19" t="n"/>
      <c r="B498" s="19" t="n"/>
      <c r="C498" s="19" t="n"/>
      <c r="D498" s="19" t="n"/>
      <c r="E498" s="19" t="n"/>
      <c r="F498" s="19" t="n"/>
      <c r="G498" s="19" t="n"/>
      <c r="H498" s="19" t="n"/>
      <c r="I498" s="19" t="n"/>
      <c r="J498" s="19" t="n"/>
      <c r="K498" s="19" t="n"/>
      <c r="L498" s="125" t="n"/>
      <c r="M498" s="88">
        <f>IF($D498="","",IFERROR(VLOOKUP($H498,Lists!$N$2:$O$6,2,FALSE),0))</f>
        <v/>
      </c>
      <c r="N498" s="88">
        <f>IF($D498="","",IF(OR($E498="Blocked",$E498="Done",$E498="Archive"),-9999,IF(AND($E498="Waiting",SUMPRODUCT((($E$5:$E$500="Next")+($E$5:$E$500="In Progress")+($E$5:$E$500="Captured"))*($D$5:$D$500&lt;&gt;""))&gt;0),-500,VLOOKUP($F498,Lists!$L$2:$M$4,2,FALSE)+IF($E498="In Progress",10,0)+IF(AND($I498&lt;&gt;"",$I498&lt;TODAY()),25,0)+IF(AND($I498&lt;&gt;"",$I498&gt;=TODAY(),$I498&lt;=TODAY()+7),15,0)+IF($M498&lt;=VLOOKUP(Home!$C$7,Lists!$N$2:$O$6,2,FALSE),20,-10)+IF($G498=Home!$E$7,15,IF(Home!$E$7="",0,-5))-ROW()/100000)))</f>
        <v/>
      </c>
      <c r="O498" s="88">
        <f>IF($D498="","",IF($N498&lt;=-500,"Not recommended right now",IF($E498="Waiting","Nothing else actionable right now — Waiting on: "&amp;IF($K498="","this item",$K498),TEXTJOIN(" • ",TRUE,IF($F498="High","High Priority",""),IF(AND($I498&lt;&gt;"",$I498&lt;TODAY()),"Overdue",""),IF(AND($I498&lt;&gt;"",$I498&gt;=TODAY(),$I498&lt;=TODAY()+7),"Due This Week",""),IF($M498&lt;=VLOOKUP(Home!$C$7,Lists!$N$2:$O$6,2,FALSE),$H498&amp;" Task",""),IF($G498=Home!$E$7,"Fits Current Energy",""),"No Blockers"))))</f>
        <v/>
      </c>
      <c r="P498" s="88">
        <f>IF($D498="","",SWITCH('Task Finder'!$C$6,"High Priority",AND($F498="High",$E498&lt;&gt;"Done",$E498&lt;&gt;"Archive"),"Due This Week",AND($I498&lt;&gt;"",$I498&gt;=TODAY(),$I498&lt;=TODAY()+7,$E498&lt;&gt;"Done"),"Quick Wins (15 mins or less)",AND($M498&lt;=15,$E498&lt;&gt;"Done",$E498&lt;&gt;"Blocked"),"Deep Thinking",AND($G498="Deep Thinking",$E498&lt;&gt;"Done"),"Processing",AND($G498="Processing",$E498&lt;&gt;"Done"),"Blocked",$E498="Blocked","Waiting",$E498="Waiting","Recently Updated",AND($L498&lt;&gt;"",$L498&gt;=TODAY()-7),"Keyword",AND('Task Finder'!$C$7&lt;&gt;"",OR(ISNUMBER(SEARCH('Task Finder'!$C$7,$A498)),ISNUMBER(SEARCH('Task Finder'!$C$7,$B498)),ISNUMBER(SEARCH('Task Finder'!$C$7,$C498)),ISNUMBER(SEARCH('Task Finder'!$C$7,$D498)),ISNUMBER(SEARCH('Task Finder'!$C$7,$K498)))),TRUE))</f>
        <v/>
      </c>
    </row>
    <row r="499">
      <c r="A499" s="19" t="n"/>
      <c r="B499" s="19" t="n"/>
      <c r="C499" s="19" t="n"/>
      <c r="D499" s="19" t="n"/>
      <c r="E499" s="19" t="n"/>
      <c r="F499" s="19" t="n"/>
      <c r="G499" s="19" t="n"/>
      <c r="H499" s="19" t="n"/>
      <c r="I499" s="19" t="n"/>
      <c r="J499" s="19" t="n"/>
      <c r="K499" s="19" t="n"/>
      <c r="L499" s="125" t="n"/>
      <c r="M499" s="88">
        <f>IF($D499="","",IFERROR(VLOOKUP($H499,Lists!$N$2:$O$6,2,FALSE),0))</f>
        <v/>
      </c>
      <c r="N499" s="88">
        <f>IF($D499="","",IF(OR($E499="Blocked",$E499="Done",$E499="Archive"),-9999,IF(AND($E499="Waiting",SUMPRODUCT((($E$5:$E$500="Next")+($E$5:$E$500="In Progress")+($E$5:$E$500="Captured"))*($D$5:$D$500&lt;&gt;""))&gt;0),-500,VLOOKUP($F499,Lists!$L$2:$M$4,2,FALSE)+IF($E499="In Progress",10,0)+IF(AND($I499&lt;&gt;"",$I499&lt;TODAY()),25,0)+IF(AND($I499&lt;&gt;"",$I499&gt;=TODAY(),$I499&lt;=TODAY()+7),15,0)+IF($M499&lt;=VLOOKUP(Home!$C$7,Lists!$N$2:$O$6,2,FALSE),20,-10)+IF($G499=Home!$E$7,15,IF(Home!$E$7="",0,-5))-ROW()/100000)))</f>
        <v/>
      </c>
      <c r="O499" s="88">
        <f>IF($D499="","",IF($N499&lt;=-500,"Not recommended right now",IF($E499="Waiting","Nothing else actionable right now — Waiting on: "&amp;IF($K499="","this item",$K499),TEXTJOIN(" • ",TRUE,IF($F499="High","High Priority",""),IF(AND($I499&lt;&gt;"",$I499&lt;TODAY()),"Overdue",""),IF(AND($I499&lt;&gt;"",$I499&gt;=TODAY(),$I499&lt;=TODAY()+7),"Due This Week",""),IF($M499&lt;=VLOOKUP(Home!$C$7,Lists!$N$2:$O$6,2,FALSE),$H499&amp;" Task",""),IF($G499=Home!$E$7,"Fits Current Energy",""),"No Blockers"))))</f>
        <v/>
      </c>
      <c r="P499" s="88">
        <f>IF($D499="","",SWITCH('Task Finder'!$C$6,"High Priority",AND($F499="High",$E499&lt;&gt;"Done",$E499&lt;&gt;"Archive"),"Due This Week",AND($I499&lt;&gt;"",$I499&gt;=TODAY(),$I499&lt;=TODAY()+7,$E499&lt;&gt;"Done"),"Quick Wins (15 mins or less)",AND($M499&lt;=15,$E499&lt;&gt;"Done",$E499&lt;&gt;"Blocked"),"Deep Thinking",AND($G499="Deep Thinking",$E499&lt;&gt;"Done"),"Processing",AND($G499="Processing",$E499&lt;&gt;"Done"),"Blocked",$E499="Blocked","Waiting",$E499="Waiting","Recently Updated",AND($L499&lt;&gt;"",$L499&gt;=TODAY()-7),"Keyword",AND('Task Finder'!$C$7&lt;&gt;"",OR(ISNUMBER(SEARCH('Task Finder'!$C$7,$A499)),ISNUMBER(SEARCH('Task Finder'!$C$7,$B499)),ISNUMBER(SEARCH('Task Finder'!$C$7,$C499)),ISNUMBER(SEARCH('Task Finder'!$C$7,$D499)),ISNUMBER(SEARCH('Task Finder'!$C$7,$K499)))),TRUE))</f>
        <v/>
      </c>
    </row>
    <row r="500">
      <c r="A500" s="19" t="n"/>
      <c r="B500" s="19" t="n"/>
      <c r="C500" s="19" t="n"/>
      <c r="D500" s="19" t="n"/>
      <c r="E500" s="19" t="n"/>
      <c r="F500" s="19" t="n"/>
      <c r="G500" s="19" t="n"/>
      <c r="H500" s="19" t="n"/>
      <c r="I500" s="19" t="n"/>
      <c r="J500" s="19" t="n"/>
      <c r="K500" s="19" t="n"/>
      <c r="L500" s="125" t="n"/>
      <c r="M500" s="88">
        <f>IF($D500="","",IFERROR(VLOOKUP($H500,Lists!$N$2:$O$6,2,FALSE),0))</f>
        <v/>
      </c>
      <c r="N500" s="88">
        <f>IF($D500="","",IF(OR($E500="Blocked",$E500="Done",$E500="Archive"),-9999,IF(AND($E500="Waiting",SUMPRODUCT((($E$5:$E$500="Next")+($E$5:$E$500="In Progress")+($E$5:$E$500="Captured"))*($D$5:$D$500&lt;&gt;""))&gt;0),-500,VLOOKUP($F500,Lists!$L$2:$M$4,2,FALSE)+IF($E500="In Progress",10,0)+IF(AND($I500&lt;&gt;"",$I500&lt;TODAY()),25,0)+IF(AND($I500&lt;&gt;"",$I500&gt;=TODAY(),$I500&lt;=TODAY()+7),15,0)+IF($M500&lt;=VLOOKUP(Home!$C$7,Lists!$N$2:$O$6,2,FALSE),20,-10)+IF($G500=Home!$E$7,15,IF(Home!$E$7="",0,-5))-ROW()/100000)))</f>
        <v/>
      </c>
      <c r="O500" s="88">
        <f>IF($D500="","",IF($N500&lt;=-500,"Not recommended right now",IF($E500="Waiting","Nothing else actionable right now — Waiting on: "&amp;IF($K500="","this item",$K500),TEXTJOIN(" • ",TRUE,IF($F500="High","High Priority",""),IF(AND($I500&lt;&gt;"",$I500&lt;TODAY()),"Overdue",""),IF(AND($I500&lt;&gt;"",$I500&gt;=TODAY(),$I500&lt;=TODAY()+7),"Due This Week",""),IF($M500&lt;=VLOOKUP(Home!$C$7,Lists!$N$2:$O$6,2,FALSE),$H500&amp;" Task",""),IF($G500=Home!$E$7,"Fits Current Energy",""),"No Blockers"))))</f>
        <v/>
      </c>
      <c r="P500" s="88">
        <f>IF($D500="","",SWITCH('Task Finder'!$C$6,"High Priority",AND($F500="High",$E500&lt;&gt;"Done",$E500&lt;&gt;"Archive"),"Due This Week",AND($I500&lt;&gt;"",$I500&gt;=TODAY(),$I500&lt;=TODAY()+7,$E500&lt;&gt;"Done"),"Quick Wins (15 mins or less)",AND($M500&lt;=15,$E500&lt;&gt;"Done",$E500&lt;&gt;"Blocked"),"Deep Thinking",AND($G500="Deep Thinking",$E500&lt;&gt;"Done"),"Processing",AND($G500="Processing",$E500&lt;&gt;"Done"),"Blocked",$E500="Blocked","Waiting",$E500="Waiting","Recently Updated",AND($L500&lt;&gt;"",$L500&gt;=TODAY()-7),"Keyword",AND('Task Finder'!$C$7&lt;&gt;"",OR(ISNUMBER(SEARCH('Task Finder'!$C$7,$A500)),ISNUMBER(SEARCH('Task Finder'!$C$7,$B500)),ISNUMBER(SEARCH('Task Finder'!$C$7,$C500)),ISNUMBER(SEARCH('Task Finder'!$C$7,$D500)),ISNUMBER(SEARCH('Task Finder'!$C$7,$K500)))),TRUE))</f>
        <v/>
      </c>
    </row>
  </sheetData>
  <sheetProtection selectLockedCells="0" selectUnlockedCells="0" sheet="1" objects="0" insertRows="1" insertHyperlinks="1" autoFilter="1" scenarios="0" formatColumns="1" deleteColumns="1" insertColumns="1" pivotTables="1" deleteRows="1" formatCells="1" formatRows="1" sort="1"/>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0"/>
  <sheetViews>
    <sheetView showGridLines="0" workbookViewId="0">
      <selection activeCell="A1" sqref="A1"/>
    </sheetView>
  </sheetViews>
  <sheetFormatPr baseColWidth="8" defaultRowHeight="15"/>
  <cols>
    <col width="24" customWidth="1" min="1" max="1"/>
    <col width="10" customWidth="1" min="2" max="2"/>
    <col width="12" customWidth="1" min="3" max="3"/>
    <col width="14" customWidth="1" min="4" max="4"/>
    <col width="8" customWidth="1" min="5" max="5"/>
    <col width="10" customWidth="1" min="6" max="6"/>
    <col width="8" customWidth="1" min="7" max="7"/>
    <col width="10" customWidth="1" min="8" max="8"/>
    <col width="14" customWidth="1" min="9" max="9"/>
    <col width="13" customWidth="1" min="10" max="10"/>
    <col width="12" customWidth="1" min="11" max="11"/>
    <col width="13" customWidth="1" min="12" max="12"/>
    <col width="13" customWidth="1" min="13" max="13"/>
    <col width="26" customWidth="1" min="14" max="14"/>
    <col width="9" customWidth="1" min="15" max="15"/>
    <col width="40" customWidth="1" min="16" max="16"/>
    <col width="10" customWidth="1" min="17" max="17"/>
  </cols>
  <sheetData>
    <row r="1">
      <c r="A1" s="10" t="inlineStr">
        <is>
          <t>Missions</t>
        </is>
      </c>
      <c r="N1" s="3" t="inlineStr">
        <is>
          <t>Warning</t>
        </is>
      </c>
      <c r="O1" s="3" t="inlineStr">
        <is>
          <t>Active</t>
        </is>
      </c>
      <c r="P1" s="3" t="inlineStr">
        <is>
          <t>Detail</t>
        </is>
      </c>
      <c r="Q1" s="119" t="inlineStr">
        <is>
          <t>Threshold</t>
        </is>
      </c>
    </row>
    <row r="2" ht="20" customHeight="1">
      <c r="A2" s="11" t="inlineStr">
        <is>
          <t>← Home</t>
        </is>
      </c>
      <c r="N2" s="5" t="inlineStr">
        <is>
          <t>Deep Thinking Overload</t>
        </is>
      </c>
      <c r="O2" s="36">
        <f>IF(Home!$D$30=0,FALSE,Home!$E$25&gt;0.6)</f>
        <v/>
      </c>
      <c r="P2" s="5" t="inlineStr">
        <is>
          <t>More than 60% of active work is Deep Thinking</t>
        </is>
      </c>
    </row>
    <row r="3">
      <c r="A3" s="33" t="inlineStr">
        <is>
          <t>One row per mission. Add a row here whenever you start a new mission — this powers Mission Balance and workload warnings.</t>
        </is>
      </c>
      <c r="N3" s="5" t="inlineStr">
        <is>
          <t>Too Many Blocked Tasks</t>
        </is>
      </c>
      <c r="O3" s="36">
        <f>COUNTIF('Work Register'!$E$5:$E$500,"Blocked")&gt;$Q$3</f>
        <v/>
      </c>
      <c r="P3" s="5">
        <f>"More than "&amp;$Q$3&amp;" tasks are Blocked"</f>
        <v/>
      </c>
      <c r="Q3" s="126" t="n">
        <v>10</v>
      </c>
    </row>
    <row r="4">
      <c r="A4" s="31" t="inlineStr">
        <is>
          <t>Mission</t>
        </is>
      </c>
      <c r="B4" s="31" t="inlineStr">
        <is>
          <t>Priority</t>
        </is>
      </c>
      <c r="C4" s="31" t="inlineStr">
        <is>
          <t>Due Date</t>
        </is>
      </c>
      <c r="D4" s="31" t="inlineStr">
        <is>
          <t>Status</t>
        </is>
      </c>
      <c r="E4" s="31" t="inlineStr">
        <is>
          <t>Open</t>
        </is>
      </c>
      <c r="F4" s="31" t="inlineStr">
        <is>
          <t>In Progress</t>
        </is>
      </c>
      <c r="G4" s="31" t="inlineStr">
        <is>
          <t>Blocked</t>
        </is>
      </c>
      <c r="H4" s="31" t="inlineStr">
        <is>
          <t>Completed</t>
        </is>
      </c>
      <c r="I4" s="31" t="inlineStr">
        <is>
          <t>Est. Remaining Hrs</t>
        </is>
      </c>
      <c r="J4" s="31" t="inlineStr">
        <is>
          <t>Last Activity</t>
        </is>
      </c>
      <c r="K4" s="31" t="inlineStr">
        <is>
          <t>No Next Action</t>
        </is>
      </c>
      <c r="L4" s="31" t="inlineStr">
        <is>
          <t>Inactive 14+ Days</t>
        </is>
      </c>
      <c r="M4" s="86" t="inlineStr">
        <is>
          <t>Duplicate Name</t>
        </is>
      </c>
      <c r="N4" s="5" t="inlineStr">
        <is>
          <t>Mission Missing Next Action</t>
        </is>
      </c>
      <c r="O4" s="36">
        <f>COUNTIF($K$5:$K$20,TRUE)&gt;0</f>
        <v/>
      </c>
      <c r="P4" s="5" t="inlineStr">
        <is>
          <t>A mission has no task with Status = Next</t>
        </is>
      </c>
    </row>
    <row r="5">
      <c r="A5" s="35" t="inlineStr">
        <is>
          <t>Operational Resilience Framework</t>
        </is>
      </c>
      <c r="B5" s="17" t="inlineStr">
        <is>
          <t>High</t>
        </is>
      </c>
      <c r="C5" s="17" t="inlineStr">
        <is>
          <t>2026-09-15</t>
        </is>
      </c>
      <c r="D5" s="17" t="inlineStr">
        <is>
          <t>In Progress</t>
        </is>
      </c>
      <c r="E5" s="36">
        <f>IF($A5="","",COUNTIFS('Work Register'!$A$5:$A$500,$A5,'Work Register'!$E$5:$E$500,"Captured")+COUNTIFS('Work Register'!$A$5:$A$500,$A5,'Work Register'!$E$5:$E$500,"Next"))</f>
        <v/>
      </c>
      <c r="F5" s="36">
        <f>IF($A5="","",COUNTIFS('Work Register'!$A$5:$A$500,$A5,'Work Register'!$E$5:$E$500,"In Progress"))</f>
        <v/>
      </c>
      <c r="G5" s="36">
        <f>IF($A5="","",COUNTIFS('Work Register'!$A$5:$A$500,$A5,'Work Register'!$E$5:$E$500,"Blocked"))</f>
        <v/>
      </c>
      <c r="H5" s="36">
        <f>IF($A5="","",COUNTIFS('Work Register'!$A$5:$A$500,$A5,'Work Register'!$E$5:$E$500,"Done"))</f>
        <v/>
      </c>
      <c r="I5" s="36">
        <f>IF($A5="","",ROUND(SUMIFS('Work Register'!$M$5:$M$500,'Work Register'!$A$5:$A$500,$A5,'Work Register'!$E$5:$E$500,"&lt;&gt;Done")/60,1))</f>
        <v/>
      </c>
      <c r="J5" s="37">
        <f>IF($A5="","",IFERROR(MAXIFS('Work Register'!$L$5:$L$500,'Work Register'!$A$5:$A$500,$A5),""))</f>
        <v/>
      </c>
      <c r="K5" s="36">
        <f>IF($A5="",FALSE,COUNTIFS('Work Register'!$A$5:$A$500,$A5,'Work Register'!$E$5:$E$500,"Next")=0)</f>
        <v/>
      </c>
      <c r="L5" s="36">
        <f>IF($A5="",FALSE,AND($J5&lt;&gt;"",$J5&lt;TODAY()-14,$D5&lt;&gt;"Done"))</f>
        <v/>
      </c>
      <c r="M5" s="87">
        <f>IF($A5="",FALSE,COUNTIF($A$5:$A$20,$A5)&gt;1)</f>
        <v/>
      </c>
      <c r="N5" s="5" t="inlineStr">
        <is>
          <t>Mission Inactive 14+ Days</t>
        </is>
      </c>
      <c r="O5" s="36">
        <f>COUNTIF($L$5:$L$20,TRUE)&gt;0</f>
        <v/>
      </c>
      <c r="P5" s="5" t="inlineStr">
        <is>
          <t>A mission has had no activity in 14+ days</t>
        </is>
      </c>
    </row>
    <row r="6">
      <c r="A6" s="35" t="inlineStr">
        <is>
          <t>Client Onboarding Playbook</t>
        </is>
      </c>
      <c r="B6" s="17" t="inlineStr">
        <is>
          <t>High</t>
        </is>
      </c>
      <c r="C6" s="17" t="inlineStr">
        <is>
          <t>2026-08-20</t>
        </is>
      </c>
      <c r="D6" s="17" t="inlineStr">
        <is>
          <t>In Progress</t>
        </is>
      </c>
      <c r="E6" s="36">
        <f>IF($A6="","",COUNTIFS('Work Register'!$A$5:$A$500,$A6,'Work Register'!$E$5:$E$500,"Captured")+COUNTIFS('Work Register'!$A$5:$A$500,$A6,'Work Register'!$E$5:$E$500,"Next"))</f>
        <v/>
      </c>
      <c r="F6" s="36">
        <f>IF($A6="","",COUNTIFS('Work Register'!$A$5:$A$500,$A6,'Work Register'!$E$5:$E$500,"In Progress"))</f>
        <v/>
      </c>
      <c r="G6" s="36">
        <f>IF($A6="","",COUNTIFS('Work Register'!$A$5:$A$500,$A6,'Work Register'!$E$5:$E$500,"Blocked"))</f>
        <v/>
      </c>
      <c r="H6" s="36">
        <f>IF($A6="","",COUNTIFS('Work Register'!$A$5:$A$500,$A6,'Work Register'!$E$5:$E$500,"Done"))</f>
        <v/>
      </c>
      <c r="I6" s="36">
        <f>IF($A6="","",ROUND(SUMIFS('Work Register'!$M$5:$M$500,'Work Register'!$A$5:$A$500,$A6,'Work Register'!$E$5:$E$500,"&lt;&gt;Done")/60,1))</f>
        <v/>
      </c>
      <c r="J6" s="37">
        <f>IF($A6="","",IFERROR(MAXIFS('Work Register'!$L$5:$L$500,'Work Register'!$A$5:$A$500,$A6),""))</f>
        <v/>
      </c>
      <c r="K6" s="36">
        <f>IF($A6="",FALSE,COUNTIFS('Work Register'!$A$5:$A$500,$A6,'Work Register'!$E$5:$E$500,"Next")=0)</f>
        <v/>
      </c>
      <c r="L6" s="36">
        <f>IF($A6="",FALSE,AND($J6&lt;&gt;"",$J6&lt;TODAY()-14,$D6&lt;&gt;"Done"))</f>
        <v/>
      </c>
      <c r="M6" s="87">
        <f>IF($A6="",FALSE,COUNTIF($A$5:$A$20,$A6)&gt;1)</f>
        <v/>
      </c>
      <c r="N6" s="5" t="inlineStr">
        <is>
          <t>Overdue Tasks</t>
        </is>
      </c>
      <c r="O6" s="36">
        <f>COUNTIFS('Work Register'!$I$5:$I$500,"&lt;&gt;",'Work Register'!$I$5:$I$500,"&lt;"&amp;TODAY(),'Work Register'!$E$5:$E$500,"&lt;&gt;Done")&gt;0</f>
        <v/>
      </c>
      <c r="P6" s="5" t="inlineStr">
        <is>
          <t>One or more tasks are past their Due Date</t>
        </is>
      </c>
    </row>
    <row r="7">
      <c r="A7" s="35" t="n"/>
      <c r="B7" s="17" t="n"/>
      <c r="C7" s="17" t="n"/>
      <c r="D7" s="17" t="n"/>
      <c r="E7" s="36">
        <f>IF($A7="","",COUNTIFS('Work Register'!$A$5:$A$500,$A7,'Work Register'!$E$5:$E$500,"Captured")+COUNTIFS('Work Register'!$A$5:$A$500,$A7,'Work Register'!$E$5:$E$500,"Next"))</f>
        <v/>
      </c>
      <c r="F7" s="36">
        <f>IF($A7="","",COUNTIFS('Work Register'!$A$5:$A$500,$A7,'Work Register'!$E$5:$E$500,"In Progress"))</f>
        <v/>
      </c>
      <c r="G7" s="36">
        <f>IF($A7="","",COUNTIFS('Work Register'!$A$5:$A$500,$A7,'Work Register'!$E$5:$E$500,"Blocked"))</f>
        <v/>
      </c>
      <c r="H7" s="36">
        <f>IF($A7="","",COUNTIFS('Work Register'!$A$5:$A$500,$A7,'Work Register'!$E$5:$E$500,"Done"))</f>
        <v/>
      </c>
      <c r="I7" s="36">
        <f>IF($A7="","",ROUND(SUMIFS('Work Register'!$M$5:$M$500,'Work Register'!$A$5:$A$500,$A7,'Work Register'!$E$5:$E$500,"&lt;&gt;Done")/60,1))</f>
        <v/>
      </c>
      <c r="J7" s="37">
        <f>IF($A7="","",IFERROR(MAXIFS('Work Register'!$L$5:$L$500,'Work Register'!$A$5:$A$500,$A7),""))</f>
        <v/>
      </c>
      <c r="K7" s="36">
        <f>IF($A7="",FALSE,COUNTIFS('Work Register'!$A$5:$A$500,$A7,'Work Register'!$E$5:$E$500,"Next")=0)</f>
        <v/>
      </c>
      <c r="L7" s="36">
        <f>IF($A7="",FALSE,AND($J7&lt;&gt;"",$J7&lt;TODAY()-14,$D7&lt;&gt;"Done"))</f>
        <v/>
      </c>
      <c r="M7" s="87">
        <f>IF($A7="",FALSE,COUNTIF($A$5:$A$20,$A7)&gt;1)</f>
        <v/>
      </c>
      <c r="N7" s="5" t="inlineStr">
        <is>
          <t>Too Many High Priority</t>
        </is>
      </c>
      <c r="O7" s="36">
        <f>COUNTIFS('Work Register'!$F$5:$F$500,"High",'Work Register'!$E$5:$E$500,"&lt;&gt;Done")&gt;$Q$7</f>
        <v/>
      </c>
      <c r="P7" s="5">
        <f>"More than "&amp;$Q$7&amp;" active tasks are High Priority"</f>
        <v/>
      </c>
      <c r="Q7" s="126" t="n">
        <v>5</v>
      </c>
    </row>
    <row r="8">
      <c r="A8" s="35" t="n"/>
      <c r="B8" s="17" t="n"/>
      <c r="C8" s="17" t="n"/>
      <c r="D8" s="17" t="n"/>
      <c r="E8" s="36">
        <f>IF($A8="","",COUNTIFS('Work Register'!$A$5:$A$500,$A8,'Work Register'!$E$5:$E$500,"Captured")+COUNTIFS('Work Register'!$A$5:$A$500,$A8,'Work Register'!$E$5:$E$500,"Next"))</f>
        <v/>
      </c>
      <c r="F8" s="36">
        <f>IF($A8="","",COUNTIFS('Work Register'!$A$5:$A$500,$A8,'Work Register'!$E$5:$E$500,"In Progress"))</f>
        <v/>
      </c>
      <c r="G8" s="36">
        <f>IF($A8="","",COUNTIFS('Work Register'!$A$5:$A$500,$A8,'Work Register'!$E$5:$E$500,"Blocked"))</f>
        <v/>
      </c>
      <c r="H8" s="36">
        <f>IF($A8="","",COUNTIFS('Work Register'!$A$5:$A$500,$A8,'Work Register'!$E$5:$E$500,"Done"))</f>
        <v/>
      </c>
      <c r="I8" s="36">
        <f>IF($A8="","",ROUND(SUMIFS('Work Register'!$M$5:$M$500,'Work Register'!$A$5:$A$500,$A8,'Work Register'!$E$5:$E$500,"&lt;&gt;Done")/60,1))</f>
        <v/>
      </c>
      <c r="J8" s="37">
        <f>IF($A8="","",IFERROR(MAXIFS('Work Register'!$L$5:$L$500,'Work Register'!$A$5:$A$500,$A8),""))</f>
        <v/>
      </c>
      <c r="K8" s="36">
        <f>IF($A8="",FALSE,COUNTIFS('Work Register'!$A$5:$A$500,$A8,'Work Register'!$E$5:$E$500,"Next")=0)</f>
        <v/>
      </c>
      <c r="L8" s="36">
        <f>IF($A8="",FALSE,AND($J8&lt;&gt;"",$J8&lt;TODAY()-14,$D8&lt;&gt;"Done"))</f>
        <v/>
      </c>
      <c r="M8" s="87">
        <f>IF($A8="",FALSE,COUNTIF($A$5:$A$20,$A8)&gt;1)</f>
        <v/>
      </c>
      <c r="N8" s="88" t="inlineStr">
        <is>
          <t>Duplicate Mission Name</t>
        </is>
      </c>
      <c r="O8" s="87">
        <f>COUNTIF($M$5:$M$20,TRUE)&gt;0</f>
        <v/>
      </c>
      <c r="P8" s="88" t="inlineStr">
        <is>
          <t>Two missions share the same name — task counts will double up between them</t>
        </is>
      </c>
    </row>
    <row r="9">
      <c r="A9" s="35" t="n"/>
      <c r="B9" s="17" t="n"/>
      <c r="C9" s="17" t="n"/>
      <c r="D9" s="17" t="n"/>
      <c r="E9" s="36">
        <f>IF($A9="","",COUNTIFS('Work Register'!$A$5:$A$500,$A9,'Work Register'!$E$5:$E$500,"Captured")+COUNTIFS('Work Register'!$A$5:$A$500,$A9,'Work Register'!$E$5:$E$500,"Next"))</f>
        <v/>
      </c>
      <c r="F9" s="36">
        <f>IF($A9="","",COUNTIFS('Work Register'!$A$5:$A$500,$A9,'Work Register'!$E$5:$E$500,"In Progress"))</f>
        <v/>
      </c>
      <c r="G9" s="36">
        <f>IF($A9="","",COUNTIFS('Work Register'!$A$5:$A$500,$A9,'Work Register'!$E$5:$E$500,"Blocked"))</f>
        <v/>
      </c>
      <c r="H9" s="36">
        <f>IF($A9="","",COUNTIFS('Work Register'!$A$5:$A$500,$A9,'Work Register'!$E$5:$E$500,"Done"))</f>
        <v/>
      </c>
      <c r="I9" s="36">
        <f>IF($A9="","",ROUND(SUMIFS('Work Register'!$M$5:$M$500,'Work Register'!$A$5:$A$500,$A9,'Work Register'!$E$5:$E$500,"&lt;&gt;Done")/60,1))</f>
        <v/>
      </c>
      <c r="J9" s="37">
        <f>IF($A9="","",IFERROR(MAXIFS('Work Register'!$L$5:$L$500,'Work Register'!$A$5:$A$500,$A9),""))</f>
        <v/>
      </c>
      <c r="K9" s="36">
        <f>IF($A9="",FALSE,COUNTIFS('Work Register'!$A$5:$A$500,$A9,'Work Register'!$E$5:$E$500,"Next")=0)</f>
        <v/>
      </c>
      <c r="L9" s="36">
        <f>IF($A9="",FALSE,AND($J9&lt;&gt;"",$J9&lt;TODAY()-14,$D9&lt;&gt;"Done"))</f>
        <v/>
      </c>
      <c r="M9" s="87">
        <f>IF($A9="",FALSE,COUNTIF($A$5:$A$20,$A9)&gt;1)</f>
        <v/>
      </c>
    </row>
    <row r="10">
      <c r="A10" s="35" t="n"/>
      <c r="B10" s="17" t="n"/>
      <c r="C10" s="17" t="n"/>
      <c r="D10" s="17" t="n"/>
      <c r="E10" s="36">
        <f>IF($A10="","",COUNTIFS('Work Register'!$A$5:$A$500,$A10,'Work Register'!$E$5:$E$500,"Captured")+COUNTIFS('Work Register'!$A$5:$A$500,$A10,'Work Register'!$E$5:$E$500,"Next"))</f>
        <v/>
      </c>
      <c r="F10" s="36">
        <f>IF($A10="","",COUNTIFS('Work Register'!$A$5:$A$500,$A10,'Work Register'!$E$5:$E$500,"In Progress"))</f>
        <v/>
      </c>
      <c r="G10" s="36">
        <f>IF($A10="","",COUNTIFS('Work Register'!$A$5:$A$500,$A10,'Work Register'!$E$5:$E$500,"Blocked"))</f>
        <v/>
      </c>
      <c r="H10" s="36">
        <f>IF($A10="","",COUNTIFS('Work Register'!$A$5:$A$500,$A10,'Work Register'!$E$5:$E$500,"Done"))</f>
        <v/>
      </c>
      <c r="I10" s="36">
        <f>IF($A10="","",ROUND(SUMIFS('Work Register'!$M$5:$M$500,'Work Register'!$A$5:$A$500,$A10,'Work Register'!$E$5:$E$500,"&lt;&gt;Done")/60,1))</f>
        <v/>
      </c>
      <c r="J10" s="37">
        <f>IF($A10="","",IFERROR(MAXIFS('Work Register'!$L$5:$L$500,'Work Register'!$A$5:$A$500,$A10),""))</f>
        <v/>
      </c>
      <c r="K10" s="36">
        <f>IF($A10="",FALSE,COUNTIFS('Work Register'!$A$5:$A$500,$A10,'Work Register'!$E$5:$E$500,"Next")=0)</f>
        <v/>
      </c>
      <c r="L10" s="36">
        <f>IF($A10="",FALSE,AND($J10&lt;&gt;"",$J10&lt;TODAY()-14,$D10&lt;&gt;"Done"))</f>
        <v/>
      </c>
      <c r="M10" s="87">
        <f>IF($A10="",FALSE,COUNTIF($A$5:$A$20,$A10)&gt;1)</f>
        <v/>
      </c>
    </row>
    <row r="11">
      <c r="A11" s="35" t="n"/>
      <c r="B11" s="17" t="n"/>
      <c r="C11" s="17" t="n"/>
      <c r="D11" s="17" t="n"/>
      <c r="E11" s="36">
        <f>IF($A11="","",COUNTIFS('Work Register'!$A$5:$A$500,$A11,'Work Register'!$E$5:$E$500,"Captured")+COUNTIFS('Work Register'!$A$5:$A$500,$A11,'Work Register'!$E$5:$E$500,"Next"))</f>
        <v/>
      </c>
      <c r="F11" s="36">
        <f>IF($A11="","",COUNTIFS('Work Register'!$A$5:$A$500,$A11,'Work Register'!$E$5:$E$500,"In Progress"))</f>
        <v/>
      </c>
      <c r="G11" s="36">
        <f>IF($A11="","",COUNTIFS('Work Register'!$A$5:$A$500,$A11,'Work Register'!$E$5:$E$500,"Blocked"))</f>
        <v/>
      </c>
      <c r="H11" s="36">
        <f>IF($A11="","",COUNTIFS('Work Register'!$A$5:$A$500,$A11,'Work Register'!$E$5:$E$500,"Done"))</f>
        <v/>
      </c>
      <c r="I11" s="36">
        <f>IF($A11="","",ROUND(SUMIFS('Work Register'!$M$5:$M$500,'Work Register'!$A$5:$A$500,$A11,'Work Register'!$E$5:$E$500,"&lt;&gt;Done")/60,1))</f>
        <v/>
      </c>
      <c r="J11" s="37">
        <f>IF($A11="","",IFERROR(MAXIFS('Work Register'!$L$5:$L$500,'Work Register'!$A$5:$A$500,$A11),""))</f>
        <v/>
      </c>
      <c r="K11" s="36">
        <f>IF($A11="",FALSE,COUNTIFS('Work Register'!$A$5:$A$500,$A11,'Work Register'!$E$5:$E$500,"Next")=0)</f>
        <v/>
      </c>
      <c r="L11" s="36">
        <f>IF($A11="",FALSE,AND($J11&lt;&gt;"",$J11&lt;TODAY()-14,$D11&lt;&gt;"Done"))</f>
        <v/>
      </c>
      <c r="M11" s="87">
        <f>IF($A11="",FALSE,COUNTIF($A$5:$A$20,$A11)&gt;1)</f>
        <v/>
      </c>
    </row>
    <row r="12">
      <c r="A12" s="35" t="n"/>
      <c r="B12" s="17" t="n"/>
      <c r="C12" s="17" t="n"/>
      <c r="D12" s="17" t="n"/>
      <c r="E12" s="36">
        <f>IF($A12="","",COUNTIFS('Work Register'!$A$5:$A$500,$A12,'Work Register'!$E$5:$E$500,"Captured")+COUNTIFS('Work Register'!$A$5:$A$500,$A12,'Work Register'!$E$5:$E$500,"Next"))</f>
        <v/>
      </c>
      <c r="F12" s="36">
        <f>IF($A12="","",COUNTIFS('Work Register'!$A$5:$A$500,$A12,'Work Register'!$E$5:$E$500,"In Progress"))</f>
        <v/>
      </c>
      <c r="G12" s="36">
        <f>IF($A12="","",COUNTIFS('Work Register'!$A$5:$A$500,$A12,'Work Register'!$E$5:$E$500,"Blocked"))</f>
        <v/>
      </c>
      <c r="H12" s="36">
        <f>IF($A12="","",COUNTIFS('Work Register'!$A$5:$A$500,$A12,'Work Register'!$E$5:$E$500,"Done"))</f>
        <v/>
      </c>
      <c r="I12" s="36">
        <f>IF($A12="","",ROUND(SUMIFS('Work Register'!$M$5:$M$500,'Work Register'!$A$5:$A$500,$A12,'Work Register'!$E$5:$E$500,"&lt;&gt;Done")/60,1))</f>
        <v/>
      </c>
      <c r="J12" s="37">
        <f>IF($A12="","",IFERROR(MAXIFS('Work Register'!$L$5:$L$500,'Work Register'!$A$5:$A$500,$A12),""))</f>
        <v/>
      </c>
      <c r="K12" s="36">
        <f>IF($A12="",FALSE,COUNTIFS('Work Register'!$A$5:$A$500,$A12,'Work Register'!$E$5:$E$500,"Next")=0)</f>
        <v/>
      </c>
      <c r="L12" s="36">
        <f>IF($A12="",FALSE,AND($J12&lt;&gt;"",$J12&lt;TODAY()-14,$D12&lt;&gt;"Done"))</f>
        <v/>
      </c>
      <c r="M12" s="87">
        <f>IF($A12="",FALSE,COUNTIF($A$5:$A$20,$A12)&gt;1)</f>
        <v/>
      </c>
    </row>
    <row r="13">
      <c r="A13" s="35" t="n"/>
      <c r="B13" s="17" t="n"/>
      <c r="C13" s="17" t="n"/>
      <c r="D13" s="17" t="n"/>
      <c r="E13" s="36">
        <f>IF($A13="","",COUNTIFS('Work Register'!$A$5:$A$500,$A13,'Work Register'!$E$5:$E$500,"Captured")+COUNTIFS('Work Register'!$A$5:$A$500,$A13,'Work Register'!$E$5:$E$500,"Next"))</f>
        <v/>
      </c>
      <c r="F13" s="36">
        <f>IF($A13="","",COUNTIFS('Work Register'!$A$5:$A$500,$A13,'Work Register'!$E$5:$E$500,"In Progress"))</f>
        <v/>
      </c>
      <c r="G13" s="36">
        <f>IF($A13="","",COUNTIFS('Work Register'!$A$5:$A$500,$A13,'Work Register'!$E$5:$E$500,"Blocked"))</f>
        <v/>
      </c>
      <c r="H13" s="36">
        <f>IF($A13="","",COUNTIFS('Work Register'!$A$5:$A$500,$A13,'Work Register'!$E$5:$E$500,"Done"))</f>
        <v/>
      </c>
      <c r="I13" s="36">
        <f>IF($A13="","",ROUND(SUMIFS('Work Register'!$M$5:$M$500,'Work Register'!$A$5:$A$500,$A13,'Work Register'!$E$5:$E$500,"&lt;&gt;Done")/60,1))</f>
        <v/>
      </c>
      <c r="J13" s="37">
        <f>IF($A13="","",IFERROR(MAXIFS('Work Register'!$L$5:$L$500,'Work Register'!$A$5:$A$500,$A13),""))</f>
        <v/>
      </c>
      <c r="K13" s="36">
        <f>IF($A13="",FALSE,COUNTIFS('Work Register'!$A$5:$A$500,$A13,'Work Register'!$E$5:$E$500,"Next")=0)</f>
        <v/>
      </c>
      <c r="L13" s="36">
        <f>IF($A13="",FALSE,AND($J13&lt;&gt;"",$J13&lt;TODAY()-14,$D13&lt;&gt;"Done"))</f>
        <v/>
      </c>
      <c r="M13" s="87">
        <f>IF($A13="",FALSE,COUNTIF($A$5:$A$20,$A13)&gt;1)</f>
        <v/>
      </c>
    </row>
    <row r="14">
      <c r="A14" s="35" t="n"/>
      <c r="B14" s="17" t="n"/>
      <c r="C14" s="17" t="n"/>
      <c r="D14" s="17" t="n"/>
      <c r="E14" s="36">
        <f>IF($A14="","",COUNTIFS('Work Register'!$A$5:$A$500,$A14,'Work Register'!$E$5:$E$500,"Captured")+COUNTIFS('Work Register'!$A$5:$A$500,$A14,'Work Register'!$E$5:$E$500,"Next"))</f>
        <v/>
      </c>
      <c r="F14" s="36">
        <f>IF($A14="","",COUNTIFS('Work Register'!$A$5:$A$500,$A14,'Work Register'!$E$5:$E$500,"In Progress"))</f>
        <v/>
      </c>
      <c r="G14" s="36">
        <f>IF($A14="","",COUNTIFS('Work Register'!$A$5:$A$500,$A14,'Work Register'!$E$5:$E$500,"Blocked"))</f>
        <v/>
      </c>
      <c r="H14" s="36">
        <f>IF($A14="","",COUNTIFS('Work Register'!$A$5:$A$500,$A14,'Work Register'!$E$5:$E$500,"Done"))</f>
        <v/>
      </c>
      <c r="I14" s="36">
        <f>IF($A14="","",ROUND(SUMIFS('Work Register'!$M$5:$M$500,'Work Register'!$A$5:$A$500,$A14,'Work Register'!$E$5:$E$500,"&lt;&gt;Done")/60,1))</f>
        <v/>
      </c>
      <c r="J14" s="37">
        <f>IF($A14="","",IFERROR(MAXIFS('Work Register'!$L$5:$L$500,'Work Register'!$A$5:$A$500,$A14),""))</f>
        <v/>
      </c>
      <c r="K14" s="36">
        <f>IF($A14="",FALSE,COUNTIFS('Work Register'!$A$5:$A$500,$A14,'Work Register'!$E$5:$E$500,"Next")=0)</f>
        <v/>
      </c>
      <c r="L14" s="36">
        <f>IF($A14="",FALSE,AND($J14&lt;&gt;"",$J14&lt;TODAY()-14,$D14&lt;&gt;"Done"))</f>
        <v/>
      </c>
      <c r="M14" s="87">
        <f>IF($A14="",FALSE,COUNTIF($A$5:$A$20,$A14)&gt;1)</f>
        <v/>
      </c>
    </row>
    <row r="15">
      <c r="A15" s="35" t="n"/>
      <c r="B15" s="17" t="n"/>
      <c r="C15" s="17" t="n"/>
      <c r="D15" s="17" t="n"/>
      <c r="E15" s="36">
        <f>IF($A15="","",COUNTIFS('Work Register'!$A$5:$A$500,$A15,'Work Register'!$E$5:$E$500,"Captured")+COUNTIFS('Work Register'!$A$5:$A$500,$A15,'Work Register'!$E$5:$E$500,"Next"))</f>
        <v/>
      </c>
      <c r="F15" s="36">
        <f>IF($A15="","",COUNTIFS('Work Register'!$A$5:$A$500,$A15,'Work Register'!$E$5:$E$500,"In Progress"))</f>
        <v/>
      </c>
      <c r="G15" s="36">
        <f>IF($A15="","",COUNTIFS('Work Register'!$A$5:$A$500,$A15,'Work Register'!$E$5:$E$500,"Blocked"))</f>
        <v/>
      </c>
      <c r="H15" s="36">
        <f>IF($A15="","",COUNTIFS('Work Register'!$A$5:$A$500,$A15,'Work Register'!$E$5:$E$500,"Done"))</f>
        <v/>
      </c>
      <c r="I15" s="36">
        <f>IF($A15="","",ROUND(SUMIFS('Work Register'!$M$5:$M$500,'Work Register'!$A$5:$A$500,$A15,'Work Register'!$E$5:$E$500,"&lt;&gt;Done")/60,1))</f>
        <v/>
      </c>
      <c r="J15" s="37">
        <f>IF($A15="","",IFERROR(MAXIFS('Work Register'!$L$5:$L$500,'Work Register'!$A$5:$A$500,$A15),""))</f>
        <v/>
      </c>
      <c r="K15" s="36">
        <f>IF($A15="",FALSE,COUNTIFS('Work Register'!$A$5:$A$500,$A15,'Work Register'!$E$5:$E$500,"Next")=0)</f>
        <v/>
      </c>
      <c r="L15" s="36">
        <f>IF($A15="",FALSE,AND($J15&lt;&gt;"",$J15&lt;TODAY()-14,$D15&lt;&gt;"Done"))</f>
        <v/>
      </c>
      <c r="M15" s="87">
        <f>IF($A15="",FALSE,COUNTIF($A$5:$A$20,$A15)&gt;1)</f>
        <v/>
      </c>
    </row>
    <row r="16">
      <c r="A16" s="35" t="n"/>
      <c r="B16" s="17" t="n"/>
      <c r="C16" s="17" t="n"/>
      <c r="D16" s="17" t="n"/>
      <c r="E16" s="36">
        <f>IF($A16="","",COUNTIFS('Work Register'!$A$5:$A$500,$A16,'Work Register'!$E$5:$E$500,"Captured")+COUNTIFS('Work Register'!$A$5:$A$500,$A16,'Work Register'!$E$5:$E$500,"Next"))</f>
        <v/>
      </c>
      <c r="F16" s="36">
        <f>IF($A16="","",COUNTIFS('Work Register'!$A$5:$A$500,$A16,'Work Register'!$E$5:$E$500,"In Progress"))</f>
        <v/>
      </c>
      <c r="G16" s="36">
        <f>IF($A16="","",COUNTIFS('Work Register'!$A$5:$A$500,$A16,'Work Register'!$E$5:$E$500,"Blocked"))</f>
        <v/>
      </c>
      <c r="H16" s="36">
        <f>IF($A16="","",COUNTIFS('Work Register'!$A$5:$A$500,$A16,'Work Register'!$E$5:$E$500,"Done"))</f>
        <v/>
      </c>
      <c r="I16" s="36">
        <f>IF($A16="","",ROUND(SUMIFS('Work Register'!$M$5:$M$500,'Work Register'!$A$5:$A$500,$A16,'Work Register'!$E$5:$E$500,"&lt;&gt;Done")/60,1))</f>
        <v/>
      </c>
      <c r="J16" s="37">
        <f>IF($A16="","",IFERROR(MAXIFS('Work Register'!$L$5:$L$500,'Work Register'!$A$5:$A$500,$A16),""))</f>
        <v/>
      </c>
      <c r="K16" s="36">
        <f>IF($A16="",FALSE,COUNTIFS('Work Register'!$A$5:$A$500,$A16,'Work Register'!$E$5:$E$500,"Next")=0)</f>
        <v/>
      </c>
      <c r="L16" s="36">
        <f>IF($A16="",FALSE,AND($J16&lt;&gt;"",$J16&lt;TODAY()-14,$D16&lt;&gt;"Done"))</f>
        <v/>
      </c>
      <c r="M16" s="87">
        <f>IF($A16="",FALSE,COUNTIF($A$5:$A$20,$A16)&gt;1)</f>
        <v/>
      </c>
    </row>
    <row r="17">
      <c r="A17" s="35" t="n"/>
      <c r="B17" s="17" t="n"/>
      <c r="C17" s="17" t="n"/>
      <c r="D17" s="17" t="n"/>
      <c r="E17" s="36">
        <f>IF($A17="","",COUNTIFS('Work Register'!$A$5:$A$500,$A17,'Work Register'!$E$5:$E$500,"Captured")+COUNTIFS('Work Register'!$A$5:$A$500,$A17,'Work Register'!$E$5:$E$500,"Next"))</f>
        <v/>
      </c>
      <c r="F17" s="36">
        <f>IF($A17="","",COUNTIFS('Work Register'!$A$5:$A$500,$A17,'Work Register'!$E$5:$E$500,"In Progress"))</f>
        <v/>
      </c>
      <c r="G17" s="36">
        <f>IF($A17="","",COUNTIFS('Work Register'!$A$5:$A$500,$A17,'Work Register'!$E$5:$E$500,"Blocked"))</f>
        <v/>
      </c>
      <c r="H17" s="36">
        <f>IF($A17="","",COUNTIFS('Work Register'!$A$5:$A$500,$A17,'Work Register'!$E$5:$E$500,"Done"))</f>
        <v/>
      </c>
      <c r="I17" s="36">
        <f>IF($A17="","",ROUND(SUMIFS('Work Register'!$M$5:$M$500,'Work Register'!$A$5:$A$500,$A17,'Work Register'!$E$5:$E$500,"&lt;&gt;Done")/60,1))</f>
        <v/>
      </c>
      <c r="J17" s="37">
        <f>IF($A17="","",IFERROR(MAXIFS('Work Register'!$L$5:$L$500,'Work Register'!$A$5:$A$500,$A17),""))</f>
        <v/>
      </c>
      <c r="K17" s="36">
        <f>IF($A17="",FALSE,COUNTIFS('Work Register'!$A$5:$A$500,$A17,'Work Register'!$E$5:$E$500,"Next")=0)</f>
        <v/>
      </c>
      <c r="L17" s="36">
        <f>IF($A17="",FALSE,AND($J17&lt;&gt;"",$J17&lt;TODAY()-14,$D17&lt;&gt;"Done"))</f>
        <v/>
      </c>
      <c r="M17" s="87">
        <f>IF($A17="",FALSE,COUNTIF($A$5:$A$20,$A17)&gt;1)</f>
        <v/>
      </c>
    </row>
    <row r="18">
      <c r="A18" s="35" t="n"/>
      <c r="B18" s="17" t="n"/>
      <c r="C18" s="17" t="n"/>
      <c r="D18" s="17" t="n"/>
      <c r="E18" s="36">
        <f>IF($A18="","",COUNTIFS('Work Register'!$A$5:$A$500,$A18,'Work Register'!$E$5:$E$500,"Captured")+COUNTIFS('Work Register'!$A$5:$A$500,$A18,'Work Register'!$E$5:$E$500,"Next"))</f>
        <v/>
      </c>
      <c r="F18" s="36">
        <f>IF($A18="","",COUNTIFS('Work Register'!$A$5:$A$500,$A18,'Work Register'!$E$5:$E$500,"In Progress"))</f>
        <v/>
      </c>
      <c r="G18" s="36">
        <f>IF($A18="","",COUNTIFS('Work Register'!$A$5:$A$500,$A18,'Work Register'!$E$5:$E$500,"Blocked"))</f>
        <v/>
      </c>
      <c r="H18" s="36">
        <f>IF($A18="","",COUNTIFS('Work Register'!$A$5:$A$500,$A18,'Work Register'!$E$5:$E$500,"Done"))</f>
        <v/>
      </c>
      <c r="I18" s="36">
        <f>IF($A18="","",ROUND(SUMIFS('Work Register'!$M$5:$M$500,'Work Register'!$A$5:$A$500,$A18,'Work Register'!$E$5:$E$500,"&lt;&gt;Done")/60,1))</f>
        <v/>
      </c>
      <c r="J18" s="37">
        <f>IF($A18="","",IFERROR(MAXIFS('Work Register'!$L$5:$L$500,'Work Register'!$A$5:$A$500,$A18),""))</f>
        <v/>
      </c>
      <c r="K18" s="36">
        <f>IF($A18="",FALSE,COUNTIFS('Work Register'!$A$5:$A$500,$A18,'Work Register'!$E$5:$E$500,"Next")=0)</f>
        <v/>
      </c>
      <c r="L18" s="36">
        <f>IF($A18="",FALSE,AND($J18&lt;&gt;"",$J18&lt;TODAY()-14,$D18&lt;&gt;"Done"))</f>
        <v/>
      </c>
      <c r="M18" s="87">
        <f>IF($A18="",FALSE,COUNTIF($A$5:$A$20,$A18)&gt;1)</f>
        <v/>
      </c>
    </row>
    <row r="19">
      <c r="A19" s="35" t="n"/>
      <c r="B19" s="17" t="n"/>
      <c r="C19" s="17" t="n"/>
      <c r="D19" s="17" t="n"/>
      <c r="E19" s="36">
        <f>IF($A19="","",COUNTIFS('Work Register'!$A$5:$A$500,$A19,'Work Register'!$E$5:$E$500,"Captured")+COUNTIFS('Work Register'!$A$5:$A$500,$A19,'Work Register'!$E$5:$E$500,"Next"))</f>
        <v/>
      </c>
      <c r="F19" s="36">
        <f>IF($A19="","",COUNTIFS('Work Register'!$A$5:$A$500,$A19,'Work Register'!$E$5:$E$500,"In Progress"))</f>
        <v/>
      </c>
      <c r="G19" s="36">
        <f>IF($A19="","",COUNTIFS('Work Register'!$A$5:$A$500,$A19,'Work Register'!$E$5:$E$500,"Blocked"))</f>
        <v/>
      </c>
      <c r="H19" s="36">
        <f>IF($A19="","",COUNTIFS('Work Register'!$A$5:$A$500,$A19,'Work Register'!$E$5:$E$500,"Done"))</f>
        <v/>
      </c>
      <c r="I19" s="36">
        <f>IF($A19="","",ROUND(SUMIFS('Work Register'!$M$5:$M$500,'Work Register'!$A$5:$A$500,$A19,'Work Register'!$E$5:$E$500,"&lt;&gt;Done")/60,1))</f>
        <v/>
      </c>
      <c r="J19" s="37">
        <f>IF($A19="","",IFERROR(MAXIFS('Work Register'!$L$5:$L$500,'Work Register'!$A$5:$A$500,$A19),""))</f>
        <v/>
      </c>
      <c r="K19" s="36">
        <f>IF($A19="",FALSE,COUNTIFS('Work Register'!$A$5:$A$500,$A19,'Work Register'!$E$5:$E$500,"Next")=0)</f>
        <v/>
      </c>
      <c r="L19" s="36">
        <f>IF($A19="",FALSE,AND($J19&lt;&gt;"",$J19&lt;TODAY()-14,$D19&lt;&gt;"Done"))</f>
        <v/>
      </c>
      <c r="M19" s="87">
        <f>IF($A19="",FALSE,COUNTIF($A$5:$A$20,$A19)&gt;1)</f>
        <v/>
      </c>
    </row>
    <row r="20">
      <c r="A20" s="35" t="n"/>
      <c r="B20" s="17" t="n"/>
      <c r="C20" s="17" t="n"/>
      <c r="D20" s="17" t="n"/>
      <c r="E20" s="36">
        <f>IF($A20="","",COUNTIFS('Work Register'!$A$5:$A$500,$A20,'Work Register'!$E$5:$E$500,"Captured")+COUNTIFS('Work Register'!$A$5:$A$500,$A20,'Work Register'!$E$5:$E$500,"Next"))</f>
        <v/>
      </c>
      <c r="F20" s="36">
        <f>IF($A20="","",COUNTIFS('Work Register'!$A$5:$A$500,$A20,'Work Register'!$E$5:$E$500,"In Progress"))</f>
        <v/>
      </c>
      <c r="G20" s="36">
        <f>IF($A20="","",COUNTIFS('Work Register'!$A$5:$A$500,$A20,'Work Register'!$E$5:$E$500,"Blocked"))</f>
        <v/>
      </c>
      <c r="H20" s="36">
        <f>IF($A20="","",COUNTIFS('Work Register'!$A$5:$A$500,$A20,'Work Register'!$E$5:$E$500,"Done"))</f>
        <v/>
      </c>
      <c r="I20" s="36">
        <f>IF($A20="","",ROUND(SUMIFS('Work Register'!$M$5:$M$500,'Work Register'!$A$5:$A$500,$A20,'Work Register'!$E$5:$E$500,"&lt;&gt;Done")/60,1))</f>
        <v/>
      </c>
      <c r="J20" s="37">
        <f>IF($A20="","",IFERROR(MAXIFS('Work Register'!$L$5:$L$500,'Work Register'!$A$5:$A$500,$A20),""))</f>
        <v/>
      </c>
      <c r="K20" s="36">
        <f>IF($A20="",FALSE,COUNTIFS('Work Register'!$A$5:$A$500,$A20,'Work Register'!$E$5:$E$500,"Next")=0)</f>
        <v/>
      </c>
      <c r="L20" s="36">
        <f>IF($A20="",FALSE,AND($J20&lt;&gt;"",$J20&lt;TODAY()-14,$D20&lt;&gt;"Done"))</f>
        <v/>
      </c>
      <c r="M20" s="87">
        <f>IF($A20="",FALSE,COUNTIF($A$5:$A$20,$A20)&gt;1)</f>
        <v/>
      </c>
    </row>
  </sheetData>
  <sheetProtection selectLockedCells="0" selectUnlockedCells="0" sheet="1" objects="0" insertRows="1" insertHyperlinks="1" autoFilter="1" scenarios="0" formatColumns="1" deleteColumns="1" insertColumns="1" pivotTables="1" deleteRows="1" formatCells="1" formatRows="1" sort="1"/>
  <mergeCells count="1">
    <mergeCell ref="A3:D3"/>
  </mergeCells>
  <conditionalFormatting sqref="A5:A20">
    <cfRule type="expression" priority="1" dxfId="6">
      <formula>COUNTIF($A$5:$A$20,A5)&gt;1</formula>
    </cfRule>
  </conditionalFormatting>
  <dataValidations count="2">
    <dataValidation sqref="B5 B6 B7 B8 B9 B10 B11 B12 B13 B14 B15 B16 B17 B18 B19 B20" showDropDown="0" showInputMessage="0" showErrorMessage="0" allowBlank="1" type="list">
      <formula1>PriorityList</formula1>
    </dataValidation>
    <dataValidation sqref="D5 D6 D7 D8 D9 D10 D11 D12 D13 D14 D15 D16 D17 D18 D19 D20" showDropDown="0" showInputMessage="0" showErrorMessage="0" allowBlank="1" type="list">
      <formula1>StatusList</formula1>
    </dataValidation>
  </dataValidation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0"/>
  <sheetViews>
    <sheetView showGridLines="0" workbookViewId="0">
      <selection activeCell="A1" sqref="A1"/>
    </sheetView>
  </sheetViews>
  <sheetFormatPr baseColWidth="8" defaultRowHeight="15"/>
  <cols>
    <col width="26" customWidth="1" min="2" max="2"/>
    <col width="22" customWidth="1" min="3" max="3"/>
    <col width="16" customWidth="1" min="4" max="4"/>
    <col width="12" customWidth="1" min="5" max="5"/>
    <col width="10" customWidth="1" min="6" max="6"/>
    <col width="12" customWidth="1" min="7" max="7"/>
    <col width="10" customWidth="1" min="8" max="8"/>
    <col width="14" customWidth="1" min="9" max="9"/>
  </cols>
  <sheetData>
    <row r="1">
      <c r="A1" s="39" t="n"/>
      <c r="B1" s="39" t="n"/>
      <c r="C1" s="39" t="n"/>
      <c r="D1" s="39" t="n"/>
      <c r="E1" s="39" t="n"/>
      <c r="F1" s="39" t="n"/>
      <c r="G1" s="39" t="n"/>
      <c r="H1" s="39" t="n"/>
      <c r="I1" s="39" t="n"/>
      <c r="J1" s="39" t="n"/>
      <c r="T1" t="inlineStr">
        <is>
          <t>All</t>
        </is>
      </c>
    </row>
    <row r="2">
      <c r="A2" s="39" t="n"/>
      <c r="B2" s="89" t="inlineStr">
        <is>
          <t>Task Finder</t>
        </is>
      </c>
      <c r="C2" s="39" t="n"/>
      <c r="D2" s="39" t="n"/>
      <c r="E2" s="39" t="n"/>
      <c r="F2" s="39" t="n"/>
      <c r="G2" s="39" t="n"/>
      <c r="H2" s="39" t="n"/>
      <c r="I2" s="39" t="n"/>
      <c r="J2" s="39" t="n"/>
      <c r="T2" t="inlineStr">
        <is>
          <t>High Priority</t>
        </is>
      </c>
    </row>
    <row r="3">
      <c r="A3" s="39" t="n"/>
      <c r="B3" s="39" t="n"/>
      <c r="C3" s="39" t="n"/>
      <c r="D3" s="39" t="n"/>
      <c r="E3" s="39" t="n"/>
      <c r="F3" s="39" t="n"/>
      <c r="G3" s="39" t="n"/>
      <c r="H3" s="39" t="n"/>
      <c r="I3" s="39" t="n"/>
      <c r="J3" s="39" t="n"/>
      <c r="T3" t="inlineStr">
        <is>
          <t>Due This Week</t>
        </is>
      </c>
    </row>
    <row r="4" ht="20" customHeight="1">
      <c r="A4" s="39" t="n"/>
      <c r="B4" s="90" t="inlineStr">
        <is>
          <t>← Home</t>
        </is>
      </c>
      <c r="C4" s="39" t="n"/>
      <c r="D4" s="39" t="n"/>
      <c r="E4" s="39" t="n"/>
      <c r="F4" s="39" t="n"/>
      <c r="G4" s="39" t="n"/>
      <c r="H4" s="39" t="n"/>
      <c r="I4" s="39" t="n"/>
      <c r="J4" s="39" t="n"/>
      <c r="T4" t="inlineStr">
        <is>
          <t>Quick Wins (15 mins or less)</t>
        </is>
      </c>
    </row>
    <row r="5">
      <c r="A5" s="39" t="n"/>
      <c r="B5" s="39" t="n"/>
      <c r="C5" s="39" t="n"/>
      <c r="D5" s="39" t="n"/>
      <c r="E5" s="39" t="n"/>
      <c r="F5" s="39" t="n"/>
      <c r="G5" s="39" t="n"/>
      <c r="H5" s="39" t="n"/>
      <c r="I5" s="39" t="n"/>
      <c r="J5" s="39" t="n"/>
      <c r="T5" t="inlineStr">
        <is>
          <t>Deep Thinking</t>
        </is>
      </c>
    </row>
    <row r="6">
      <c r="A6" s="39" t="n"/>
      <c r="B6" s="77" t="inlineStr">
        <is>
          <t>Filter</t>
        </is>
      </c>
      <c r="C6" s="91" t="inlineStr">
        <is>
          <t>All</t>
        </is>
      </c>
      <c r="D6" s="92">
        <f>COUNTIF('Work Register'!$P$5:$P$500,TRUE)&amp;" matching task(s)"</f>
        <v/>
      </c>
      <c r="G6" s="39" t="n"/>
      <c r="H6" s="39" t="n"/>
      <c r="I6" s="39" t="n"/>
      <c r="J6" s="39" t="n"/>
      <c r="T6" t="inlineStr">
        <is>
          <t>Processing</t>
        </is>
      </c>
    </row>
    <row r="7">
      <c r="A7" s="39" t="n"/>
      <c r="B7" s="77" t="inlineStr">
        <is>
          <t>Keyword</t>
        </is>
      </c>
      <c r="C7" s="98" t="n"/>
      <c r="D7" s="83" t="inlineStr">
        <is>
          <t>Only used when Filter = Keyword. Searches Mission, Deliverable, Component, Task, and Notes.</t>
        </is>
      </c>
      <c r="I7" s="39" t="n"/>
      <c r="J7" s="39" t="n"/>
      <c r="T7" t="inlineStr">
        <is>
          <t>Blocked</t>
        </is>
      </c>
    </row>
    <row r="8">
      <c r="A8" s="39" t="n"/>
      <c r="B8" s="39" t="n"/>
      <c r="C8" s="39" t="n"/>
      <c r="D8" s="39" t="n"/>
      <c r="E8" s="39" t="n"/>
      <c r="F8" s="39" t="n"/>
      <c r="G8" s="39" t="n"/>
      <c r="H8" s="39" t="n"/>
      <c r="I8" s="39" t="n"/>
      <c r="J8" s="39" t="n"/>
      <c r="T8" t="inlineStr">
        <is>
          <t>Waiting</t>
        </is>
      </c>
    </row>
    <row r="9">
      <c r="A9" s="39" t="n"/>
      <c r="B9" s="89" t="inlineStr">
        <is>
          <t>Matching Tasks</t>
        </is>
      </c>
      <c r="C9" s="39" t="n"/>
      <c r="D9" s="39" t="n"/>
      <c r="E9" s="39" t="n"/>
      <c r="F9" s="39" t="n"/>
      <c r="G9" s="39" t="n"/>
      <c r="H9" s="39" t="n"/>
      <c r="I9" s="39" t="n"/>
      <c r="J9" s="39" t="n"/>
      <c r="T9" t="inlineStr">
        <is>
          <t>Recently Updated</t>
        </is>
      </c>
    </row>
    <row r="10">
      <c r="A10" s="39" t="n"/>
      <c r="B10" s="94" t="inlineStr">
        <is>
          <t>Task</t>
        </is>
      </c>
      <c r="C10" s="94" t="inlineStr">
        <is>
          <t>Mission</t>
        </is>
      </c>
      <c r="D10" s="94" t="inlineStr">
        <is>
          <t>Component</t>
        </is>
      </c>
      <c r="E10" s="94" t="inlineStr">
        <is>
          <t>Status</t>
        </is>
      </c>
      <c r="F10" s="94" t="inlineStr">
        <is>
          <t>Priority</t>
        </is>
      </c>
      <c r="G10" s="94" t="inlineStr">
        <is>
          <t>Due Date</t>
        </is>
      </c>
      <c r="H10" s="94" t="inlineStr">
        <is>
          <t>Time</t>
        </is>
      </c>
      <c r="I10" s="94" t="inlineStr">
        <is>
          <t>Energy</t>
        </is>
      </c>
      <c r="J10" s="39" t="n"/>
      <c r="T10" t="inlineStr">
        <is>
          <t>Keyword</t>
        </is>
      </c>
    </row>
    <row r="11">
      <c r="A11" s="39" t="n"/>
      <c r="B11" s="95">
        <f>IFERROR(INDEX('Work Register'!D:D,AGGREGATE(15,6,ROW('Work Register'!$D$5:$D$500)/('Work Register'!$P$5:$P$500=TRUE),1)),"")</f>
        <v/>
      </c>
      <c r="C11" s="95">
        <f>IFERROR(INDEX('Work Register'!A:A,AGGREGATE(15,6,ROW('Work Register'!$D$5:$D$500)/('Work Register'!$P$5:$P$500=TRUE),1)),"")</f>
        <v/>
      </c>
      <c r="D11" s="95">
        <f>IFERROR(INDEX('Work Register'!C:C,AGGREGATE(15,6,ROW('Work Register'!$D$5:$D$500)/('Work Register'!$P$5:$P$500=TRUE),1)),"")</f>
        <v/>
      </c>
      <c r="E11" s="96">
        <f>IFERROR(INDEX('Work Register'!E:E,AGGREGATE(15,6,ROW('Work Register'!$D$5:$D$500)/('Work Register'!$P$5:$P$500=TRUE),1)),"")</f>
        <v/>
      </c>
      <c r="F11" s="96">
        <f>IFERROR(INDEX('Work Register'!F:F,AGGREGATE(15,6,ROW('Work Register'!$D$5:$D$500)/('Work Register'!$P$5:$P$500=TRUE),1)),"")</f>
        <v/>
      </c>
      <c r="G11" s="96">
        <f>IFERROR(INDEX('Work Register'!I:I,AGGREGATE(15,6,ROW('Work Register'!$D$5:$D$500)/('Work Register'!$P$5:$P$500=TRUE),1)),"")</f>
        <v/>
      </c>
      <c r="H11" s="96">
        <f>IFERROR(INDEX('Work Register'!H:H,AGGREGATE(15,6,ROW('Work Register'!$D$5:$D$500)/('Work Register'!$P$5:$P$500=TRUE),1)),"")</f>
        <v/>
      </c>
      <c r="I11" s="96">
        <f>IFERROR(INDEX('Work Register'!G:G,AGGREGATE(15,6,ROW('Work Register'!$D$5:$D$500)/('Work Register'!$P$5:$P$500=TRUE),1)),"")</f>
        <v/>
      </c>
      <c r="J11" s="39" t="n"/>
    </row>
    <row r="12">
      <c r="A12" s="39" t="n"/>
      <c r="B12" s="95">
        <f>IFERROR(INDEX('Work Register'!D:D,AGGREGATE(15,6,ROW('Work Register'!$D$5:$D$500)/('Work Register'!$P$5:$P$500=TRUE),2)),"")</f>
        <v/>
      </c>
      <c r="C12" s="95">
        <f>IFERROR(INDEX('Work Register'!A:A,AGGREGATE(15,6,ROW('Work Register'!$D$5:$D$500)/('Work Register'!$P$5:$P$500=TRUE),2)),"")</f>
        <v/>
      </c>
      <c r="D12" s="95">
        <f>IFERROR(INDEX('Work Register'!C:C,AGGREGATE(15,6,ROW('Work Register'!$D$5:$D$500)/('Work Register'!$P$5:$P$500=TRUE),2)),"")</f>
        <v/>
      </c>
      <c r="E12" s="96">
        <f>IFERROR(INDEX('Work Register'!E:E,AGGREGATE(15,6,ROW('Work Register'!$D$5:$D$500)/('Work Register'!$P$5:$P$500=TRUE),2)),"")</f>
        <v/>
      </c>
      <c r="F12" s="96">
        <f>IFERROR(INDEX('Work Register'!F:F,AGGREGATE(15,6,ROW('Work Register'!$D$5:$D$500)/('Work Register'!$P$5:$P$500=TRUE),2)),"")</f>
        <v/>
      </c>
      <c r="G12" s="96">
        <f>IFERROR(INDEX('Work Register'!I:I,AGGREGATE(15,6,ROW('Work Register'!$D$5:$D$500)/('Work Register'!$P$5:$P$500=TRUE),2)),"")</f>
        <v/>
      </c>
      <c r="H12" s="96">
        <f>IFERROR(INDEX('Work Register'!H:H,AGGREGATE(15,6,ROW('Work Register'!$D$5:$D$500)/('Work Register'!$P$5:$P$500=TRUE),2)),"")</f>
        <v/>
      </c>
      <c r="I12" s="96">
        <f>IFERROR(INDEX('Work Register'!G:G,AGGREGATE(15,6,ROW('Work Register'!$D$5:$D$500)/('Work Register'!$P$5:$P$500=TRUE),2)),"")</f>
        <v/>
      </c>
      <c r="J12" s="39" t="n"/>
    </row>
    <row r="13">
      <c r="A13" s="39" t="n"/>
      <c r="B13" s="95">
        <f>IFERROR(INDEX('Work Register'!D:D,AGGREGATE(15,6,ROW('Work Register'!$D$5:$D$500)/('Work Register'!$P$5:$P$500=TRUE),3)),"")</f>
        <v/>
      </c>
      <c r="C13" s="95">
        <f>IFERROR(INDEX('Work Register'!A:A,AGGREGATE(15,6,ROW('Work Register'!$D$5:$D$500)/('Work Register'!$P$5:$P$500=TRUE),3)),"")</f>
        <v/>
      </c>
      <c r="D13" s="95">
        <f>IFERROR(INDEX('Work Register'!C:C,AGGREGATE(15,6,ROW('Work Register'!$D$5:$D$500)/('Work Register'!$P$5:$P$500=TRUE),3)),"")</f>
        <v/>
      </c>
      <c r="E13" s="96">
        <f>IFERROR(INDEX('Work Register'!E:E,AGGREGATE(15,6,ROW('Work Register'!$D$5:$D$500)/('Work Register'!$P$5:$P$500=TRUE),3)),"")</f>
        <v/>
      </c>
      <c r="F13" s="96">
        <f>IFERROR(INDEX('Work Register'!F:F,AGGREGATE(15,6,ROW('Work Register'!$D$5:$D$500)/('Work Register'!$P$5:$P$500=TRUE),3)),"")</f>
        <v/>
      </c>
      <c r="G13" s="96">
        <f>IFERROR(INDEX('Work Register'!I:I,AGGREGATE(15,6,ROW('Work Register'!$D$5:$D$500)/('Work Register'!$P$5:$P$500=TRUE),3)),"")</f>
        <v/>
      </c>
      <c r="H13" s="96">
        <f>IFERROR(INDEX('Work Register'!H:H,AGGREGATE(15,6,ROW('Work Register'!$D$5:$D$500)/('Work Register'!$P$5:$P$500=TRUE),3)),"")</f>
        <v/>
      </c>
      <c r="I13" s="96">
        <f>IFERROR(INDEX('Work Register'!G:G,AGGREGATE(15,6,ROW('Work Register'!$D$5:$D$500)/('Work Register'!$P$5:$P$500=TRUE),3)),"")</f>
        <v/>
      </c>
      <c r="J13" s="39" t="n"/>
    </row>
    <row r="14">
      <c r="A14" s="39" t="n"/>
      <c r="B14" s="95">
        <f>IFERROR(INDEX('Work Register'!D:D,AGGREGATE(15,6,ROW('Work Register'!$D$5:$D$500)/('Work Register'!$P$5:$P$500=TRUE),4)),"")</f>
        <v/>
      </c>
      <c r="C14" s="95">
        <f>IFERROR(INDEX('Work Register'!A:A,AGGREGATE(15,6,ROW('Work Register'!$D$5:$D$500)/('Work Register'!$P$5:$P$500=TRUE),4)),"")</f>
        <v/>
      </c>
      <c r="D14" s="95">
        <f>IFERROR(INDEX('Work Register'!C:C,AGGREGATE(15,6,ROW('Work Register'!$D$5:$D$500)/('Work Register'!$P$5:$P$500=TRUE),4)),"")</f>
        <v/>
      </c>
      <c r="E14" s="96">
        <f>IFERROR(INDEX('Work Register'!E:E,AGGREGATE(15,6,ROW('Work Register'!$D$5:$D$500)/('Work Register'!$P$5:$P$500=TRUE),4)),"")</f>
        <v/>
      </c>
      <c r="F14" s="96">
        <f>IFERROR(INDEX('Work Register'!F:F,AGGREGATE(15,6,ROW('Work Register'!$D$5:$D$500)/('Work Register'!$P$5:$P$500=TRUE),4)),"")</f>
        <v/>
      </c>
      <c r="G14" s="96">
        <f>IFERROR(INDEX('Work Register'!I:I,AGGREGATE(15,6,ROW('Work Register'!$D$5:$D$500)/('Work Register'!$P$5:$P$500=TRUE),4)),"")</f>
        <v/>
      </c>
      <c r="H14" s="96">
        <f>IFERROR(INDEX('Work Register'!H:H,AGGREGATE(15,6,ROW('Work Register'!$D$5:$D$500)/('Work Register'!$P$5:$P$500=TRUE),4)),"")</f>
        <v/>
      </c>
      <c r="I14" s="96">
        <f>IFERROR(INDEX('Work Register'!G:G,AGGREGATE(15,6,ROW('Work Register'!$D$5:$D$500)/('Work Register'!$P$5:$P$500=TRUE),4)),"")</f>
        <v/>
      </c>
      <c r="J14" s="39" t="n"/>
    </row>
    <row r="15">
      <c r="A15" s="39" t="n"/>
      <c r="B15" s="95">
        <f>IFERROR(INDEX('Work Register'!D:D,AGGREGATE(15,6,ROW('Work Register'!$D$5:$D$500)/('Work Register'!$P$5:$P$500=TRUE),5)),"")</f>
        <v/>
      </c>
      <c r="C15" s="95">
        <f>IFERROR(INDEX('Work Register'!A:A,AGGREGATE(15,6,ROW('Work Register'!$D$5:$D$500)/('Work Register'!$P$5:$P$500=TRUE),5)),"")</f>
        <v/>
      </c>
      <c r="D15" s="95">
        <f>IFERROR(INDEX('Work Register'!C:C,AGGREGATE(15,6,ROW('Work Register'!$D$5:$D$500)/('Work Register'!$P$5:$P$500=TRUE),5)),"")</f>
        <v/>
      </c>
      <c r="E15" s="96">
        <f>IFERROR(INDEX('Work Register'!E:E,AGGREGATE(15,6,ROW('Work Register'!$D$5:$D$500)/('Work Register'!$P$5:$P$500=TRUE),5)),"")</f>
        <v/>
      </c>
      <c r="F15" s="96">
        <f>IFERROR(INDEX('Work Register'!F:F,AGGREGATE(15,6,ROW('Work Register'!$D$5:$D$500)/('Work Register'!$P$5:$P$500=TRUE),5)),"")</f>
        <v/>
      </c>
      <c r="G15" s="96">
        <f>IFERROR(INDEX('Work Register'!I:I,AGGREGATE(15,6,ROW('Work Register'!$D$5:$D$500)/('Work Register'!$P$5:$P$500=TRUE),5)),"")</f>
        <v/>
      </c>
      <c r="H15" s="96">
        <f>IFERROR(INDEX('Work Register'!H:H,AGGREGATE(15,6,ROW('Work Register'!$D$5:$D$500)/('Work Register'!$P$5:$P$500=TRUE),5)),"")</f>
        <v/>
      </c>
      <c r="I15" s="96">
        <f>IFERROR(INDEX('Work Register'!G:G,AGGREGATE(15,6,ROW('Work Register'!$D$5:$D$500)/('Work Register'!$P$5:$P$500=TRUE),5)),"")</f>
        <v/>
      </c>
      <c r="J15" s="39" t="n"/>
    </row>
    <row r="16">
      <c r="A16" s="39" t="n"/>
      <c r="B16" s="95">
        <f>IFERROR(INDEX('Work Register'!D:D,AGGREGATE(15,6,ROW('Work Register'!$D$5:$D$500)/('Work Register'!$P$5:$P$500=TRUE),6)),"")</f>
        <v/>
      </c>
      <c r="C16" s="95">
        <f>IFERROR(INDEX('Work Register'!A:A,AGGREGATE(15,6,ROW('Work Register'!$D$5:$D$500)/('Work Register'!$P$5:$P$500=TRUE),6)),"")</f>
        <v/>
      </c>
      <c r="D16" s="95">
        <f>IFERROR(INDEX('Work Register'!C:C,AGGREGATE(15,6,ROW('Work Register'!$D$5:$D$500)/('Work Register'!$P$5:$P$500=TRUE),6)),"")</f>
        <v/>
      </c>
      <c r="E16" s="96">
        <f>IFERROR(INDEX('Work Register'!E:E,AGGREGATE(15,6,ROW('Work Register'!$D$5:$D$500)/('Work Register'!$P$5:$P$500=TRUE),6)),"")</f>
        <v/>
      </c>
      <c r="F16" s="96">
        <f>IFERROR(INDEX('Work Register'!F:F,AGGREGATE(15,6,ROW('Work Register'!$D$5:$D$500)/('Work Register'!$P$5:$P$500=TRUE),6)),"")</f>
        <v/>
      </c>
      <c r="G16" s="96">
        <f>IFERROR(INDEX('Work Register'!I:I,AGGREGATE(15,6,ROW('Work Register'!$D$5:$D$500)/('Work Register'!$P$5:$P$500=TRUE),6)),"")</f>
        <v/>
      </c>
      <c r="H16" s="96">
        <f>IFERROR(INDEX('Work Register'!H:H,AGGREGATE(15,6,ROW('Work Register'!$D$5:$D$500)/('Work Register'!$P$5:$P$500=TRUE),6)),"")</f>
        <v/>
      </c>
      <c r="I16" s="96">
        <f>IFERROR(INDEX('Work Register'!G:G,AGGREGATE(15,6,ROW('Work Register'!$D$5:$D$500)/('Work Register'!$P$5:$P$500=TRUE),6)),"")</f>
        <v/>
      </c>
      <c r="J16" s="39" t="n"/>
    </row>
    <row r="17">
      <c r="A17" s="39" t="n"/>
      <c r="B17" s="95">
        <f>IFERROR(INDEX('Work Register'!D:D,AGGREGATE(15,6,ROW('Work Register'!$D$5:$D$500)/('Work Register'!$P$5:$P$500=TRUE),7)),"")</f>
        <v/>
      </c>
      <c r="C17" s="95">
        <f>IFERROR(INDEX('Work Register'!A:A,AGGREGATE(15,6,ROW('Work Register'!$D$5:$D$500)/('Work Register'!$P$5:$P$500=TRUE),7)),"")</f>
        <v/>
      </c>
      <c r="D17" s="95">
        <f>IFERROR(INDEX('Work Register'!C:C,AGGREGATE(15,6,ROW('Work Register'!$D$5:$D$500)/('Work Register'!$P$5:$P$500=TRUE),7)),"")</f>
        <v/>
      </c>
      <c r="E17" s="96">
        <f>IFERROR(INDEX('Work Register'!E:E,AGGREGATE(15,6,ROW('Work Register'!$D$5:$D$500)/('Work Register'!$P$5:$P$500=TRUE),7)),"")</f>
        <v/>
      </c>
      <c r="F17" s="96">
        <f>IFERROR(INDEX('Work Register'!F:F,AGGREGATE(15,6,ROW('Work Register'!$D$5:$D$500)/('Work Register'!$P$5:$P$500=TRUE),7)),"")</f>
        <v/>
      </c>
      <c r="G17" s="96">
        <f>IFERROR(INDEX('Work Register'!I:I,AGGREGATE(15,6,ROW('Work Register'!$D$5:$D$500)/('Work Register'!$P$5:$P$500=TRUE),7)),"")</f>
        <v/>
      </c>
      <c r="H17" s="96">
        <f>IFERROR(INDEX('Work Register'!H:H,AGGREGATE(15,6,ROW('Work Register'!$D$5:$D$500)/('Work Register'!$P$5:$P$500=TRUE),7)),"")</f>
        <v/>
      </c>
      <c r="I17" s="96">
        <f>IFERROR(INDEX('Work Register'!G:G,AGGREGATE(15,6,ROW('Work Register'!$D$5:$D$500)/('Work Register'!$P$5:$P$500=TRUE),7)),"")</f>
        <v/>
      </c>
      <c r="J17" s="39" t="n"/>
    </row>
    <row r="18">
      <c r="A18" s="39" t="n"/>
      <c r="B18" s="95">
        <f>IFERROR(INDEX('Work Register'!D:D,AGGREGATE(15,6,ROW('Work Register'!$D$5:$D$500)/('Work Register'!$P$5:$P$500=TRUE),8)),"")</f>
        <v/>
      </c>
      <c r="C18" s="95">
        <f>IFERROR(INDEX('Work Register'!A:A,AGGREGATE(15,6,ROW('Work Register'!$D$5:$D$500)/('Work Register'!$P$5:$P$500=TRUE),8)),"")</f>
        <v/>
      </c>
      <c r="D18" s="95">
        <f>IFERROR(INDEX('Work Register'!C:C,AGGREGATE(15,6,ROW('Work Register'!$D$5:$D$500)/('Work Register'!$P$5:$P$500=TRUE),8)),"")</f>
        <v/>
      </c>
      <c r="E18" s="96">
        <f>IFERROR(INDEX('Work Register'!E:E,AGGREGATE(15,6,ROW('Work Register'!$D$5:$D$500)/('Work Register'!$P$5:$P$500=TRUE),8)),"")</f>
        <v/>
      </c>
      <c r="F18" s="96">
        <f>IFERROR(INDEX('Work Register'!F:F,AGGREGATE(15,6,ROW('Work Register'!$D$5:$D$500)/('Work Register'!$P$5:$P$500=TRUE),8)),"")</f>
        <v/>
      </c>
      <c r="G18" s="96">
        <f>IFERROR(INDEX('Work Register'!I:I,AGGREGATE(15,6,ROW('Work Register'!$D$5:$D$500)/('Work Register'!$P$5:$P$500=TRUE),8)),"")</f>
        <v/>
      </c>
      <c r="H18" s="96">
        <f>IFERROR(INDEX('Work Register'!H:H,AGGREGATE(15,6,ROW('Work Register'!$D$5:$D$500)/('Work Register'!$P$5:$P$500=TRUE),8)),"")</f>
        <v/>
      </c>
      <c r="I18" s="96">
        <f>IFERROR(INDEX('Work Register'!G:G,AGGREGATE(15,6,ROW('Work Register'!$D$5:$D$500)/('Work Register'!$P$5:$P$500=TRUE),8)),"")</f>
        <v/>
      </c>
      <c r="J18" s="39" t="n"/>
    </row>
    <row r="19">
      <c r="A19" s="39" t="n"/>
      <c r="B19" s="95">
        <f>IFERROR(INDEX('Work Register'!D:D,AGGREGATE(15,6,ROW('Work Register'!$D$5:$D$500)/('Work Register'!$P$5:$P$500=TRUE),9)),"")</f>
        <v/>
      </c>
      <c r="C19" s="95">
        <f>IFERROR(INDEX('Work Register'!A:A,AGGREGATE(15,6,ROW('Work Register'!$D$5:$D$500)/('Work Register'!$P$5:$P$500=TRUE),9)),"")</f>
        <v/>
      </c>
      <c r="D19" s="95">
        <f>IFERROR(INDEX('Work Register'!C:C,AGGREGATE(15,6,ROW('Work Register'!$D$5:$D$500)/('Work Register'!$P$5:$P$500=TRUE),9)),"")</f>
        <v/>
      </c>
      <c r="E19" s="96">
        <f>IFERROR(INDEX('Work Register'!E:E,AGGREGATE(15,6,ROW('Work Register'!$D$5:$D$500)/('Work Register'!$P$5:$P$500=TRUE),9)),"")</f>
        <v/>
      </c>
      <c r="F19" s="96">
        <f>IFERROR(INDEX('Work Register'!F:F,AGGREGATE(15,6,ROW('Work Register'!$D$5:$D$500)/('Work Register'!$P$5:$P$500=TRUE),9)),"")</f>
        <v/>
      </c>
      <c r="G19" s="96">
        <f>IFERROR(INDEX('Work Register'!I:I,AGGREGATE(15,6,ROW('Work Register'!$D$5:$D$500)/('Work Register'!$P$5:$P$500=TRUE),9)),"")</f>
        <v/>
      </c>
      <c r="H19" s="96">
        <f>IFERROR(INDEX('Work Register'!H:H,AGGREGATE(15,6,ROW('Work Register'!$D$5:$D$500)/('Work Register'!$P$5:$P$500=TRUE),9)),"")</f>
        <v/>
      </c>
      <c r="I19" s="96">
        <f>IFERROR(INDEX('Work Register'!G:G,AGGREGATE(15,6,ROW('Work Register'!$D$5:$D$500)/('Work Register'!$P$5:$P$500=TRUE),9)),"")</f>
        <v/>
      </c>
      <c r="J19" s="39" t="n"/>
    </row>
    <row r="20">
      <c r="A20" s="39" t="n"/>
      <c r="B20" s="95">
        <f>IFERROR(INDEX('Work Register'!D:D,AGGREGATE(15,6,ROW('Work Register'!$D$5:$D$500)/('Work Register'!$P$5:$P$500=TRUE),10)),"")</f>
        <v/>
      </c>
      <c r="C20" s="95">
        <f>IFERROR(INDEX('Work Register'!A:A,AGGREGATE(15,6,ROW('Work Register'!$D$5:$D$500)/('Work Register'!$P$5:$P$500=TRUE),10)),"")</f>
        <v/>
      </c>
      <c r="D20" s="95">
        <f>IFERROR(INDEX('Work Register'!C:C,AGGREGATE(15,6,ROW('Work Register'!$D$5:$D$500)/('Work Register'!$P$5:$P$500=TRUE),10)),"")</f>
        <v/>
      </c>
      <c r="E20" s="96">
        <f>IFERROR(INDEX('Work Register'!E:E,AGGREGATE(15,6,ROW('Work Register'!$D$5:$D$500)/('Work Register'!$P$5:$P$500=TRUE),10)),"")</f>
        <v/>
      </c>
      <c r="F20" s="96">
        <f>IFERROR(INDEX('Work Register'!F:F,AGGREGATE(15,6,ROW('Work Register'!$D$5:$D$500)/('Work Register'!$P$5:$P$500=TRUE),10)),"")</f>
        <v/>
      </c>
      <c r="G20" s="96">
        <f>IFERROR(INDEX('Work Register'!I:I,AGGREGATE(15,6,ROW('Work Register'!$D$5:$D$500)/('Work Register'!$P$5:$P$500=TRUE),10)),"")</f>
        <v/>
      </c>
      <c r="H20" s="96">
        <f>IFERROR(INDEX('Work Register'!H:H,AGGREGATE(15,6,ROW('Work Register'!$D$5:$D$500)/('Work Register'!$P$5:$P$500=TRUE),10)),"")</f>
        <v/>
      </c>
      <c r="I20" s="96">
        <f>IFERROR(INDEX('Work Register'!G:G,AGGREGATE(15,6,ROW('Work Register'!$D$5:$D$500)/('Work Register'!$P$5:$P$500=TRUE),10)),"")</f>
        <v/>
      </c>
      <c r="J20" s="39" t="n"/>
    </row>
    <row r="21">
      <c r="A21" s="39" t="n"/>
      <c r="B21" s="95">
        <f>IFERROR(INDEX('Work Register'!D:D,AGGREGATE(15,6,ROW('Work Register'!$D$5:$D$500)/('Work Register'!$P$5:$P$500=TRUE),11)),"")</f>
        <v/>
      </c>
      <c r="C21" s="95">
        <f>IFERROR(INDEX('Work Register'!A:A,AGGREGATE(15,6,ROW('Work Register'!$D$5:$D$500)/('Work Register'!$P$5:$P$500=TRUE),11)),"")</f>
        <v/>
      </c>
      <c r="D21" s="95">
        <f>IFERROR(INDEX('Work Register'!C:C,AGGREGATE(15,6,ROW('Work Register'!$D$5:$D$500)/('Work Register'!$P$5:$P$500=TRUE),11)),"")</f>
        <v/>
      </c>
      <c r="E21" s="96">
        <f>IFERROR(INDEX('Work Register'!E:E,AGGREGATE(15,6,ROW('Work Register'!$D$5:$D$500)/('Work Register'!$P$5:$P$500=TRUE),11)),"")</f>
        <v/>
      </c>
      <c r="F21" s="96">
        <f>IFERROR(INDEX('Work Register'!F:F,AGGREGATE(15,6,ROW('Work Register'!$D$5:$D$500)/('Work Register'!$P$5:$P$500=TRUE),11)),"")</f>
        <v/>
      </c>
      <c r="G21" s="96">
        <f>IFERROR(INDEX('Work Register'!I:I,AGGREGATE(15,6,ROW('Work Register'!$D$5:$D$500)/('Work Register'!$P$5:$P$500=TRUE),11)),"")</f>
        <v/>
      </c>
      <c r="H21" s="96">
        <f>IFERROR(INDEX('Work Register'!H:H,AGGREGATE(15,6,ROW('Work Register'!$D$5:$D$500)/('Work Register'!$P$5:$P$500=TRUE),11)),"")</f>
        <v/>
      </c>
      <c r="I21" s="96">
        <f>IFERROR(INDEX('Work Register'!G:G,AGGREGATE(15,6,ROW('Work Register'!$D$5:$D$500)/('Work Register'!$P$5:$P$500=TRUE),11)),"")</f>
        <v/>
      </c>
      <c r="J21" s="39" t="n"/>
    </row>
    <row r="22">
      <c r="A22" s="39" t="n"/>
      <c r="B22" s="95">
        <f>IFERROR(INDEX('Work Register'!D:D,AGGREGATE(15,6,ROW('Work Register'!$D$5:$D$500)/('Work Register'!$P$5:$P$500=TRUE),12)),"")</f>
        <v/>
      </c>
      <c r="C22" s="95">
        <f>IFERROR(INDEX('Work Register'!A:A,AGGREGATE(15,6,ROW('Work Register'!$D$5:$D$500)/('Work Register'!$P$5:$P$500=TRUE),12)),"")</f>
        <v/>
      </c>
      <c r="D22" s="95">
        <f>IFERROR(INDEX('Work Register'!C:C,AGGREGATE(15,6,ROW('Work Register'!$D$5:$D$500)/('Work Register'!$P$5:$P$500=TRUE),12)),"")</f>
        <v/>
      </c>
      <c r="E22" s="96">
        <f>IFERROR(INDEX('Work Register'!E:E,AGGREGATE(15,6,ROW('Work Register'!$D$5:$D$500)/('Work Register'!$P$5:$P$500=TRUE),12)),"")</f>
        <v/>
      </c>
      <c r="F22" s="96">
        <f>IFERROR(INDEX('Work Register'!F:F,AGGREGATE(15,6,ROW('Work Register'!$D$5:$D$500)/('Work Register'!$P$5:$P$500=TRUE),12)),"")</f>
        <v/>
      </c>
      <c r="G22" s="96">
        <f>IFERROR(INDEX('Work Register'!I:I,AGGREGATE(15,6,ROW('Work Register'!$D$5:$D$500)/('Work Register'!$P$5:$P$500=TRUE),12)),"")</f>
        <v/>
      </c>
      <c r="H22" s="96">
        <f>IFERROR(INDEX('Work Register'!H:H,AGGREGATE(15,6,ROW('Work Register'!$D$5:$D$500)/('Work Register'!$P$5:$P$500=TRUE),12)),"")</f>
        <v/>
      </c>
      <c r="I22" s="96">
        <f>IFERROR(INDEX('Work Register'!G:G,AGGREGATE(15,6,ROW('Work Register'!$D$5:$D$500)/('Work Register'!$P$5:$P$500=TRUE),12)),"")</f>
        <v/>
      </c>
      <c r="J22" s="39" t="n"/>
    </row>
    <row r="23">
      <c r="A23" s="39" t="n"/>
      <c r="B23" s="95">
        <f>IFERROR(INDEX('Work Register'!D:D,AGGREGATE(15,6,ROW('Work Register'!$D$5:$D$500)/('Work Register'!$P$5:$P$500=TRUE),13)),"")</f>
        <v/>
      </c>
      <c r="C23" s="95">
        <f>IFERROR(INDEX('Work Register'!A:A,AGGREGATE(15,6,ROW('Work Register'!$D$5:$D$500)/('Work Register'!$P$5:$P$500=TRUE),13)),"")</f>
        <v/>
      </c>
      <c r="D23" s="95">
        <f>IFERROR(INDEX('Work Register'!C:C,AGGREGATE(15,6,ROW('Work Register'!$D$5:$D$500)/('Work Register'!$P$5:$P$500=TRUE),13)),"")</f>
        <v/>
      </c>
      <c r="E23" s="96">
        <f>IFERROR(INDEX('Work Register'!E:E,AGGREGATE(15,6,ROW('Work Register'!$D$5:$D$500)/('Work Register'!$P$5:$P$500=TRUE),13)),"")</f>
        <v/>
      </c>
      <c r="F23" s="96">
        <f>IFERROR(INDEX('Work Register'!F:F,AGGREGATE(15,6,ROW('Work Register'!$D$5:$D$500)/('Work Register'!$P$5:$P$500=TRUE),13)),"")</f>
        <v/>
      </c>
      <c r="G23" s="96">
        <f>IFERROR(INDEX('Work Register'!I:I,AGGREGATE(15,6,ROW('Work Register'!$D$5:$D$500)/('Work Register'!$P$5:$P$500=TRUE),13)),"")</f>
        <v/>
      </c>
      <c r="H23" s="96">
        <f>IFERROR(INDEX('Work Register'!H:H,AGGREGATE(15,6,ROW('Work Register'!$D$5:$D$500)/('Work Register'!$P$5:$P$500=TRUE),13)),"")</f>
        <v/>
      </c>
      <c r="I23" s="96">
        <f>IFERROR(INDEX('Work Register'!G:G,AGGREGATE(15,6,ROW('Work Register'!$D$5:$D$500)/('Work Register'!$P$5:$P$500=TRUE),13)),"")</f>
        <v/>
      </c>
      <c r="J23" s="39" t="n"/>
    </row>
    <row r="24">
      <c r="A24" s="39" t="n"/>
      <c r="B24" s="95">
        <f>IFERROR(INDEX('Work Register'!D:D,AGGREGATE(15,6,ROW('Work Register'!$D$5:$D$500)/('Work Register'!$P$5:$P$500=TRUE),14)),"")</f>
        <v/>
      </c>
      <c r="C24" s="95">
        <f>IFERROR(INDEX('Work Register'!A:A,AGGREGATE(15,6,ROW('Work Register'!$D$5:$D$500)/('Work Register'!$P$5:$P$500=TRUE),14)),"")</f>
        <v/>
      </c>
      <c r="D24" s="95">
        <f>IFERROR(INDEX('Work Register'!C:C,AGGREGATE(15,6,ROW('Work Register'!$D$5:$D$500)/('Work Register'!$P$5:$P$500=TRUE),14)),"")</f>
        <v/>
      </c>
      <c r="E24" s="96">
        <f>IFERROR(INDEX('Work Register'!E:E,AGGREGATE(15,6,ROW('Work Register'!$D$5:$D$500)/('Work Register'!$P$5:$P$500=TRUE),14)),"")</f>
        <v/>
      </c>
      <c r="F24" s="96">
        <f>IFERROR(INDEX('Work Register'!F:F,AGGREGATE(15,6,ROW('Work Register'!$D$5:$D$500)/('Work Register'!$P$5:$P$500=TRUE),14)),"")</f>
        <v/>
      </c>
      <c r="G24" s="96">
        <f>IFERROR(INDEX('Work Register'!I:I,AGGREGATE(15,6,ROW('Work Register'!$D$5:$D$500)/('Work Register'!$P$5:$P$500=TRUE),14)),"")</f>
        <v/>
      </c>
      <c r="H24" s="96">
        <f>IFERROR(INDEX('Work Register'!H:H,AGGREGATE(15,6,ROW('Work Register'!$D$5:$D$500)/('Work Register'!$P$5:$P$500=TRUE),14)),"")</f>
        <v/>
      </c>
      <c r="I24" s="96">
        <f>IFERROR(INDEX('Work Register'!G:G,AGGREGATE(15,6,ROW('Work Register'!$D$5:$D$500)/('Work Register'!$P$5:$P$500=TRUE),14)),"")</f>
        <v/>
      </c>
      <c r="J24" s="39" t="n"/>
    </row>
    <row r="25">
      <c r="A25" s="39" t="n"/>
      <c r="B25" s="95">
        <f>IFERROR(INDEX('Work Register'!D:D,AGGREGATE(15,6,ROW('Work Register'!$D$5:$D$500)/('Work Register'!$P$5:$P$500=TRUE),15)),"")</f>
        <v/>
      </c>
      <c r="C25" s="95">
        <f>IFERROR(INDEX('Work Register'!A:A,AGGREGATE(15,6,ROW('Work Register'!$D$5:$D$500)/('Work Register'!$P$5:$P$500=TRUE),15)),"")</f>
        <v/>
      </c>
      <c r="D25" s="95">
        <f>IFERROR(INDEX('Work Register'!C:C,AGGREGATE(15,6,ROW('Work Register'!$D$5:$D$500)/('Work Register'!$P$5:$P$500=TRUE),15)),"")</f>
        <v/>
      </c>
      <c r="E25" s="96">
        <f>IFERROR(INDEX('Work Register'!E:E,AGGREGATE(15,6,ROW('Work Register'!$D$5:$D$500)/('Work Register'!$P$5:$P$500=TRUE),15)),"")</f>
        <v/>
      </c>
      <c r="F25" s="96">
        <f>IFERROR(INDEX('Work Register'!F:F,AGGREGATE(15,6,ROW('Work Register'!$D$5:$D$500)/('Work Register'!$P$5:$P$500=TRUE),15)),"")</f>
        <v/>
      </c>
      <c r="G25" s="96">
        <f>IFERROR(INDEX('Work Register'!I:I,AGGREGATE(15,6,ROW('Work Register'!$D$5:$D$500)/('Work Register'!$P$5:$P$500=TRUE),15)),"")</f>
        <v/>
      </c>
      <c r="H25" s="96">
        <f>IFERROR(INDEX('Work Register'!H:H,AGGREGATE(15,6,ROW('Work Register'!$D$5:$D$500)/('Work Register'!$P$5:$P$500=TRUE),15)),"")</f>
        <v/>
      </c>
      <c r="I25" s="96">
        <f>IFERROR(INDEX('Work Register'!G:G,AGGREGATE(15,6,ROW('Work Register'!$D$5:$D$500)/('Work Register'!$P$5:$P$500=TRUE),15)),"")</f>
        <v/>
      </c>
      <c r="J25" s="39" t="n"/>
    </row>
    <row r="26">
      <c r="A26" s="39" t="n"/>
      <c r="B26" s="39" t="n"/>
      <c r="C26" s="39" t="n"/>
      <c r="D26" s="39" t="n"/>
      <c r="E26" s="39" t="n"/>
      <c r="F26" s="39" t="n"/>
      <c r="G26" s="39" t="n"/>
      <c r="H26" s="39" t="n"/>
      <c r="I26" s="39" t="n"/>
      <c r="J26" s="39" t="n"/>
    </row>
    <row r="27">
      <c r="A27" s="39" t="n"/>
      <c r="B27" s="83" t="inlineStr">
        <is>
          <t>Showing up to 15 matches. Narrow the filter for a shorter list.</t>
        </is>
      </c>
      <c r="G27" s="39" t="n"/>
      <c r="H27" s="39" t="n"/>
      <c r="I27" s="39" t="n"/>
      <c r="J27" s="39" t="n"/>
    </row>
    <row r="28">
      <c r="A28" s="39" t="n"/>
      <c r="B28" s="39" t="n"/>
      <c r="C28" s="39" t="n"/>
      <c r="D28" s="39" t="n"/>
      <c r="E28" s="39" t="n"/>
      <c r="F28" s="39" t="n"/>
      <c r="G28" s="39" t="n"/>
      <c r="H28" s="39" t="n"/>
      <c r="I28" s="39" t="n"/>
      <c r="J28" s="39" t="n"/>
    </row>
    <row r="29">
      <c r="A29" s="39" t="n"/>
      <c r="B29" s="39" t="n"/>
      <c r="C29" s="39" t="n"/>
      <c r="D29" s="39" t="n"/>
      <c r="E29" s="39" t="n"/>
      <c r="F29" s="39" t="n"/>
      <c r="G29" s="39" t="n"/>
      <c r="H29" s="39" t="n"/>
      <c r="I29" s="39" t="n"/>
      <c r="J29" s="39" t="n"/>
    </row>
    <row r="30">
      <c r="A30" s="39" t="n"/>
      <c r="B30" s="39" t="n"/>
      <c r="C30" s="39" t="n"/>
      <c r="D30" s="39" t="n"/>
      <c r="E30" s="39" t="n"/>
      <c r="F30" s="39" t="n"/>
      <c r="G30" s="39" t="n"/>
      <c r="H30" s="39" t="n"/>
      <c r="I30" s="39" t="n"/>
      <c r="J30" s="39" t="n"/>
    </row>
  </sheetData>
  <sheetProtection selectLockedCells="0" selectUnlockedCells="0" sheet="1" objects="0" insertRows="1" insertHyperlinks="1" autoFilter="1" scenarios="0" formatColumns="1" deleteColumns="1" insertColumns="1" pivotTables="1" deleteRows="1" formatCells="1" formatRows="1" sort="1"/>
  <mergeCells count="3">
    <mergeCell ref="D6:F6"/>
    <mergeCell ref="D7:H7"/>
    <mergeCell ref="B27:F27"/>
  </mergeCells>
  <dataValidations count="1">
    <dataValidation sqref="C6" showDropDown="0" showInputMessage="0" showErrorMessage="0" allowBlank="0" type="list">
      <formula1>FilterOptions</formula1>
    </dataValidation>
  </dataValidations>
  <hyperlinks>
    <hyperlink xmlns:r="http://schemas.openxmlformats.org/officeDocument/2006/relationships" ref="B4"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J40"/>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2">
      <c r="B2" s="10" t="inlineStr">
        <is>
          <t>Today</t>
        </is>
      </c>
    </row>
    <row r="3">
      <c r="B3" s="20">
        <f>TEXT(TODAY(),"dddd, mmmm d, yyyy")</f>
        <v/>
      </c>
    </row>
    <row r="4" ht="20" customHeight="1">
      <c r="B4" s="11" t="inlineStr">
        <is>
          <t>← Home</t>
        </is>
      </c>
    </row>
    <row r="5">
      <c r="A5" s="39" t="n"/>
      <c r="B5" s="39" t="n"/>
      <c r="C5" s="39" t="n"/>
      <c r="D5" s="39" t="n"/>
      <c r="E5" s="39" t="n"/>
      <c r="F5" s="39" t="n"/>
      <c r="G5" s="39" t="n"/>
      <c r="H5" s="39" t="n"/>
      <c r="I5" s="39" t="n"/>
      <c r="J5" s="39" t="n"/>
    </row>
    <row r="6">
      <c r="A6" s="39" t="n"/>
      <c r="B6" s="40" t="inlineStr">
        <is>
          <t>Recommended Next Task</t>
        </is>
      </c>
      <c r="H6" s="39" t="n"/>
      <c r="I6" s="39" t="n"/>
      <c r="J6" s="39" t="n"/>
    </row>
    <row r="7" ht="26" customHeight="1">
      <c r="A7" s="39" t="n"/>
      <c r="B7" s="56">
        <f>IF(Home!$Z$1=0,"No actionable tasks right now",Home!C10&amp;"  ›  "&amp;Home!C11&amp;"  ›  "&amp;Home!C12)</f>
        <v/>
      </c>
      <c r="C7" s="6" t="n"/>
      <c r="D7" s="6" t="n"/>
      <c r="E7" s="6" t="n"/>
      <c r="F7" s="6" t="n"/>
      <c r="G7" s="7" t="n"/>
      <c r="H7" s="39" t="n"/>
      <c r="I7" s="39" t="n"/>
      <c r="J7" s="39" t="n"/>
    </row>
    <row r="8" ht="18" customHeight="1">
      <c r="A8" s="39" t="n"/>
      <c r="B8" s="71">
        <f>Home!C13</f>
        <v/>
      </c>
      <c r="G8" s="72">
        <f>Home!C14</f>
        <v/>
      </c>
      <c r="H8" s="39" t="n"/>
      <c r="I8" s="39" t="n"/>
      <c r="J8" s="39" t="n"/>
    </row>
    <row r="9" ht="16" customHeight="1">
      <c r="A9" s="39" t="n"/>
      <c r="B9" s="117">
        <f>IF(Home!$Z$1=0,"","Energy: "&amp;Home!C16&amp;"   •   Due: "&amp;Home!C17&amp;"   •   Status: "&amp;Home!C18)</f>
        <v/>
      </c>
      <c r="H9" s="39" t="n"/>
      <c r="I9" s="39" t="n"/>
      <c r="J9" s="39" t="n"/>
    </row>
    <row r="10">
      <c r="A10" s="39" t="n"/>
      <c r="B10" s="40" t="inlineStr">
        <is>
          <t>Planned Tasks (Your Selection)</t>
        </is>
      </c>
      <c r="C10" s="39" t="n"/>
      <c r="D10" s="39" t="n"/>
      <c r="E10" s="39" t="n"/>
      <c r="F10" s="39" t="n"/>
      <c r="G10" s="39" t="n"/>
      <c r="H10" s="39" t="n"/>
      <c r="I10" s="39" t="n"/>
      <c r="J10" s="39" t="n"/>
    </row>
    <row r="11">
      <c r="A11" s="39" t="n"/>
      <c r="B11" s="61" t="inlineStr">
        <is>
          <t>Copy from Recommended Next Task or Top 3 below — the user always has the final say.</t>
        </is>
      </c>
      <c r="H11" s="39" t="n"/>
      <c r="I11" s="39" t="n"/>
      <c r="J11" s="39" t="n"/>
    </row>
    <row r="12">
      <c r="A12" s="39" t="n"/>
      <c r="B12" s="13" t="inlineStr">
        <is>
          <t>Priority</t>
        </is>
      </c>
      <c r="C12" s="13" t="inlineStr">
        <is>
          <t>Task</t>
        </is>
      </c>
      <c r="D12" s="13" t="inlineStr">
        <is>
          <t>Mission</t>
        </is>
      </c>
      <c r="E12" s="13" t="inlineStr">
        <is>
          <t>Estimated Time</t>
        </is>
      </c>
      <c r="F12" s="13" t="inlineStr">
        <is>
          <t>Energy</t>
        </is>
      </c>
      <c r="G12" s="13" t="inlineStr">
        <is>
          <t>Status</t>
        </is>
      </c>
      <c r="H12" s="39" t="n"/>
      <c r="I12" s="39" t="n"/>
      <c r="J12" s="39" t="n"/>
    </row>
    <row r="13" ht="25" customHeight="1">
      <c r="A13" s="39" t="n"/>
      <c r="B13" s="63" t="n"/>
      <c r="C13" s="63" t="n"/>
      <c r="D13" s="63" t="n"/>
      <c r="E13" s="63" t="n"/>
      <c r="F13" s="63" t="n"/>
      <c r="G13" s="63" t="n"/>
      <c r="H13" s="39" t="n"/>
      <c r="I13" s="39" t="n"/>
      <c r="J13" s="39" t="n"/>
    </row>
    <row r="14" ht="25" customHeight="1">
      <c r="A14" s="39" t="n"/>
      <c r="B14" s="63" t="n"/>
      <c r="C14" s="63" t="n"/>
      <c r="D14" s="63" t="n"/>
      <c r="E14" s="63" t="n"/>
      <c r="F14" s="63" t="n"/>
      <c r="G14" s="63" t="n"/>
      <c r="H14" s="39" t="n"/>
      <c r="I14" s="39" t="n"/>
      <c r="J14" s="39" t="n"/>
    </row>
    <row r="15" ht="25" customHeight="1">
      <c r="A15" s="39" t="n"/>
      <c r="B15" s="63" t="n"/>
      <c r="C15" s="63" t="n"/>
      <c r="D15" s="63" t="n"/>
      <c r="E15" s="63" t="n"/>
      <c r="F15" s="63" t="n"/>
      <c r="G15" s="63" t="n"/>
      <c r="H15" s="39" t="n"/>
      <c r="I15" s="39" t="n"/>
      <c r="J15" s="39" t="n"/>
    </row>
    <row r="16" ht="25" customHeight="1">
      <c r="A16" s="39" t="n"/>
      <c r="B16" s="39" t="n"/>
      <c r="C16" s="39" t="n"/>
      <c r="D16" s="39" t="n"/>
      <c r="E16" s="39" t="n"/>
      <c r="F16" s="39" t="n"/>
      <c r="G16" s="39" t="n"/>
      <c r="H16" s="39" t="n"/>
      <c r="I16" s="39" t="n"/>
      <c r="J16" s="39" t="n"/>
    </row>
    <row r="17" ht="25" customHeight="1">
      <c r="A17" s="39" t="n"/>
      <c r="B17" s="39" t="n"/>
      <c r="C17" s="39" t="n"/>
      <c r="D17" s="39" t="n"/>
      <c r="E17" s="39" t="n"/>
      <c r="F17" s="39" t="n"/>
      <c r="G17" s="39" t="n"/>
      <c r="H17" s="39" t="n"/>
      <c r="I17" s="39" t="n"/>
      <c r="J17" s="39" t="n"/>
    </row>
    <row r="18" ht="25" customHeight="1">
      <c r="A18" s="39" t="n"/>
      <c r="B18" s="40" t="inlineStr">
        <is>
          <t>Current Focus</t>
        </is>
      </c>
      <c r="C18" s="39" t="n"/>
      <c r="D18" s="39" t="n"/>
      <c r="E18" s="39" t="n"/>
      <c r="F18" s="39" t="n"/>
      <c r="G18" s="39" t="n"/>
      <c r="H18" s="39" t="n"/>
      <c r="I18" s="39" t="n"/>
      <c r="J18" s="39" t="n"/>
    </row>
    <row r="19" ht="22" customHeight="1">
      <c r="A19" s="39" t="n"/>
      <c r="B19" s="8" t="inlineStr">
        <is>
          <t>Current Mission</t>
        </is>
      </c>
      <c r="C19" s="62">
        <f>'Current Focus'!C7</f>
        <v/>
      </c>
      <c r="D19" s="6" t="n"/>
      <c r="E19" s="6" t="n"/>
      <c r="F19" s="6" t="n"/>
      <c r="G19" s="7" t="n"/>
      <c r="H19" s="39" t="n"/>
      <c r="I19" s="39" t="n"/>
      <c r="J19" s="39" t="n"/>
    </row>
    <row r="20" ht="22" customHeight="1">
      <c r="A20" s="39" t="n"/>
      <c r="B20" s="8" t="inlineStr">
        <is>
          <t>Current Deliverable</t>
        </is>
      </c>
      <c r="C20" s="62">
        <f>'Current Focus'!C8</f>
        <v/>
      </c>
      <c r="D20" s="6" t="n"/>
      <c r="E20" s="6" t="n"/>
      <c r="F20" s="6" t="n"/>
      <c r="G20" s="7" t="n"/>
      <c r="H20" s="39" t="n"/>
      <c r="I20" s="39" t="n"/>
      <c r="J20" s="39" t="n"/>
    </row>
    <row r="21" ht="22" customHeight="1">
      <c r="A21" s="39" t="n"/>
      <c r="B21" s="8" t="inlineStr">
        <is>
          <t>Current Component</t>
        </is>
      </c>
      <c r="C21" s="62">
        <f>'Current Focus'!C9</f>
        <v/>
      </c>
      <c r="D21" s="6" t="n"/>
      <c r="E21" s="6" t="n"/>
      <c r="F21" s="6" t="n"/>
      <c r="G21" s="7" t="n"/>
      <c r="H21" s="39" t="n"/>
      <c r="I21" s="39" t="n"/>
      <c r="J21" s="39" t="n"/>
    </row>
    <row r="22" ht="22" customHeight="1">
      <c r="A22" s="39" t="n"/>
      <c r="B22" s="8" t="inlineStr">
        <is>
          <t>Current Task</t>
        </is>
      </c>
      <c r="C22" s="62">
        <f>'Current Focus'!C5</f>
        <v/>
      </c>
      <c r="D22" s="6" t="n"/>
      <c r="E22" s="6" t="n"/>
      <c r="F22" s="6" t="n"/>
      <c r="G22" s="7" t="n"/>
      <c r="H22" s="39" t="n"/>
      <c r="I22" s="39" t="n"/>
      <c r="J22" s="39" t="n"/>
    </row>
    <row r="23" ht="22" customHeight="1">
      <c r="A23" s="39" t="n"/>
      <c r="B23" s="8" t="inlineStr">
        <is>
          <t>Definition of Done</t>
        </is>
      </c>
      <c r="C23" s="62">
        <f>'Current Focus'!C11</f>
        <v/>
      </c>
      <c r="D23" s="6" t="n"/>
      <c r="E23" s="6" t="n"/>
      <c r="F23" s="6" t="n"/>
      <c r="G23" s="7" t="n"/>
      <c r="H23" s="39" t="n"/>
      <c r="I23" s="39" t="n"/>
      <c r="J23" s="39" t="n"/>
    </row>
    <row r="24" ht="22" customHeight="1">
      <c r="A24" s="39" t="n"/>
      <c r="B24" s="8" t="inlineStr">
        <is>
          <t>Current Blocker</t>
        </is>
      </c>
      <c r="C24" s="62">
        <f>'Current Focus'!C13</f>
        <v/>
      </c>
      <c r="D24" s="6" t="n"/>
      <c r="E24" s="6" t="n"/>
      <c r="F24" s="6" t="n"/>
      <c r="G24" s="7" t="n"/>
      <c r="H24" s="39" t="n"/>
      <c r="I24" s="39" t="n"/>
      <c r="J24" s="39" t="n"/>
    </row>
    <row r="25" ht="22" customHeight="1">
      <c r="A25" s="39" t="n"/>
      <c r="B25" s="8" t="inlineStr">
        <is>
          <t>Next Physical Action</t>
        </is>
      </c>
      <c r="C25" s="62">
        <f>'Current Focus'!C12</f>
        <v/>
      </c>
      <c r="D25" s="6" t="n"/>
      <c r="E25" s="6" t="n"/>
      <c r="F25" s="6" t="n"/>
      <c r="G25" s="7" t="n"/>
      <c r="H25" s="39" t="n"/>
      <c r="I25" s="39" t="n"/>
      <c r="J25" s="39" t="n"/>
    </row>
    <row r="26">
      <c r="A26" s="39" t="n"/>
      <c r="B26" s="85" t="inlineStr">
        <is>
          <t>Edit Current Focus on the Current Focus sheet — this section mirrors it automatically.</t>
        </is>
      </c>
      <c r="H26" s="39" t="n"/>
      <c r="I26" s="39" t="n"/>
      <c r="J26" s="39" t="n"/>
    </row>
    <row r="27">
      <c r="A27" s="39" t="n"/>
      <c r="B27" s="40" t="inlineStr">
        <is>
          <t>Top 3 Recommended (Auto)</t>
        </is>
      </c>
      <c r="C27" s="39" t="n"/>
      <c r="D27" s="39" t="n"/>
      <c r="E27" s="39" t="n"/>
      <c r="F27" s="39" t="n"/>
      <c r="G27" s="39" t="n"/>
      <c r="H27" s="39" t="n"/>
      <c r="I27" s="39" t="n"/>
      <c r="J27" s="39" t="n"/>
    </row>
    <row r="28">
      <c r="A28" s="39" t="n"/>
      <c r="B28" s="61" t="inlineStr">
        <is>
          <t>Ranked automatically by priority, due date, fit to your available time, and current energy.</t>
        </is>
      </c>
      <c r="H28" s="39" t="n"/>
      <c r="I28" s="39" t="n"/>
      <c r="J28" s="39" t="n"/>
    </row>
    <row r="29">
      <c r="A29" s="39" t="n"/>
      <c r="B29" s="13" t="inlineStr">
        <is>
          <t>Priority</t>
        </is>
      </c>
      <c r="C29" s="13" t="inlineStr">
        <is>
          <t>Task</t>
        </is>
      </c>
      <c r="D29" s="13" t="inlineStr">
        <is>
          <t>Mission</t>
        </is>
      </c>
      <c r="E29" s="13" t="inlineStr">
        <is>
          <t>Due Date</t>
        </is>
      </c>
      <c r="F29" s="13" t="inlineStr">
        <is>
          <t>Time</t>
        </is>
      </c>
      <c r="G29" s="13" t="inlineStr">
        <is>
          <t>Energy</t>
        </is>
      </c>
      <c r="H29" s="39" t="n"/>
      <c r="I29" s="39" t="n"/>
      <c r="J29" s="39" t="n"/>
    </row>
    <row r="30">
      <c r="A30" s="39" t="n"/>
      <c r="B30" s="64">
        <f>IFERROR(IF(LARGE('Work Register'!$N$5:$N$500,1)&lt;=-500,"",INDEX('Work Register'!F:F,MATCH(LARGE('Work Register'!$N$5:$N$500,1),'Work Register'!$N$5:$N$500,0)+4)),"")</f>
        <v/>
      </c>
      <c r="C30" s="42">
        <f>IFERROR(IF(LARGE('Work Register'!$N$5:$N$500,1)&lt;=-500,"",INDEX('Work Register'!D:D,MATCH(LARGE('Work Register'!$N$5:$N$500,1),'Work Register'!$N$5:$N$500,0)+4)),"")</f>
        <v/>
      </c>
      <c r="D30" s="42">
        <f>IFERROR(IF(LARGE('Work Register'!$N$5:$N$500,1)&lt;=-500,"",INDEX('Work Register'!A:A,MATCH(LARGE('Work Register'!$N$5:$N$500,1),'Work Register'!$N$5:$N$500,0)+4)),"")</f>
        <v/>
      </c>
      <c r="E30" s="64">
        <f>IFERROR(IF(LARGE('Work Register'!$N$5:$N$500,1)&lt;=-500,"",INDEX('Work Register'!I:I,MATCH(LARGE('Work Register'!$N$5:$N$500,1),'Work Register'!$N$5:$N$500,0)+4)),"")</f>
        <v/>
      </c>
      <c r="F30" s="64">
        <f>IFERROR(IF(LARGE('Work Register'!$N$5:$N$500,1)&lt;=-500,"",INDEX('Work Register'!H:H,MATCH(LARGE('Work Register'!$N$5:$N$500,1),'Work Register'!$N$5:$N$500,0)+4)),"")</f>
        <v/>
      </c>
      <c r="G30" s="64">
        <f>IFERROR(IF(LARGE('Work Register'!$N$5:$N$500,1)&lt;=-500,"",INDEX('Work Register'!G:G,MATCH(LARGE('Work Register'!$N$5:$N$500,1),'Work Register'!$N$5:$N$500,0)+4)),"")</f>
        <v/>
      </c>
      <c r="H30" s="39" t="n"/>
      <c r="I30" s="39" t="n"/>
      <c r="J30" s="39" t="n"/>
    </row>
    <row r="31">
      <c r="A31" s="39" t="n"/>
      <c r="B31" s="64">
        <f>IFERROR(IF(LARGE('Work Register'!$N$5:$N$500,2)&lt;=-500,"",INDEX('Work Register'!F:F,MATCH(LARGE('Work Register'!$N$5:$N$500,2),'Work Register'!$N$5:$N$500,0)+4)),"")</f>
        <v/>
      </c>
      <c r="C31" s="42">
        <f>IFERROR(IF(LARGE('Work Register'!$N$5:$N$500,2)&lt;=-500,"",INDEX('Work Register'!D:D,MATCH(LARGE('Work Register'!$N$5:$N$500,2),'Work Register'!$N$5:$N$500,0)+4)),"")</f>
        <v/>
      </c>
      <c r="D31" s="42">
        <f>IFERROR(IF(LARGE('Work Register'!$N$5:$N$500,2)&lt;=-500,"",INDEX('Work Register'!A:A,MATCH(LARGE('Work Register'!$N$5:$N$500,2),'Work Register'!$N$5:$N$500,0)+4)),"")</f>
        <v/>
      </c>
      <c r="E31" s="64">
        <f>IFERROR(IF(LARGE('Work Register'!$N$5:$N$500,2)&lt;=-500,"",INDEX('Work Register'!I:I,MATCH(LARGE('Work Register'!$N$5:$N$500,2),'Work Register'!$N$5:$N$500,0)+4)),"")</f>
        <v/>
      </c>
      <c r="F31" s="64">
        <f>IFERROR(IF(LARGE('Work Register'!$N$5:$N$500,2)&lt;=-500,"",INDEX('Work Register'!H:H,MATCH(LARGE('Work Register'!$N$5:$N$500,2),'Work Register'!$N$5:$N$500,0)+4)),"")</f>
        <v/>
      </c>
      <c r="G31" s="64">
        <f>IFERROR(IF(LARGE('Work Register'!$N$5:$N$500,2)&lt;=-500,"",INDEX('Work Register'!G:G,MATCH(LARGE('Work Register'!$N$5:$N$500,2),'Work Register'!$N$5:$N$500,0)+4)),"")</f>
        <v/>
      </c>
      <c r="H31" s="39" t="n"/>
      <c r="I31" s="39" t="n"/>
      <c r="J31" s="39" t="n"/>
    </row>
    <row r="32">
      <c r="A32" s="39" t="n"/>
      <c r="B32" s="64">
        <f>IFERROR(IF(LARGE('Work Register'!$N$5:$N$500,3)&lt;=-500,"",INDEX('Work Register'!F:F,MATCH(LARGE('Work Register'!$N$5:$N$500,3),'Work Register'!$N$5:$N$500,0)+4)),"")</f>
        <v/>
      </c>
      <c r="C32" s="42">
        <f>IFERROR(IF(LARGE('Work Register'!$N$5:$N$500,3)&lt;=-500,"",INDEX('Work Register'!D:D,MATCH(LARGE('Work Register'!$N$5:$N$500,3),'Work Register'!$N$5:$N$500,0)+4)),"")</f>
        <v/>
      </c>
      <c r="D32" s="42">
        <f>IFERROR(IF(LARGE('Work Register'!$N$5:$N$500,3)&lt;=-500,"",INDEX('Work Register'!A:A,MATCH(LARGE('Work Register'!$N$5:$N$500,3),'Work Register'!$N$5:$N$500,0)+4)),"")</f>
        <v/>
      </c>
      <c r="E32" s="64">
        <f>IFERROR(IF(LARGE('Work Register'!$N$5:$N$500,3)&lt;=-500,"",INDEX('Work Register'!I:I,MATCH(LARGE('Work Register'!$N$5:$N$500,3),'Work Register'!$N$5:$N$500,0)+4)),"")</f>
        <v/>
      </c>
      <c r="F32" s="64">
        <f>IFERROR(IF(LARGE('Work Register'!$N$5:$N$500,3)&lt;=-500,"",INDEX('Work Register'!H:H,MATCH(LARGE('Work Register'!$N$5:$N$500,3),'Work Register'!$N$5:$N$500,0)+4)),"")</f>
        <v/>
      </c>
      <c r="G32" s="64">
        <f>IFERROR(IF(LARGE('Work Register'!$N$5:$N$500,3)&lt;=-500,"",INDEX('Work Register'!G:G,MATCH(LARGE('Work Register'!$N$5:$N$500,3),'Work Register'!$N$5:$N$500,0)+4)),"")</f>
        <v/>
      </c>
      <c r="H32" s="39" t="n"/>
      <c r="I32" s="39" t="n"/>
      <c r="J32" s="39" t="n"/>
    </row>
    <row r="33">
      <c r="A33" s="39" t="n"/>
      <c r="B33" s="39" t="n"/>
      <c r="C33" s="39" t="n"/>
      <c r="D33" s="39" t="n"/>
      <c r="E33" s="39" t="n"/>
      <c r="F33" s="39" t="n"/>
      <c r="G33" s="39" t="n"/>
      <c r="H33" s="39" t="n"/>
      <c r="I33" s="39" t="n"/>
      <c r="J33" s="39" t="n"/>
    </row>
    <row r="34">
      <c r="A34" s="39" t="n"/>
      <c r="B34" s="39" t="n"/>
      <c r="C34" s="39" t="n"/>
      <c r="D34" s="39" t="n"/>
      <c r="E34" s="39" t="n"/>
      <c r="F34" s="39" t="n"/>
      <c r="G34" s="39" t="n"/>
      <c r="H34" s="39" t="n"/>
      <c r="I34" s="39" t="n"/>
      <c r="J34" s="39" t="n"/>
    </row>
    <row r="35">
      <c r="A35" s="39" t="n"/>
      <c r="B35" s="39" t="n"/>
      <c r="C35" s="39" t="n"/>
      <c r="D35" s="39" t="n"/>
      <c r="E35" s="39" t="n"/>
      <c r="F35" s="39" t="n"/>
      <c r="G35" s="39" t="n"/>
      <c r="H35" s="39" t="n"/>
      <c r="I35" s="39" t="n"/>
      <c r="J35" s="39" t="n"/>
    </row>
    <row r="36">
      <c r="A36" s="39" t="n"/>
      <c r="B36" s="39" t="n"/>
      <c r="C36" s="39" t="n"/>
      <c r="D36" s="39" t="n"/>
      <c r="E36" s="39" t="n"/>
      <c r="F36" s="39" t="n"/>
      <c r="G36" s="39" t="n"/>
      <c r="H36" s="39" t="n"/>
      <c r="I36" s="39" t="n"/>
      <c r="J36" s="39" t="n"/>
    </row>
    <row r="37">
      <c r="A37" s="39" t="n"/>
      <c r="B37" s="39" t="n"/>
      <c r="C37" s="39" t="n"/>
      <c r="D37" s="39" t="n"/>
      <c r="E37" s="39" t="n"/>
      <c r="F37" s="39" t="n"/>
      <c r="G37" s="39" t="n"/>
      <c r="H37" s="39" t="n"/>
      <c r="I37" s="39" t="n"/>
      <c r="J37" s="39" t="n"/>
    </row>
    <row r="38">
      <c r="A38" s="39" t="n"/>
      <c r="B38" s="39" t="n"/>
      <c r="C38" s="39" t="n"/>
      <c r="D38" s="39" t="n"/>
      <c r="E38" s="39" t="n"/>
      <c r="F38" s="39" t="n"/>
      <c r="G38" s="39" t="n"/>
      <c r="H38" s="39" t="n"/>
      <c r="I38" s="39" t="n"/>
      <c r="J38" s="39" t="n"/>
    </row>
    <row r="39">
      <c r="A39" s="39" t="n"/>
      <c r="B39" s="39" t="n"/>
      <c r="C39" s="39" t="n"/>
      <c r="D39" s="39" t="n"/>
      <c r="E39" s="39" t="n"/>
      <c r="F39" s="39" t="n"/>
      <c r="G39" s="39" t="n"/>
      <c r="H39" s="39" t="n"/>
      <c r="I39" s="39" t="n"/>
      <c r="J39" s="39" t="n"/>
    </row>
    <row r="40">
      <c r="A40" s="39" t="n"/>
      <c r="B40" s="39" t="n"/>
      <c r="C40" s="39" t="n"/>
      <c r="D40" s="39" t="n"/>
      <c r="E40" s="39" t="n"/>
      <c r="F40" s="39" t="n"/>
      <c r="G40" s="39" t="n"/>
      <c r="H40" s="39" t="n"/>
      <c r="I40" s="39" t="n"/>
      <c r="J40" s="39" t="n"/>
    </row>
  </sheetData>
  <sheetProtection selectLockedCells="0" selectUnlockedCells="0" sheet="1" objects="0" insertRows="1" insertHyperlinks="1" autoFilter="1" scenarios="0" formatColumns="1" deleteColumns="1" insertColumns="1" pivotTables="1" deleteRows="1" formatCells="1" formatRows="1" sort="1"/>
  <mergeCells count="14">
    <mergeCell ref="C21:G21"/>
    <mergeCell ref="C20:G20"/>
    <mergeCell ref="B28:G28"/>
    <mergeCell ref="C24:G24"/>
    <mergeCell ref="B9:G9"/>
    <mergeCell ref="C25:G25"/>
    <mergeCell ref="C19:G19"/>
    <mergeCell ref="B26:G26"/>
    <mergeCell ref="C23:G23"/>
    <mergeCell ref="C22:G22"/>
    <mergeCell ref="B8:F8"/>
    <mergeCell ref="B7:G7"/>
    <mergeCell ref="B11:G11"/>
    <mergeCell ref="B6:G6"/>
  </mergeCells>
  <dataValidations count="6">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 sqref="B13 B14 B15" showDropDown="0" showInputMessage="0" showErrorMessage="0" allowBlank="1" type="list">
      <formula1>PriorityList</formula1>
    </dataValidation>
    <dataValidation sqref="F13 F14 F15" showDropDown="0" showInputMessage="0" showErrorMessage="0" allowBlank="1" type="list">
      <formula1>EnergyList</formula1>
    </dataValidation>
    <dataValidation sqref="G13 G14 G15"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2:H22"/>
  <sheetViews>
    <sheetView showGridLines="0" workbookViewId="0">
      <selection activeCell="A1" sqref="A1"/>
    </sheetView>
  </sheetViews>
  <sheetFormatPr baseColWidth="8" defaultRowHeight="15"/>
  <cols>
    <col width="25" customWidth="1" min="2" max="2"/>
    <col width="45" customWidth="1" min="3" max="3"/>
  </cols>
  <sheetData>
    <row r="2">
      <c r="B2" s="10" t="inlineStr">
        <is>
          <t>Current Focus</t>
        </is>
      </c>
    </row>
    <row r="3" ht="20" customHeight="1">
      <c r="B3" s="11" t="inlineStr">
        <is>
          <t>← Home</t>
        </is>
      </c>
    </row>
    <row r="5" ht="22" customHeight="1">
      <c r="A5" s="39" t="n"/>
      <c r="B5" s="77" t="inlineStr">
        <is>
          <t>Current Task</t>
        </is>
      </c>
      <c r="C5" s="78" t="n"/>
      <c r="D5" s="39" t="n"/>
      <c r="E5" s="39" t="n"/>
      <c r="F5" s="39" t="n"/>
      <c r="G5" s="39" t="n"/>
      <c r="H5" s="39" t="n"/>
    </row>
    <row r="6" ht="18" customHeight="1">
      <c r="A6" s="39" t="n"/>
      <c r="B6" s="79">
        <f>IF($C$5="","",IF(ISNA(MATCH($C$5,'Work Register'!$D:$D,0)),"⚠ Task not found in Work Register — check the spelling matches exactly",IF($C$10="Done","⚠ This task is marked Done — pick a new Current Task",IF($C$10="Blocked","⚠ This task is Blocked — consider updating your focus",""))))</f>
        <v/>
      </c>
      <c r="E6" s="39" t="n"/>
      <c r="F6" s="39" t="n"/>
      <c r="G6" s="39" t="n"/>
      <c r="H6" s="39" t="n"/>
    </row>
    <row r="7" ht="20" customHeight="1">
      <c r="A7" s="39" t="n"/>
      <c r="B7" s="77" t="inlineStr">
        <is>
          <t>Mission</t>
        </is>
      </c>
      <c r="C7" s="95">
        <f>IFERROR(INDEX('Work Register'!A:A,MATCH($C$5,'Work Register'!$D:$D,0)),"")</f>
        <v/>
      </c>
      <c r="D7" s="39" t="n"/>
      <c r="E7" s="39" t="n"/>
      <c r="F7" s="39" t="n"/>
      <c r="G7" s="39" t="n"/>
      <c r="H7" s="39" t="n"/>
    </row>
    <row r="8" ht="20" customHeight="1">
      <c r="A8" s="39" t="n"/>
      <c r="B8" s="77" t="inlineStr">
        <is>
          <t>Deliverable</t>
        </is>
      </c>
      <c r="C8" s="95">
        <f>IFERROR(INDEX('Work Register'!B:B,MATCH($C$5,'Work Register'!$D:$D,0)),"")</f>
        <v/>
      </c>
      <c r="D8" s="39" t="n"/>
      <c r="E8" s="39" t="n"/>
      <c r="F8" s="39" t="n"/>
      <c r="G8" s="39" t="n"/>
      <c r="H8" s="39" t="n"/>
    </row>
    <row r="9" ht="20" customHeight="1">
      <c r="A9" s="39" t="n"/>
      <c r="B9" s="77" t="inlineStr">
        <is>
          <t>Component</t>
        </is>
      </c>
      <c r="C9" s="95">
        <f>IFERROR(INDEX('Work Register'!C:C,MATCH($C$5,'Work Register'!$D:$D,0)),"")</f>
        <v/>
      </c>
      <c r="D9" s="39" t="n"/>
      <c r="E9" s="39" t="n"/>
      <c r="F9" s="39" t="n"/>
      <c r="G9" s="39" t="n"/>
      <c r="H9" s="39" t="n"/>
    </row>
    <row r="10" ht="20" customHeight="1">
      <c r="A10" s="39" t="n"/>
      <c r="B10" s="77" t="inlineStr">
        <is>
          <t>Status</t>
        </is>
      </c>
      <c r="C10" s="95">
        <f>IFERROR(INDEX('Work Register'!E:E,MATCH($C$5,'Work Register'!$D:$D,0)),"")</f>
        <v/>
      </c>
      <c r="D10" s="39" t="n"/>
      <c r="E10" s="39" t="n"/>
      <c r="F10" s="39" t="n"/>
      <c r="G10" s="39" t="n"/>
      <c r="H10" s="39" t="n"/>
    </row>
    <row r="11" ht="20" customHeight="1">
      <c r="A11" s="39" t="n"/>
      <c r="B11" s="77" t="inlineStr">
        <is>
          <t>Definition of Done</t>
        </is>
      </c>
      <c r="C11" s="80" t="n"/>
      <c r="D11" s="39" t="n"/>
      <c r="E11" s="39" t="n"/>
      <c r="F11" s="39" t="n"/>
      <c r="G11" s="39" t="n"/>
      <c r="H11" s="39" t="n"/>
    </row>
    <row r="12" ht="20" customHeight="1">
      <c r="A12" s="39" t="n"/>
      <c r="B12" s="77" t="inlineStr">
        <is>
          <t>Next Physical Action</t>
        </is>
      </c>
      <c r="C12" s="80" t="n"/>
      <c r="D12" s="39" t="n"/>
      <c r="E12" s="39" t="n"/>
      <c r="F12" s="39" t="n"/>
      <c r="G12" s="39" t="n"/>
      <c r="H12" s="39" t="n"/>
    </row>
    <row r="13" ht="20" customHeight="1">
      <c r="A13" s="39" t="n"/>
      <c r="B13" s="77" t="inlineStr">
        <is>
          <t>Current Blocker</t>
        </is>
      </c>
      <c r="C13" s="80" t="n"/>
      <c r="D13" s="39" t="n"/>
      <c r="E13" s="39" t="n"/>
      <c r="F13" s="39" t="n"/>
      <c r="G13" s="39" t="n"/>
      <c r="H13" s="39" t="n"/>
    </row>
    <row r="14" ht="20" customHeight="1">
      <c r="A14" s="39" t="n"/>
      <c r="B14" s="77" t="inlineStr">
        <is>
          <t>Last Updated</t>
        </is>
      </c>
      <c r="C14" s="80" t="n"/>
      <c r="D14" s="39" t="n"/>
      <c r="E14" s="39" t="n"/>
      <c r="F14" s="39" t="n"/>
      <c r="G14" s="39" t="n"/>
      <c r="H14" s="39" t="n"/>
    </row>
    <row r="15">
      <c r="A15" s="39" t="n"/>
      <c r="B15" s="39" t="n"/>
      <c r="C15" s="39" t="n"/>
      <c r="D15" s="39" t="n"/>
      <c r="E15" s="39" t="n"/>
      <c r="F15" s="39" t="n"/>
      <c r="G15" s="39" t="n"/>
      <c r="H15" s="39" t="n"/>
    </row>
    <row r="16">
      <c r="A16" s="39" t="n"/>
      <c r="B16" s="82" t="inlineStr">
        <is>
          <t>How to use Current Focus:</t>
        </is>
      </c>
      <c r="C16" s="39" t="n"/>
      <c r="D16" s="39" t="n"/>
      <c r="E16" s="39" t="n"/>
      <c r="F16" s="39" t="n"/>
      <c r="G16" s="39" t="n"/>
      <c r="H16" s="39" t="n"/>
    </row>
    <row r="17">
      <c r="A17" s="39" t="n"/>
      <c r="B17" s="83" t="inlineStr">
        <is>
          <t>1. Type or paste the exact Task name from Work Register into Current Task above.</t>
        </is>
      </c>
      <c r="C17" s="39" t="n"/>
      <c r="D17" s="39" t="n"/>
      <c r="E17" s="39" t="n"/>
      <c r="F17" s="39" t="n"/>
      <c r="G17" s="39" t="n"/>
      <c r="H17" s="39" t="n"/>
    </row>
    <row r="18">
      <c r="A18" s="39" t="n"/>
      <c r="B18" s="83" t="inlineStr">
        <is>
          <t>2. Mission, Deliverable, Component, and Status fill in automatically.</t>
        </is>
      </c>
      <c r="C18" s="39" t="n"/>
      <c r="D18" s="39" t="n"/>
      <c r="E18" s="39" t="n"/>
      <c r="F18" s="39" t="n"/>
      <c r="G18" s="39" t="n"/>
      <c r="H18" s="39" t="n"/>
    </row>
    <row r="19">
      <c r="A19" s="39" t="n"/>
      <c r="B19" s="83" t="inlineStr">
        <is>
          <t>3. Fill in Definition of Done, Next Physical Action, and Blocker yourself — these aren't</t>
        </is>
      </c>
      <c r="C19" s="39" t="n"/>
      <c r="D19" s="39" t="n"/>
      <c r="E19" s="39" t="n"/>
      <c r="F19" s="39" t="n"/>
      <c r="G19" s="39" t="n"/>
      <c r="H19" s="39" t="n"/>
    </row>
    <row r="20">
      <c r="A20" s="39" t="n"/>
      <c r="B20" s="83" t="inlineStr">
        <is>
          <t xml:space="preserve">   tracked per-task in Work Register, only for whatever you're actively working on.</t>
        </is>
      </c>
      <c r="C20" s="39" t="n"/>
      <c r="D20" s="39" t="n"/>
      <c r="E20" s="39" t="n"/>
      <c r="F20" s="39" t="n"/>
      <c r="G20" s="39" t="n"/>
      <c r="H20" s="39" t="n"/>
    </row>
    <row r="21">
      <c r="B21" s="84" t="inlineStr">
        <is>
          <t>4. This is now the only place Current Focus lives — Today's Current Focus section</t>
        </is>
      </c>
    </row>
    <row r="22">
      <c r="B22" s="84" t="inlineStr">
        <is>
          <t xml:space="preserve">   reads from here automatically, so you only ever update it in one place.</t>
        </is>
      </c>
    </row>
  </sheetData>
  <sheetProtection selectLockedCells="0" selectUnlockedCells="0" sheet="1" objects="0" insertRows="1" insertHyperlinks="1" autoFilter="1" scenarios="0" formatColumns="1" deleteColumns="1" insertColumns="1" pivotTables="1" deleteRows="1" formatCells="1" formatRows="1" sort="1"/>
  <mergeCells count="1">
    <mergeCell ref="B6:D6"/>
  </mergeCells>
  <hyperlinks>
    <hyperlink xmlns:r="http://schemas.openxmlformats.org/officeDocument/2006/relationships" ref="B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8"/>
  <sheetViews>
    <sheetView showGridLines="0" workbookViewId="0">
      <selection activeCell="A1" sqref="A1"/>
    </sheetView>
  </sheetViews>
  <sheetFormatPr baseColWidth="8" defaultRowHeight="15"/>
  <cols>
    <col width="20" customWidth="1" min="2" max="2"/>
    <col width="20" customWidth="1" min="3" max="3"/>
    <col width="20" customWidth="1" min="4" max="4"/>
    <col width="20" customWidth="1" min="5" max="5"/>
  </cols>
  <sheetData>
    <row r="2">
      <c r="B2" s="10" t="inlineStr">
        <is>
          <t>Weekly Review</t>
        </is>
      </c>
    </row>
    <row r="3" ht="20" customHeight="1">
      <c r="B3" s="11" t="inlineStr">
        <is>
          <t>← Home</t>
        </is>
      </c>
    </row>
    <row r="4">
      <c r="B4" s="20" t="inlineStr">
        <is>
          <t>Week of August 06, 2026</t>
        </is>
      </c>
    </row>
    <row r="6">
      <c r="B6" s="29" t="inlineStr">
        <is>
          <t>Active Missions</t>
        </is>
      </c>
      <c r="C6" s="29" t="inlineStr">
        <is>
          <t>Blocked Tasks</t>
        </is>
      </c>
      <c r="D6" s="29" t="inlineStr">
        <is>
          <t>Waiting Tasks</t>
        </is>
      </c>
      <c r="E6" s="29" t="inlineStr">
        <is>
          <t>Completed This Week</t>
        </is>
      </c>
    </row>
    <row r="7">
      <c r="B7" s="9">
        <f>COUNTIFS('Work Register'!E:E,"In Progress")+COUNTIFS('Work Register'!E:E,"Captured")+COUNTIFS('Work Register'!E:E,"Next")</f>
        <v/>
      </c>
      <c r="C7" s="9">
        <f>COUNTIF('Work Register'!E:E,"Blocked")</f>
        <v/>
      </c>
      <c r="D7" s="9">
        <f>COUNTIF('Work Register'!E:E,"Waiting")</f>
        <v/>
      </c>
      <c r="E7" s="9">
        <f>COUNTIFS('Work Register'!E:E,"Done",'Work Register'!L:L,"&gt;="&amp;(TODAY()-WEEKDAY(TODAY(),3)))</f>
        <v/>
      </c>
    </row>
    <row r="8">
      <c r="B8" s="73" t="inlineStr">
        <is>
          <t>Based on current Status/Priority; "Completed" uses each task's Last Updated date.</t>
        </is>
      </c>
    </row>
    <row r="10">
      <c r="B10" s="4" t="inlineStr">
        <is>
          <t>Weekly Review Checklist</t>
        </is>
      </c>
    </row>
    <row r="11" ht="20" customHeight="1">
      <c r="B11" s="30" t="inlineStr">
        <is>
          <t>□ Review all Blocked tasks - escalate or reassign</t>
        </is>
      </c>
      <c r="C11" s="6" t="n"/>
      <c r="D11" s="6" t="n"/>
      <c r="E11" s="7" t="n"/>
    </row>
    <row r="12" ht="20" customHeight="1">
      <c r="B12" s="30" t="inlineStr">
        <is>
          <t>□ Review all Waiting tasks - follow up on dependencies</t>
        </is>
      </c>
      <c r="C12" s="6" t="n"/>
      <c r="D12" s="6" t="n"/>
      <c r="E12" s="7" t="n"/>
    </row>
    <row r="13" ht="20" customHeight="1">
      <c r="B13" s="30" t="inlineStr">
        <is>
          <t>□ Check for overdue tasks - adjust priority or defer</t>
        </is>
      </c>
      <c r="C13" s="6" t="n"/>
      <c r="D13" s="6" t="n"/>
      <c r="E13" s="7" t="n"/>
    </row>
    <row r="14" ht="20" customHeight="1">
      <c r="B14" s="30" t="inlineStr">
        <is>
          <t>□ Celebrate completed work from this week</t>
        </is>
      </c>
      <c r="C14" s="6" t="n"/>
      <c r="D14" s="6" t="n"/>
      <c r="E14" s="7" t="n"/>
    </row>
    <row r="15" ht="20" customHeight="1">
      <c r="B15" s="30" t="inlineStr">
        <is>
          <t>□ Identify missions with no recent activity</t>
        </is>
      </c>
      <c r="C15" s="6" t="n"/>
      <c r="D15" s="6" t="n"/>
      <c r="E15" s="7" t="n"/>
    </row>
    <row r="16" ht="20" customHeight="1">
      <c r="B16" s="30" t="inlineStr">
        <is>
          <t>□ Check for tasks with no Next Action defined</t>
        </is>
      </c>
      <c r="C16" s="6" t="n"/>
      <c r="D16" s="6" t="n"/>
      <c r="E16" s="7" t="n"/>
    </row>
    <row r="17" ht="20" customHeight="1">
      <c r="B17" s="30" t="inlineStr">
        <is>
          <t>□ Plan new missions for next week</t>
        </is>
      </c>
      <c r="C17" s="6" t="n"/>
      <c r="D17" s="6" t="n"/>
      <c r="E17" s="7" t="n"/>
    </row>
    <row r="18" ht="20" customHeight="1">
      <c r="B18" s="30" t="inlineStr">
        <is>
          <t>□ Archive completed missions</t>
        </is>
      </c>
      <c r="C18" s="6" t="n"/>
      <c r="D18" s="6" t="n"/>
      <c r="E18" s="7" t="n"/>
    </row>
  </sheetData>
  <sheetProtection selectLockedCells="0" selectUnlockedCells="0" sheet="1" objects="0" insertRows="1" insertHyperlinks="1" autoFilter="1" scenarios="0" formatColumns="1" deleteColumns="1" insertColumns="1" pivotTables="1" deleteRows="1" formatCells="1" formatRows="1" sort="1"/>
  <mergeCells count="10">
    <mergeCell ref="B17:E17"/>
    <mergeCell ref="B18:E18"/>
    <mergeCell ref="B8:E8"/>
    <mergeCell ref="B12:E12"/>
    <mergeCell ref="B13:E13"/>
    <mergeCell ref="B16:E16"/>
    <mergeCell ref="B15:E15"/>
    <mergeCell ref="B11:E11"/>
    <mergeCell ref="B10:E10"/>
    <mergeCell ref="B14:E14"/>
  </mergeCells>
  <hyperlinks>
    <hyperlink xmlns:r="http://schemas.openxmlformats.org/officeDocument/2006/relationships" ref="B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5" customWidth="1" min="12" max="12"/>
    <col width="15" customWidth="1" min="13" max="13"/>
  </cols>
  <sheetData>
    <row r="1">
      <c r="A1" s="10" t="inlineStr">
        <is>
          <t>Archive</t>
        </is>
      </c>
    </row>
    <row r="2" ht="20" customHeight="1">
      <c r="A2" s="11" t="inlineStr">
        <is>
          <t>← Home</t>
        </is>
      </c>
    </row>
    <row r="3">
      <c r="A3" s="20" t="inlineStr">
        <is>
          <t>Completed missions and archived tasks</t>
        </is>
      </c>
    </row>
    <row r="5">
      <c r="A5" s="74" t="inlineStr">
        <is>
          <t>Mission</t>
        </is>
      </c>
      <c r="B5" s="74" t="inlineStr">
        <is>
          <t>Deliverable</t>
        </is>
      </c>
      <c r="C5" s="74" t="inlineStr">
        <is>
          <t>Component</t>
        </is>
      </c>
      <c r="D5" s="74" t="inlineStr">
        <is>
          <t>Task</t>
        </is>
      </c>
      <c r="E5" s="74" t="inlineStr">
        <is>
          <t>Status</t>
        </is>
      </c>
      <c r="F5" s="74" t="inlineStr">
        <is>
          <t>Priority</t>
        </is>
      </c>
      <c r="G5" s="74" t="inlineStr">
        <is>
          <t>Energy</t>
        </is>
      </c>
      <c r="H5" s="74" t="inlineStr">
        <is>
          <t>Estimated Time</t>
        </is>
      </c>
      <c r="I5" s="74" t="inlineStr">
        <is>
          <t>Due Date</t>
        </is>
      </c>
      <c r="J5" s="74" t="inlineStr">
        <is>
          <t>Owner</t>
        </is>
      </c>
      <c r="K5" s="74" t="inlineStr">
        <is>
          <t>Notes</t>
        </is>
      </c>
      <c r="L5" s="74" t="inlineStr">
        <is>
          <t>Completed Date</t>
        </is>
      </c>
      <c r="M5" s="75" t="n"/>
    </row>
    <row r="6">
      <c r="A6" s="76" t="inlineStr">
        <is>
          <t>To archive a task: select the full row A:K on Work Register, copy, then paste into the first empty row here starting at column A — columns now line up exactly. Add today's date in Completed Date (column L), then delete the row from Work Register.</t>
        </is>
      </c>
      <c r="B6" s="19" t="n"/>
      <c r="C6" s="19" t="n"/>
      <c r="D6" s="19" t="n"/>
      <c r="E6" s="19" t="n"/>
      <c r="F6" s="19" t="n"/>
      <c r="G6" s="19" t="n"/>
      <c r="H6" s="19" t="n"/>
      <c r="I6" s="19" t="n"/>
      <c r="J6" s="19" t="n"/>
      <c r="K6" s="19" t="n"/>
      <c r="L6" s="19" t="n"/>
    </row>
    <row r="7">
      <c r="A7" s="19" t="n"/>
      <c r="B7" s="19" t="n"/>
      <c r="C7" s="19" t="n"/>
      <c r="D7" s="19" t="n"/>
      <c r="E7" s="19" t="n"/>
      <c r="F7" s="19" t="n"/>
      <c r="G7" s="19" t="n"/>
      <c r="H7" s="19" t="n"/>
      <c r="I7" s="19" t="n"/>
      <c r="J7" s="19" t="n"/>
      <c r="K7" s="19" t="n"/>
      <c r="L7" s="19" t="n"/>
    </row>
    <row r="8">
      <c r="A8" s="19" t="n"/>
      <c r="B8" s="19" t="n"/>
      <c r="C8" s="19" t="n"/>
      <c r="D8" s="19" t="n"/>
      <c r="E8" s="19" t="n"/>
      <c r="F8" s="19" t="n"/>
      <c r="G8" s="19" t="n"/>
      <c r="H8" s="19" t="n"/>
      <c r="I8" s="19" t="n"/>
      <c r="J8" s="19" t="n"/>
      <c r="K8" s="19" t="n"/>
      <c r="L8" s="19" t="n"/>
    </row>
    <row r="9">
      <c r="A9" s="19" t="n"/>
      <c r="B9" s="19" t="n"/>
      <c r="C9" s="19" t="n"/>
      <c r="D9" s="19" t="n"/>
      <c r="E9" s="19" t="n"/>
      <c r="F9" s="19" t="n"/>
      <c r="G9" s="19" t="n"/>
      <c r="H9" s="19" t="n"/>
      <c r="I9" s="19" t="n"/>
      <c r="J9" s="19" t="n"/>
      <c r="K9" s="19" t="n"/>
      <c r="L9" s="19" t="n"/>
    </row>
    <row r="10">
      <c r="A10" s="19" t="n"/>
      <c r="B10" s="19" t="n"/>
      <c r="C10" s="19" t="n"/>
      <c r="D10" s="19" t="n"/>
      <c r="E10" s="19" t="n"/>
      <c r="F10" s="19" t="n"/>
      <c r="G10" s="19" t="n"/>
      <c r="H10" s="19" t="n"/>
      <c r="I10" s="19" t="n"/>
      <c r="J10" s="19" t="n"/>
      <c r="K10" s="19" t="n"/>
      <c r="L10" s="19" t="n"/>
    </row>
    <row r="11">
      <c r="A11" s="19" t="n"/>
      <c r="B11" s="19" t="n"/>
      <c r="C11" s="19" t="n"/>
      <c r="D11" s="19" t="n"/>
      <c r="E11" s="19" t="n"/>
      <c r="F11" s="19" t="n"/>
      <c r="G11" s="19" t="n"/>
      <c r="H11" s="19" t="n"/>
      <c r="I11" s="19" t="n"/>
      <c r="J11" s="19" t="n"/>
      <c r="K11" s="19" t="n"/>
      <c r="L11" s="19" t="n"/>
    </row>
    <row r="12">
      <c r="A12" s="19" t="n"/>
      <c r="B12" s="19" t="n"/>
      <c r="C12" s="19" t="n"/>
      <c r="D12" s="19" t="n"/>
      <c r="E12" s="19" t="n"/>
      <c r="F12" s="19" t="n"/>
      <c r="G12" s="19" t="n"/>
      <c r="H12" s="19" t="n"/>
      <c r="I12" s="19" t="n"/>
      <c r="J12" s="19" t="n"/>
      <c r="K12" s="19" t="n"/>
      <c r="L12" s="19" t="n"/>
    </row>
    <row r="13">
      <c r="A13" s="19" t="n"/>
      <c r="B13" s="19" t="n"/>
      <c r="C13" s="19" t="n"/>
      <c r="D13" s="19" t="n"/>
      <c r="E13" s="19" t="n"/>
      <c r="F13" s="19" t="n"/>
      <c r="G13" s="19" t="n"/>
      <c r="H13" s="19" t="n"/>
      <c r="I13" s="19" t="n"/>
      <c r="J13" s="19" t="n"/>
      <c r="K13" s="19" t="n"/>
      <c r="L13" s="19" t="n"/>
    </row>
    <row r="14">
      <c r="A14" s="19" t="n"/>
      <c r="B14" s="19" t="n"/>
      <c r="C14" s="19" t="n"/>
      <c r="D14" s="19" t="n"/>
      <c r="E14" s="19" t="n"/>
      <c r="F14" s="19" t="n"/>
      <c r="G14" s="19" t="n"/>
      <c r="H14" s="19" t="n"/>
      <c r="I14" s="19" t="n"/>
      <c r="J14" s="19" t="n"/>
      <c r="K14" s="19" t="n"/>
      <c r="L14" s="19" t="n"/>
    </row>
    <row r="15">
      <c r="A15" s="19" t="n"/>
      <c r="B15" s="19" t="n"/>
      <c r="C15" s="19" t="n"/>
      <c r="D15" s="19" t="n"/>
      <c r="E15" s="19" t="n"/>
      <c r="F15" s="19" t="n"/>
      <c r="G15" s="19" t="n"/>
      <c r="H15" s="19" t="n"/>
      <c r="I15" s="19" t="n"/>
      <c r="J15" s="19" t="n"/>
      <c r="K15" s="19" t="n"/>
      <c r="L15" s="19" t="n"/>
    </row>
    <row r="16">
      <c r="A16" s="19" t="n"/>
      <c r="B16" s="19" t="n"/>
      <c r="C16" s="19" t="n"/>
      <c r="D16" s="19" t="n"/>
      <c r="E16" s="19" t="n"/>
      <c r="F16" s="19" t="n"/>
      <c r="G16" s="19" t="n"/>
      <c r="H16" s="19" t="n"/>
      <c r="I16" s="19" t="n"/>
      <c r="J16" s="19" t="n"/>
      <c r="K16" s="19" t="n"/>
      <c r="L16" s="19" t="n"/>
    </row>
    <row r="17">
      <c r="A17" s="19" t="n"/>
      <c r="B17" s="19" t="n"/>
      <c r="C17" s="19" t="n"/>
      <c r="D17" s="19" t="n"/>
      <c r="E17" s="19" t="n"/>
      <c r="F17" s="19" t="n"/>
      <c r="G17" s="19" t="n"/>
      <c r="H17" s="19" t="n"/>
      <c r="I17" s="19" t="n"/>
      <c r="J17" s="19" t="n"/>
      <c r="K17" s="19" t="n"/>
      <c r="L17" s="19" t="n"/>
    </row>
    <row r="18">
      <c r="A18" s="19" t="n"/>
      <c r="B18" s="19" t="n"/>
      <c r="C18" s="19" t="n"/>
      <c r="D18" s="19" t="n"/>
      <c r="E18" s="19" t="n"/>
      <c r="F18" s="19" t="n"/>
      <c r="G18" s="19" t="n"/>
      <c r="H18" s="19" t="n"/>
      <c r="I18" s="19" t="n"/>
      <c r="J18" s="19" t="n"/>
      <c r="K18" s="19" t="n"/>
      <c r="L18" s="19" t="n"/>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19" t="n"/>
      <c r="I20" s="19" t="n"/>
      <c r="J20" s="19" t="n"/>
      <c r="K20" s="19" t="n"/>
      <c r="L20" s="19" t="n"/>
    </row>
    <row r="21">
      <c r="A21" s="19" t="n"/>
      <c r="B21" s="19" t="n"/>
      <c r="C21" s="19" t="n"/>
      <c r="D21" s="19" t="n"/>
      <c r="E21" s="19" t="n"/>
      <c r="F21" s="19" t="n"/>
      <c r="G21" s="19" t="n"/>
      <c r="H21" s="19" t="n"/>
      <c r="I21" s="19" t="n"/>
      <c r="J21" s="19" t="n"/>
      <c r="K21" s="19" t="n"/>
      <c r="L21" s="19" t="n"/>
    </row>
    <row r="22">
      <c r="A22" s="19" t="n"/>
      <c r="B22" s="19" t="n"/>
      <c r="C22" s="19" t="n"/>
      <c r="D22" s="19" t="n"/>
      <c r="E22" s="19" t="n"/>
      <c r="F22" s="19" t="n"/>
      <c r="G22" s="19" t="n"/>
      <c r="H22" s="19" t="n"/>
      <c r="I22" s="19" t="n"/>
      <c r="J22" s="19" t="n"/>
      <c r="K22" s="19" t="n"/>
      <c r="L22" s="19" t="n"/>
    </row>
    <row r="23">
      <c r="A23" s="19" t="n"/>
      <c r="B23" s="19" t="n"/>
      <c r="C23" s="19" t="n"/>
      <c r="D23" s="19" t="n"/>
      <c r="E23" s="19" t="n"/>
      <c r="F23" s="19" t="n"/>
      <c r="G23" s="19" t="n"/>
      <c r="H23" s="19" t="n"/>
      <c r="I23" s="19" t="n"/>
      <c r="J23" s="19" t="n"/>
      <c r="K23" s="19" t="n"/>
      <c r="L23" s="19" t="n"/>
    </row>
    <row r="24">
      <c r="A24" s="19" t="n"/>
      <c r="B24" s="19" t="n"/>
      <c r="C24" s="19" t="n"/>
      <c r="D24" s="19" t="n"/>
      <c r="E24" s="19" t="n"/>
      <c r="F24" s="19" t="n"/>
      <c r="G24" s="19" t="n"/>
      <c r="H24" s="19" t="n"/>
      <c r="I24" s="19" t="n"/>
      <c r="J24" s="19" t="n"/>
      <c r="K24" s="19" t="n"/>
      <c r="L24" s="19" t="n"/>
    </row>
    <row r="25">
      <c r="A25" s="19" t="n"/>
      <c r="B25" s="19" t="n"/>
      <c r="C25" s="19" t="n"/>
      <c r="D25" s="19" t="n"/>
      <c r="E25" s="19" t="n"/>
      <c r="F25" s="19" t="n"/>
      <c r="G25" s="19" t="n"/>
      <c r="H25" s="19" t="n"/>
      <c r="I25" s="19" t="n"/>
      <c r="J25" s="19" t="n"/>
      <c r="K25" s="19" t="n"/>
      <c r="L25" s="19" t="n"/>
    </row>
    <row r="26">
      <c r="A26" s="19" t="n"/>
      <c r="B26" s="19" t="n"/>
      <c r="C26" s="19" t="n"/>
      <c r="D26" s="19" t="n"/>
      <c r="E26" s="19" t="n"/>
      <c r="F26" s="19" t="n"/>
      <c r="G26" s="19" t="n"/>
      <c r="H26" s="19" t="n"/>
      <c r="I26" s="19" t="n"/>
      <c r="J26" s="19" t="n"/>
      <c r="K26" s="19" t="n"/>
      <c r="L26" s="19" t="n"/>
    </row>
    <row r="27">
      <c r="A27" s="19" t="n"/>
      <c r="B27" s="19" t="n"/>
      <c r="C27" s="19" t="n"/>
      <c r="D27" s="19" t="n"/>
      <c r="E27" s="19" t="n"/>
      <c r="F27" s="19" t="n"/>
      <c r="G27" s="19" t="n"/>
      <c r="H27" s="19" t="n"/>
      <c r="I27" s="19" t="n"/>
      <c r="J27" s="19" t="n"/>
      <c r="K27" s="19" t="n"/>
      <c r="L27" s="19" t="n"/>
    </row>
    <row r="28">
      <c r="A28" s="19" t="n"/>
      <c r="B28" s="19" t="n"/>
      <c r="C28" s="19" t="n"/>
      <c r="D28" s="19" t="n"/>
      <c r="E28" s="19" t="n"/>
      <c r="F28" s="19" t="n"/>
      <c r="G28" s="19" t="n"/>
      <c r="H28" s="19" t="n"/>
      <c r="I28" s="19" t="n"/>
      <c r="J28" s="19" t="n"/>
      <c r="K28" s="19" t="n"/>
      <c r="L28" s="19" t="n"/>
    </row>
    <row r="29">
      <c r="A29" s="19" t="n"/>
      <c r="B29" s="19" t="n"/>
      <c r="C29" s="19" t="n"/>
      <c r="D29" s="19" t="n"/>
      <c r="E29" s="19" t="n"/>
      <c r="F29" s="19" t="n"/>
      <c r="G29" s="19" t="n"/>
      <c r="H29" s="19" t="n"/>
      <c r="I29" s="19" t="n"/>
      <c r="J29" s="19" t="n"/>
      <c r="K29" s="19" t="n"/>
      <c r="L29" s="19" t="n"/>
    </row>
    <row r="30">
      <c r="A30" s="19" t="n"/>
      <c r="B30" s="19" t="n"/>
      <c r="C30" s="19" t="n"/>
      <c r="D30" s="19" t="n"/>
      <c r="E30" s="19" t="n"/>
      <c r="F30" s="19" t="n"/>
      <c r="G30" s="19" t="n"/>
      <c r="H30" s="19" t="n"/>
      <c r="I30" s="19" t="n"/>
      <c r="J30" s="19" t="n"/>
      <c r="K30" s="19" t="n"/>
      <c r="L30" s="19" t="n"/>
    </row>
    <row r="31">
      <c r="A31" s="19" t="n"/>
      <c r="B31" s="19" t="n"/>
      <c r="C31" s="19" t="n"/>
      <c r="D31" s="19" t="n"/>
      <c r="E31" s="19" t="n"/>
      <c r="F31" s="19" t="n"/>
      <c r="G31" s="19" t="n"/>
      <c r="H31" s="19" t="n"/>
      <c r="I31" s="19" t="n"/>
      <c r="J31" s="19" t="n"/>
      <c r="K31" s="19" t="n"/>
      <c r="L31" s="19" t="n"/>
    </row>
    <row r="32">
      <c r="A32" s="19" t="n"/>
      <c r="B32" s="19" t="n"/>
      <c r="C32" s="19" t="n"/>
      <c r="D32" s="19" t="n"/>
      <c r="E32" s="19" t="n"/>
      <c r="F32" s="19" t="n"/>
      <c r="G32" s="19" t="n"/>
      <c r="H32" s="19" t="n"/>
      <c r="I32" s="19" t="n"/>
      <c r="J32" s="19" t="n"/>
      <c r="K32" s="19" t="n"/>
      <c r="L32" s="19" t="n"/>
    </row>
    <row r="33">
      <c r="A33" s="19" t="n"/>
      <c r="B33" s="19" t="n"/>
      <c r="C33" s="19" t="n"/>
      <c r="D33" s="19" t="n"/>
      <c r="E33" s="19" t="n"/>
      <c r="F33" s="19" t="n"/>
      <c r="G33" s="19" t="n"/>
      <c r="H33" s="19" t="n"/>
      <c r="I33" s="19" t="n"/>
      <c r="J33" s="19" t="n"/>
      <c r="K33" s="19" t="n"/>
      <c r="L33" s="19" t="n"/>
    </row>
    <row r="34">
      <c r="A34" s="19" t="n"/>
      <c r="B34" s="19" t="n"/>
      <c r="C34" s="19" t="n"/>
      <c r="D34" s="19" t="n"/>
      <c r="E34" s="19" t="n"/>
      <c r="F34" s="19" t="n"/>
      <c r="G34" s="19" t="n"/>
      <c r="H34" s="19" t="n"/>
      <c r="I34" s="19" t="n"/>
      <c r="J34" s="19" t="n"/>
      <c r="K34" s="19" t="n"/>
      <c r="L34" s="19" t="n"/>
    </row>
    <row r="35">
      <c r="A35" s="19" t="n"/>
      <c r="B35" s="19" t="n"/>
      <c r="C35" s="19" t="n"/>
      <c r="D35" s="19" t="n"/>
      <c r="E35" s="19" t="n"/>
      <c r="F35" s="19" t="n"/>
      <c r="G35" s="19" t="n"/>
      <c r="H35" s="19" t="n"/>
      <c r="I35" s="19" t="n"/>
      <c r="J35" s="19" t="n"/>
      <c r="K35" s="19" t="n"/>
      <c r="L35" s="19" t="n"/>
    </row>
    <row r="36">
      <c r="A36" s="19" t="n"/>
      <c r="B36" s="19" t="n"/>
      <c r="C36" s="19" t="n"/>
      <c r="D36" s="19" t="n"/>
      <c r="E36" s="19" t="n"/>
      <c r="F36" s="19" t="n"/>
      <c r="G36" s="19" t="n"/>
      <c r="H36" s="19" t="n"/>
      <c r="I36" s="19" t="n"/>
      <c r="J36" s="19" t="n"/>
      <c r="K36" s="19" t="n"/>
      <c r="L36" s="19" t="n"/>
    </row>
    <row r="37">
      <c r="A37" s="19" t="n"/>
      <c r="B37" s="19" t="n"/>
      <c r="C37" s="19" t="n"/>
      <c r="D37" s="19" t="n"/>
      <c r="E37" s="19" t="n"/>
      <c r="F37" s="19" t="n"/>
      <c r="G37" s="19" t="n"/>
      <c r="H37" s="19" t="n"/>
      <c r="I37" s="19" t="n"/>
      <c r="J37" s="19" t="n"/>
      <c r="K37" s="19" t="n"/>
      <c r="L37" s="19" t="n"/>
    </row>
    <row r="38">
      <c r="A38" s="19" t="n"/>
      <c r="B38" s="19" t="n"/>
      <c r="C38" s="19" t="n"/>
      <c r="D38" s="19" t="n"/>
      <c r="E38" s="19" t="n"/>
      <c r="F38" s="19" t="n"/>
      <c r="G38" s="19" t="n"/>
      <c r="H38" s="19" t="n"/>
      <c r="I38" s="19" t="n"/>
      <c r="J38" s="19" t="n"/>
      <c r="K38" s="19" t="n"/>
      <c r="L38" s="19" t="n"/>
    </row>
    <row r="39">
      <c r="A39" s="19" t="n"/>
      <c r="B39" s="19" t="n"/>
      <c r="C39" s="19" t="n"/>
      <c r="D39" s="19" t="n"/>
      <c r="E39" s="19" t="n"/>
      <c r="F39" s="19" t="n"/>
      <c r="G39" s="19" t="n"/>
      <c r="H39" s="19" t="n"/>
      <c r="I39" s="19" t="n"/>
      <c r="J39" s="19" t="n"/>
      <c r="K39" s="19" t="n"/>
      <c r="L39" s="19" t="n"/>
    </row>
    <row r="40">
      <c r="A40" s="19" t="n"/>
      <c r="B40" s="19" t="n"/>
      <c r="C40" s="19" t="n"/>
      <c r="D40" s="19" t="n"/>
      <c r="E40" s="19" t="n"/>
      <c r="F40" s="19" t="n"/>
      <c r="G40" s="19" t="n"/>
      <c r="H40" s="19" t="n"/>
      <c r="I40" s="19" t="n"/>
      <c r="J40" s="19" t="n"/>
      <c r="K40" s="19" t="n"/>
      <c r="L40" s="19" t="n"/>
    </row>
    <row r="41">
      <c r="A41" s="19" t="n"/>
      <c r="B41" s="19" t="n"/>
      <c r="C41" s="19" t="n"/>
      <c r="D41" s="19" t="n"/>
      <c r="E41" s="19" t="n"/>
      <c r="F41" s="19" t="n"/>
      <c r="G41" s="19" t="n"/>
      <c r="H41" s="19" t="n"/>
      <c r="I41" s="19" t="n"/>
      <c r="J41" s="19" t="n"/>
      <c r="K41" s="19" t="n"/>
      <c r="L41" s="19" t="n"/>
    </row>
    <row r="42">
      <c r="A42" s="19" t="n"/>
      <c r="B42" s="19" t="n"/>
      <c r="C42" s="19" t="n"/>
      <c r="D42" s="19" t="n"/>
      <c r="E42" s="19" t="n"/>
      <c r="F42" s="19" t="n"/>
      <c r="G42" s="19" t="n"/>
      <c r="H42" s="19" t="n"/>
      <c r="I42" s="19" t="n"/>
      <c r="J42" s="19" t="n"/>
      <c r="K42" s="19" t="n"/>
      <c r="L42" s="19" t="n"/>
    </row>
    <row r="43">
      <c r="A43" s="19" t="n"/>
      <c r="B43" s="19" t="n"/>
      <c r="C43" s="19" t="n"/>
      <c r="D43" s="19" t="n"/>
      <c r="E43" s="19" t="n"/>
      <c r="F43" s="19" t="n"/>
      <c r="G43" s="19" t="n"/>
      <c r="H43" s="19" t="n"/>
      <c r="I43" s="19" t="n"/>
      <c r="J43" s="19" t="n"/>
      <c r="K43" s="19" t="n"/>
      <c r="L43" s="19" t="n"/>
    </row>
    <row r="44">
      <c r="A44" s="19" t="n"/>
      <c r="B44" s="19" t="n"/>
      <c r="C44" s="19" t="n"/>
      <c r="D44" s="19" t="n"/>
      <c r="E44" s="19" t="n"/>
      <c r="F44" s="19" t="n"/>
      <c r="G44" s="19" t="n"/>
      <c r="H44" s="19" t="n"/>
      <c r="I44" s="19" t="n"/>
      <c r="J44" s="19" t="n"/>
      <c r="K44" s="19" t="n"/>
      <c r="L44" s="19" t="n"/>
    </row>
    <row r="45">
      <c r="A45" s="19" t="n"/>
      <c r="B45" s="19" t="n"/>
      <c r="C45" s="19" t="n"/>
      <c r="D45" s="19" t="n"/>
      <c r="E45" s="19" t="n"/>
      <c r="F45" s="19" t="n"/>
      <c r="G45" s="19" t="n"/>
      <c r="H45" s="19" t="n"/>
      <c r="I45" s="19" t="n"/>
      <c r="J45" s="19" t="n"/>
      <c r="K45" s="19" t="n"/>
      <c r="L45" s="19" t="n"/>
    </row>
    <row r="46">
      <c r="A46" s="19" t="n"/>
      <c r="B46" s="19" t="n"/>
      <c r="C46" s="19" t="n"/>
      <c r="D46" s="19" t="n"/>
      <c r="E46" s="19" t="n"/>
      <c r="F46" s="19" t="n"/>
      <c r="G46" s="19" t="n"/>
      <c r="H46" s="19" t="n"/>
      <c r="I46" s="19" t="n"/>
      <c r="J46" s="19" t="n"/>
      <c r="K46" s="19" t="n"/>
      <c r="L46" s="19" t="n"/>
    </row>
    <row r="47">
      <c r="A47" s="19" t="n"/>
      <c r="B47" s="19" t="n"/>
      <c r="C47" s="19" t="n"/>
      <c r="D47" s="19" t="n"/>
      <c r="E47" s="19" t="n"/>
      <c r="F47" s="19" t="n"/>
      <c r="G47" s="19" t="n"/>
      <c r="H47" s="19" t="n"/>
      <c r="I47" s="19" t="n"/>
      <c r="J47" s="19" t="n"/>
      <c r="K47" s="19" t="n"/>
      <c r="L47" s="19" t="n"/>
    </row>
    <row r="48">
      <c r="A48" s="19" t="n"/>
      <c r="B48" s="19" t="n"/>
      <c r="C48" s="19" t="n"/>
      <c r="D48" s="19" t="n"/>
      <c r="E48" s="19" t="n"/>
      <c r="F48" s="19" t="n"/>
      <c r="G48" s="19" t="n"/>
      <c r="H48" s="19" t="n"/>
      <c r="I48" s="19" t="n"/>
      <c r="J48" s="19" t="n"/>
      <c r="K48" s="19" t="n"/>
      <c r="L48" s="19" t="n"/>
    </row>
    <row r="49">
      <c r="A49" s="19" t="n"/>
      <c r="B49" s="19" t="n"/>
      <c r="C49" s="19" t="n"/>
      <c r="D49" s="19" t="n"/>
      <c r="E49" s="19" t="n"/>
      <c r="F49" s="19" t="n"/>
      <c r="G49" s="19" t="n"/>
      <c r="H49" s="19" t="n"/>
      <c r="I49" s="19" t="n"/>
      <c r="J49" s="19" t="n"/>
      <c r="K49" s="19" t="n"/>
      <c r="L49" s="19" t="n"/>
    </row>
    <row r="50">
      <c r="A50" s="19" t="n"/>
      <c r="B50" s="19" t="n"/>
      <c r="C50" s="19" t="n"/>
      <c r="D50" s="19" t="n"/>
      <c r="E50" s="19" t="n"/>
      <c r="F50" s="19" t="n"/>
      <c r="G50" s="19" t="n"/>
      <c r="H50" s="19" t="n"/>
      <c r="I50" s="19" t="n"/>
      <c r="J50" s="19" t="n"/>
      <c r="K50" s="19" t="n"/>
      <c r="L50" s="19" t="n"/>
    </row>
    <row r="51">
      <c r="A51" s="19" t="n"/>
      <c r="B51" s="19" t="n"/>
      <c r="C51" s="19" t="n"/>
      <c r="D51" s="19" t="n"/>
      <c r="E51" s="19" t="n"/>
      <c r="F51" s="19" t="n"/>
      <c r="G51" s="19" t="n"/>
      <c r="H51" s="19" t="n"/>
      <c r="I51" s="19" t="n"/>
      <c r="J51" s="19" t="n"/>
      <c r="K51" s="19" t="n"/>
      <c r="L51" s="19" t="n"/>
    </row>
    <row r="52">
      <c r="A52" s="19" t="n"/>
      <c r="B52" s="19" t="n"/>
      <c r="C52" s="19" t="n"/>
      <c r="D52" s="19" t="n"/>
      <c r="E52" s="19" t="n"/>
      <c r="F52" s="19" t="n"/>
      <c r="G52" s="19" t="n"/>
      <c r="H52" s="19" t="n"/>
      <c r="I52" s="19" t="n"/>
      <c r="J52" s="19" t="n"/>
      <c r="K52" s="19" t="n"/>
      <c r="L52" s="19" t="n"/>
    </row>
    <row r="53">
      <c r="A53" s="19" t="n"/>
      <c r="B53" s="19" t="n"/>
      <c r="C53" s="19" t="n"/>
      <c r="D53" s="19" t="n"/>
      <c r="E53" s="19" t="n"/>
      <c r="F53" s="19" t="n"/>
      <c r="G53" s="19" t="n"/>
      <c r="H53" s="19" t="n"/>
      <c r="I53" s="19" t="n"/>
      <c r="J53" s="19" t="n"/>
      <c r="K53" s="19" t="n"/>
      <c r="L53" s="19" t="n"/>
    </row>
    <row r="54">
      <c r="A54" s="19" t="n"/>
      <c r="B54" s="19" t="n"/>
      <c r="C54" s="19" t="n"/>
      <c r="D54" s="19" t="n"/>
      <c r="E54" s="19" t="n"/>
      <c r="F54" s="19" t="n"/>
      <c r="G54" s="19" t="n"/>
      <c r="H54" s="19" t="n"/>
      <c r="I54" s="19" t="n"/>
      <c r="J54" s="19" t="n"/>
      <c r="K54" s="19" t="n"/>
      <c r="L54" s="19" t="n"/>
    </row>
    <row r="55">
      <c r="A55" s="19" t="n"/>
      <c r="B55" s="19" t="n"/>
      <c r="C55" s="19" t="n"/>
      <c r="D55" s="19" t="n"/>
      <c r="E55" s="19" t="n"/>
      <c r="F55" s="19" t="n"/>
      <c r="G55" s="19" t="n"/>
      <c r="H55" s="19" t="n"/>
      <c r="I55" s="19" t="n"/>
      <c r="J55" s="19" t="n"/>
      <c r="K55" s="19" t="n"/>
      <c r="L55" s="19" t="n"/>
    </row>
    <row r="56">
      <c r="A56" s="19" t="n"/>
      <c r="B56" s="19" t="n"/>
      <c r="C56" s="19" t="n"/>
      <c r="D56" s="19" t="n"/>
      <c r="E56" s="19" t="n"/>
      <c r="F56" s="19" t="n"/>
      <c r="G56" s="19" t="n"/>
      <c r="H56" s="19" t="n"/>
      <c r="I56" s="19" t="n"/>
      <c r="J56" s="19" t="n"/>
      <c r="K56" s="19" t="n"/>
      <c r="L56" s="19" t="n"/>
    </row>
    <row r="57">
      <c r="A57" s="19" t="n"/>
      <c r="B57" s="19" t="n"/>
      <c r="C57" s="19" t="n"/>
      <c r="D57" s="19" t="n"/>
      <c r="E57" s="19" t="n"/>
      <c r="F57" s="19" t="n"/>
      <c r="G57" s="19" t="n"/>
      <c r="H57" s="19" t="n"/>
      <c r="I57" s="19" t="n"/>
      <c r="J57" s="19" t="n"/>
      <c r="K57" s="19" t="n"/>
      <c r="L57" s="19" t="n"/>
    </row>
    <row r="58">
      <c r="A58" s="19" t="n"/>
      <c r="B58" s="19" t="n"/>
      <c r="C58" s="19" t="n"/>
      <c r="D58" s="19" t="n"/>
      <c r="E58" s="19" t="n"/>
      <c r="F58" s="19" t="n"/>
      <c r="G58" s="19" t="n"/>
      <c r="H58" s="19" t="n"/>
      <c r="I58" s="19" t="n"/>
      <c r="J58" s="19" t="n"/>
      <c r="K58" s="19" t="n"/>
      <c r="L58" s="19" t="n"/>
    </row>
    <row r="59">
      <c r="A59" s="19" t="n"/>
      <c r="B59" s="19" t="n"/>
      <c r="C59" s="19" t="n"/>
      <c r="D59" s="19" t="n"/>
      <c r="E59" s="19" t="n"/>
      <c r="F59" s="19" t="n"/>
      <c r="G59" s="19" t="n"/>
      <c r="H59" s="19" t="n"/>
      <c r="I59" s="19" t="n"/>
      <c r="J59" s="19" t="n"/>
      <c r="K59" s="19" t="n"/>
      <c r="L59" s="19" t="n"/>
    </row>
    <row r="60">
      <c r="A60" s="19" t="n"/>
      <c r="B60" s="19" t="n"/>
      <c r="C60" s="19" t="n"/>
      <c r="D60" s="19" t="n"/>
      <c r="E60" s="19" t="n"/>
      <c r="F60" s="19" t="n"/>
      <c r="G60" s="19" t="n"/>
      <c r="H60" s="19" t="n"/>
      <c r="I60" s="19" t="n"/>
      <c r="J60" s="19" t="n"/>
      <c r="K60" s="19" t="n"/>
      <c r="L60" s="19" t="n"/>
    </row>
    <row r="61">
      <c r="A61" s="19" t="n"/>
      <c r="B61" s="19" t="n"/>
      <c r="C61" s="19" t="n"/>
      <c r="D61" s="19" t="n"/>
      <c r="E61" s="19" t="n"/>
      <c r="F61" s="19" t="n"/>
      <c r="G61" s="19" t="n"/>
      <c r="H61" s="19" t="n"/>
      <c r="I61" s="19" t="n"/>
      <c r="J61" s="19" t="n"/>
      <c r="K61" s="19" t="n"/>
      <c r="L61" s="19" t="n"/>
    </row>
    <row r="62">
      <c r="A62" s="19" t="n"/>
      <c r="B62" s="19" t="n"/>
      <c r="C62" s="19" t="n"/>
      <c r="D62" s="19" t="n"/>
      <c r="E62" s="19" t="n"/>
      <c r="F62" s="19" t="n"/>
      <c r="G62" s="19" t="n"/>
      <c r="H62" s="19" t="n"/>
      <c r="I62" s="19" t="n"/>
      <c r="J62" s="19" t="n"/>
      <c r="K62" s="19" t="n"/>
      <c r="L62" s="19" t="n"/>
    </row>
    <row r="63">
      <c r="A63" s="19" t="n"/>
      <c r="B63" s="19" t="n"/>
      <c r="C63" s="19" t="n"/>
      <c r="D63" s="19" t="n"/>
      <c r="E63" s="19" t="n"/>
      <c r="F63" s="19" t="n"/>
      <c r="G63" s="19" t="n"/>
      <c r="H63" s="19" t="n"/>
      <c r="I63" s="19" t="n"/>
      <c r="J63" s="19" t="n"/>
      <c r="K63" s="19" t="n"/>
      <c r="L63" s="19" t="n"/>
    </row>
    <row r="64">
      <c r="A64" s="19" t="n"/>
      <c r="B64" s="19" t="n"/>
      <c r="C64" s="19" t="n"/>
      <c r="D64" s="19" t="n"/>
      <c r="E64" s="19" t="n"/>
      <c r="F64" s="19" t="n"/>
      <c r="G64" s="19" t="n"/>
      <c r="H64" s="19" t="n"/>
      <c r="I64" s="19" t="n"/>
      <c r="J64" s="19" t="n"/>
      <c r="K64" s="19" t="n"/>
      <c r="L64" s="19" t="n"/>
    </row>
    <row r="65">
      <c r="A65" s="19" t="n"/>
      <c r="B65" s="19" t="n"/>
      <c r="C65" s="19" t="n"/>
      <c r="D65" s="19" t="n"/>
      <c r="E65" s="19" t="n"/>
      <c r="F65" s="19" t="n"/>
      <c r="G65" s="19" t="n"/>
      <c r="H65" s="19" t="n"/>
      <c r="I65" s="19" t="n"/>
      <c r="J65" s="19" t="n"/>
      <c r="K65" s="19" t="n"/>
      <c r="L65" s="19" t="n"/>
    </row>
    <row r="66">
      <c r="A66" s="19" t="n"/>
      <c r="B66" s="19" t="n"/>
      <c r="C66" s="19" t="n"/>
      <c r="D66" s="19" t="n"/>
      <c r="E66" s="19" t="n"/>
      <c r="F66" s="19" t="n"/>
      <c r="G66" s="19" t="n"/>
      <c r="H66" s="19" t="n"/>
      <c r="I66" s="19" t="n"/>
      <c r="J66" s="19" t="n"/>
      <c r="K66" s="19" t="n"/>
      <c r="L66" s="19" t="n"/>
    </row>
    <row r="67">
      <c r="A67" s="19" t="n"/>
      <c r="B67" s="19" t="n"/>
      <c r="C67" s="19" t="n"/>
      <c r="D67" s="19" t="n"/>
      <c r="E67" s="19" t="n"/>
      <c r="F67" s="19" t="n"/>
      <c r="G67" s="19" t="n"/>
      <c r="H67" s="19" t="n"/>
      <c r="I67" s="19" t="n"/>
      <c r="J67" s="19" t="n"/>
      <c r="K67" s="19" t="n"/>
      <c r="L67" s="19" t="n"/>
    </row>
    <row r="68">
      <c r="A68" s="19" t="n"/>
      <c r="B68" s="19" t="n"/>
      <c r="C68" s="19" t="n"/>
      <c r="D68" s="19" t="n"/>
      <c r="E68" s="19" t="n"/>
      <c r="F68" s="19" t="n"/>
      <c r="G68" s="19" t="n"/>
      <c r="H68" s="19" t="n"/>
      <c r="I68" s="19" t="n"/>
      <c r="J68" s="19" t="n"/>
      <c r="K68" s="19" t="n"/>
      <c r="L68" s="19" t="n"/>
    </row>
    <row r="69">
      <c r="A69" s="19" t="n"/>
      <c r="B69" s="19" t="n"/>
      <c r="C69" s="19" t="n"/>
      <c r="D69" s="19" t="n"/>
      <c r="E69" s="19" t="n"/>
      <c r="F69" s="19" t="n"/>
      <c r="G69" s="19" t="n"/>
      <c r="H69" s="19" t="n"/>
      <c r="I69" s="19" t="n"/>
      <c r="J69" s="19" t="n"/>
      <c r="K69" s="19" t="n"/>
      <c r="L69" s="19" t="n"/>
    </row>
    <row r="70">
      <c r="A70" s="19" t="n"/>
      <c r="B70" s="19" t="n"/>
      <c r="C70" s="19" t="n"/>
      <c r="D70" s="19" t="n"/>
      <c r="E70" s="19" t="n"/>
      <c r="F70" s="19" t="n"/>
      <c r="G70" s="19" t="n"/>
      <c r="H70" s="19" t="n"/>
      <c r="I70" s="19" t="n"/>
      <c r="J70" s="19" t="n"/>
      <c r="K70" s="19" t="n"/>
      <c r="L70" s="19" t="n"/>
    </row>
    <row r="71">
      <c r="A71" s="19" t="n"/>
      <c r="B71" s="19" t="n"/>
      <c r="C71" s="19" t="n"/>
      <c r="D71" s="19" t="n"/>
      <c r="E71" s="19" t="n"/>
      <c r="F71" s="19" t="n"/>
      <c r="G71" s="19" t="n"/>
      <c r="H71" s="19" t="n"/>
      <c r="I71" s="19" t="n"/>
      <c r="J71" s="19" t="n"/>
      <c r="K71" s="19" t="n"/>
      <c r="L71" s="19" t="n"/>
    </row>
    <row r="72">
      <c r="A72" s="19" t="n"/>
      <c r="B72" s="19" t="n"/>
      <c r="C72" s="19" t="n"/>
      <c r="D72" s="19" t="n"/>
      <c r="E72" s="19" t="n"/>
      <c r="F72" s="19" t="n"/>
      <c r="G72" s="19" t="n"/>
      <c r="H72" s="19" t="n"/>
      <c r="I72" s="19" t="n"/>
      <c r="J72" s="19" t="n"/>
      <c r="K72" s="19" t="n"/>
      <c r="L72" s="19" t="n"/>
    </row>
    <row r="73">
      <c r="A73" s="19" t="n"/>
      <c r="B73" s="19" t="n"/>
      <c r="C73" s="19" t="n"/>
      <c r="D73" s="19" t="n"/>
      <c r="E73" s="19" t="n"/>
      <c r="F73" s="19" t="n"/>
      <c r="G73" s="19" t="n"/>
      <c r="H73" s="19" t="n"/>
      <c r="I73" s="19" t="n"/>
      <c r="J73" s="19" t="n"/>
      <c r="K73" s="19" t="n"/>
      <c r="L73" s="19" t="n"/>
    </row>
    <row r="74">
      <c r="A74" s="19" t="n"/>
      <c r="B74" s="19" t="n"/>
      <c r="C74" s="19" t="n"/>
      <c r="D74" s="19" t="n"/>
      <c r="E74" s="19" t="n"/>
      <c r="F74" s="19" t="n"/>
      <c r="G74" s="19" t="n"/>
      <c r="H74" s="19" t="n"/>
      <c r="I74" s="19" t="n"/>
      <c r="J74" s="19" t="n"/>
      <c r="K74" s="19" t="n"/>
      <c r="L74" s="19" t="n"/>
    </row>
    <row r="75">
      <c r="A75" s="19" t="n"/>
      <c r="B75" s="19" t="n"/>
      <c r="C75" s="19" t="n"/>
      <c r="D75" s="19" t="n"/>
      <c r="E75" s="19" t="n"/>
      <c r="F75" s="19" t="n"/>
      <c r="G75" s="19" t="n"/>
      <c r="H75" s="19" t="n"/>
      <c r="I75" s="19" t="n"/>
      <c r="J75" s="19" t="n"/>
      <c r="K75" s="19" t="n"/>
      <c r="L75" s="19" t="n"/>
    </row>
    <row r="76">
      <c r="A76" s="19" t="n"/>
      <c r="B76" s="19" t="n"/>
      <c r="C76" s="19" t="n"/>
      <c r="D76" s="19" t="n"/>
      <c r="E76" s="19" t="n"/>
      <c r="F76" s="19" t="n"/>
      <c r="G76" s="19" t="n"/>
      <c r="H76" s="19" t="n"/>
      <c r="I76" s="19" t="n"/>
      <c r="J76" s="19" t="n"/>
      <c r="K76" s="19" t="n"/>
      <c r="L76" s="19" t="n"/>
    </row>
    <row r="77">
      <c r="A77" s="19" t="n"/>
      <c r="B77" s="19" t="n"/>
      <c r="C77" s="19" t="n"/>
      <c r="D77" s="19" t="n"/>
      <c r="E77" s="19" t="n"/>
      <c r="F77" s="19" t="n"/>
      <c r="G77" s="19" t="n"/>
      <c r="H77" s="19" t="n"/>
      <c r="I77" s="19" t="n"/>
      <c r="J77" s="19" t="n"/>
      <c r="K77" s="19" t="n"/>
      <c r="L77" s="19" t="n"/>
    </row>
    <row r="78">
      <c r="A78" s="19" t="n"/>
      <c r="B78" s="19" t="n"/>
      <c r="C78" s="19" t="n"/>
      <c r="D78" s="19" t="n"/>
      <c r="E78" s="19" t="n"/>
      <c r="F78" s="19" t="n"/>
      <c r="G78" s="19" t="n"/>
      <c r="H78" s="19" t="n"/>
      <c r="I78" s="19" t="n"/>
      <c r="J78" s="19" t="n"/>
      <c r="K78" s="19" t="n"/>
      <c r="L78" s="19" t="n"/>
    </row>
    <row r="79">
      <c r="A79" s="19" t="n"/>
      <c r="B79" s="19" t="n"/>
      <c r="C79" s="19" t="n"/>
      <c r="D79" s="19" t="n"/>
      <c r="E79" s="19" t="n"/>
      <c r="F79" s="19" t="n"/>
      <c r="G79" s="19" t="n"/>
      <c r="H79" s="19" t="n"/>
      <c r="I79" s="19" t="n"/>
      <c r="J79" s="19" t="n"/>
      <c r="K79" s="19" t="n"/>
      <c r="L79" s="19" t="n"/>
    </row>
    <row r="80">
      <c r="A80" s="19" t="n"/>
      <c r="B80" s="19" t="n"/>
      <c r="C80" s="19" t="n"/>
      <c r="D80" s="19" t="n"/>
      <c r="E80" s="19" t="n"/>
      <c r="F80" s="19" t="n"/>
      <c r="G80" s="19" t="n"/>
      <c r="H80" s="19" t="n"/>
      <c r="I80" s="19" t="n"/>
      <c r="J80" s="19" t="n"/>
      <c r="K80" s="19" t="n"/>
      <c r="L80" s="19" t="n"/>
    </row>
    <row r="81">
      <c r="A81" s="19" t="n"/>
      <c r="B81" s="19" t="n"/>
      <c r="C81" s="19" t="n"/>
      <c r="D81" s="19" t="n"/>
      <c r="E81" s="19" t="n"/>
      <c r="F81" s="19" t="n"/>
      <c r="G81" s="19" t="n"/>
      <c r="H81" s="19" t="n"/>
      <c r="I81" s="19" t="n"/>
      <c r="J81" s="19" t="n"/>
      <c r="K81" s="19" t="n"/>
      <c r="L81" s="19" t="n"/>
    </row>
    <row r="82">
      <c r="A82" s="19" t="n"/>
      <c r="B82" s="19" t="n"/>
      <c r="C82" s="19" t="n"/>
      <c r="D82" s="19" t="n"/>
      <c r="E82" s="19" t="n"/>
      <c r="F82" s="19" t="n"/>
      <c r="G82" s="19" t="n"/>
      <c r="H82" s="19" t="n"/>
      <c r="I82" s="19" t="n"/>
      <c r="J82" s="19" t="n"/>
      <c r="K82" s="19" t="n"/>
      <c r="L82" s="19" t="n"/>
    </row>
    <row r="83">
      <c r="A83" s="19" t="n"/>
      <c r="B83" s="19" t="n"/>
      <c r="C83" s="19" t="n"/>
      <c r="D83" s="19" t="n"/>
      <c r="E83" s="19" t="n"/>
      <c r="F83" s="19" t="n"/>
      <c r="G83" s="19" t="n"/>
      <c r="H83" s="19" t="n"/>
      <c r="I83" s="19" t="n"/>
      <c r="J83" s="19" t="n"/>
      <c r="K83" s="19" t="n"/>
      <c r="L83" s="19" t="n"/>
    </row>
    <row r="84">
      <c r="A84" s="19" t="n"/>
      <c r="B84" s="19" t="n"/>
      <c r="C84" s="19" t="n"/>
      <c r="D84" s="19" t="n"/>
      <c r="E84" s="19" t="n"/>
      <c r="F84" s="19" t="n"/>
      <c r="G84" s="19" t="n"/>
      <c r="H84" s="19" t="n"/>
      <c r="I84" s="19" t="n"/>
      <c r="J84" s="19" t="n"/>
      <c r="K84" s="19" t="n"/>
      <c r="L84" s="19" t="n"/>
    </row>
    <row r="85">
      <c r="A85" s="19" t="n"/>
      <c r="B85" s="19" t="n"/>
      <c r="C85" s="19" t="n"/>
      <c r="D85" s="19" t="n"/>
      <c r="E85" s="19" t="n"/>
      <c r="F85" s="19" t="n"/>
      <c r="G85" s="19" t="n"/>
      <c r="H85" s="19" t="n"/>
      <c r="I85" s="19" t="n"/>
      <c r="J85" s="19" t="n"/>
      <c r="K85" s="19" t="n"/>
      <c r="L85" s="19" t="n"/>
    </row>
    <row r="86">
      <c r="A86" s="19" t="n"/>
      <c r="B86" s="19" t="n"/>
      <c r="C86" s="19" t="n"/>
      <c r="D86" s="19" t="n"/>
      <c r="E86" s="19" t="n"/>
      <c r="F86" s="19" t="n"/>
      <c r="G86" s="19" t="n"/>
      <c r="H86" s="19" t="n"/>
      <c r="I86" s="19" t="n"/>
      <c r="J86" s="19" t="n"/>
      <c r="K86" s="19" t="n"/>
      <c r="L86" s="19" t="n"/>
    </row>
    <row r="87">
      <c r="A87" s="19" t="n"/>
      <c r="B87" s="19" t="n"/>
      <c r="C87" s="19" t="n"/>
      <c r="D87" s="19" t="n"/>
      <c r="E87" s="19" t="n"/>
      <c r="F87" s="19" t="n"/>
      <c r="G87" s="19" t="n"/>
      <c r="H87" s="19" t="n"/>
      <c r="I87" s="19" t="n"/>
      <c r="J87" s="19" t="n"/>
      <c r="K87" s="19" t="n"/>
      <c r="L87" s="19" t="n"/>
    </row>
    <row r="88">
      <c r="A88" s="19" t="n"/>
      <c r="B88" s="19" t="n"/>
      <c r="C88" s="19" t="n"/>
      <c r="D88" s="19" t="n"/>
      <c r="E88" s="19" t="n"/>
      <c r="F88" s="19" t="n"/>
      <c r="G88" s="19" t="n"/>
      <c r="H88" s="19" t="n"/>
      <c r="I88" s="19" t="n"/>
      <c r="J88" s="19" t="n"/>
      <c r="K88" s="19" t="n"/>
      <c r="L88" s="19" t="n"/>
    </row>
    <row r="89">
      <c r="A89" s="19" t="n"/>
      <c r="B89" s="19" t="n"/>
      <c r="C89" s="19" t="n"/>
      <c r="D89" s="19" t="n"/>
      <c r="E89" s="19" t="n"/>
      <c r="F89" s="19" t="n"/>
      <c r="G89" s="19" t="n"/>
      <c r="H89" s="19" t="n"/>
      <c r="I89" s="19" t="n"/>
      <c r="J89" s="19" t="n"/>
      <c r="K89" s="19" t="n"/>
      <c r="L89" s="19" t="n"/>
    </row>
    <row r="90">
      <c r="A90" s="19" t="n"/>
      <c r="B90" s="19" t="n"/>
      <c r="C90" s="19" t="n"/>
      <c r="D90" s="19" t="n"/>
      <c r="E90" s="19" t="n"/>
      <c r="F90" s="19" t="n"/>
      <c r="G90" s="19" t="n"/>
      <c r="H90" s="19" t="n"/>
      <c r="I90" s="19" t="n"/>
      <c r="J90" s="19" t="n"/>
      <c r="K90" s="19" t="n"/>
      <c r="L90" s="19" t="n"/>
    </row>
    <row r="91">
      <c r="A91" s="19" t="n"/>
      <c r="B91" s="19" t="n"/>
      <c r="C91" s="19" t="n"/>
      <c r="D91" s="19" t="n"/>
      <c r="E91" s="19" t="n"/>
      <c r="F91" s="19" t="n"/>
      <c r="G91" s="19" t="n"/>
      <c r="H91" s="19" t="n"/>
      <c r="I91" s="19" t="n"/>
      <c r="J91" s="19" t="n"/>
      <c r="K91" s="19" t="n"/>
      <c r="L91" s="19" t="n"/>
    </row>
    <row r="92">
      <c r="A92" s="19" t="n"/>
      <c r="B92" s="19" t="n"/>
      <c r="C92" s="19" t="n"/>
      <c r="D92" s="19" t="n"/>
      <c r="E92" s="19" t="n"/>
      <c r="F92" s="19" t="n"/>
      <c r="G92" s="19" t="n"/>
      <c r="H92" s="19" t="n"/>
      <c r="I92" s="19" t="n"/>
      <c r="J92" s="19" t="n"/>
      <c r="K92" s="19" t="n"/>
      <c r="L92" s="19" t="n"/>
    </row>
    <row r="93">
      <c r="A93" s="19" t="n"/>
      <c r="B93" s="19" t="n"/>
      <c r="C93" s="19" t="n"/>
      <c r="D93" s="19" t="n"/>
      <c r="E93" s="19" t="n"/>
      <c r="F93" s="19" t="n"/>
      <c r="G93" s="19" t="n"/>
      <c r="H93" s="19" t="n"/>
      <c r="I93" s="19" t="n"/>
      <c r="J93" s="19" t="n"/>
      <c r="K93" s="19" t="n"/>
      <c r="L93" s="19" t="n"/>
    </row>
    <row r="94">
      <c r="A94" s="19" t="n"/>
      <c r="B94" s="19" t="n"/>
      <c r="C94" s="19" t="n"/>
      <c r="D94" s="19" t="n"/>
      <c r="E94" s="19" t="n"/>
      <c r="F94" s="19" t="n"/>
      <c r="G94" s="19" t="n"/>
      <c r="H94" s="19" t="n"/>
      <c r="I94" s="19" t="n"/>
      <c r="J94" s="19" t="n"/>
      <c r="K94" s="19" t="n"/>
      <c r="L94" s="19" t="n"/>
    </row>
    <row r="95">
      <c r="A95" s="19" t="n"/>
      <c r="B95" s="19" t="n"/>
      <c r="C95" s="19" t="n"/>
      <c r="D95" s="19" t="n"/>
      <c r="E95" s="19" t="n"/>
      <c r="F95" s="19" t="n"/>
      <c r="G95" s="19" t="n"/>
      <c r="H95" s="19" t="n"/>
      <c r="I95" s="19" t="n"/>
      <c r="J95" s="19" t="n"/>
      <c r="K95" s="19" t="n"/>
      <c r="L95" s="19" t="n"/>
    </row>
    <row r="96">
      <c r="A96" s="19" t="n"/>
      <c r="B96" s="19" t="n"/>
      <c r="C96" s="19" t="n"/>
      <c r="D96" s="19" t="n"/>
      <c r="E96" s="19" t="n"/>
      <c r="F96" s="19" t="n"/>
      <c r="G96" s="19" t="n"/>
      <c r="H96" s="19" t="n"/>
      <c r="I96" s="19" t="n"/>
      <c r="J96" s="19" t="n"/>
      <c r="K96" s="19" t="n"/>
      <c r="L96" s="19" t="n"/>
    </row>
    <row r="97">
      <c r="A97" s="19" t="n"/>
      <c r="B97" s="19" t="n"/>
      <c r="C97" s="19" t="n"/>
      <c r="D97" s="19" t="n"/>
      <c r="E97" s="19" t="n"/>
      <c r="F97" s="19" t="n"/>
      <c r="G97" s="19" t="n"/>
      <c r="H97" s="19" t="n"/>
      <c r="I97" s="19" t="n"/>
      <c r="J97" s="19" t="n"/>
      <c r="K97" s="19" t="n"/>
      <c r="L97" s="19" t="n"/>
    </row>
    <row r="98">
      <c r="A98" s="19" t="n"/>
      <c r="B98" s="19" t="n"/>
      <c r="C98" s="19" t="n"/>
      <c r="D98" s="19" t="n"/>
      <c r="E98" s="19" t="n"/>
      <c r="F98" s="19" t="n"/>
      <c r="G98" s="19" t="n"/>
      <c r="H98" s="19" t="n"/>
      <c r="I98" s="19" t="n"/>
      <c r="J98" s="19" t="n"/>
      <c r="K98" s="19" t="n"/>
      <c r="L98" s="19" t="n"/>
    </row>
    <row r="99">
      <c r="A99" s="19" t="n"/>
      <c r="B99" s="19" t="n"/>
      <c r="C99" s="19" t="n"/>
      <c r="D99" s="19" t="n"/>
      <c r="E99" s="19" t="n"/>
      <c r="F99" s="19" t="n"/>
      <c r="G99" s="19" t="n"/>
      <c r="H99" s="19" t="n"/>
      <c r="I99" s="19" t="n"/>
      <c r="J99" s="19" t="n"/>
      <c r="K99" s="19" t="n"/>
      <c r="L99" s="19" t="n"/>
    </row>
    <row r="100">
      <c r="A100" s="19" t="n"/>
      <c r="B100" s="19" t="n"/>
      <c r="C100" s="19" t="n"/>
      <c r="D100" s="19" t="n"/>
      <c r="E100" s="19" t="n"/>
      <c r="F100" s="19" t="n"/>
      <c r="G100" s="19" t="n"/>
      <c r="H100" s="19" t="n"/>
      <c r="I100" s="19" t="n"/>
      <c r="J100" s="19" t="n"/>
      <c r="K100" s="19" t="n"/>
      <c r="L100" s="19" t="n"/>
    </row>
    <row r="101">
      <c r="A101" s="19" t="n"/>
      <c r="B101" s="19" t="n"/>
      <c r="C101" s="19" t="n"/>
      <c r="D101" s="19" t="n"/>
      <c r="E101" s="19" t="n"/>
      <c r="F101" s="19" t="n"/>
      <c r="G101" s="19" t="n"/>
      <c r="H101" s="19" t="n"/>
      <c r="I101" s="19" t="n"/>
      <c r="J101" s="19" t="n"/>
      <c r="K101" s="19" t="n"/>
      <c r="L101" s="19" t="n"/>
    </row>
    <row r="102">
      <c r="A102" s="19" t="n"/>
      <c r="B102" s="19" t="n"/>
      <c r="C102" s="19" t="n"/>
      <c r="D102" s="19" t="n"/>
      <c r="E102" s="19" t="n"/>
      <c r="F102" s="19" t="n"/>
      <c r="G102" s="19" t="n"/>
      <c r="H102" s="19" t="n"/>
      <c r="I102" s="19" t="n"/>
      <c r="J102" s="19" t="n"/>
      <c r="K102" s="19" t="n"/>
      <c r="L102" s="19" t="n"/>
    </row>
    <row r="103">
      <c r="A103" s="19" t="n"/>
      <c r="B103" s="19" t="n"/>
      <c r="C103" s="19" t="n"/>
      <c r="D103" s="19" t="n"/>
      <c r="E103" s="19" t="n"/>
      <c r="F103" s="19" t="n"/>
      <c r="G103" s="19" t="n"/>
      <c r="H103" s="19" t="n"/>
      <c r="I103" s="19" t="n"/>
      <c r="J103" s="19" t="n"/>
      <c r="K103" s="19" t="n"/>
      <c r="L103" s="19" t="n"/>
    </row>
    <row r="104">
      <c r="A104" s="19" t="n"/>
      <c r="B104" s="19" t="n"/>
      <c r="C104" s="19" t="n"/>
      <c r="D104" s="19" t="n"/>
      <c r="E104" s="19" t="n"/>
      <c r="F104" s="19" t="n"/>
      <c r="G104" s="19" t="n"/>
      <c r="H104" s="19" t="n"/>
      <c r="I104" s="19" t="n"/>
      <c r="J104" s="19" t="n"/>
      <c r="K104" s="19" t="n"/>
      <c r="L104" s="19" t="n"/>
    </row>
    <row r="105">
      <c r="A105" s="19" t="n"/>
      <c r="B105" s="19" t="n"/>
      <c r="C105" s="19" t="n"/>
      <c r="D105" s="19" t="n"/>
      <c r="E105" s="19" t="n"/>
      <c r="F105" s="19" t="n"/>
      <c r="G105" s="19" t="n"/>
      <c r="H105" s="19" t="n"/>
      <c r="I105" s="19" t="n"/>
      <c r="J105" s="19" t="n"/>
      <c r="K105" s="19" t="n"/>
      <c r="L105" s="19" t="n"/>
    </row>
    <row r="106">
      <c r="A106" s="19" t="n"/>
      <c r="B106" s="19" t="n"/>
      <c r="C106" s="19" t="n"/>
      <c r="D106" s="19" t="n"/>
      <c r="E106" s="19" t="n"/>
      <c r="F106" s="19" t="n"/>
      <c r="G106" s="19" t="n"/>
      <c r="H106" s="19" t="n"/>
      <c r="I106" s="19" t="n"/>
      <c r="J106" s="19" t="n"/>
      <c r="K106" s="19" t="n"/>
      <c r="L106" s="19" t="n"/>
    </row>
    <row r="107">
      <c r="A107" s="19" t="n"/>
      <c r="B107" s="19" t="n"/>
      <c r="C107" s="19" t="n"/>
      <c r="D107" s="19" t="n"/>
      <c r="E107" s="19" t="n"/>
      <c r="F107" s="19" t="n"/>
      <c r="G107" s="19" t="n"/>
      <c r="H107" s="19" t="n"/>
      <c r="I107" s="19" t="n"/>
      <c r="J107" s="19" t="n"/>
      <c r="K107" s="19" t="n"/>
      <c r="L107" s="19" t="n"/>
    </row>
    <row r="108">
      <c r="A108" s="19" t="n"/>
      <c r="B108" s="19" t="n"/>
      <c r="C108" s="19" t="n"/>
      <c r="D108" s="19" t="n"/>
      <c r="E108" s="19" t="n"/>
      <c r="F108" s="19" t="n"/>
      <c r="G108" s="19" t="n"/>
      <c r="H108" s="19" t="n"/>
      <c r="I108" s="19" t="n"/>
      <c r="J108" s="19" t="n"/>
      <c r="K108" s="19" t="n"/>
      <c r="L108" s="19" t="n"/>
    </row>
    <row r="109">
      <c r="A109" s="19" t="n"/>
      <c r="B109" s="19" t="n"/>
      <c r="C109" s="19" t="n"/>
      <c r="D109" s="19" t="n"/>
      <c r="E109" s="19" t="n"/>
      <c r="F109" s="19" t="n"/>
      <c r="G109" s="19" t="n"/>
      <c r="H109" s="19" t="n"/>
      <c r="I109" s="19" t="n"/>
      <c r="J109" s="19" t="n"/>
      <c r="K109" s="19" t="n"/>
      <c r="L109" s="19" t="n"/>
    </row>
    <row r="110">
      <c r="A110" s="19" t="n"/>
      <c r="B110" s="19" t="n"/>
      <c r="C110" s="19" t="n"/>
      <c r="D110" s="19" t="n"/>
      <c r="E110" s="19" t="n"/>
      <c r="F110" s="19" t="n"/>
      <c r="G110" s="19" t="n"/>
      <c r="H110" s="19" t="n"/>
      <c r="I110" s="19" t="n"/>
      <c r="J110" s="19" t="n"/>
      <c r="K110" s="19" t="n"/>
      <c r="L110" s="19" t="n"/>
    </row>
    <row r="111">
      <c r="A111" s="19" t="n"/>
      <c r="B111" s="19" t="n"/>
      <c r="C111" s="19" t="n"/>
      <c r="D111" s="19" t="n"/>
      <c r="E111" s="19" t="n"/>
      <c r="F111" s="19" t="n"/>
      <c r="G111" s="19" t="n"/>
      <c r="H111" s="19" t="n"/>
      <c r="I111" s="19" t="n"/>
      <c r="J111" s="19" t="n"/>
      <c r="K111" s="19" t="n"/>
      <c r="L111" s="19" t="n"/>
    </row>
    <row r="112">
      <c r="A112" s="19" t="n"/>
      <c r="B112" s="19" t="n"/>
      <c r="C112" s="19" t="n"/>
      <c r="D112" s="19" t="n"/>
      <c r="E112" s="19" t="n"/>
      <c r="F112" s="19" t="n"/>
      <c r="G112" s="19" t="n"/>
      <c r="H112" s="19" t="n"/>
      <c r="I112" s="19" t="n"/>
      <c r="J112" s="19" t="n"/>
      <c r="K112" s="19" t="n"/>
      <c r="L112" s="19" t="n"/>
    </row>
    <row r="113">
      <c r="A113" s="19" t="n"/>
      <c r="B113" s="19" t="n"/>
      <c r="C113" s="19" t="n"/>
      <c r="D113" s="19" t="n"/>
      <c r="E113" s="19" t="n"/>
      <c r="F113" s="19" t="n"/>
      <c r="G113" s="19" t="n"/>
      <c r="H113" s="19" t="n"/>
      <c r="I113" s="19" t="n"/>
      <c r="J113" s="19" t="n"/>
      <c r="K113" s="19" t="n"/>
      <c r="L113" s="19" t="n"/>
    </row>
    <row r="114">
      <c r="A114" s="19" t="n"/>
      <c r="B114" s="19" t="n"/>
      <c r="C114" s="19" t="n"/>
      <c r="D114" s="19" t="n"/>
      <c r="E114" s="19" t="n"/>
      <c r="F114" s="19" t="n"/>
      <c r="G114" s="19" t="n"/>
      <c r="H114" s="19" t="n"/>
      <c r="I114" s="19" t="n"/>
      <c r="J114" s="19" t="n"/>
      <c r="K114" s="19" t="n"/>
      <c r="L114" s="19" t="n"/>
    </row>
    <row r="115">
      <c r="A115" s="19" t="n"/>
      <c r="B115" s="19" t="n"/>
      <c r="C115" s="19" t="n"/>
      <c r="D115" s="19" t="n"/>
      <c r="E115" s="19" t="n"/>
      <c r="F115" s="19" t="n"/>
      <c r="G115" s="19" t="n"/>
      <c r="H115" s="19" t="n"/>
      <c r="I115" s="19" t="n"/>
      <c r="J115" s="19" t="n"/>
      <c r="K115" s="19" t="n"/>
      <c r="L115" s="19" t="n"/>
    </row>
    <row r="116">
      <c r="A116" s="19" t="n"/>
      <c r="B116" s="19" t="n"/>
      <c r="C116" s="19" t="n"/>
      <c r="D116" s="19" t="n"/>
      <c r="E116" s="19" t="n"/>
      <c r="F116" s="19" t="n"/>
      <c r="G116" s="19" t="n"/>
      <c r="H116" s="19" t="n"/>
      <c r="I116" s="19" t="n"/>
      <c r="J116" s="19" t="n"/>
      <c r="K116" s="19" t="n"/>
      <c r="L116" s="19" t="n"/>
    </row>
    <row r="117">
      <c r="A117" s="19" t="n"/>
      <c r="B117" s="19" t="n"/>
      <c r="C117" s="19" t="n"/>
      <c r="D117" s="19" t="n"/>
      <c r="E117" s="19" t="n"/>
      <c r="F117" s="19" t="n"/>
      <c r="G117" s="19" t="n"/>
      <c r="H117" s="19" t="n"/>
      <c r="I117" s="19" t="n"/>
      <c r="J117" s="19" t="n"/>
      <c r="K117" s="19" t="n"/>
      <c r="L117" s="19" t="n"/>
    </row>
    <row r="118">
      <c r="A118" s="19" t="n"/>
      <c r="B118" s="19" t="n"/>
      <c r="C118" s="19" t="n"/>
      <c r="D118" s="19" t="n"/>
      <c r="E118" s="19" t="n"/>
      <c r="F118" s="19" t="n"/>
      <c r="G118" s="19" t="n"/>
      <c r="H118" s="19" t="n"/>
      <c r="I118" s="19" t="n"/>
      <c r="J118" s="19" t="n"/>
      <c r="K118" s="19" t="n"/>
      <c r="L118" s="19" t="n"/>
    </row>
    <row r="119">
      <c r="A119" s="19" t="n"/>
      <c r="B119" s="19" t="n"/>
      <c r="C119" s="19" t="n"/>
      <c r="D119" s="19" t="n"/>
      <c r="E119" s="19" t="n"/>
      <c r="F119" s="19" t="n"/>
      <c r="G119" s="19" t="n"/>
      <c r="H119" s="19" t="n"/>
      <c r="I119" s="19" t="n"/>
      <c r="J119" s="19" t="n"/>
      <c r="K119" s="19" t="n"/>
      <c r="L119" s="19" t="n"/>
    </row>
    <row r="120">
      <c r="A120" s="19" t="n"/>
      <c r="B120" s="19" t="n"/>
      <c r="C120" s="19" t="n"/>
      <c r="D120" s="19" t="n"/>
      <c r="E120" s="19" t="n"/>
      <c r="F120" s="19" t="n"/>
      <c r="G120" s="19" t="n"/>
      <c r="H120" s="19" t="n"/>
      <c r="I120" s="19" t="n"/>
      <c r="J120" s="19" t="n"/>
      <c r="K120" s="19" t="n"/>
      <c r="L120" s="19" t="n"/>
    </row>
    <row r="121">
      <c r="A121" s="19" t="n"/>
      <c r="B121" s="19" t="n"/>
      <c r="C121" s="19" t="n"/>
      <c r="D121" s="19" t="n"/>
      <c r="E121" s="19" t="n"/>
      <c r="F121" s="19" t="n"/>
      <c r="G121" s="19" t="n"/>
      <c r="H121" s="19" t="n"/>
      <c r="I121" s="19" t="n"/>
      <c r="J121" s="19" t="n"/>
      <c r="K121" s="19" t="n"/>
      <c r="L121" s="19" t="n"/>
    </row>
    <row r="122">
      <c r="A122" s="19" t="n"/>
      <c r="B122" s="19" t="n"/>
      <c r="C122" s="19" t="n"/>
      <c r="D122" s="19" t="n"/>
      <c r="E122" s="19" t="n"/>
      <c r="F122" s="19" t="n"/>
      <c r="G122" s="19" t="n"/>
      <c r="H122" s="19" t="n"/>
      <c r="I122" s="19" t="n"/>
      <c r="J122" s="19" t="n"/>
      <c r="K122" s="19" t="n"/>
      <c r="L122" s="19" t="n"/>
    </row>
    <row r="123">
      <c r="A123" s="19" t="n"/>
      <c r="B123" s="19" t="n"/>
      <c r="C123" s="19" t="n"/>
      <c r="D123" s="19" t="n"/>
      <c r="E123" s="19" t="n"/>
      <c r="F123" s="19" t="n"/>
      <c r="G123" s="19" t="n"/>
      <c r="H123" s="19" t="n"/>
      <c r="I123" s="19" t="n"/>
      <c r="J123" s="19" t="n"/>
      <c r="K123" s="19" t="n"/>
      <c r="L123" s="19" t="n"/>
    </row>
    <row r="124">
      <c r="A124" s="19" t="n"/>
      <c r="B124" s="19" t="n"/>
      <c r="C124" s="19" t="n"/>
      <c r="D124" s="19" t="n"/>
      <c r="E124" s="19" t="n"/>
      <c r="F124" s="19" t="n"/>
      <c r="G124" s="19" t="n"/>
      <c r="H124" s="19" t="n"/>
      <c r="I124" s="19" t="n"/>
      <c r="J124" s="19" t="n"/>
      <c r="K124" s="19" t="n"/>
      <c r="L124" s="19" t="n"/>
    </row>
    <row r="125">
      <c r="A125" s="19" t="n"/>
      <c r="B125" s="19" t="n"/>
      <c r="C125" s="19" t="n"/>
      <c r="D125" s="19" t="n"/>
      <c r="E125" s="19" t="n"/>
      <c r="F125" s="19" t="n"/>
      <c r="G125" s="19" t="n"/>
      <c r="H125" s="19" t="n"/>
      <c r="I125" s="19" t="n"/>
      <c r="J125" s="19" t="n"/>
      <c r="K125" s="19" t="n"/>
      <c r="L125" s="19" t="n"/>
    </row>
    <row r="126">
      <c r="A126" s="19" t="n"/>
      <c r="B126" s="19" t="n"/>
      <c r="C126" s="19" t="n"/>
      <c r="D126" s="19" t="n"/>
      <c r="E126" s="19" t="n"/>
      <c r="F126" s="19" t="n"/>
      <c r="G126" s="19" t="n"/>
      <c r="H126" s="19" t="n"/>
      <c r="I126" s="19" t="n"/>
      <c r="J126" s="19" t="n"/>
      <c r="K126" s="19" t="n"/>
      <c r="L126" s="19" t="n"/>
    </row>
    <row r="127">
      <c r="A127" s="19" t="n"/>
      <c r="B127" s="19" t="n"/>
      <c r="C127" s="19" t="n"/>
      <c r="D127" s="19" t="n"/>
      <c r="E127" s="19" t="n"/>
      <c r="F127" s="19" t="n"/>
      <c r="G127" s="19" t="n"/>
      <c r="H127" s="19" t="n"/>
      <c r="I127" s="19" t="n"/>
      <c r="J127" s="19" t="n"/>
      <c r="K127" s="19" t="n"/>
      <c r="L127" s="19" t="n"/>
    </row>
    <row r="128">
      <c r="A128" s="19" t="n"/>
      <c r="B128" s="19" t="n"/>
      <c r="C128" s="19" t="n"/>
      <c r="D128" s="19" t="n"/>
      <c r="E128" s="19" t="n"/>
      <c r="F128" s="19" t="n"/>
      <c r="G128" s="19" t="n"/>
      <c r="H128" s="19" t="n"/>
      <c r="I128" s="19" t="n"/>
      <c r="J128" s="19" t="n"/>
      <c r="K128" s="19" t="n"/>
      <c r="L128" s="19" t="n"/>
    </row>
    <row r="129">
      <c r="A129" s="19" t="n"/>
      <c r="B129" s="19" t="n"/>
      <c r="C129" s="19" t="n"/>
      <c r="D129" s="19" t="n"/>
      <c r="E129" s="19" t="n"/>
      <c r="F129" s="19" t="n"/>
      <c r="G129" s="19" t="n"/>
      <c r="H129" s="19" t="n"/>
      <c r="I129" s="19" t="n"/>
      <c r="J129" s="19" t="n"/>
      <c r="K129" s="19" t="n"/>
      <c r="L129" s="19" t="n"/>
    </row>
    <row r="130">
      <c r="A130" s="19" t="n"/>
      <c r="B130" s="19" t="n"/>
      <c r="C130" s="19" t="n"/>
      <c r="D130" s="19" t="n"/>
      <c r="E130" s="19" t="n"/>
      <c r="F130" s="19" t="n"/>
      <c r="G130" s="19" t="n"/>
      <c r="H130" s="19" t="n"/>
      <c r="I130" s="19" t="n"/>
      <c r="J130" s="19" t="n"/>
      <c r="K130" s="19" t="n"/>
      <c r="L130" s="19" t="n"/>
    </row>
    <row r="131">
      <c r="A131" s="19" t="n"/>
      <c r="B131" s="19" t="n"/>
      <c r="C131" s="19" t="n"/>
      <c r="D131" s="19" t="n"/>
      <c r="E131" s="19" t="n"/>
      <c r="F131" s="19" t="n"/>
      <c r="G131" s="19" t="n"/>
      <c r="H131" s="19" t="n"/>
      <c r="I131" s="19" t="n"/>
      <c r="J131" s="19" t="n"/>
      <c r="K131" s="19" t="n"/>
      <c r="L131" s="19" t="n"/>
    </row>
    <row r="132">
      <c r="A132" s="19" t="n"/>
      <c r="B132" s="19" t="n"/>
      <c r="C132" s="19" t="n"/>
      <c r="D132" s="19" t="n"/>
      <c r="E132" s="19" t="n"/>
      <c r="F132" s="19" t="n"/>
      <c r="G132" s="19" t="n"/>
      <c r="H132" s="19" t="n"/>
      <c r="I132" s="19" t="n"/>
      <c r="J132" s="19" t="n"/>
      <c r="K132" s="19" t="n"/>
      <c r="L132" s="19" t="n"/>
    </row>
    <row r="133">
      <c r="A133" s="19" t="n"/>
      <c r="B133" s="19" t="n"/>
      <c r="C133" s="19" t="n"/>
      <c r="D133" s="19" t="n"/>
      <c r="E133" s="19" t="n"/>
      <c r="F133" s="19" t="n"/>
      <c r="G133" s="19" t="n"/>
      <c r="H133" s="19" t="n"/>
      <c r="I133" s="19" t="n"/>
      <c r="J133" s="19" t="n"/>
      <c r="K133" s="19" t="n"/>
      <c r="L133" s="19" t="n"/>
    </row>
    <row r="134">
      <c r="A134" s="19" t="n"/>
      <c r="B134" s="19" t="n"/>
      <c r="C134" s="19" t="n"/>
      <c r="D134" s="19" t="n"/>
      <c r="E134" s="19" t="n"/>
      <c r="F134" s="19" t="n"/>
      <c r="G134" s="19" t="n"/>
      <c r="H134" s="19" t="n"/>
      <c r="I134" s="19" t="n"/>
      <c r="J134" s="19" t="n"/>
      <c r="K134" s="19" t="n"/>
      <c r="L134" s="19" t="n"/>
    </row>
    <row r="135">
      <c r="A135" s="19" t="n"/>
      <c r="B135" s="19" t="n"/>
      <c r="C135" s="19" t="n"/>
      <c r="D135" s="19" t="n"/>
      <c r="E135" s="19" t="n"/>
      <c r="F135" s="19" t="n"/>
      <c r="G135" s="19" t="n"/>
      <c r="H135" s="19" t="n"/>
      <c r="I135" s="19" t="n"/>
      <c r="J135" s="19" t="n"/>
      <c r="K135" s="19" t="n"/>
      <c r="L135" s="19" t="n"/>
    </row>
    <row r="136">
      <c r="A136" s="19" t="n"/>
      <c r="B136" s="19" t="n"/>
      <c r="C136" s="19" t="n"/>
      <c r="D136" s="19" t="n"/>
      <c r="E136" s="19" t="n"/>
      <c r="F136" s="19" t="n"/>
      <c r="G136" s="19" t="n"/>
      <c r="H136" s="19" t="n"/>
      <c r="I136" s="19" t="n"/>
      <c r="J136" s="19" t="n"/>
      <c r="K136" s="19" t="n"/>
      <c r="L136" s="19" t="n"/>
    </row>
    <row r="137">
      <c r="A137" s="19" t="n"/>
      <c r="B137" s="19" t="n"/>
      <c r="C137" s="19" t="n"/>
      <c r="D137" s="19" t="n"/>
      <c r="E137" s="19" t="n"/>
      <c r="F137" s="19" t="n"/>
      <c r="G137" s="19" t="n"/>
      <c r="H137" s="19" t="n"/>
      <c r="I137" s="19" t="n"/>
      <c r="J137" s="19" t="n"/>
      <c r="K137" s="19" t="n"/>
      <c r="L137" s="19" t="n"/>
    </row>
    <row r="138">
      <c r="A138" s="19" t="n"/>
      <c r="B138" s="19" t="n"/>
      <c r="C138" s="19" t="n"/>
      <c r="D138" s="19" t="n"/>
      <c r="E138" s="19" t="n"/>
      <c r="F138" s="19" t="n"/>
      <c r="G138" s="19" t="n"/>
      <c r="H138" s="19" t="n"/>
      <c r="I138" s="19" t="n"/>
      <c r="J138" s="19" t="n"/>
      <c r="K138" s="19" t="n"/>
      <c r="L138" s="19" t="n"/>
    </row>
    <row r="139">
      <c r="A139" s="19" t="n"/>
      <c r="B139" s="19" t="n"/>
      <c r="C139" s="19" t="n"/>
      <c r="D139" s="19" t="n"/>
      <c r="E139" s="19" t="n"/>
      <c r="F139" s="19" t="n"/>
      <c r="G139" s="19" t="n"/>
      <c r="H139" s="19" t="n"/>
      <c r="I139" s="19" t="n"/>
      <c r="J139" s="19" t="n"/>
      <c r="K139" s="19" t="n"/>
      <c r="L139" s="19" t="n"/>
    </row>
    <row r="140">
      <c r="A140" s="19" t="n"/>
      <c r="B140" s="19" t="n"/>
      <c r="C140" s="19" t="n"/>
      <c r="D140" s="19" t="n"/>
      <c r="E140" s="19" t="n"/>
      <c r="F140" s="19" t="n"/>
      <c r="G140" s="19" t="n"/>
      <c r="H140" s="19" t="n"/>
      <c r="I140" s="19" t="n"/>
      <c r="J140" s="19" t="n"/>
      <c r="K140" s="19" t="n"/>
      <c r="L140" s="19" t="n"/>
    </row>
    <row r="141">
      <c r="A141" s="19" t="n"/>
      <c r="B141" s="19" t="n"/>
      <c r="C141" s="19" t="n"/>
      <c r="D141" s="19" t="n"/>
      <c r="E141" s="19" t="n"/>
      <c r="F141" s="19" t="n"/>
      <c r="G141" s="19" t="n"/>
      <c r="H141" s="19" t="n"/>
      <c r="I141" s="19" t="n"/>
      <c r="J141" s="19" t="n"/>
      <c r="K141" s="19" t="n"/>
      <c r="L141" s="19" t="n"/>
    </row>
    <row r="142">
      <c r="A142" s="19" t="n"/>
      <c r="B142" s="19" t="n"/>
      <c r="C142" s="19" t="n"/>
      <c r="D142" s="19" t="n"/>
      <c r="E142" s="19" t="n"/>
      <c r="F142" s="19" t="n"/>
      <c r="G142" s="19" t="n"/>
      <c r="H142" s="19" t="n"/>
      <c r="I142" s="19" t="n"/>
      <c r="J142" s="19" t="n"/>
      <c r="K142" s="19" t="n"/>
      <c r="L142" s="19" t="n"/>
    </row>
    <row r="143">
      <c r="A143" s="19" t="n"/>
      <c r="B143" s="19" t="n"/>
      <c r="C143" s="19" t="n"/>
      <c r="D143" s="19" t="n"/>
      <c r="E143" s="19" t="n"/>
      <c r="F143" s="19" t="n"/>
      <c r="G143" s="19" t="n"/>
      <c r="H143" s="19" t="n"/>
      <c r="I143" s="19" t="n"/>
      <c r="J143" s="19" t="n"/>
      <c r="K143" s="19" t="n"/>
      <c r="L143" s="19" t="n"/>
    </row>
    <row r="144">
      <c r="A144" s="19" t="n"/>
      <c r="B144" s="19" t="n"/>
      <c r="C144" s="19" t="n"/>
      <c r="D144" s="19" t="n"/>
      <c r="E144" s="19" t="n"/>
      <c r="F144" s="19" t="n"/>
      <c r="G144" s="19" t="n"/>
      <c r="H144" s="19" t="n"/>
      <c r="I144" s="19" t="n"/>
      <c r="J144" s="19" t="n"/>
      <c r="K144" s="19" t="n"/>
      <c r="L144" s="19" t="n"/>
    </row>
    <row r="145">
      <c r="A145" s="19" t="n"/>
      <c r="B145" s="19" t="n"/>
      <c r="C145" s="19" t="n"/>
      <c r="D145" s="19" t="n"/>
      <c r="E145" s="19" t="n"/>
      <c r="F145" s="19" t="n"/>
      <c r="G145" s="19" t="n"/>
      <c r="H145" s="19" t="n"/>
      <c r="I145" s="19" t="n"/>
      <c r="J145" s="19" t="n"/>
      <c r="K145" s="19" t="n"/>
      <c r="L145" s="19" t="n"/>
    </row>
    <row r="146">
      <c r="A146" s="19" t="n"/>
      <c r="B146" s="19" t="n"/>
      <c r="C146" s="19" t="n"/>
      <c r="D146" s="19" t="n"/>
      <c r="E146" s="19" t="n"/>
      <c r="F146" s="19" t="n"/>
      <c r="G146" s="19" t="n"/>
      <c r="H146" s="19" t="n"/>
      <c r="I146" s="19" t="n"/>
      <c r="J146" s="19" t="n"/>
      <c r="K146" s="19" t="n"/>
      <c r="L146" s="19" t="n"/>
    </row>
    <row r="147">
      <c r="A147" s="19" t="n"/>
      <c r="B147" s="19" t="n"/>
      <c r="C147" s="19" t="n"/>
      <c r="D147" s="19" t="n"/>
      <c r="E147" s="19" t="n"/>
      <c r="F147" s="19" t="n"/>
      <c r="G147" s="19" t="n"/>
      <c r="H147" s="19" t="n"/>
      <c r="I147" s="19" t="n"/>
      <c r="J147" s="19" t="n"/>
      <c r="K147" s="19" t="n"/>
      <c r="L147" s="19" t="n"/>
    </row>
    <row r="148">
      <c r="A148" s="19" t="n"/>
      <c r="B148" s="19" t="n"/>
      <c r="C148" s="19" t="n"/>
      <c r="D148" s="19" t="n"/>
      <c r="E148" s="19" t="n"/>
      <c r="F148" s="19" t="n"/>
      <c r="G148" s="19" t="n"/>
      <c r="H148" s="19" t="n"/>
      <c r="I148" s="19" t="n"/>
      <c r="J148" s="19" t="n"/>
      <c r="K148" s="19" t="n"/>
      <c r="L148" s="19" t="n"/>
    </row>
    <row r="149">
      <c r="A149" s="19" t="n"/>
      <c r="B149" s="19" t="n"/>
      <c r="C149" s="19" t="n"/>
      <c r="D149" s="19" t="n"/>
      <c r="E149" s="19" t="n"/>
      <c r="F149" s="19" t="n"/>
      <c r="G149" s="19" t="n"/>
      <c r="H149" s="19" t="n"/>
      <c r="I149" s="19" t="n"/>
      <c r="J149" s="19" t="n"/>
      <c r="K149" s="19" t="n"/>
      <c r="L149" s="19" t="n"/>
    </row>
    <row r="150">
      <c r="A150" s="19" t="n"/>
      <c r="B150" s="19" t="n"/>
      <c r="C150" s="19" t="n"/>
      <c r="D150" s="19" t="n"/>
      <c r="E150" s="19" t="n"/>
      <c r="F150" s="19" t="n"/>
      <c r="G150" s="19" t="n"/>
      <c r="H150" s="19" t="n"/>
      <c r="I150" s="19" t="n"/>
      <c r="J150" s="19" t="n"/>
      <c r="K150" s="19" t="n"/>
      <c r="L150" s="19" t="n"/>
    </row>
    <row r="151">
      <c r="A151" s="19" t="n"/>
      <c r="B151" s="19" t="n"/>
      <c r="C151" s="19" t="n"/>
      <c r="D151" s="19" t="n"/>
      <c r="E151" s="19" t="n"/>
      <c r="F151" s="19" t="n"/>
      <c r="G151" s="19" t="n"/>
      <c r="H151" s="19" t="n"/>
      <c r="I151" s="19" t="n"/>
      <c r="J151" s="19" t="n"/>
      <c r="K151" s="19" t="n"/>
      <c r="L151" s="19" t="n"/>
    </row>
    <row r="152">
      <c r="A152" s="19" t="n"/>
      <c r="B152" s="19" t="n"/>
      <c r="C152" s="19" t="n"/>
      <c r="D152" s="19" t="n"/>
      <c r="E152" s="19" t="n"/>
      <c r="F152" s="19" t="n"/>
      <c r="G152" s="19" t="n"/>
      <c r="H152" s="19" t="n"/>
      <c r="I152" s="19" t="n"/>
      <c r="J152" s="19" t="n"/>
      <c r="K152" s="19" t="n"/>
      <c r="L152" s="19" t="n"/>
    </row>
    <row r="153">
      <c r="A153" s="19" t="n"/>
      <c r="B153" s="19" t="n"/>
      <c r="C153" s="19" t="n"/>
      <c r="D153" s="19" t="n"/>
      <c r="E153" s="19" t="n"/>
      <c r="F153" s="19" t="n"/>
      <c r="G153" s="19" t="n"/>
      <c r="H153" s="19" t="n"/>
      <c r="I153" s="19" t="n"/>
      <c r="J153" s="19" t="n"/>
      <c r="K153" s="19" t="n"/>
      <c r="L153" s="19" t="n"/>
    </row>
    <row r="154">
      <c r="A154" s="19" t="n"/>
      <c r="B154" s="19" t="n"/>
      <c r="C154" s="19" t="n"/>
      <c r="D154" s="19" t="n"/>
      <c r="E154" s="19" t="n"/>
      <c r="F154" s="19" t="n"/>
      <c r="G154" s="19" t="n"/>
      <c r="H154" s="19" t="n"/>
      <c r="I154" s="19" t="n"/>
      <c r="J154" s="19" t="n"/>
      <c r="K154" s="19" t="n"/>
      <c r="L154" s="19" t="n"/>
    </row>
    <row r="155">
      <c r="A155" s="19" t="n"/>
      <c r="B155" s="19" t="n"/>
      <c r="C155" s="19" t="n"/>
      <c r="D155" s="19" t="n"/>
      <c r="E155" s="19" t="n"/>
      <c r="F155" s="19" t="n"/>
      <c r="G155" s="19" t="n"/>
      <c r="H155" s="19" t="n"/>
      <c r="I155" s="19" t="n"/>
      <c r="J155" s="19" t="n"/>
      <c r="K155" s="19" t="n"/>
      <c r="L155" s="19" t="n"/>
    </row>
    <row r="156">
      <c r="A156" s="19" t="n"/>
      <c r="B156" s="19" t="n"/>
      <c r="C156" s="19" t="n"/>
      <c r="D156" s="19" t="n"/>
      <c r="E156" s="19" t="n"/>
      <c r="F156" s="19" t="n"/>
      <c r="G156" s="19" t="n"/>
      <c r="H156" s="19" t="n"/>
      <c r="I156" s="19" t="n"/>
      <c r="J156" s="19" t="n"/>
      <c r="K156" s="19" t="n"/>
      <c r="L156" s="19" t="n"/>
    </row>
    <row r="157">
      <c r="A157" s="19" t="n"/>
      <c r="B157" s="19" t="n"/>
      <c r="C157" s="19" t="n"/>
      <c r="D157" s="19" t="n"/>
      <c r="E157" s="19" t="n"/>
      <c r="F157" s="19" t="n"/>
      <c r="G157" s="19" t="n"/>
      <c r="H157" s="19" t="n"/>
      <c r="I157" s="19" t="n"/>
      <c r="J157" s="19" t="n"/>
      <c r="K157" s="19" t="n"/>
      <c r="L157" s="19" t="n"/>
    </row>
    <row r="158">
      <c r="A158" s="19" t="n"/>
      <c r="B158" s="19" t="n"/>
      <c r="C158" s="19" t="n"/>
      <c r="D158" s="19" t="n"/>
      <c r="E158" s="19" t="n"/>
      <c r="F158" s="19" t="n"/>
      <c r="G158" s="19" t="n"/>
      <c r="H158" s="19" t="n"/>
      <c r="I158" s="19" t="n"/>
      <c r="J158" s="19" t="n"/>
      <c r="K158" s="19" t="n"/>
      <c r="L158" s="19" t="n"/>
    </row>
    <row r="159">
      <c r="A159" s="19" t="n"/>
      <c r="B159" s="19" t="n"/>
      <c r="C159" s="19" t="n"/>
      <c r="D159" s="19" t="n"/>
      <c r="E159" s="19" t="n"/>
      <c r="F159" s="19" t="n"/>
      <c r="G159" s="19" t="n"/>
      <c r="H159" s="19" t="n"/>
      <c r="I159" s="19" t="n"/>
      <c r="J159" s="19" t="n"/>
      <c r="K159" s="19" t="n"/>
      <c r="L159" s="19" t="n"/>
    </row>
    <row r="160">
      <c r="A160" s="19" t="n"/>
      <c r="B160" s="19" t="n"/>
      <c r="C160" s="19" t="n"/>
      <c r="D160" s="19" t="n"/>
      <c r="E160" s="19" t="n"/>
      <c r="F160" s="19" t="n"/>
      <c r="G160" s="19" t="n"/>
      <c r="H160" s="19" t="n"/>
      <c r="I160" s="19" t="n"/>
      <c r="J160" s="19" t="n"/>
      <c r="K160" s="19" t="n"/>
      <c r="L160" s="19" t="n"/>
    </row>
    <row r="161">
      <c r="A161" s="19" t="n"/>
      <c r="B161" s="19" t="n"/>
      <c r="C161" s="19" t="n"/>
      <c r="D161" s="19" t="n"/>
      <c r="E161" s="19" t="n"/>
      <c r="F161" s="19" t="n"/>
      <c r="G161" s="19" t="n"/>
      <c r="H161" s="19" t="n"/>
      <c r="I161" s="19" t="n"/>
      <c r="J161" s="19" t="n"/>
      <c r="K161" s="19" t="n"/>
      <c r="L161" s="19" t="n"/>
    </row>
    <row r="162">
      <c r="A162" s="19" t="n"/>
      <c r="B162" s="19" t="n"/>
      <c r="C162" s="19" t="n"/>
      <c r="D162" s="19" t="n"/>
      <c r="E162" s="19" t="n"/>
      <c r="F162" s="19" t="n"/>
      <c r="G162" s="19" t="n"/>
      <c r="H162" s="19" t="n"/>
      <c r="I162" s="19" t="n"/>
      <c r="J162" s="19" t="n"/>
      <c r="K162" s="19" t="n"/>
      <c r="L162" s="19" t="n"/>
    </row>
    <row r="163">
      <c r="A163" s="19" t="n"/>
      <c r="B163" s="19" t="n"/>
      <c r="C163" s="19" t="n"/>
      <c r="D163" s="19" t="n"/>
      <c r="E163" s="19" t="n"/>
      <c r="F163" s="19" t="n"/>
      <c r="G163" s="19" t="n"/>
      <c r="H163" s="19" t="n"/>
      <c r="I163" s="19" t="n"/>
      <c r="J163" s="19" t="n"/>
      <c r="K163" s="19" t="n"/>
      <c r="L163" s="19" t="n"/>
    </row>
    <row r="164">
      <c r="A164" s="19" t="n"/>
      <c r="B164" s="19" t="n"/>
      <c r="C164" s="19" t="n"/>
      <c r="D164" s="19" t="n"/>
      <c r="E164" s="19" t="n"/>
      <c r="F164" s="19" t="n"/>
      <c r="G164" s="19" t="n"/>
      <c r="H164" s="19" t="n"/>
      <c r="I164" s="19" t="n"/>
      <c r="J164" s="19" t="n"/>
      <c r="K164" s="19" t="n"/>
      <c r="L164" s="19" t="n"/>
    </row>
    <row r="165">
      <c r="A165" s="19" t="n"/>
      <c r="B165" s="19" t="n"/>
      <c r="C165" s="19" t="n"/>
      <c r="D165" s="19" t="n"/>
      <c r="E165" s="19" t="n"/>
      <c r="F165" s="19" t="n"/>
      <c r="G165" s="19" t="n"/>
      <c r="H165" s="19" t="n"/>
      <c r="I165" s="19" t="n"/>
      <c r="J165" s="19" t="n"/>
      <c r="K165" s="19" t="n"/>
      <c r="L165" s="19" t="n"/>
    </row>
    <row r="166">
      <c r="A166" s="19" t="n"/>
      <c r="B166" s="19" t="n"/>
      <c r="C166" s="19" t="n"/>
      <c r="D166" s="19" t="n"/>
      <c r="E166" s="19" t="n"/>
      <c r="F166" s="19" t="n"/>
      <c r="G166" s="19" t="n"/>
      <c r="H166" s="19" t="n"/>
      <c r="I166" s="19" t="n"/>
      <c r="J166" s="19" t="n"/>
      <c r="K166" s="19" t="n"/>
      <c r="L166" s="19" t="n"/>
    </row>
    <row r="167">
      <c r="A167" s="19" t="n"/>
      <c r="B167" s="19" t="n"/>
      <c r="C167" s="19" t="n"/>
      <c r="D167" s="19" t="n"/>
      <c r="E167" s="19" t="n"/>
      <c r="F167" s="19" t="n"/>
      <c r="G167" s="19" t="n"/>
      <c r="H167" s="19" t="n"/>
      <c r="I167" s="19" t="n"/>
      <c r="J167" s="19" t="n"/>
      <c r="K167" s="19" t="n"/>
      <c r="L167" s="19" t="n"/>
    </row>
    <row r="168">
      <c r="A168" s="19" t="n"/>
      <c r="B168" s="19" t="n"/>
      <c r="C168" s="19" t="n"/>
      <c r="D168" s="19" t="n"/>
      <c r="E168" s="19" t="n"/>
      <c r="F168" s="19" t="n"/>
      <c r="G168" s="19" t="n"/>
      <c r="H168" s="19" t="n"/>
      <c r="I168" s="19" t="n"/>
      <c r="J168" s="19" t="n"/>
      <c r="K168" s="19" t="n"/>
      <c r="L168" s="19" t="n"/>
    </row>
    <row r="169">
      <c r="A169" s="19" t="n"/>
      <c r="B169" s="19" t="n"/>
      <c r="C169" s="19" t="n"/>
      <c r="D169" s="19" t="n"/>
      <c r="E169" s="19" t="n"/>
      <c r="F169" s="19" t="n"/>
      <c r="G169" s="19" t="n"/>
      <c r="H169" s="19" t="n"/>
      <c r="I169" s="19" t="n"/>
      <c r="J169" s="19" t="n"/>
      <c r="K169" s="19" t="n"/>
      <c r="L169" s="19" t="n"/>
    </row>
    <row r="170">
      <c r="A170" s="19" t="n"/>
      <c r="B170" s="19" t="n"/>
      <c r="C170" s="19" t="n"/>
      <c r="D170" s="19" t="n"/>
      <c r="E170" s="19" t="n"/>
      <c r="F170" s="19" t="n"/>
      <c r="G170" s="19" t="n"/>
      <c r="H170" s="19" t="n"/>
      <c r="I170" s="19" t="n"/>
      <c r="J170" s="19" t="n"/>
      <c r="K170" s="19" t="n"/>
      <c r="L170" s="19" t="n"/>
    </row>
    <row r="171">
      <c r="A171" s="19" t="n"/>
      <c r="B171" s="19" t="n"/>
      <c r="C171" s="19" t="n"/>
      <c r="D171" s="19" t="n"/>
      <c r="E171" s="19" t="n"/>
      <c r="F171" s="19" t="n"/>
      <c r="G171" s="19" t="n"/>
      <c r="H171" s="19" t="n"/>
      <c r="I171" s="19" t="n"/>
      <c r="J171" s="19" t="n"/>
      <c r="K171" s="19" t="n"/>
      <c r="L171" s="19" t="n"/>
    </row>
    <row r="172">
      <c r="A172" s="19" t="n"/>
      <c r="B172" s="19" t="n"/>
      <c r="C172" s="19" t="n"/>
      <c r="D172" s="19" t="n"/>
      <c r="E172" s="19" t="n"/>
      <c r="F172" s="19" t="n"/>
      <c r="G172" s="19" t="n"/>
      <c r="H172" s="19" t="n"/>
      <c r="I172" s="19" t="n"/>
      <c r="J172" s="19" t="n"/>
      <c r="K172" s="19" t="n"/>
      <c r="L172" s="19" t="n"/>
    </row>
    <row r="173">
      <c r="A173" s="19" t="n"/>
      <c r="B173" s="19" t="n"/>
      <c r="C173" s="19" t="n"/>
      <c r="D173" s="19" t="n"/>
      <c r="E173" s="19" t="n"/>
      <c r="F173" s="19" t="n"/>
      <c r="G173" s="19" t="n"/>
      <c r="H173" s="19" t="n"/>
      <c r="I173" s="19" t="n"/>
      <c r="J173" s="19" t="n"/>
      <c r="K173" s="19" t="n"/>
      <c r="L173" s="19" t="n"/>
    </row>
    <row r="174">
      <c r="A174" s="19" t="n"/>
      <c r="B174" s="19" t="n"/>
      <c r="C174" s="19" t="n"/>
      <c r="D174" s="19" t="n"/>
      <c r="E174" s="19" t="n"/>
      <c r="F174" s="19" t="n"/>
      <c r="G174" s="19" t="n"/>
      <c r="H174" s="19" t="n"/>
      <c r="I174" s="19" t="n"/>
      <c r="J174" s="19" t="n"/>
      <c r="K174" s="19" t="n"/>
      <c r="L174" s="19" t="n"/>
    </row>
    <row r="175">
      <c r="A175" s="19" t="n"/>
      <c r="B175" s="19" t="n"/>
      <c r="C175" s="19" t="n"/>
      <c r="D175" s="19" t="n"/>
      <c r="E175" s="19" t="n"/>
      <c r="F175" s="19" t="n"/>
      <c r="G175" s="19" t="n"/>
      <c r="H175" s="19" t="n"/>
      <c r="I175" s="19" t="n"/>
      <c r="J175" s="19" t="n"/>
      <c r="K175" s="19" t="n"/>
      <c r="L175" s="19" t="n"/>
    </row>
    <row r="176">
      <c r="A176" s="19" t="n"/>
      <c r="B176" s="19" t="n"/>
      <c r="C176" s="19" t="n"/>
      <c r="D176" s="19" t="n"/>
      <c r="E176" s="19" t="n"/>
      <c r="F176" s="19" t="n"/>
      <c r="G176" s="19" t="n"/>
      <c r="H176" s="19" t="n"/>
      <c r="I176" s="19" t="n"/>
      <c r="J176" s="19" t="n"/>
      <c r="K176" s="19" t="n"/>
      <c r="L176" s="19" t="n"/>
    </row>
    <row r="177">
      <c r="A177" s="19" t="n"/>
      <c r="B177" s="19" t="n"/>
      <c r="C177" s="19" t="n"/>
      <c r="D177" s="19" t="n"/>
      <c r="E177" s="19" t="n"/>
      <c r="F177" s="19" t="n"/>
      <c r="G177" s="19" t="n"/>
      <c r="H177" s="19" t="n"/>
      <c r="I177" s="19" t="n"/>
      <c r="J177" s="19" t="n"/>
      <c r="K177" s="19" t="n"/>
      <c r="L177" s="19" t="n"/>
    </row>
    <row r="178">
      <c r="A178" s="19" t="n"/>
      <c r="B178" s="19" t="n"/>
      <c r="C178" s="19" t="n"/>
      <c r="D178" s="19" t="n"/>
      <c r="E178" s="19" t="n"/>
      <c r="F178" s="19" t="n"/>
      <c r="G178" s="19" t="n"/>
      <c r="H178" s="19" t="n"/>
      <c r="I178" s="19" t="n"/>
      <c r="J178" s="19" t="n"/>
      <c r="K178" s="19" t="n"/>
      <c r="L178" s="19" t="n"/>
    </row>
    <row r="179">
      <c r="A179" s="19" t="n"/>
      <c r="B179" s="19" t="n"/>
      <c r="C179" s="19" t="n"/>
      <c r="D179" s="19" t="n"/>
      <c r="E179" s="19" t="n"/>
      <c r="F179" s="19" t="n"/>
      <c r="G179" s="19" t="n"/>
      <c r="H179" s="19" t="n"/>
      <c r="I179" s="19" t="n"/>
      <c r="J179" s="19" t="n"/>
      <c r="K179" s="19" t="n"/>
      <c r="L179" s="19" t="n"/>
    </row>
    <row r="180">
      <c r="A180" s="19" t="n"/>
      <c r="B180" s="19" t="n"/>
      <c r="C180" s="19" t="n"/>
      <c r="D180" s="19" t="n"/>
      <c r="E180" s="19" t="n"/>
      <c r="F180" s="19" t="n"/>
      <c r="G180" s="19" t="n"/>
      <c r="H180" s="19" t="n"/>
      <c r="I180" s="19" t="n"/>
      <c r="J180" s="19" t="n"/>
      <c r="K180" s="19" t="n"/>
      <c r="L180" s="19" t="n"/>
    </row>
    <row r="181">
      <c r="A181" s="19" t="n"/>
      <c r="B181" s="19" t="n"/>
      <c r="C181" s="19" t="n"/>
      <c r="D181" s="19" t="n"/>
      <c r="E181" s="19" t="n"/>
      <c r="F181" s="19" t="n"/>
      <c r="G181" s="19" t="n"/>
      <c r="H181" s="19" t="n"/>
      <c r="I181" s="19" t="n"/>
      <c r="J181" s="19" t="n"/>
      <c r="K181" s="19" t="n"/>
      <c r="L181" s="19" t="n"/>
    </row>
    <row r="182">
      <c r="A182" s="19" t="n"/>
      <c r="B182" s="19" t="n"/>
      <c r="C182" s="19" t="n"/>
      <c r="D182" s="19" t="n"/>
      <c r="E182" s="19" t="n"/>
      <c r="F182" s="19" t="n"/>
      <c r="G182" s="19" t="n"/>
      <c r="H182" s="19" t="n"/>
      <c r="I182" s="19" t="n"/>
      <c r="J182" s="19" t="n"/>
      <c r="K182" s="19" t="n"/>
      <c r="L182" s="19" t="n"/>
    </row>
    <row r="183">
      <c r="A183" s="19" t="n"/>
      <c r="B183" s="19" t="n"/>
      <c r="C183" s="19" t="n"/>
      <c r="D183" s="19" t="n"/>
      <c r="E183" s="19" t="n"/>
      <c r="F183" s="19" t="n"/>
      <c r="G183" s="19" t="n"/>
      <c r="H183" s="19" t="n"/>
      <c r="I183" s="19" t="n"/>
      <c r="J183" s="19" t="n"/>
      <c r="K183" s="19" t="n"/>
      <c r="L183" s="19" t="n"/>
    </row>
    <row r="184">
      <c r="A184" s="19" t="n"/>
      <c r="B184" s="19" t="n"/>
      <c r="C184" s="19" t="n"/>
      <c r="D184" s="19" t="n"/>
      <c r="E184" s="19" t="n"/>
      <c r="F184" s="19" t="n"/>
      <c r="G184" s="19" t="n"/>
      <c r="H184" s="19" t="n"/>
      <c r="I184" s="19" t="n"/>
      <c r="J184" s="19" t="n"/>
      <c r="K184" s="19" t="n"/>
      <c r="L184" s="19" t="n"/>
    </row>
    <row r="185">
      <c r="A185" s="19" t="n"/>
      <c r="B185" s="19" t="n"/>
      <c r="C185" s="19" t="n"/>
      <c r="D185" s="19" t="n"/>
      <c r="E185" s="19" t="n"/>
      <c r="F185" s="19" t="n"/>
      <c r="G185" s="19" t="n"/>
      <c r="H185" s="19" t="n"/>
      <c r="I185" s="19" t="n"/>
      <c r="J185" s="19" t="n"/>
      <c r="K185" s="19" t="n"/>
      <c r="L185" s="19" t="n"/>
    </row>
    <row r="186">
      <c r="A186" s="19" t="n"/>
      <c r="B186" s="19" t="n"/>
      <c r="C186" s="19" t="n"/>
      <c r="D186" s="19" t="n"/>
      <c r="E186" s="19" t="n"/>
      <c r="F186" s="19" t="n"/>
      <c r="G186" s="19" t="n"/>
      <c r="H186" s="19" t="n"/>
      <c r="I186" s="19" t="n"/>
      <c r="J186" s="19" t="n"/>
      <c r="K186" s="19" t="n"/>
      <c r="L186" s="19" t="n"/>
    </row>
    <row r="187">
      <c r="A187" s="19" t="n"/>
      <c r="B187" s="19" t="n"/>
      <c r="C187" s="19" t="n"/>
      <c r="D187" s="19" t="n"/>
      <c r="E187" s="19" t="n"/>
      <c r="F187" s="19" t="n"/>
      <c r="G187" s="19" t="n"/>
      <c r="H187" s="19" t="n"/>
      <c r="I187" s="19" t="n"/>
      <c r="J187" s="19" t="n"/>
      <c r="K187" s="19" t="n"/>
      <c r="L187" s="19" t="n"/>
    </row>
    <row r="188">
      <c r="A188" s="19" t="n"/>
      <c r="B188" s="19" t="n"/>
      <c r="C188" s="19" t="n"/>
      <c r="D188" s="19" t="n"/>
      <c r="E188" s="19" t="n"/>
      <c r="F188" s="19" t="n"/>
      <c r="G188" s="19" t="n"/>
      <c r="H188" s="19" t="n"/>
      <c r="I188" s="19" t="n"/>
      <c r="J188" s="19" t="n"/>
      <c r="K188" s="19" t="n"/>
      <c r="L188" s="19" t="n"/>
    </row>
    <row r="189">
      <c r="A189" s="19" t="n"/>
      <c r="B189" s="19" t="n"/>
      <c r="C189" s="19" t="n"/>
      <c r="D189" s="19" t="n"/>
      <c r="E189" s="19" t="n"/>
      <c r="F189" s="19" t="n"/>
      <c r="G189" s="19" t="n"/>
      <c r="H189" s="19" t="n"/>
      <c r="I189" s="19" t="n"/>
      <c r="J189" s="19" t="n"/>
      <c r="K189" s="19" t="n"/>
      <c r="L189" s="19" t="n"/>
    </row>
    <row r="190">
      <c r="A190" s="19" t="n"/>
      <c r="B190" s="19" t="n"/>
      <c r="C190" s="19" t="n"/>
      <c r="D190" s="19" t="n"/>
      <c r="E190" s="19" t="n"/>
      <c r="F190" s="19" t="n"/>
      <c r="G190" s="19" t="n"/>
      <c r="H190" s="19" t="n"/>
      <c r="I190" s="19" t="n"/>
      <c r="J190" s="19" t="n"/>
      <c r="K190" s="19" t="n"/>
      <c r="L190" s="19" t="n"/>
    </row>
    <row r="191">
      <c r="A191" s="19" t="n"/>
      <c r="B191" s="19" t="n"/>
      <c r="C191" s="19" t="n"/>
      <c r="D191" s="19" t="n"/>
      <c r="E191" s="19" t="n"/>
      <c r="F191" s="19" t="n"/>
      <c r="G191" s="19" t="n"/>
      <c r="H191" s="19" t="n"/>
      <c r="I191" s="19" t="n"/>
      <c r="J191" s="19" t="n"/>
      <c r="K191" s="19" t="n"/>
      <c r="L191" s="19" t="n"/>
    </row>
    <row r="192">
      <c r="A192" s="19" t="n"/>
      <c r="B192" s="19" t="n"/>
      <c r="C192" s="19" t="n"/>
      <c r="D192" s="19" t="n"/>
      <c r="E192" s="19" t="n"/>
      <c r="F192" s="19" t="n"/>
      <c r="G192" s="19" t="n"/>
      <c r="H192" s="19" t="n"/>
      <c r="I192" s="19" t="n"/>
      <c r="J192" s="19" t="n"/>
      <c r="K192" s="19" t="n"/>
      <c r="L192" s="19" t="n"/>
    </row>
    <row r="193">
      <c r="A193" s="19" t="n"/>
      <c r="B193" s="19" t="n"/>
      <c r="C193" s="19" t="n"/>
      <c r="D193" s="19" t="n"/>
      <c r="E193" s="19" t="n"/>
      <c r="F193" s="19" t="n"/>
      <c r="G193" s="19" t="n"/>
      <c r="H193" s="19" t="n"/>
      <c r="I193" s="19" t="n"/>
      <c r="J193" s="19" t="n"/>
      <c r="K193" s="19" t="n"/>
      <c r="L193" s="19" t="n"/>
    </row>
    <row r="194">
      <c r="A194" s="19" t="n"/>
      <c r="B194" s="19" t="n"/>
      <c r="C194" s="19" t="n"/>
      <c r="D194" s="19" t="n"/>
      <c r="E194" s="19" t="n"/>
      <c r="F194" s="19" t="n"/>
      <c r="G194" s="19" t="n"/>
      <c r="H194" s="19" t="n"/>
      <c r="I194" s="19" t="n"/>
      <c r="J194" s="19" t="n"/>
      <c r="K194" s="19" t="n"/>
      <c r="L194" s="19" t="n"/>
    </row>
    <row r="195">
      <c r="A195" s="19" t="n"/>
      <c r="B195" s="19" t="n"/>
      <c r="C195" s="19" t="n"/>
      <c r="D195" s="19" t="n"/>
      <c r="E195" s="19" t="n"/>
      <c r="F195" s="19" t="n"/>
      <c r="G195" s="19" t="n"/>
      <c r="H195" s="19" t="n"/>
      <c r="I195" s="19" t="n"/>
      <c r="J195" s="19" t="n"/>
      <c r="K195" s="19" t="n"/>
      <c r="L195" s="19" t="n"/>
    </row>
    <row r="196">
      <c r="A196" s="19" t="n"/>
      <c r="B196" s="19" t="n"/>
      <c r="C196" s="19" t="n"/>
      <c r="D196" s="19" t="n"/>
      <c r="E196" s="19" t="n"/>
      <c r="F196" s="19" t="n"/>
      <c r="G196" s="19" t="n"/>
      <c r="H196" s="19" t="n"/>
      <c r="I196" s="19" t="n"/>
      <c r="J196" s="19" t="n"/>
      <c r="K196" s="19" t="n"/>
      <c r="L196" s="19" t="n"/>
    </row>
    <row r="197">
      <c r="A197" s="19" t="n"/>
      <c r="B197" s="19" t="n"/>
      <c r="C197" s="19" t="n"/>
      <c r="D197" s="19" t="n"/>
      <c r="E197" s="19" t="n"/>
      <c r="F197" s="19" t="n"/>
      <c r="G197" s="19" t="n"/>
      <c r="H197" s="19" t="n"/>
      <c r="I197" s="19" t="n"/>
      <c r="J197" s="19" t="n"/>
      <c r="K197" s="19" t="n"/>
      <c r="L197" s="19" t="n"/>
    </row>
    <row r="198">
      <c r="A198" s="19" t="n"/>
      <c r="B198" s="19" t="n"/>
      <c r="C198" s="19" t="n"/>
      <c r="D198" s="19" t="n"/>
      <c r="E198" s="19" t="n"/>
      <c r="F198" s="19" t="n"/>
      <c r="G198" s="19" t="n"/>
      <c r="H198" s="19" t="n"/>
      <c r="I198" s="19" t="n"/>
      <c r="J198" s="19" t="n"/>
      <c r="K198" s="19" t="n"/>
      <c r="L198" s="19" t="n"/>
    </row>
    <row r="199">
      <c r="A199" s="19" t="n"/>
      <c r="B199" s="19" t="n"/>
      <c r="C199" s="19" t="n"/>
      <c r="D199" s="19" t="n"/>
      <c r="E199" s="19" t="n"/>
      <c r="F199" s="19" t="n"/>
      <c r="G199" s="19" t="n"/>
      <c r="H199" s="19" t="n"/>
      <c r="I199" s="19" t="n"/>
      <c r="J199" s="19" t="n"/>
      <c r="K199" s="19" t="n"/>
      <c r="L199" s="19" t="n"/>
    </row>
    <row r="200">
      <c r="A200" s="19" t="n"/>
      <c r="B200" s="19" t="n"/>
      <c r="C200" s="19" t="n"/>
      <c r="D200" s="19" t="n"/>
      <c r="E200" s="19" t="n"/>
      <c r="F200" s="19" t="n"/>
      <c r="G200" s="19" t="n"/>
      <c r="H200" s="19" t="n"/>
      <c r="I200" s="19" t="n"/>
      <c r="J200" s="19" t="n"/>
      <c r="K200" s="19" t="n"/>
      <c r="L200" s="19" t="n"/>
    </row>
    <row r="201">
      <c r="A201" s="19" t="n"/>
      <c r="B201" s="19" t="n"/>
      <c r="C201" s="19" t="n"/>
      <c r="D201" s="19" t="n"/>
      <c r="E201" s="19" t="n"/>
      <c r="F201" s="19" t="n"/>
      <c r="G201" s="19" t="n"/>
      <c r="H201" s="19" t="n"/>
      <c r="I201" s="19" t="n"/>
      <c r="J201" s="19" t="n"/>
      <c r="K201" s="19" t="n"/>
      <c r="L201" s="19" t="n"/>
    </row>
    <row r="202">
      <c r="A202" s="19" t="n"/>
      <c r="B202" s="19" t="n"/>
      <c r="C202" s="19" t="n"/>
      <c r="D202" s="19" t="n"/>
      <c r="E202" s="19" t="n"/>
      <c r="F202" s="19" t="n"/>
      <c r="G202" s="19" t="n"/>
      <c r="H202" s="19" t="n"/>
      <c r="I202" s="19" t="n"/>
      <c r="J202" s="19" t="n"/>
      <c r="K202" s="19" t="n"/>
      <c r="L202" s="19" t="n"/>
    </row>
    <row r="203">
      <c r="A203" s="19" t="n"/>
      <c r="B203" s="19" t="n"/>
      <c r="C203" s="19" t="n"/>
      <c r="D203" s="19" t="n"/>
      <c r="E203" s="19" t="n"/>
      <c r="F203" s="19" t="n"/>
      <c r="G203" s="19" t="n"/>
      <c r="H203" s="19" t="n"/>
      <c r="I203" s="19" t="n"/>
      <c r="J203" s="19" t="n"/>
      <c r="K203" s="19" t="n"/>
      <c r="L203" s="19" t="n"/>
    </row>
    <row r="204">
      <c r="A204" s="19" t="n"/>
      <c r="B204" s="19" t="n"/>
      <c r="C204" s="19" t="n"/>
      <c r="D204" s="19" t="n"/>
      <c r="E204" s="19" t="n"/>
      <c r="F204" s="19" t="n"/>
      <c r="G204" s="19" t="n"/>
      <c r="H204" s="19" t="n"/>
      <c r="I204" s="19" t="n"/>
      <c r="J204" s="19" t="n"/>
      <c r="K204" s="19" t="n"/>
      <c r="L204" s="19" t="n"/>
    </row>
    <row r="205">
      <c r="A205" s="19" t="n"/>
      <c r="B205" s="19" t="n"/>
      <c r="C205" s="19" t="n"/>
      <c r="D205" s="19" t="n"/>
      <c r="E205" s="19" t="n"/>
      <c r="F205" s="19" t="n"/>
      <c r="G205" s="19" t="n"/>
      <c r="H205" s="19" t="n"/>
      <c r="I205" s="19" t="n"/>
      <c r="J205" s="19" t="n"/>
      <c r="K205" s="19" t="n"/>
      <c r="L205" s="19" t="n"/>
    </row>
    <row r="206">
      <c r="A206" s="19" t="n"/>
      <c r="B206" s="19" t="n"/>
      <c r="C206" s="19" t="n"/>
      <c r="D206" s="19" t="n"/>
      <c r="E206" s="19" t="n"/>
      <c r="F206" s="19" t="n"/>
      <c r="G206" s="19" t="n"/>
      <c r="H206" s="19" t="n"/>
      <c r="I206" s="19" t="n"/>
      <c r="J206" s="19" t="n"/>
      <c r="K206" s="19" t="n"/>
      <c r="L206" s="19" t="n"/>
    </row>
    <row r="207">
      <c r="A207" s="19" t="n"/>
      <c r="B207" s="19" t="n"/>
      <c r="C207" s="19" t="n"/>
      <c r="D207" s="19" t="n"/>
      <c r="E207" s="19" t="n"/>
      <c r="F207" s="19" t="n"/>
      <c r="G207" s="19" t="n"/>
      <c r="H207" s="19" t="n"/>
      <c r="I207" s="19" t="n"/>
      <c r="J207" s="19" t="n"/>
      <c r="K207" s="19" t="n"/>
      <c r="L207" s="19" t="n"/>
    </row>
    <row r="208">
      <c r="A208" s="19" t="n"/>
      <c r="B208" s="19" t="n"/>
      <c r="C208" s="19" t="n"/>
      <c r="D208" s="19" t="n"/>
      <c r="E208" s="19" t="n"/>
      <c r="F208" s="19" t="n"/>
      <c r="G208" s="19" t="n"/>
      <c r="H208" s="19" t="n"/>
      <c r="I208" s="19" t="n"/>
      <c r="J208" s="19" t="n"/>
      <c r="K208" s="19" t="n"/>
      <c r="L208" s="19" t="n"/>
    </row>
    <row r="209">
      <c r="A209" s="19" t="n"/>
      <c r="B209" s="19" t="n"/>
      <c r="C209" s="19" t="n"/>
      <c r="D209" s="19" t="n"/>
      <c r="E209" s="19" t="n"/>
      <c r="F209" s="19" t="n"/>
      <c r="G209" s="19" t="n"/>
      <c r="H209" s="19" t="n"/>
      <c r="I209" s="19" t="n"/>
      <c r="J209" s="19" t="n"/>
      <c r="K209" s="19" t="n"/>
      <c r="L209" s="19" t="n"/>
    </row>
    <row r="210">
      <c r="A210" s="19" t="n"/>
      <c r="B210" s="19" t="n"/>
      <c r="C210" s="19" t="n"/>
      <c r="D210" s="19" t="n"/>
      <c r="E210" s="19" t="n"/>
      <c r="F210" s="19" t="n"/>
      <c r="G210" s="19" t="n"/>
      <c r="H210" s="19" t="n"/>
      <c r="I210" s="19" t="n"/>
      <c r="J210" s="19" t="n"/>
      <c r="K210" s="19" t="n"/>
      <c r="L210" s="19" t="n"/>
    </row>
    <row r="211">
      <c r="A211" s="19" t="n"/>
      <c r="B211" s="19" t="n"/>
      <c r="C211" s="19" t="n"/>
      <c r="D211" s="19" t="n"/>
      <c r="E211" s="19" t="n"/>
      <c r="F211" s="19" t="n"/>
      <c r="G211" s="19" t="n"/>
      <c r="H211" s="19" t="n"/>
      <c r="I211" s="19" t="n"/>
      <c r="J211" s="19" t="n"/>
      <c r="K211" s="19" t="n"/>
      <c r="L211" s="19" t="n"/>
    </row>
    <row r="212">
      <c r="A212" s="19" t="n"/>
      <c r="B212" s="19" t="n"/>
      <c r="C212" s="19" t="n"/>
      <c r="D212" s="19" t="n"/>
      <c r="E212" s="19" t="n"/>
      <c r="F212" s="19" t="n"/>
      <c r="G212" s="19" t="n"/>
      <c r="H212" s="19" t="n"/>
      <c r="I212" s="19" t="n"/>
      <c r="J212" s="19" t="n"/>
      <c r="K212" s="19" t="n"/>
      <c r="L212" s="19" t="n"/>
    </row>
    <row r="213">
      <c r="A213" s="19" t="n"/>
      <c r="B213" s="19" t="n"/>
      <c r="C213" s="19" t="n"/>
      <c r="D213" s="19" t="n"/>
      <c r="E213" s="19" t="n"/>
      <c r="F213" s="19" t="n"/>
      <c r="G213" s="19" t="n"/>
      <c r="H213" s="19" t="n"/>
      <c r="I213" s="19" t="n"/>
      <c r="J213" s="19" t="n"/>
      <c r="K213" s="19" t="n"/>
      <c r="L213" s="19" t="n"/>
    </row>
    <row r="214">
      <c r="A214" s="19" t="n"/>
      <c r="B214" s="19" t="n"/>
      <c r="C214" s="19" t="n"/>
      <c r="D214" s="19" t="n"/>
      <c r="E214" s="19" t="n"/>
      <c r="F214" s="19" t="n"/>
      <c r="G214" s="19" t="n"/>
      <c r="H214" s="19" t="n"/>
      <c r="I214" s="19" t="n"/>
      <c r="J214" s="19" t="n"/>
      <c r="K214" s="19" t="n"/>
      <c r="L214" s="19" t="n"/>
    </row>
    <row r="215">
      <c r="A215" s="19" t="n"/>
      <c r="B215" s="19" t="n"/>
      <c r="C215" s="19" t="n"/>
      <c r="D215" s="19" t="n"/>
      <c r="E215" s="19" t="n"/>
      <c r="F215" s="19" t="n"/>
      <c r="G215" s="19" t="n"/>
      <c r="H215" s="19" t="n"/>
      <c r="I215" s="19" t="n"/>
      <c r="J215" s="19" t="n"/>
      <c r="K215" s="19" t="n"/>
      <c r="L215" s="19" t="n"/>
    </row>
    <row r="216">
      <c r="A216" s="19" t="n"/>
      <c r="B216" s="19" t="n"/>
      <c r="C216" s="19" t="n"/>
      <c r="D216" s="19" t="n"/>
      <c r="E216" s="19" t="n"/>
      <c r="F216" s="19" t="n"/>
      <c r="G216" s="19" t="n"/>
      <c r="H216" s="19" t="n"/>
      <c r="I216" s="19" t="n"/>
      <c r="J216" s="19" t="n"/>
      <c r="K216" s="19" t="n"/>
      <c r="L216" s="19" t="n"/>
    </row>
    <row r="217">
      <c r="A217" s="19" t="n"/>
      <c r="B217" s="19" t="n"/>
      <c r="C217" s="19" t="n"/>
      <c r="D217" s="19" t="n"/>
      <c r="E217" s="19" t="n"/>
      <c r="F217" s="19" t="n"/>
      <c r="G217" s="19" t="n"/>
      <c r="H217" s="19" t="n"/>
      <c r="I217" s="19" t="n"/>
      <c r="J217" s="19" t="n"/>
      <c r="K217" s="19" t="n"/>
      <c r="L217" s="19" t="n"/>
    </row>
    <row r="218">
      <c r="A218" s="19" t="n"/>
      <c r="B218" s="19" t="n"/>
      <c r="C218" s="19" t="n"/>
      <c r="D218" s="19" t="n"/>
      <c r="E218" s="19" t="n"/>
      <c r="F218" s="19" t="n"/>
      <c r="G218" s="19" t="n"/>
      <c r="H218" s="19" t="n"/>
      <c r="I218" s="19" t="n"/>
      <c r="J218" s="19" t="n"/>
      <c r="K218" s="19" t="n"/>
      <c r="L218" s="19" t="n"/>
    </row>
    <row r="219">
      <c r="A219" s="19" t="n"/>
      <c r="B219" s="19" t="n"/>
      <c r="C219" s="19" t="n"/>
      <c r="D219" s="19" t="n"/>
      <c r="E219" s="19" t="n"/>
      <c r="F219" s="19" t="n"/>
      <c r="G219" s="19" t="n"/>
      <c r="H219" s="19" t="n"/>
      <c r="I219" s="19" t="n"/>
      <c r="J219" s="19" t="n"/>
      <c r="K219" s="19" t="n"/>
      <c r="L219" s="19" t="n"/>
    </row>
    <row r="220">
      <c r="A220" s="19" t="n"/>
      <c r="B220" s="19" t="n"/>
      <c r="C220" s="19" t="n"/>
      <c r="D220" s="19" t="n"/>
      <c r="E220" s="19" t="n"/>
      <c r="F220" s="19" t="n"/>
      <c r="G220" s="19" t="n"/>
      <c r="H220" s="19" t="n"/>
      <c r="I220" s="19" t="n"/>
      <c r="J220" s="19" t="n"/>
      <c r="K220" s="19" t="n"/>
      <c r="L220" s="19" t="n"/>
    </row>
    <row r="221">
      <c r="A221" s="19" t="n"/>
      <c r="B221" s="19" t="n"/>
      <c r="C221" s="19" t="n"/>
      <c r="D221" s="19" t="n"/>
      <c r="E221" s="19" t="n"/>
      <c r="F221" s="19" t="n"/>
      <c r="G221" s="19" t="n"/>
      <c r="H221" s="19" t="n"/>
      <c r="I221" s="19" t="n"/>
      <c r="J221" s="19" t="n"/>
      <c r="K221" s="19" t="n"/>
      <c r="L221" s="19" t="n"/>
    </row>
    <row r="222">
      <c r="A222" s="19" t="n"/>
      <c r="B222" s="19" t="n"/>
      <c r="C222" s="19" t="n"/>
      <c r="D222" s="19" t="n"/>
      <c r="E222" s="19" t="n"/>
      <c r="F222" s="19" t="n"/>
      <c r="G222" s="19" t="n"/>
      <c r="H222" s="19" t="n"/>
      <c r="I222" s="19" t="n"/>
      <c r="J222" s="19" t="n"/>
      <c r="K222" s="19" t="n"/>
      <c r="L222" s="19" t="n"/>
    </row>
    <row r="223">
      <c r="A223" s="19" t="n"/>
      <c r="B223" s="19" t="n"/>
      <c r="C223" s="19" t="n"/>
      <c r="D223" s="19" t="n"/>
      <c r="E223" s="19" t="n"/>
      <c r="F223" s="19" t="n"/>
      <c r="G223" s="19" t="n"/>
      <c r="H223" s="19" t="n"/>
      <c r="I223" s="19" t="n"/>
      <c r="J223" s="19" t="n"/>
      <c r="K223" s="19" t="n"/>
      <c r="L223" s="19" t="n"/>
    </row>
    <row r="224">
      <c r="A224" s="19" t="n"/>
      <c r="B224" s="19" t="n"/>
      <c r="C224" s="19" t="n"/>
      <c r="D224" s="19" t="n"/>
      <c r="E224" s="19" t="n"/>
      <c r="F224" s="19" t="n"/>
      <c r="G224" s="19" t="n"/>
      <c r="H224" s="19" t="n"/>
      <c r="I224" s="19" t="n"/>
      <c r="J224" s="19" t="n"/>
      <c r="K224" s="19" t="n"/>
      <c r="L224" s="19" t="n"/>
    </row>
    <row r="225">
      <c r="A225" s="19" t="n"/>
      <c r="B225" s="19" t="n"/>
      <c r="C225" s="19" t="n"/>
      <c r="D225" s="19" t="n"/>
      <c r="E225" s="19" t="n"/>
      <c r="F225" s="19" t="n"/>
      <c r="G225" s="19" t="n"/>
      <c r="H225" s="19" t="n"/>
      <c r="I225" s="19" t="n"/>
      <c r="J225" s="19" t="n"/>
      <c r="K225" s="19" t="n"/>
      <c r="L225" s="19" t="n"/>
    </row>
    <row r="226">
      <c r="A226" s="19" t="n"/>
      <c r="B226" s="19" t="n"/>
      <c r="C226" s="19" t="n"/>
      <c r="D226" s="19" t="n"/>
      <c r="E226" s="19" t="n"/>
      <c r="F226" s="19" t="n"/>
      <c r="G226" s="19" t="n"/>
      <c r="H226" s="19" t="n"/>
      <c r="I226" s="19" t="n"/>
      <c r="J226" s="19" t="n"/>
      <c r="K226" s="19" t="n"/>
      <c r="L226" s="19" t="n"/>
    </row>
    <row r="227">
      <c r="A227" s="19" t="n"/>
      <c r="B227" s="19" t="n"/>
      <c r="C227" s="19" t="n"/>
      <c r="D227" s="19" t="n"/>
      <c r="E227" s="19" t="n"/>
      <c r="F227" s="19" t="n"/>
      <c r="G227" s="19" t="n"/>
      <c r="H227" s="19" t="n"/>
      <c r="I227" s="19" t="n"/>
      <c r="J227" s="19" t="n"/>
      <c r="K227" s="19" t="n"/>
      <c r="L227" s="19" t="n"/>
    </row>
    <row r="228">
      <c r="A228" s="19" t="n"/>
      <c r="B228" s="19" t="n"/>
      <c r="C228" s="19" t="n"/>
      <c r="D228" s="19" t="n"/>
      <c r="E228" s="19" t="n"/>
      <c r="F228" s="19" t="n"/>
      <c r="G228" s="19" t="n"/>
      <c r="H228" s="19" t="n"/>
      <c r="I228" s="19" t="n"/>
      <c r="J228" s="19" t="n"/>
      <c r="K228" s="19" t="n"/>
      <c r="L228" s="19" t="n"/>
    </row>
    <row r="229">
      <c r="A229" s="19" t="n"/>
      <c r="B229" s="19" t="n"/>
      <c r="C229" s="19" t="n"/>
      <c r="D229" s="19" t="n"/>
      <c r="E229" s="19" t="n"/>
      <c r="F229" s="19" t="n"/>
      <c r="G229" s="19" t="n"/>
      <c r="H229" s="19" t="n"/>
      <c r="I229" s="19" t="n"/>
      <c r="J229" s="19" t="n"/>
      <c r="K229" s="19" t="n"/>
      <c r="L229" s="19" t="n"/>
    </row>
    <row r="230">
      <c r="A230" s="19" t="n"/>
      <c r="B230" s="19" t="n"/>
      <c r="C230" s="19" t="n"/>
      <c r="D230" s="19" t="n"/>
      <c r="E230" s="19" t="n"/>
      <c r="F230" s="19" t="n"/>
      <c r="G230" s="19" t="n"/>
      <c r="H230" s="19" t="n"/>
      <c r="I230" s="19" t="n"/>
      <c r="J230" s="19" t="n"/>
      <c r="K230" s="19" t="n"/>
      <c r="L230" s="19" t="n"/>
    </row>
    <row r="231">
      <c r="A231" s="19" t="n"/>
      <c r="B231" s="19" t="n"/>
      <c r="C231" s="19" t="n"/>
      <c r="D231" s="19" t="n"/>
      <c r="E231" s="19" t="n"/>
      <c r="F231" s="19" t="n"/>
      <c r="G231" s="19" t="n"/>
      <c r="H231" s="19" t="n"/>
      <c r="I231" s="19" t="n"/>
      <c r="J231" s="19" t="n"/>
      <c r="K231" s="19" t="n"/>
      <c r="L231" s="19" t="n"/>
    </row>
    <row r="232">
      <c r="A232" s="19" t="n"/>
      <c r="B232" s="19" t="n"/>
      <c r="C232" s="19" t="n"/>
      <c r="D232" s="19" t="n"/>
      <c r="E232" s="19" t="n"/>
      <c r="F232" s="19" t="n"/>
      <c r="G232" s="19" t="n"/>
      <c r="H232" s="19" t="n"/>
      <c r="I232" s="19" t="n"/>
      <c r="J232" s="19" t="n"/>
      <c r="K232" s="19" t="n"/>
      <c r="L232" s="19" t="n"/>
    </row>
    <row r="233">
      <c r="A233" s="19" t="n"/>
      <c r="B233" s="19" t="n"/>
      <c r="C233" s="19" t="n"/>
      <c r="D233" s="19" t="n"/>
      <c r="E233" s="19" t="n"/>
      <c r="F233" s="19" t="n"/>
      <c r="G233" s="19" t="n"/>
      <c r="H233" s="19" t="n"/>
      <c r="I233" s="19" t="n"/>
      <c r="J233" s="19" t="n"/>
      <c r="K233" s="19" t="n"/>
      <c r="L233" s="19" t="n"/>
    </row>
    <row r="234">
      <c r="A234" s="19" t="n"/>
      <c r="B234" s="19" t="n"/>
      <c r="C234" s="19" t="n"/>
      <c r="D234" s="19" t="n"/>
      <c r="E234" s="19" t="n"/>
      <c r="F234" s="19" t="n"/>
      <c r="G234" s="19" t="n"/>
      <c r="H234" s="19" t="n"/>
      <c r="I234" s="19" t="n"/>
      <c r="J234" s="19" t="n"/>
      <c r="K234" s="19" t="n"/>
      <c r="L234" s="19" t="n"/>
    </row>
    <row r="235">
      <c r="A235" s="19" t="n"/>
      <c r="B235" s="19" t="n"/>
      <c r="C235" s="19" t="n"/>
      <c r="D235" s="19" t="n"/>
      <c r="E235" s="19" t="n"/>
      <c r="F235" s="19" t="n"/>
      <c r="G235" s="19" t="n"/>
      <c r="H235" s="19" t="n"/>
      <c r="I235" s="19" t="n"/>
      <c r="J235" s="19" t="n"/>
      <c r="K235" s="19" t="n"/>
      <c r="L235" s="19" t="n"/>
    </row>
    <row r="236">
      <c r="A236" s="19" t="n"/>
      <c r="B236" s="19" t="n"/>
      <c r="C236" s="19" t="n"/>
      <c r="D236" s="19" t="n"/>
      <c r="E236" s="19" t="n"/>
      <c r="F236" s="19" t="n"/>
      <c r="G236" s="19" t="n"/>
      <c r="H236" s="19" t="n"/>
      <c r="I236" s="19" t="n"/>
      <c r="J236" s="19" t="n"/>
      <c r="K236" s="19" t="n"/>
      <c r="L236" s="19" t="n"/>
    </row>
    <row r="237">
      <c r="A237" s="19" t="n"/>
      <c r="B237" s="19" t="n"/>
      <c r="C237" s="19" t="n"/>
      <c r="D237" s="19" t="n"/>
      <c r="E237" s="19" t="n"/>
      <c r="F237" s="19" t="n"/>
      <c r="G237" s="19" t="n"/>
      <c r="H237" s="19" t="n"/>
      <c r="I237" s="19" t="n"/>
      <c r="J237" s="19" t="n"/>
      <c r="K237" s="19" t="n"/>
      <c r="L237" s="19" t="n"/>
    </row>
    <row r="238">
      <c r="A238" s="19" t="n"/>
      <c r="B238" s="19" t="n"/>
      <c r="C238" s="19" t="n"/>
      <c r="D238" s="19" t="n"/>
      <c r="E238" s="19" t="n"/>
      <c r="F238" s="19" t="n"/>
      <c r="G238" s="19" t="n"/>
      <c r="H238" s="19" t="n"/>
      <c r="I238" s="19" t="n"/>
      <c r="J238" s="19" t="n"/>
      <c r="K238" s="19" t="n"/>
      <c r="L238" s="19" t="n"/>
    </row>
    <row r="239">
      <c r="A239" s="19" t="n"/>
      <c r="B239" s="19" t="n"/>
      <c r="C239" s="19" t="n"/>
      <c r="D239" s="19" t="n"/>
      <c r="E239" s="19" t="n"/>
      <c r="F239" s="19" t="n"/>
      <c r="G239" s="19" t="n"/>
      <c r="H239" s="19" t="n"/>
      <c r="I239" s="19" t="n"/>
      <c r="J239" s="19" t="n"/>
      <c r="K239" s="19" t="n"/>
      <c r="L239" s="19" t="n"/>
    </row>
    <row r="240">
      <c r="A240" s="19" t="n"/>
      <c r="B240" s="19" t="n"/>
      <c r="C240" s="19" t="n"/>
      <c r="D240" s="19" t="n"/>
      <c r="E240" s="19" t="n"/>
      <c r="F240" s="19" t="n"/>
      <c r="G240" s="19" t="n"/>
      <c r="H240" s="19" t="n"/>
      <c r="I240" s="19" t="n"/>
      <c r="J240" s="19" t="n"/>
      <c r="K240" s="19" t="n"/>
      <c r="L240" s="19" t="n"/>
    </row>
    <row r="241">
      <c r="A241" s="19" t="n"/>
      <c r="B241" s="19" t="n"/>
      <c r="C241" s="19" t="n"/>
      <c r="D241" s="19" t="n"/>
      <c r="E241" s="19" t="n"/>
      <c r="F241" s="19" t="n"/>
      <c r="G241" s="19" t="n"/>
      <c r="H241" s="19" t="n"/>
      <c r="I241" s="19" t="n"/>
      <c r="J241" s="19" t="n"/>
      <c r="K241" s="19" t="n"/>
      <c r="L241" s="19" t="n"/>
    </row>
    <row r="242">
      <c r="A242" s="19" t="n"/>
      <c r="B242" s="19" t="n"/>
      <c r="C242" s="19" t="n"/>
      <c r="D242" s="19" t="n"/>
      <c r="E242" s="19" t="n"/>
      <c r="F242" s="19" t="n"/>
      <c r="G242" s="19" t="n"/>
      <c r="H242" s="19" t="n"/>
      <c r="I242" s="19" t="n"/>
      <c r="J242" s="19" t="n"/>
      <c r="K242" s="19" t="n"/>
      <c r="L242" s="19" t="n"/>
    </row>
    <row r="243">
      <c r="A243" s="19" t="n"/>
      <c r="B243" s="19" t="n"/>
      <c r="C243" s="19" t="n"/>
      <c r="D243" s="19" t="n"/>
      <c r="E243" s="19" t="n"/>
      <c r="F243" s="19" t="n"/>
      <c r="G243" s="19" t="n"/>
      <c r="H243" s="19" t="n"/>
      <c r="I243" s="19" t="n"/>
      <c r="J243" s="19" t="n"/>
      <c r="K243" s="19" t="n"/>
      <c r="L243" s="19" t="n"/>
    </row>
    <row r="244">
      <c r="A244" s="19" t="n"/>
      <c r="B244" s="19" t="n"/>
      <c r="C244" s="19" t="n"/>
      <c r="D244" s="19" t="n"/>
      <c r="E244" s="19" t="n"/>
      <c r="F244" s="19" t="n"/>
      <c r="G244" s="19" t="n"/>
      <c r="H244" s="19" t="n"/>
      <c r="I244" s="19" t="n"/>
      <c r="J244" s="19" t="n"/>
      <c r="K244" s="19" t="n"/>
      <c r="L244" s="19" t="n"/>
    </row>
    <row r="245">
      <c r="A245" s="19" t="n"/>
      <c r="B245" s="19" t="n"/>
      <c r="C245" s="19" t="n"/>
      <c r="D245" s="19" t="n"/>
      <c r="E245" s="19" t="n"/>
      <c r="F245" s="19" t="n"/>
      <c r="G245" s="19" t="n"/>
      <c r="H245" s="19" t="n"/>
      <c r="I245" s="19" t="n"/>
      <c r="J245" s="19" t="n"/>
      <c r="K245" s="19" t="n"/>
      <c r="L245" s="19" t="n"/>
    </row>
    <row r="246">
      <c r="A246" s="19" t="n"/>
      <c r="B246" s="19" t="n"/>
      <c r="C246" s="19" t="n"/>
      <c r="D246" s="19" t="n"/>
      <c r="E246" s="19" t="n"/>
      <c r="F246" s="19" t="n"/>
      <c r="G246" s="19" t="n"/>
      <c r="H246" s="19" t="n"/>
      <c r="I246" s="19" t="n"/>
      <c r="J246" s="19" t="n"/>
      <c r="K246" s="19" t="n"/>
      <c r="L246" s="19" t="n"/>
    </row>
    <row r="247">
      <c r="A247" s="19" t="n"/>
      <c r="B247" s="19" t="n"/>
      <c r="C247" s="19" t="n"/>
      <c r="D247" s="19" t="n"/>
      <c r="E247" s="19" t="n"/>
      <c r="F247" s="19" t="n"/>
      <c r="G247" s="19" t="n"/>
      <c r="H247" s="19" t="n"/>
      <c r="I247" s="19" t="n"/>
      <c r="J247" s="19" t="n"/>
      <c r="K247" s="19" t="n"/>
      <c r="L247" s="19" t="n"/>
    </row>
    <row r="248">
      <c r="A248" s="19" t="n"/>
      <c r="B248" s="19" t="n"/>
      <c r="C248" s="19" t="n"/>
      <c r="D248" s="19" t="n"/>
      <c r="E248" s="19" t="n"/>
      <c r="F248" s="19" t="n"/>
      <c r="G248" s="19" t="n"/>
      <c r="H248" s="19" t="n"/>
      <c r="I248" s="19" t="n"/>
      <c r="J248" s="19" t="n"/>
      <c r="K248" s="19" t="n"/>
      <c r="L248" s="19" t="n"/>
    </row>
    <row r="249">
      <c r="A249" s="19" t="n"/>
      <c r="B249" s="19" t="n"/>
      <c r="C249" s="19" t="n"/>
      <c r="D249" s="19" t="n"/>
      <c r="E249" s="19" t="n"/>
      <c r="F249" s="19" t="n"/>
      <c r="G249" s="19" t="n"/>
      <c r="H249" s="19" t="n"/>
      <c r="I249" s="19" t="n"/>
      <c r="J249" s="19" t="n"/>
      <c r="K249" s="19" t="n"/>
      <c r="L249" s="19" t="n"/>
    </row>
    <row r="250">
      <c r="A250" s="19" t="n"/>
      <c r="B250" s="19" t="n"/>
      <c r="C250" s="19" t="n"/>
      <c r="D250" s="19" t="n"/>
      <c r="E250" s="19" t="n"/>
      <c r="F250" s="19" t="n"/>
      <c r="G250" s="19" t="n"/>
      <c r="H250" s="19" t="n"/>
      <c r="I250" s="19" t="n"/>
      <c r="J250" s="19" t="n"/>
      <c r="K250" s="19" t="n"/>
      <c r="L250" s="19" t="n"/>
    </row>
    <row r="251">
      <c r="A251" s="19" t="n"/>
      <c r="B251" s="19" t="n"/>
      <c r="C251" s="19" t="n"/>
      <c r="D251" s="19" t="n"/>
      <c r="E251" s="19" t="n"/>
      <c r="F251" s="19" t="n"/>
      <c r="G251" s="19" t="n"/>
      <c r="H251" s="19" t="n"/>
      <c r="I251" s="19" t="n"/>
      <c r="J251" s="19" t="n"/>
      <c r="K251" s="19" t="n"/>
      <c r="L251" s="19" t="n"/>
    </row>
    <row r="252">
      <c r="A252" s="19" t="n"/>
      <c r="B252" s="19" t="n"/>
      <c r="C252" s="19" t="n"/>
      <c r="D252" s="19" t="n"/>
      <c r="E252" s="19" t="n"/>
      <c r="F252" s="19" t="n"/>
      <c r="G252" s="19" t="n"/>
      <c r="H252" s="19" t="n"/>
      <c r="I252" s="19" t="n"/>
      <c r="J252" s="19" t="n"/>
      <c r="K252" s="19" t="n"/>
      <c r="L252" s="19" t="n"/>
    </row>
    <row r="253">
      <c r="A253" s="19" t="n"/>
      <c r="B253" s="19" t="n"/>
      <c r="C253" s="19" t="n"/>
      <c r="D253" s="19" t="n"/>
      <c r="E253" s="19" t="n"/>
      <c r="F253" s="19" t="n"/>
      <c r="G253" s="19" t="n"/>
      <c r="H253" s="19" t="n"/>
      <c r="I253" s="19" t="n"/>
      <c r="J253" s="19" t="n"/>
      <c r="K253" s="19" t="n"/>
      <c r="L253" s="19" t="n"/>
    </row>
    <row r="254">
      <c r="A254" s="19" t="n"/>
      <c r="B254" s="19" t="n"/>
      <c r="C254" s="19" t="n"/>
      <c r="D254" s="19" t="n"/>
      <c r="E254" s="19" t="n"/>
      <c r="F254" s="19" t="n"/>
      <c r="G254" s="19" t="n"/>
      <c r="H254" s="19" t="n"/>
      <c r="I254" s="19" t="n"/>
      <c r="J254" s="19" t="n"/>
      <c r="K254" s="19" t="n"/>
      <c r="L254" s="19" t="n"/>
    </row>
    <row r="255">
      <c r="A255" s="19" t="n"/>
      <c r="B255" s="19" t="n"/>
      <c r="C255" s="19" t="n"/>
      <c r="D255" s="19" t="n"/>
      <c r="E255" s="19" t="n"/>
      <c r="F255" s="19" t="n"/>
      <c r="G255" s="19" t="n"/>
      <c r="H255" s="19" t="n"/>
      <c r="I255" s="19" t="n"/>
      <c r="J255" s="19" t="n"/>
      <c r="K255" s="19" t="n"/>
      <c r="L255" s="19" t="n"/>
    </row>
    <row r="256">
      <c r="A256" s="19" t="n"/>
      <c r="B256" s="19" t="n"/>
      <c r="C256" s="19" t="n"/>
      <c r="D256" s="19" t="n"/>
      <c r="E256" s="19" t="n"/>
      <c r="F256" s="19" t="n"/>
      <c r="G256" s="19" t="n"/>
      <c r="H256" s="19" t="n"/>
      <c r="I256" s="19" t="n"/>
      <c r="J256" s="19" t="n"/>
      <c r="K256" s="19" t="n"/>
      <c r="L256" s="19" t="n"/>
    </row>
    <row r="257">
      <c r="A257" s="19" t="n"/>
      <c r="B257" s="19" t="n"/>
      <c r="C257" s="19" t="n"/>
      <c r="D257" s="19" t="n"/>
      <c r="E257" s="19" t="n"/>
      <c r="F257" s="19" t="n"/>
      <c r="G257" s="19" t="n"/>
      <c r="H257" s="19" t="n"/>
      <c r="I257" s="19" t="n"/>
      <c r="J257" s="19" t="n"/>
      <c r="K257" s="19" t="n"/>
      <c r="L257" s="19" t="n"/>
    </row>
    <row r="258">
      <c r="A258" s="19" t="n"/>
      <c r="B258" s="19" t="n"/>
      <c r="C258" s="19" t="n"/>
      <c r="D258" s="19" t="n"/>
      <c r="E258" s="19" t="n"/>
      <c r="F258" s="19" t="n"/>
      <c r="G258" s="19" t="n"/>
      <c r="H258" s="19" t="n"/>
      <c r="I258" s="19" t="n"/>
      <c r="J258" s="19" t="n"/>
      <c r="K258" s="19" t="n"/>
      <c r="L258" s="19" t="n"/>
    </row>
    <row r="259">
      <c r="A259" s="19" t="n"/>
      <c r="B259" s="19" t="n"/>
      <c r="C259" s="19" t="n"/>
      <c r="D259" s="19" t="n"/>
      <c r="E259" s="19" t="n"/>
      <c r="F259" s="19" t="n"/>
      <c r="G259" s="19" t="n"/>
      <c r="H259" s="19" t="n"/>
      <c r="I259" s="19" t="n"/>
      <c r="J259" s="19" t="n"/>
      <c r="K259" s="19" t="n"/>
      <c r="L259" s="19" t="n"/>
    </row>
    <row r="260">
      <c r="A260" s="19" t="n"/>
      <c r="B260" s="19" t="n"/>
      <c r="C260" s="19" t="n"/>
      <c r="D260" s="19" t="n"/>
      <c r="E260" s="19" t="n"/>
      <c r="F260" s="19" t="n"/>
      <c r="G260" s="19" t="n"/>
      <c r="H260" s="19" t="n"/>
      <c r="I260" s="19" t="n"/>
      <c r="J260" s="19" t="n"/>
      <c r="K260" s="19" t="n"/>
      <c r="L260" s="19" t="n"/>
    </row>
    <row r="261">
      <c r="A261" s="19" t="n"/>
      <c r="B261" s="19" t="n"/>
      <c r="C261" s="19" t="n"/>
      <c r="D261" s="19" t="n"/>
      <c r="E261" s="19" t="n"/>
      <c r="F261" s="19" t="n"/>
      <c r="G261" s="19" t="n"/>
      <c r="H261" s="19" t="n"/>
      <c r="I261" s="19" t="n"/>
      <c r="J261" s="19" t="n"/>
      <c r="K261" s="19" t="n"/>
      <c r="L261" s="19" t="n"/>
    </row>
    <row r="262">
      <c r="A262" s="19" t="n"/>
      <c r="B262" s="19" t="n"/>
      <c r="C262" s="19" t="n"/>
      <c r="D262" s="19" t="n"/>
      <c r="E262" s="19" t="n"/>
      <c r="F262" s="19" t="n"/>
      <c r="G262" s="19" t="n"/>
      <c r="H262" s="19" t="n"/>
      <c r="I262" s="19" t="n"/>
      <c r="J262" s="19" t="n"/>
      <c r="K262" s="19" t="n"/>
      <c r="L262" s="19" t="n"/>
    </row>
    <row r="263">
      <c r="A263" s="19" t="n"/>
      <c r="B263" s="19" t="n"/>
      <c r="C263" s="19" t="n"/>
      <c r="D263" s="19" t="n"/>
      <c r="E263" s="19" t="n"/>
      <c r="F263" s="19" t="n"/>
      <c r="G263" s="19" t="n"/>
      <c r="H263" s="19" t="n"/>
      <c r="I263" s="19" t="n"/>
      <c r="J263" s="19" t="n"/>
      <c r="K263" s="19" t="n"/>
      <c r="L263" s="19" t="n"/>
    </row>
    <row r="264">
      <c r="A264" s="19" t="n"/>
      <c r="B264" s="19" t="n"/>
      <c r="C264" s="19" t="n"/>
      <c r="D264" s="19" t="n"/>
      <c r="E264" s="19" t="n"/>
      <c r="F264" s="19" t="n"/>
      <c r="G264" s="19" t="n"/>
      <c r="H264" s="19" t="n"/>
      <c r="I264" s="19" t="n"/>
      <c r="J264" s="19" t="n"/>
      <c r="K264" s="19" t="n"/>
      <c r="L264" s="19" t="n"/>
    </row>
    <row r="265">
      <c r="A265" s="19" t="n"/>
      <c r="B265" s="19" t="n"/>
      <c r="C265" s="19" t="n"/>
      <c r="D265" s="19" t="n"/>
      <c r="E265" s="19" t="n"/>
      <c r="F265" s="19" t="n"/>
      <c r="G265" s="19" t="n"/>
      <c r="H265" s="19" t="n"/>
      <c r="I265" s="19" t="n"/>
      <c r="J265" s="19" t="n"/>
      <c r="K265" s="19" t="n"/>
      <c r="L265" s="19" t="n"/>
    </row>
    <row r="266">
      <c r="A266" s="19" t="n"/>
      <c r="B266" s="19" t="n"/>
      <c r="C266" s="19" t="n"/>
      <c r="D266" s="19" t="n"/>
      <c r="E266" s="19" t="n"/>
      <c r="F266" s="19" t="n"/>
      <c r="G266" s="19" t="n"/>
      <c r="H266" s="19" t="n"/>
      <c r="I266" s="19" t="n"/>
      <c r="J266" s="19" t="n"/>
      <c r="K266" s="19" t="n"/>
      <c r="L266" s="19" t="n"/>
    </row>
    <row r="267">
      <c r="A267" s="19" t="n"/>
      <c r="B267" s="19" t="n"/>
      <c r="C267" s="19" t="n"/>
      <c r="D267" s="19" t="n"/>
      <c r="E267" s="19" t="n"/>
      <c r="F267" s="19" t="n"/>
      <c r="G267" s="19" t="n"/>
      <c r="H267" s="19" t="n"/>
      <c r="I267" s="19" t="n"/>
      <c r="J267" s="19" t="n"/>
      <c r="K267" s="19" t="n"/>
      <c r="L267" s="19" t="n"/>
    </row>
    <row r="268">
      <c r="A268" s="19" t="n"/>
      <c r="B268" s="19" t="n"/>
      <c r="C268" s="19" t="n"/>
      <c r="D268" s="19" t="n"/>
      <c r="E268" s="19" t="n"/>
      <c r="F268" s="19" t="n"/>
      <c r="G268" s="19" t="n"/>
      <c r="H268" s="19" t="n"/>
      <c r="I268" s="19" t="n"/>
      <c r="J268" s="19" t="n"/>
      <c r="K268" s="19" t="n"/>
      <c r="L268" s="19" t="n"/>
    </row>
    <row r="269">
      <c r="A269" s="19" t="n"/>
      <c r="B269" s="19" t="n"/>
      <c r="C269" s="19" t="n"/>
      <c r="D269" s="19" t="n"/>
      <c r="E269" s="19" t="n"/>
      <c r="F269" s="19" t="n"/>
      <c r="G269" s="19" t="n"/>
      <c r="H269" s="19" t="n"/>
      <c r="I269" s="19" t="n"/>
      <c r="J269" s="19" t="n"/>
      <c r="K269" s="19" t="n"/>
      <c r="L269" s="19" t="n"/>
    </row>
    <row r="270">
      <c r="A270" s="19" t="n"/>
      <c r="B270" s="19" t="n"/>
      <c r="C270" s="19" t="n"/>
      <c r="D270" s="19" t="n"/>
      <c r="E270" s="19" t="n"/>
      <c r="F270" s="19" t="n"/>
      <c r="G270" s="19" t="n"/>
      <c r="H270" s="19" t="n"/>
      <c r="I270" s="19" t="n"/>
      <c r="J270" s="19" t="n"/>
      <c r="K270" s="19" t="n"/>
      <c r="L270" s="19" t="n"/>
    </row>
    <row r="271">
      <c r="A271" s="19" t="n"/>
      <c r="B271" s="19" t="n"/>
      <c r="C271" s="19" t="n"/>
      <c r="D271" s="19" t="n"/>
      <c r="E271" s="19" t="n"/>
      <c r="F271" s="19" t="n"/>
      <c r="G271" s="19" t="n"/>
      <c r="H271" s="19" t="n"/>
      <c r="I271" s="19" t="n"/>
      <c r="J271" s="19" t="n"/>
      <c r="K271" s="19" t="n"/>
      <c r="L271" s="19" t="n"/>
    </row>
    <row r="272">
      <c r="A272" s="19" t="n"/>
      <c r="B272" s="19" t="n"/>
      <c r="C272" s="19" t="n"/>
      <c r="D272" s="19" t="n"/>
      <c r="E272" s="19" t="n"/>
      <c r="F272" s="19" t="n"/>
      <c r="G272" s="19" t="n"/>
      <c r="H272" s="19" t="n"/>
      <c r="I272" s="19" t="n"/>
      <c r="J272" s="19" t="n"/>
      <c r="K272" s="19" t="n"/>
      <c r="L272" s="19" t="n"/>
    </row>
    <row r="273">
      <c r="A273" s="19" t="n"/>
      <c r="B273" s="19" t="n"/>
      <c r="C273" s="19" t="n"/>
      <c r="D273" s="19" t="n"/>
      <c r="E273" s="19" t="n"/>
      <c r="F273" s="19" t="n"/>
      <c r="G273" s="19" t="n"/>
      <c r="H273" s="19" t="n"/>
      <c r="I273" s="19" t="n"/>
      <c r="J273" s="19" t="n"/>
      <c r="K273" s="19" t="n"/>
      <c r="L273" s="19" t="n"/>
    </row>
    <row r="274">
      <c r="A274" s="19" t="n"/>
      <c r="B274" s="19" t="n"/>
      <c r="C274" s="19" t="n"/>
      <c r="D274" s="19" t="n"/>
      <c r="E274" s="19" t="n"/>
      <c r="F274" s="19" t="n"/>
      <c r="G274" s="19" t="n"/>
      <c r="H274" s="19" t="n"/>
      <c r="I274" s="19" t="n"/>
      <c r="J274" s="19" t="n"/>
      <c r="K274" s="19" t="n"/>
      <c r="L274" s="19" t="n"/>
    </row>
    <row r="275">
      <c r="A275" s="19" t="n"/>
      <c r="B275" s="19" t="n"/>
      <c r="C275" s="19" t="n"/>
      <c r="D275" s="19" t="n"/>
      <c r="E275" s="19" t="n"/>
      <c r="F275" s="19" t="n"/>
      <c r="G275" s="19" t="n"/>
      <c r="H275" s="19" t="n"/>
      <c r="I275" s="19" t="n"/>
      <c r="J275" s="19" t="n"/>
      <c r="K275" s="19" t="n"/>
      <c r="L275" s="19" t="n"/>
    </row>
    <row r="276">
      <c r="A276" s="19" t="n"/>
      <c r="B276" s="19" t="n"/>
      <c r="C276" s="19" t="n"/>
      <c r="D276" s="19" t="n"/>
      <c r="E276" s="19" t="n"/>
      <c r="F276" s="19" t="n"/>
      <c r="G276" s="19" t="n"/>
      <c r="H276" s="19" t="n"/>
      <c r="I276" s="19" t="n"/>
      <c r="J276" s="19" t="n"/>
      <c r="K276" s="19" t="n"/>
      <c r="L276" s="19" t="n"/>
    </row>
    <row r="277">
      <c r="A277" s="19" t="n"/>
      <c r="B277" s="19" t="n"/>
      <c r="C277" s="19" t="n"/>
      <c r="D277" s="19" t="n"/>
      <c r="E277" s="19" t="n"/>
      <c r="F277" s="19" t="n"/>
      <c r="G277" s="19" t="n"/>
      <c r="H277" s="19" t="n"/>
      <c r="I277" s="19" t="n"/>
      <c r="J277" s="19" t="n"/>
      <c r="K277" s="19" t="n"/>
      <c r="L277" s="19" t="n"/>
    </row>
    <row r="278">
      <c r="A278" s="19" t="n"/>
      <c r="B278" s="19" t="n"/>
      <c r="C278" s="19" t="n"/>
      <c r="D278" s="19" t="n"/>
      <c r="E278" s="19" t="n"/>
      <c r="F278" s="19" t="n"/>
      <c r="G278" s="19" t="n"/>
      <c r="H278" s="19" t="n"/>
      <c r="I278" s="19" t="n"/>
      <c r="J278" s="19" t="n"/>
      <c r="K278" s="19" t="n"/>
      <c r="L278" s="19" t="n"/>
    </row>
    <row r="279">
      <c r="A279" s="19" t="n"/>
      <c r="B279" s="19" t="n"/>
      <c r="C279" s="19" t="n"/>
      <c r="D279" s="19" t="n"/>
      <c r="E279" s="19" t="n"/>
      <c r="F279" s="19" t="n"/>
      <c r="G279" s="19" t="n"/>
      <c r="H279" s="19" t="n"/>
      <c r="I279" s="19" t="n"/>
      <c r="J279" s="19" t="n"/>
      <c r="K279" s="19" t="n"/>
      <c r="L279" s="19" t="n"/>
    </row>
    <row r="280">
      <c r="A280" s="19" t="n"/>
      <c r="B280" s="19" t="n"/>
      <c r="C280" s="19" t="n"/>
      <c r="D280" s="19" t="n"/>
      <c r="E280" s="19" t="n"/>
      <c r="F280" s="19" t="n"/>
      <c r="G280" s="19" t="n"/>
      <c r="H280" s="19" t="n"/>
      <c r="I280" s="19" t="n"/>
      <c r="J280" s="19" t="n"/>
      <c r="K280" s="19" t="n"/>
      <c r="L280" s="19" t="n"/>
    </row>
    <row r="281">
      <c r="A281" s="19" t="n"/>
      <c r="B281" s="19" t="n"/>
      <c r="C281" s="19" t="n"/>
      <c r="D281" s="19" t="n"/>
      <c r="E281" s="19" t="n"/>
      <c r="F281" s="19" t="n"/>
      <c r="G281" s="19" t="n"/>
      <c r="H281" s="19" t="n"/>
      <c r="I281" s="19" t="n"/>
      <c r="J281" s="19" t="n"/>
      <c r="K281" s="19" t="n"/>
      <c r="L281" s="19" t="n"/>
    </row>
    <row r="282">
      <c r="A282" s="19" t="n"/>
      <c r="B282" s="19" t="n"/>
      <c r="C282" s="19" t="n"/>
      <c r="D282" s="19" t="n"/>
      <c r="E282" s="19" t="n"/>
      <c r="F282" s="19" t="n"/>
      <c r="G282" s="19" t="n"/>
      <c r="H282" s="19" t="n"/>
      <c r="I282" s="19" t="n"/>
      <c r="J282" s="19" t="n"/>
      <c r="K282" s="19" t="n"/>
      <c r="L282" s="19" t="n"/>
    </row>
    <row r="283">
      <c r="A283" s="19" t="n"/>
      <c r="B283" s="19" t="n"/>
      <c r="C283" s="19" t="n"/>
      <c r="D283" s="19" t="n"/>
      <c r="E283" s="19" t="n"/>
      <c r="F283" s="19" t="n"/>
      <c r="G283" s="19" t="n"/>
      <c r="H283" s="19" t="n"/>
      <c r="I283" s="19" t="n"/>
      <c r="J283" s="19" t="n"/>
      <c r="K283" s="19" t="n"/>
      <c r="L283" s="19" t="n"/>
    </row>
    <row r="284">
      <c r="A284" s="19" t="n"/>
      <c r="B284" s="19" t="n"/>
      <c r="C284" s="19" t="n"/>
      <c r="D284" s="19" t="n"/>
      <c r="E284" s="19" t="n"/>
      <c r="F284" s="19" t="n"/>
      <c r="G284" s="19" t="n"/>
      <c r="H284" s="19" t="n"/>
      <c r="I284" s="19" t="n"/>
      <c r="J284" s="19" t="n"/>
      <c r="K284" s="19" t="n"/>
      <c r="L284" s="19" t="n"/>
    </row>
    <row r="285">
      <c r="A285" s="19" t="n"/>
      <c r="B285" s="19" t="n"/>
      <c r="C285" s="19" t="n"/>
      <c r="D285" s="19" t="n"/>
      <c r="E285" s="19" t="n"/>
      <c r="F285" s="19" t="n"/>
      <c r="G285" s="19" t="n"/>
      <c r="H285" s="19" t="n"/>
      <c r="I285" s="19" t="n"/>
      <c r="J285" s="19" t="n"/>
      <c r="K285" s="19" t="n"/>
      <c r="L285" s="19" t="n"/>
    </row>
    <row r="286">
      <c r="A286" s="19" t="n"/>
      <c r="B286" s="19" t="n"/>
      <c r="C286" s="19" t="n"/>
      <c r="D286" s="19" t="n"/>
      <c r="E286" s="19" t="n"/>
      <c r="F286" s="19" t="n"/>
      <c r="G286" s="19" t="n"/>
      <c r="H286" s="19" t="n"/>
      <c r="I286" s="19" t="n"/>
      <c r="J286" s="19" t="n"/>
      <c r="K286" s="19" t="n"/>
      <c r="L286" s="19" t="n"/>
    </row>
    <row r="287">
      <c r="A287" s="19" t="n"/>
      <c r="B287" s="19" t="n"/>
      <c r="C287" s="19" t="n"/>
      <c r="D287" s="19" t="n"/>
      <c r="E287" s="19" t="n"/>
      <c r="F287" s="19" t="n"/>
      <c r="G287" s="19" t="n"/>
      <c r="H287" s="19" t="n"/>
      <c r="I287" s="19" t="n"/>
      <c r="J287" s="19" t="n"/>
      <c r="K287" s="19" t="n"/>
      <c r="L287" s="19" t="n"/>
    </row>
    <row r="288">
      <c r="A288" s="19" t="n"/>
      <c r="B288" s="19" t="n"/>
      <c r="C288" s="19" t="n"/>
      <c r="D288" s="19" t="n"/>
      <c r="E288" s="19" t="n"/>
      <c r="F288" s="19" t="n"/>
      <c r="G288" s="19" t="n"/>
      <c r="H288" s="19" t="n"/>
      <c r="I288" s="19" t="n"/>
      <c r="J288" s="19" t="n"/>
      <c r="K288" s="19" t="n"/>
      <c r="L288" s="19" t="n"/>
    </row>
    <row r="289">
      <c r="A289" s="19" t="n"/>
      <c r="B289" s="19" t="n"/>
      <c r="C289" s="19" t="n"/>
      <c r="D289" s="19" t="n"/>
      <c r="E289" s="19" t="n"/>
      <c r="F289" s="19" t="n"/>
      <c r="G289" s="19" t="n"/>
      <c r="H289" s="19" t="n"/>
      <c r="I289" s="19" t="n"/>
      <c r="J289" s="19" t="n"/>
      <c r="K289" s="19" t="n"/>
      <c r="L289" s="19" t="n"/>
    </row>
    <row r="290">
      <c r="A290" s="19" t="n"/>
      <c r="B290" s="19" t="n"/>
      <c r="C290" s="19" t="n"/>
      <c r="D290" s="19" t="n"/>
      <c r="E290" s="19" t="n"/>
      <c r="F290" s="19" t="n"/>
      <c r="G290" s="19" t="n"/>
      <c r="H290" s="19" t="n"/>
      <c r="I290" s="19" t="n"/>
      <c r="J290" s="19" t="n"/>
      <c r="K290" s="19" t="n"/>
      <c r="L290" s="19" t="n"/>
    </row>
    <row r="291">
      <c r="A291" s="19" t="n"/>
      <c r="B291" s="19" t="n"/>
      <c r="C291" s="19" t="n"/>
      <c r="D291" s="19" t="n"/>
      <c r="E291" s="19" t="n"/>
      <c r="F291" s="19" t="n"/>
      <c r="G291" s="19" t="n"/>
      <c r="H291" s="19" t="n"/>
      <c r="I291" s="19" t="n"/>
      <c r="J291" s="19" t="n"/>
      <c r="K291" s="19" t="n"/>
      <c r="L291" s="19" t="n"/>
    </row>
    <row r="292">
      <c r="A292" s="19" t="n"/>
      <c r="B292" s="19" t="n"/>
      <c r="C292" s="19" t="n"/>
      <c r="D292" s="19" t="n"/>
      <c r="E292" s="19" t="n"/>
      <c r="F292" s="19" t="n"/>
      <c r="G292" s="19" t="n"/>
      <c r="H292" s="19" t="n"/>
      <c r="I292" s="19" t="n"/>
      <c r="J292" s="19" t="n"/>
      <c r="K292" s="19" t="n"/>
      <c r="L292" s="19" t="n"/>
    </row>
    <row r="293">
      <c r="A293" s="19" t="n"/>
      <c r="B293" s="19" t="n"/>
      <c r="C293" s="19" t="n"/>
      <c r="D293" s="19" t="n"/>
      <c r="E293" s="19" t="n"/>
      <c r="F293" s="19" t="n"/>
      <c r="G293" s="19" t="n"/>
      <c r="H293" s="19" t="n"/>
      <c r="I293" s="19" t="n"/>
      <c r="J293" s="19" t="n"/>
      <c r="K293" s="19" t="n"/>
      <c r="L293" s="19" t="n"/>
    </row>
    <row r="294">
      <c r="A294" s="19" t="n"/>
      <c r="B294" s="19" t="n"/>
      <c r="C294" s="19" t="n"/>
      <c r="D294" s="19" t="n"/>
      <c r="E294" s="19" t="n"/>
      <c r="F294" s="19" t="n"/>
      <c r="G294" s="19" t="n"/>
      <c r="H294" s="19" t="n"/>
      <c r="I294" s="19" t="n"/>
      <c r="J294" s="19" t="n"/>
      <c r="K294" s="19" t="n"/>
      <c r="L294" s="19" t="n"/>
    </row>
    <row r="295">
      <c r="A295" s="19" t="n"/>
      <c r="B295" s="19" t="n"/>
      <c r="C295" s="19" t="n"/>
      <c r="D295" s="19" t="n"/>
      <c r="E295" s="19" t="n"/>
      <c r="F295" s="19" t="n"/>
      <c r="G295" s="19" t="n"/>
      <c r="H295" s="19" t="n"/>
      <c r="I295" s="19" t="n"/>
      <c r="J295" s="19" t="n"/>
      <c r="K295" s="19" t="n"/>
      <c r="L295" s="19" t="n"/>
    </row>
    <row r="296">
      <c r="A296" s="19" t="n"/>
      <c r="B296" s="19" t="n"/>
      <c r="C296" s="19" t="n"/>
      <c r="D296" s="19" t="n"/>
      <c r="E296" s="19" t="n"/>
      <c r="F296" s="19" t="n"/>
      <c r="G296" s="19" t="n"/>
      <c r="H296" s="19" t="n"/>
      <c r="I296" s="19" t="n"/>
      <c r="J296" s="19" t="n"/>
      <c r="K296" s="19" t="n"/>
      <c r="L296" s="19" t="n"/>
    </row>
    <row r="297">
      <c r="A297" s="19" t="n"/>
      <c r="B297" s="19" t="n"/>
      <c r="C297" s="19" t="n"/>
      <c r="D297" s="19" t="n"/>
      <c r="E297" s="19" t="n"/>
      <c r="F297" s="19" t="n"/>
      <c r="G297" s="19" t="n"/>
      <c r="H297" s="19" t="n"/>
      <c r="I297" s="19" t="n"/>
      <c r="J297" s="19" t="n"/>
      <c r="K297" s="19" t="n"/>
      <c r="L297" s="19" t="n"/>
    </row>
    <row r="298">
      <c r="A298" s="19" t="n"/>
      <c r="B298" s="19" t="n"/>
      <c r="C298" s="19" t="n"/>
      <c r="D298" s="19" t="n"/>
      <c r="E298" s="19" t="n"/>
      <c r="F298" s="19" t="n"/>
      <c r="G298" s="19" t="n"/>
      <c r="H298" s="19" t="n"/>
      <c r="I298" s="19" t="n"/>
      <c r="J298" s="19" t="n"/>
      <c r="K298" s="19" t="n"/>
      <c r="L298" s="19" t="n"/>
    </row>
    <row r="299">
      <c r="A299" s="19" t="n"/>
      <c r="B299" s="19" t="n"/>
      <c r="C299" s="19" t="n"/>
      <c r="D299" s="19" t="n"/>
      <c r="E299" s="19" t="n"/>
      <c r="F299" s="19" t="n"/>
      <c r="G299" s="19" t="n"/>
      <c r="H299" s="19" t="n"/>
      <c r="I299" s="19" t="n"/>
      <c r="J299" s="19" t="n"/>
      <c r="K299" s="19" t="n"/>
      <c r="L299" s="19" t="n"/>
    </row>
    <row r="300">
      <c r="A300" s="19" t="n"/>
      <c r="B300" s="19" t="n"/>
      <c r="C300" s="19" t="n"/>
      <c r="D300" s="19" t="n"/>
      <c r="E300" s="19" t="n"/>
      <c r="F300" s="19" t="n"/>
      <c r="G300" s="19" t="n"/>
      <c r="H300" s="19" t="n"/>
      <c r="I300" s="19" t="n"/>
      <c r="J300" s="19" t="n"/>
      <c r="K300" s="19" t="n"/>
      <c r="L300" s="19" t="n"/>
    </row>
    <row r="301">
      <c r="A301" s="19" t="n"/>
      <c r="B301" s="19" t="n"/>
      <c r="C301" s="19" t="n"/>
      <c r="D301" s="19" t="n"/>
      <c r="E301" s="19" t="n"/>
      <c r="F301" s="19" t="n"/>
      <c r="G301" s="19" t="n"/>
      <c r="H301" s="19" t="n"/>
      <c r="I301" s="19" t="n"/>
      <c r="J301" s="19" t="n"/>
      <c r="K301" s="19" t="n"/>
      <c r="L301" s="19" t="n"/>
    </row>
    <row r="302">
      <c r="A302" s="19" t="n"/>
      <c r="B302" s="19" t="n"/>
      <c r="C302" s="19" t="n"/>
      <c r="D302" s="19" t="n"/>
      <c r="E302" s="19" t="n"/>
      <c r="F302" s="19" t="n"/>
      <c r="G302" s="19" t="n"/>
      <c r="H302" s="19" t="n"/>
      <c r="I302" s="19" t="n"/>
      <c r="J302" s="19" t="n"/>
      <c r="K302" s="19" t="n"/>
      <c r="L302" s="19" t="n"/>
    </row>
    <row r="303">
      <c r="A303" s="19" t="n"/>
      <c r="B303" s="19" t="n"/>
      <c r="C303" s="19" t="n"/>
      <c r="D303" s="19" t="n"/>
      <c r="E303" s="19" t="n"/>
      <c r="F303" s="19" t="n"/>
      <c r="G303" s="19" t="n"/>
      <c r="H303" s="19" t="n"/>
      <c r="I303" s="19" t="n"/>
      <c r="J303" s="19" t="n"/>
      <c r="K303" s="19" t="n"/>
      <c r="L303" s="19" t="n"/>
    </row>
    <row r="304">
      <c r="A304" s="19" t="n"/>
      <c r="B304" s="19" t="n"/>
      <c r="C304" s="19" t="n"/>
      <c r="D304" s="19" t="n"/>
      <c r="E304" s="19" t="n"/>
      <c r="F304" s="19" t="n"/>
      <c r="G304" s="19" t="n"/>
      <c r="H304" s="19" t="n"/>
      <c r="I304" s="19" t="n"/>
      <c r="J304" s="19" t="n"/>
      <c r="K304" s="19" t="n"/>
      <c r="L304" s="19" t="n"/>
    </row>
    <row r="305">
      <c r="A305" s="19" t="n"/>
      <c r="B305" s="19" t="n"/>
      <c r="C305" s="19" t="n"/>
      <c r="D305" s="19" t="n"/>
      <c r="E305" s="19" t="n"/>
      <c r="F305" s="19" t="n"/>
      <c r="G305" s="19" t="n"/>
      <c r="H305" s="19" t="n"/>
      <c r="I305" s="19" t="n"/>
      <c r="J305" s="19" t="n"/>
      <c r="K305" s="19" t="n"/>
      <c r="L305" s="19" t="n"/>
    </row>
    <row r="306">
      <c r="A306" s="19" t="n"/>
      <c r="B306" s="19" t="n"/>
      <c r="C306" s="19" t="n"/>
      <c r="D306" s="19" t="n"/>
      <c r="E306" s="19" t="n"/>
      <c r="F306" s="19" t="n"/>
      <c r="G306" s="19" t="n"/>
      <c r="H306" s="19" t="n"/>
      <c r="I306" s="19" t="n"/>
      <c r="J306" s="19" t="n"/>
      <c r="K306" s="19" t="n"/>
      <c r="L306" s="19" t="n"/>
    </row>
    <row r="307">
      <c r="A307" s="19" t="n"/>
      <c r="B307" s="19" t="n"/>
      <c r="C307" s="19" t="n"/>
      <c r="D307" s="19" t="n"/>
      <c r="E307" s="19" t="n"/>
      <c r="F307" s="19" t="n"/>
      <c r="G307" s="19" t="n"/>
      <c r="H307" s="19" t="n"/>
      <c r="I307" s="19" t="n"/>
      <c r="J307" s="19" t="n"/>
      <c r="K307" s="19" t="n"/>
      <c r="L307" s="19" t="n"/>
    </row>
    <row r="308">
      <c r="A308" s="19" t="n"/>
      <c r="B308" s="19" t="n"/>
      <c r="C308" s="19" t="n"/>
      <c r="D308" s="19" t="n"/>
      <c r="E308" s="19" t="n"/>
      <c r="F308" s="19" t="n"/>
      <c r="G308" s="19" t="n"/>
      <c r="H308" s="19" t="n"/>
      <c r="I308" s="19" t="n"/>
      <c r="J308" s="19" t="n"/>
      <c r="K308" s="19" t="n"/>
      <c r="L308" s="19" t="n"/>
    </row>
    <row r="309">
      <c r="A309" s="19" t="n"/>
      <c r="B309" s="19" t="n"/>
      <c r="C309" s="19" t="n"/>
      <c r="D309" s="19" t="n"/>
      <c r="E309" s="19" t="n"/>
      <c r="F309" s="19" t="n"/>
      <c r="G309" s="19" t="n"/>
      <c r="H309" s="19" t="n"/>
      <c r="I309" s="19" t="n"/>
      <c r="J309" s="19" t="n"/>
      <c r="K309" s="19" t="n"/>
      <c r="L309" s="19" t="n"/>
    </row>
    <row r="310">
      <c r="A310" s="19" t="n"/>
      <c r="B310" s="19" t="n"/>
      <c r="C310" s="19" t="n"/>
      <c r="D310" s="19" t="n"/>
      <c r="E310" s="19" t="n"/>
      <c r="F310" s="19" t="n"/>
      <c r="G310" s="19" t="n"/>
      <c r="H310" s="19" t="n"/>
      <c r="I310" s="19" t="n"/>
      <c r="J310" s="19" t="n"/>
      <c r="K310" s="19" t="n"/>
      <c r="L310" s="19" t="n"/>
    </row>
    <row r="311">
      <c r="A311" s="19" t="n"/>
      <c r="B311" s="19" t="n"/>
      <c r="C311" s="19" t="n"/>
      <c r="D311" s="19" t="n"/>
      <c r="E311" s="19" t="n"/>
      <c r="F311" s="19" t="n"/>
      <c r="G311" s="19" t="n"/>
      <c r="H311" s="19" t="n"/>
      <c r="I311" s="19" t="n"/>
      <c r="J311" s="19" t="n"/>
      <c r="K311" s="19" t="n"/>
      <c r="L311" s="19" t="n"/>
    </row>
    <row r="312">
      <c r="A312" s="19" t="n"/>
      <c r="B312" s="19" t="n"/>
      <c r="C312" s="19" t="n"/>
      <c r="D312" s="19" t="n"/>
      <c r="E312" s="19" t="n"/>
      <c r="F312" s="19" t="n"/>
      <c r="G312" s="19" t="n"/>
      <c r="H312" s="19" t="n"/>
      <c r="I312" s="19" t="n"/>
      <c r="J312" s="19" t="n"/>
      <c r="K312" s="19" t="n"/>
      <c r="L312" s="19" t="n"/>
    </row>
    <row r="313">
      <c r="A313" s="19" t="n"/>
      <c r="B313" s="19" t="n"/>
      <c r="C313" s="19" t="n"/>
      <c r="D313" s="19" t="n"/>
      <c r="E313" s="19" t="n"/>
      <c r="F313" s="19" t="n"/>
      <c r="G313" s="19" t="n"/>
      <c r="H313" s="19" t="n"/>
      <c r="I313" s="19" t="n"/>
      <c r="J313" s="19" t="n"/>
      <c r="K313" s="19" t="n"/>
      <c r="L313" s="19" t="n"/>
    </row>
    <row r="314">
      <c r="A314" s="19" t="n"/>
      <c r="B314" s="19" t="n"/>
      <c r="C314" s="19" t="n"/>
      <c r="D314" s="19" t="n"/>
      <c r="E314" s="19" t="n"/>
      <c r="F314" s="19" t="n"/>
      <c r="G314" s="19" t="n"/>
      <c r="H314" s="19" t="n"/>
      <c r="I314" s="19" t="n"/>
      <c r="J314" s="19" t="n"/>
      <c r="K314" s="19" t="n"/>
      <c r="L314" s="19" t="n"/>
    </row>
    <row r="315">
      <c r="A315" s="19" t="n"/>
      <c r="B315" s="19" t="n"/>
      <c r="C315" s="19" t="n"/>
      <c r="D315" s="19" t="n"/>
      <c r="E315" s="19" t="n"/>
      <c r="F315" s="19" t="n"/>
      <c r="G315" s="19" t="n"/>
      <c r="H315" s="19" t="n"/>
      <c r="I315" s="19" t="n"/>
      <c r="J315" s="19" t="n"/>
      <c r="K315" s="19" t="n"/>
      <c r="L315" s="19" t="n"/>
    </row>
    <row r="316">
      <c r="A316" s="19" t="n"/>
      <c r="B316" s="19" t="n"/>
      <c r="C316" s="19" t="n"/>
      <c r="D316" s="19" t="n"/>
      <c r="E316" s="19" t="n"/>
      <c r="F316" s="19" t="n"/>
      <c r="G316" s="19" t="n"/>
      <c r="H316" s="19" t="n"/>
      <c r="I316" s="19" t="n"/>
      <c r="J316" s="19" t="n"/>
      <c r="K316" s="19" t="n"/>
      <c r="L316" s="19" t="n"/>
    </row>
    <row r="317">
      <c r="A317" s="19" t="n"/>
      <c r="B317" s="19" t="n"/>
      <c r="C317" s="19" t="n"/>
      <c r="D317" s="19" t="n"/>
      <c r="E317" s="19" t="n"/>
      <c r="F317" s="19" t="n"/>
      <c r="G317" s="19" t="n"/>
      <c r="H317" s="19" t="n"/>
      <c r="I317" s="19" t="n"/>
      <c r="J317" s="19" t="n"/>
      <c r="K317" s="19" t="n"/>
      <c r="L317" s="19" t="n"/>
    </row>
    <row r="318">
      <c r="A318" s="19" t="n"/>
      <c r="B318" s="19" t="n"/>
      <c r="C318" s="19" t="n"/>
      <c r="D318" s="19" t="n"/>
      <c r="E318" s="19" t="n"/>
      <c r="F318" s="19" t="n"/>
      <c r="G318" s="19" t="n"/>
      <c r="H318" s="19" t="n"/>
      <c r="I318" s="19" t="n"/>
      <c r="J318" s="19" t="n"/>
      <c r="K318" s="19" t="n"/>
      <c r="L318" s="19" t="n"/>
    </row>
    <row r="319">
      <c r="A319" s="19" t="n"/>
      <c r="B319" s="19" t="n"/>
      <c r="C319" s="19" t="n"/>
      <c r="D319" s="19" t="n"/>
      <c r="E319" s="19" t="n"/>
      <c r="F319" s="19" t="n"/>
      <c r="G319" s="19" t="n"/>
      <c r="H319" s="19" t="n"/>
      <c r="I319" s="19" t="n"/>
      <c r="J319" s="19" t="n"/>
      <c r="K319" s="19" t="n"/>
      <c r="L319" s="19" t="n"/>
    </row>
    <row r="320">
      <c r="A320" s="19" t="n"/>
      <c r="B320" s="19" t="n"/>
      <c r="C320" s="19" t="n"/>
      <c r="D320" s="19" t="n"/>
      <c r="E320" s="19" t="n"/>
      <c r="F320" s="19" t="n"/>
      <c r="G320" s="19" t="n"/>
      <c r="H320" s="19" t="n"/>
      <c r="I320" s="19" t="n"/>
      <c r="J320" s="19" t="n"/>
      <c r="K320" s="19" t="n"/>
      <c r="L320" s="19" t="n"/>
    </row>
    <row r="321">
      <c r="A321" s="19" t="n"/>
      <c r="B321" s="19" t="n"/>
      <c r="C321" s="19" t="n"/>
      <c r="D321" s="19" t="n"/>
      <c r="E321" s="19" t="n"/>
      <c r="F321" s="19" t="n"/>
      <c r="G321" s="19" t="n"/>
      <c r="H321" s="19" t="n"/>
      <c r="I321" s="19" t="n"/>
      <c r="J321" s="19" t="n"/>
      <c r="K321" s="19" t="n"/>
      <c r="L321" s="19" t="n"/>
    </row>
    <row r="322">
      <c r="A322" s="19" t="n"/>
      <c r="B322" s="19" t="n"/>
      <c r="C322" s="19" t="n"/>
      <c r="D322" s="19" t="n"/>
      <c r="E322" s="19" t="n"/>
      <c r="F322" s="19" t="n"/>
      <c r="G322" s="19" t="n"/>
      <c r="H322" s="19" t="n"/>
      <c r="I322" s="19" t="n"/>
      <c r="J322" s="19" t="n"/>
      <c r="K322" s="19" t="n"/>
      <c r="L322" s="19" t="n"/>
    </row>
    <row r="323">
      <c r="A323" s="19" t="n"/>
      <c r="B323" s="19" t="n"/>
      <c r="C323" s="19" t="n"/>
      <c r="D323" s="19" t="n"/>
      <c r="E323" s="19" t="n"/>
      <c r="F323" s="19" t="n"/>
      <c r="G323" s="19" t="n"/>
      <c r="H323" s="19" t="n"/>
      <c r="I323" s="19" t="n"/>
      <c r="J323" s="19" t="n"/>
      <c r="K323" s="19" t="n"/>
      <c r="L323" s="19" t="n"/>
    </row>
    <row r="324">
      <c r="A324" s="19" t="n"/>
      <c r="B324" s="19" t="n"/>
      <c r="C324" s="19" t="n"/>
      <c r="D324" s="19" t="n"/>
      <c r="E324" s="19" t="n"/>
      <c r="F324" s="19" t="n"/>
      <c r="G324" s="19" t="n"/>
      <c r="H324" s="19" t="n"/>
      <c r="I324" s="19" t="n"/>
      <c r="J324" s="19" t="n"/>
      <c r="K324" s="19" t="n"/>
      <c r="L324" s="19" t="n"/>
    </row>
    <row r="325">
      <c r="A325" s="19" t="n"/>
      <c r="B325" s="19" t="n"/>
      <c r="C325" s="19" t="n"/>
      <c r="D325" s="19" t="n"/>
      <c r="E325" s="19" t="n"/>
      <c r="F325" s="19" t="n"/>
      <c r="G325" s="19" t="n"/>
      <c r="H325" s="19" t="n"/>
      <c r="I325" s="19" t="n"/>
      <c r="J325" s="19" t="n"/>
      <c r="K325" s="19" t="n"/>
      <c r="L325" s="19" t="n"/>
    </row>
    <row r="326">
      <c r="A326" s="19" t="n"/>
      <c r="B326" s="19" t="n"/>
      <c r="C326" s="19" t="n"/>
      <c r="D326" s="19" t="n"/>
      <c r="E326" s="19" t="n"/>
      <c r="F326" s="19" t="n"/>
      <c r="G326" s="19" t="n"/>
      <c r="H326" s="19" t="n"/>
      <c r="I326" s="19" t="n"/>
      <c r="J326" s="19" t="n"/>
      <c r="K326" s="19" t="n"/>
      <c r="L326" s="19" t="n"/>
    </row>
    <row r="327">
      <c r="A327" s="19" t="n"/>
      <c r="B327" s="19" t="n"/>
      <c r="C327" s="19" t="n"/>
      <c r="D327" s="19" t="n"/>
      <c r="E327" s="19" t="n"/>
      <c r="F327" s="19" t="n"/>
      <c r="G327" s="19" t="n"/>
      <c r="H327" s="19" t="n"/>
      <c r="I327" s="19" t="n"/>
      <c r="J327" s="19" t="n"/>
      <c r="K327" s="19" t="n"/>
      <c r="L327" s="19" t="n"/>
    </row>
    <row r="328">
      <c r="A328" s="19" t="n"/>
      <c r="B328" s="19" t="n"/>
      <c r="C328" s="19" t="n"/>
      <c r="D328" s="19" t="n"/>
      <c r="E328" s="19" t="n"/>
      <c r="F328" s="19" t="n"/>
      <c r="G328" s="19" t="n"/>
      <c r="H328" s="19" t="n"/>
      <c r="I328" s="19" t="n"/>
      <c r="J328" s="19" t="n"/>
      <c r="K328" s="19" t="n"/>
      <c r="L328" s="19" t="n"/>
    </row>
    <row r="329">
      <c r="A329" s="19" t="n"/>
      <c r="B329" s="19" t="n"/>
      <c r="C329" s="19" t="n"/>
      <c r="D329" s="19" t="n"/>
      <c r="E329" s="19" t="n"/>
      <c r="F329" s="19" t="n"/>
      <c r="G329" s="19" t="n"/>
      <c r="H329" s="19" t="n"/>
      <c r="I329" s="19" t="n"/>
      <c r="J329" s="19" t="n"/>
      <c r="K329" s="19" t="n"/>
      <c r="L329" s="19" t="n"/>
    </row>
    <row r="330">
      <c r="A330" s="19" t="n"/>
      <c r="B330" s="19" t="n"/>
      <c r="C330" s="19" t="n"/>
      <c r="D330" s="19" t="n"/>
      <c r="E330" s="19" t="n"/>
      <c r="F330" s="19" t="n"/>
      <c r="G330" s="19" t="n"/>
      <c r="H330" s="19" t="n"/>
      <c r="I330" s="19" t="n"/>
      <c r="J330" s="19" t="n"/>
      <c r="K330" s="19" t="n"/>
      <c r="L330" s="19" t="n"/>
    </row>
    <row r="331">
      <c r="A331" s="19" t="n"/>
      <c r="B331" s="19" t="n"/>
      <c r="C331" s="19" t="n"/>
      <c r="D331" s="19" t="n"/>
      <c r="E331" s="19" t="n"/>
      <c r="F331" s="19" t="n"/>
      <c r="G331" s="19" t="n"/>
      <c r="H331" s="19" t="n"/>
      <c r="I331" s="19" t="n"/>
      <c r="J331" s="19" t="n"/>
      <c r="K331" s="19" t="n"/>
      <c r="L331" s="19" t="n"/>
    </row>
    <row r="332">
      <c r="A332" s="19" t="n"/>
      <c r="B332" s="19" t="n"/>
      <c r="C332" s="19" t="n"/>
      <c r="D332" s="19" t="n"/>
      <c r="E332" s="19" t="n"/>
      <c r="F332" s="19" t="n"/>
      <c r="G332" s="19" t="n"/>
      <c r="H332" s="19" t="n"/>
      <c r="I332" s="19" t="n"/>
      <c r="J332" s="19" t="n"/>
      <c r="K332" s="19" t="n"/>
      <c r="L332" s="19" t="n"/>
    </row>
    <row r="333">
      <c r="A333" s="19" t="n"/>
      <c r="B333" s="19" t="n"/>
      <c r="C333" s="19" t="n"/>
      <c r="D333" s="19" t="n"/>
      <c r="E333" s="19" t="n"/>
      <c r="F333" s="19" t="n"/>
      <c r="G333" s="19" t="n"/>
      <c r="H333" s="19" t="n"/>
      <c r="I333" s="19" t="n"/>
      <c r="J333" s="19" t="n"/>
      <c r="K333" s="19" t="n"/>
      <c r="L333" s="19" t="n"/>
    </row>
    <row r="334">
      <c r="A334" s="19" t="n"/>
      <c r="B334" s="19" t="n"/>
      <c r="C334" s="19" t="n"/>
      <c r="D334" s="19" t="n"/>
      <c r="E334" s="19" t="n"/>
      <c r="F334" s="19" t="n"/>
      <c r="G334" s="19" t="n"/>
      <c r="H334" s="19" t="n"/>
      <c r="I334" s="19" t="n"/>
      <c r="J334" s="19" t="n"/>
      <c r="K334" s="19" t="n"/>
      <c r="L334" s="19" t="n"/>
    </row>
    <row r="335">
      <c r="A335" s="19" t="n"/>
      <c r="B335" s="19" t="n"/>
      <c r="C335" s="19" t="n"/>
      <c r="D335" s="19" t="n"/>
      <c r="E335" s="19" t="n"/>
      <c r="F335" s="19" t="n"/>
      <c r="G335" s="19" t="n"/>
      <c r="H335" s="19" t="n"/>
      <c r="I335" s="19" t="n"/>
      <c r="J335" s="19" t="n"/>
      <c r="K335" s="19" t="n"/>
      <c r="L335" s="19" t="n"/>
    </row>
    <row r="336">
      <c r="A336" s="19" t="n"/>
      <c r="B336" s="19" t="n"/>
      <c r="C336" s="19" t="n"/>
      <c r="D336" s="19" t="n"/>
      <c r="E336" s="19" t="n"/>
      <c r="F336" s="19" t="n"/>
      <c r="G336" s="19" t="n"/>
      <c r="H336" s="19" t="n"/>
      <c r="I336" s="19" t="n"/>
      <c r="J336" s="19" t="n"/>
      <c r="K336" s="19" t="n"/>
      <c r="L336" s="19" t="n"/>
    </row>
    <row r="337">
      <c r="A337" s="19" t="n"/>
      <c r="B337" s="19" t="n"/>
      <c r="C337" s="19" t="n"/>
      <c r="D337" s="19" t="n"/>
      <c r="E337" s="19" t="n"/>
      <c r="F337" s="19" t="n"/>
      <c r="G337" s="19" t="n"/>
      <c r="H337" s="19" t="n"/>
      <c r="I337" s="19" t="n"/>
      <c r="J337" s="19" t="n"/>
      <c r="K337" s="19" t="n"/>
      <c r="L337" s="19" t="n"/>
    </row>
    <row r="338">
      <c r="A338" s="19" t="n"/>
      <c r="B338" s="19" t="n"/>
      <c r="C338" s="19" t="n"/>
      <c r="D338" s="19" t="n"/>
      <c r="E338" s="19" t="n"/>
      <c r="F338" s="19" t="n"/>
      <c r="G338" s="19" t="n"/>
      <c r="H338" s="19" t="n"/>
      <c r="I338" s="19" t="n"/>
      <c r="J338" s="19" t="n"/>
      <c r="K338" s="19" t="n"/>
      <c r="L338" s="19" t="n"/>
    </row>
    <row r="339">
      <c r="A339" s="19" t="n"/>
      <c r="B339" s="19" t="n"/>
      <c r="C339" s="19" t="n"/>
      <c r="D339" s="19" t="n"/>
      <c r="E339" s="19" t="n"/>
      <c r="F339" s="19" t="n"/>
      <c r="G339" s="19" t="n"/>
      <c r="H339" s="19" t="n"/>
      <c r="I339" s="19" t="n"/>
      <c r="J339" s="19" t="n"/>
      <c r="K339" s="19" t="n"/>
      <c r="L339" s="19" t="n"/>
    </row>
    <row r="340">
      <c r="A340" s="19" t="n"/>
      <c r="B340" s="19" t="n"/>
      <c r="C340" s="19" t="n"/>
      <c r="D340" s="19" t="n"/>
      <c r="E340" s="19" t="n"/>
      <c r="F340" s="19" t="n"/>
      <c r="G340" s="19" t="n"/>
      <c r="H340" s="19" t="n"/>
      <c r="I340" s="19" t="n"/>
      <c r="J340" s="19" t="n"/>
      <c r="K340" s="19" t="n"/>
      <c r="L340" s="19" t="n"/>
    </row>
    <row r="341">
      <c r="A341" s="19" t="n"/>
      <c r="B341" s="19" t="n"/>
      <c r="C341" s="19" t="n"/>
      <c r="D341" s="19" t="n"/>
      <c r="E341" s="19" t="n"/>
      <c r="F341" s="19" t="n"/>
      <c r="G341" s="19" t="n"/>
      <c r="H341" s="19" t="n"/>
      <c r="I341" s="19" t="n"/>
      <c r="J341" s="19" t="n"/>
      <c r="K341" s="19" t="n"/>
      <c r="L341" s="19" t="n"/>
    </row>
    <row r="342">
      <c r="A342" s="19" t="n"/>
      <c r="B342" s="19" t="n"/>
      <c r="C342" s="19" t="n"/>
      <c r="D342" s="19" t="n"/>
      <c r="E342" s="19" t="n"/>
      <c r="F342" s="19" t="n"/>
      <c r="G342" s="19" t="n"/>
      <c r="H342" s="19" t="n"/>
      <c r="I342" s="19" t="n"/>
      <c r="J342" s="19" t="n"/>
      <c r="K342" s="19" t="n"/>
      <c r="L342" s="19" t="n"/>
    </row>
    <row r="343">
      <c r="A343" s="19" t="n"/>
      <c r="B343" s="19" t="n"/>
      <c r="C343" s="19" t="n"/>
      <c r="D343" s="19" t="n"/>
      <c r="E343" s="19" t="n"/>
      <c r="F343" s="19" t="n"/>
      <c r="G343" s="19" t="n"/>
      <c r="H343" s="19" t="n"/>
      <c r="I343" s="19" t="n"/>
      <c r="J343" s="19" t="n"/>
      <c r="K343" s="19" t="n"/>
      <c r="L343" s="19" t="n"/>
    </row>
    <row r="344">
      <c r="A344" s="19" t="n"/>
      <c r="B344" s="19" t="n"/>
      <c r="C344" s="19" t="n"/>
      <c r="D344" s="19" t="n"/>
      <c r="E344" s="19" t="n"/>
      <c r="F344" s="19" t="n"/>
      <c r="G344" s="19" t="n"/>
      <c r="H344" s="19" t="n"/>
      <c r="I344" s="19" t="n"/>
      <c r="J344" s="19" t="n"/>
      <c r="K344" s="19" t="n"/>
      <c r="L344" s="19" t="n"/>
    </row>
    <row r="345">
      <c r="A345" s="19" t="n"/>
      <c r="B345" s="19" t="n"/>
      <c r="C345" s="19" t="n"/>
      <c r="D345" s="19" t="n"/>
      <c r="E345" s="19" t="n"/>
      <c r="F345" s="19" t="n"/>
      <c r="G345" s="19" t="n"/>
      <c r="H345" s="19" t="n"/>
      <c r="I345" s="19" t="n"/>
      <c r="J345" s="19" t="n"/>
      <c r="K345" s="19" t="n"/>
      <c r="L345" s="19" t="n"/>
    </row>
    <row r="346">
      <c r="A346" s="19" t="n"/>
      <c r="B346" s="19" t="n"/>
      <c r="C346" s="19" t="n"/>
      <c r="D346" s="19" t="n"/>
      <c r="E346" s="19" t="n"/>
      <c r="F346" s="19" t="n"/>
      <c r="G346" s="19" t="n"/>
      <c r="H346" s="19" t="n"/>
      <c r="I346" s="19" t="n"/>
      <c r="J346" s="19" t="n"/>
      <c r="K346" s="19" t="n"/>
      <c r="L346" s="19" t="n"/>
    </row>
    <row r="347">
      <c r="A347" s="19" t="n"/>
      <c r="B347" s="19" t="n"/>
      <c r="C347" s="19" t="n"/>
      <c r="D347" s="19" t="n"/>
      <c r="E347" s="19" t="n"/>
      <c r="F347" s="19" t="n"/>
      <c r="G347" s="19" t="n"/>
      <c r="H347" s="19" t="n"/>
      <c r="I347" s="19" t="n"/>
      <c r="J347" s="19" t="n"/>
      <c r="K347" s="19" t="n"/>
      <c r="L347" s="19" t="n"/>
    </row>
    <row r="348">
      <c r="A348" s="19" t="n"/>
      <c r="B348" s="19" t="n"/>
      <c r="C348" s="19" t="n"/>
      <c r="D348" s="19" t="n"/>
      <c r="E348" s="19" t="n"/>
      <c r="F348" s="19" t="n"/>
      <c r="G348" s="19" t="n"/>
      <c r="H348" s="19" t="n"/>
      <c r="I348" s="19" t="n"/>
      <c r="J348" s="19" t="n"/>
      <c r="K348" s="19" t="n"/>
      <c r="L348" s="19" t="n"/>
    </row>
    <row r="349">
      <c r="A349" s="19" t="n"/>
      <c r="B349" s="19" t="n"/>
      <c r="C349" s="19" t="n"/>
      <c r="D349" s="19" t="n"/>
      <c r="E349" s="19" t="n"/>
      <c r="F349" s="19" t="n"/>
      <c r="G349" s="19" t="n"/>
      <c r="H349" s="19" t="n"/>
      <c r="I349" s="19" t="n"/>
      <c r="J349" s="19" t="n"/>
      <c r="K349" s="19" t="n"/>
      <c r="L349" s="19" t="n"/>
    </row>
    <row r="350">
      <c r="A350" s="19" t="n"/>
      <c r="B350" s="19" t="n"/>
      <c r="C350" s="19" t="n"/>
      <c r="D350" s="19" t="n"/>
      <c r="E350" s="19" t="n"/>
      <c r="F350" s="19" t="n"/>
      <c r="G350" s="19" t="n"/>
      <c r="H350" s="19" t="n"/>
      <c r="I350" s="19" t="n"/>
      <c r="J350" s="19" t="n"/>
      <c r="K350" s="19" t="n"/>
      <c r="L350" s="19" t="n"/>
    </row>
    <row r="351">
      <c r="A351" s="19" t="n"/>
      <c r="B351" s="19" t="n"/>
      <c r="C351" s="19" t="n"/>
      <c r="D351" s="19" t="n"/>
      <c r="E351" s="19" t="n"/>
      <c r="F351" s="19" t="n"/>
      <c r="G351" s="19" t="n"/>
      <c r="H351" s="19" t="n"/>
      <c r="I351" s="19" t="n"/>
      <c r="J351" s="19" t="n"/>
      <c r="K351" s="19" t="n"/>
      <c r="L351" s="19" t="n"/>
    </row>
    <row r="352">
      <c r="A352" s="19" t="n"/>
      <c r="B352" s="19" t="n"/>
      <c r="C352" s="19" t="n"/>
      <c r="D352" s="19" t="n"/>
      <c r="E352" s="19" t="n"/>
      <c r="F352" s="19" t="n"/>
      <c r="G352" s="19" t="n"/>
      <c r="H352" s="19" t="n"/>
      <c r="I352" s="19" t="n"/>
      <c r="J352" s="19" t="n"/>
      <c r="K352" s="19" t="n"/>
      <c r="L352" s="19" t="n"/>
    </row>
    <row r="353">
      <c r="A353" s="19" t="n"/>
      <c r="B353" s="19" t="n"/>
      <c r="C353" s="19" t="n"/>
      <c r="D353" s="19" t="n"/>
      <c r="E353" s="19" t="n"/>
      <c r="F353" s="19" t="n"/>
      <c r="G353" s="19" t="n"/>
      <c r="H353" s="19" t="n"/>
      <c r="I353" s="19" t="n"/>
      <c r="J353" s="19" t="n"/>
      <c r="K353" s="19" t="n"/>
      <c r="L353" s="19" t="n"/>
    </row>
    <row r="354">
      <c r="A354" s="19" t="n"/>
      <c r="B354" s="19" t="n"/>
      <c r="C354" s="19" t="n"/>
      <c r="D354" s="19" t="n"/>
      <c r="E354" s="19" t="n"/>
      <c r="F354" s="19" t="n"/>
      <c r="G354" s="19" t="n"/>
      <c r="H354" s="19" t="n"/>
      <c r="I354" s="19" t="n"/>
      <c r="J354" s="19" t="n"/>
      <c r="K354" s="19" t="n"/>
      <c r="L354" s="19" t="n"/>
    </row>
    <row r="355">
      <c r="A355" s="19" t="n"/>
      <c r="B355" s="19" t="n"/>
      <c r="C355" s="19" t="n"/>
      <c r="D355" s="19" t="n"/>
      <c r="E355" s="19" t="n"/>
      <c r="F355" s="19" t="n"/>
      <c r="G355" s="19" t="n"/>
      <c r="H355" s="19" t="n"/>
      <c r="I355" s="19" t="n"/>
      <c r="J355" s="19" t="n"/>
      <c r="K355" s="19" t="n"/>
      <c r="L355" s="19" t="n"/>
    </row>
    <row r="356">
      <c r="A356" s="19" t="n"/>
      <c r="B356" s="19" t="n"/>
      <c r="C356" s="19" t="n"/>
      <c r="D356" s="19" t="n"/>
      <c r="E356" s="19" t="n"/>
      <c r="F356" s="19" t="n"/>
      <c r="G356" s="19" t="n"/>
      <c r="H356" s="19" t="n"/>
      <c r="I356" s="19" t="n"/>
      <c r="J356" s="19" t="n"/>
      <c r="K356" s="19" t="n"/>
      <c r="L356" s="19" t="n"/>
    </row>
    <row r="357">
      <c r="A357" s="19" t="n"/>
      <c r="B357" s="19" t="n"/>
      <c r="C357" s="19" t="n"/>
      <c r="D357" s="19" t="n"/>
      <c r="E357" s="19" t="n"/>
      <c r="F357" s="19" t="n"/>
      <c r="G357" s="19" t="n"/>
      <c r="H357" s="19" t="n"/>
      <c r="I357" s="19" t="n"/>
      <c r="J357" s="19" t="n"/>
      <c r="K357" s="19" t="n"/>
      <c r="L357" s="19" t="n"/>
    </row>
    <row r="358">
      <c r="A358" s="19" t="n"/>
      <c r="B358" s="19" t="n"/>
      <c r="C358" s="19" t="n"/>
      <c r="D358" s="19" t="n"/>
      <c r="E358" s="19" t="n"/>
      <c r="F358" s="19" t="n"/>
      <c r="G358" s="19" t="n"/>
      <c r="H358" s="19" t="n"/>
      <c r="I358" s="19" t="n"/>
      <c r="J358" s="19" t="n"/>
      <c r="K358" s="19" t="n"/>
      <c r="L358" s="19" t="n"/>
    </row>
    <row r="359">
      <c r="A359" s="19" t="n"/>
      <c r="B359" s="19" t="n"/>
      <c r="C359" s="19" t="n"/>
      <c r="D359" s="19" t="n"/>
      <c r="E359" s="19" t="n"/>
      <c r="F359" s="19" t="n"/>
      <c r="G359" s="19" t="n"/>
      <c r="H359" s="19" t="n"/>
      <c r="I359" s="19" t="n"/>
      <c r="J359" s="19" t="n"/>
      <c r="K359" s="19" t="n"/>
      <c r="L359" s="19" t="n"/>
    </row>
    <row r="360">
      <c r="A360" s="19" t="n"/>
      <c r="B360" s="19" t="n"/>
      <c r="C360" s="19" t="n"/>
      <c r="D360" s="19" t="n"/>
      <c r="E360" s="19" t="n"/>
      <c r="F360" s="19" t="n"/>
      <c r="G360" s="19" t="n"/>
      <c r="H360" s="19" t="n"/>
      <c r="I360" s="19" t="n"/>
      <c r="J360" s="19" t="n"/>
      <c r="K360" s="19" t="n"/>
      <c r="L360" s="19" t="n"/>
    </row>
    <row r="361">
      <c r="A361" s="19" t="n"/>
      <c r="B361" s="19" t="n"/>
      <c r="C361" s="19" t="n"/>
      <c r="D361" s="19" t="n"/>
      <c r="E361" s="19" t="n"/>
      <c r="F361" s="19" t="n"/>
      <c r="G361" s="19" t="n"/>
      <c r="H361" s="19" t="n"/>
      <c r="I361" s="19" t="n"/>
      <c r="J361" s="19" t="n"/>
      <c r="K361" s="19" t="n"/>
      <c r="L361" s="19" t="n"/>
    </row>
    <row r="362">
      <c r="A362" s="19" t="n"/>
      <c r="B362" s="19" t="n"/>
      <c r="C362" s="19" t="n"/>
      <c r="D362" s="19" t="n"/>
      <c r="E362" s="19" t="n"/>
      <c r="F362" s="19" t="n"/>
      <c r="G362" s="19" t="n"/>
      <c r="H362" s="19" t="n"/>
      <c r="I362" s="19" t="n"/>
      <c r="J362" s="19" t="n"/>
      <c r="K362" s="19" t="n"/>
      <c r="L362" s="19" t="n"/>
    </row>
    <row r="363">
      <c r="A363" s="19" t="n"/>
      <c r="B363" s="19" t="n"/>
      <c r="C363" s="19" t="n"/>
      <c r="D363" s="19" t="n"/>
      <c r="E363" s="19" t="n"/>
      <c r="F363" s="19" t="n"/>
      <c r="G363" s="19" t="n"/>
      <c r="H363" s="19" t="n"/>
      <c r="I363" s="19" t="n"/>
      <c r="J363" s="19" t="n"/>
      <c r="K363" s="19" t="n"/>
      <c r="L363" s="19" t="n"/>
    </row>
    <row r="364">
      <c r="A364" s="19" t="n"/>
      <c r="B364" s="19" t="n"/>
      <c r="C364" s="19" t="n"/>
      <c r="D364" s="19" t="n"/>
      <c r="E364" s="19" t="n"/>
      <c r="F364" s="19" t="n"/>
      <c r="G364" s="19" t="n"/>
      <c r="H364" s="19" t="n"/>
      <c r="I364" s="19" t="n"/>
      <c r="J364" s="19" t="n"/>
      <c r="K364" s="19" t="n"/>
      <c r="L364" s="19" t="n"/>
    </row>
    <row r="365">
      <c r="A365" s="19" t="n"/>
      <c r="B365" s="19" t="n"/>
      <c r="C365" s="19" t="n"/>
      <c r="D365" s="19" t="n"/>
      <c r="E365" s="19" t="n"/>
      <c r="F365" s="19" t="n"/>
      <c r="G365" s="19" t="n"/>
      <c r="H365" s="19" t="n"/>
      <c r="I365" s="19" t="n"/>
      <c r="J365" s="19" t="n"/>
      <c r="K365" s="19" t="n"/>
      <c r="L365" s="19" t="n"/>
    </row>
    <row r="366">
      <c r="A366" s="19" t="n"/>
      <c r="B366" s="19" t="n"/>
      <c r="C366" s="19" t="n"/>
      <c r="D366" s="19" t="n"/>
      <c r="E366" s="19" t="n"/>
      <c r="F366" s="19" t="n"/>
      <c r="G366" s="19" t="n"/>
      <c r="H366" s="19" t="n"/>
      <c r="I366" s="19" t="n"/>
      <c r="J366" s="19" t="n"/>
      <c r="K366" s="19" t="n"/>
      <c r="L366" s="19" t="n"/>
    </row>
    <row r="367">
      <c r="A367" s="19" t="n"/>
      <c r="B367" s="19" t="n"/>
      <c r="C367" s="19" t="n"/>
      <c r="D367" s="19" t="n"/>
      <c r="E367" s="19" t="n"/>
      <c r="F367" s="19" t="n"/>
      <c r="G367" s="19" t="n"/>
      <c r="H367" s="19" t="n"/>
      <c r="I367" s="19" t="n"/>
      <c r="J367" s="19" t="n"/>
      <c r="K367" s="19" t="n"/>
      <c r="L367" s="19" t="n"/>
    </row>
    <row r="368">
      <c r="A368" s="19" t="n"/>
      <c r="B368" s="19" t="n"/>
      <c r="C368" s="19" t="n"/>
      <c r="D368" s="19" t="n"/>
      <c r="E368" s="19" t="n"/>
      <c r="F368" s="19" t="n"/>
      <c r="G368" s="19" t="n"/>
      <c r="H368" s="19" t="n"/>
      <c r="I368" s="19" t="n"/>
      <c r="J368" s="19" t="n"/>
      <c r="K368" s="19" t="n"/>
      <c r="L368" s="19" t="n"/>
    </row>
    <row r="369">
      <c r="A369" s="19" t="n"/>
      <c r="B369" s="19" t="n"/>
      <c r="C369" s="19" t="n"/>
      <c r="D369" s="19" t="n"/>
      <c r="E369" s="19" t="n"/>
      <c r="F369" s="19" t="n"/>
      <c r="G369" s="19" t="n"/>
      <c r="H369" s="19" t="n"/>
      <c r="I369" s="19" t="n"/>
      <c r="J369" s="19" t="n"/>
      <c r="K369" s="19" t="n"/>
      <c r="L369" s="19" t="n"/>
    </row>
    <row r="370">
      <c r="A370" s="19" t="n"/>
      <c r="B370" s="19" t="n"/>
      <c r="C370" s="19" t="n"/>
      <c r="D370" s="19" t="n"/>
      <c r="E370" s="19" t="n"/>
      <c r="F370" s="19" t="n"/>
      <c r="G370" s="19" t="n"/>
      <c r="H370" s="19" t="n"/>
      <c r="I370" s="19" t="n"/>
      <c r="J370" s="19" t="n"/>
      <c r="K370" s="19" t="n"/>
      <c r="L370" s="19" t="n"/>
    </row>
    <row r="371">
      <c r="A371" s="19" t="n"/>
      <c r="B371" s="19" t="n"/>
      <c r="C371" s="19" t="n"/>
      <c r="D371" s="19" t="n"/>
      <c r="E371" s="19" t="n"/>
      <c r="F371" s="19" t="n"/>
      <c r="G371" s="19" t="n"/>
      <c r="H371" s="19" t="n"/>
      <c r="I371" s="19" t="n"/>
      <c r="J371" s="19" t="n"/>
      <c r="K371" s="19" t="n"/>
      <c r="L371" s="19" t="n"/>
    </row>
    <row r="372">
      <c r="A372" s="19" t="n"/>
      <c r="B372" s="19" t="n"/>
      <c r="C372" s="19" t="n"/>
      <c r="D372" s="19" t="n"/>
      <c r="E372" s="19" t="n"/>
      <c r="F372" s="19" t="n"/>
      <c r="G372" s="19" t="n"/>
      <c r="H372" s="19" t="n"/>
      <c r="I372" s="19" t="n"/>
      <c r="J372" s="19" t="n"/>
      <c r="K372" s="19" t="n"/>
      <c r="L372" s="19" t="n"/>
    </row>
    <row r="373">
      <c r="A373" s="19" t="n"/>
      <c r="B373" s="19" t="n"/>
      <c r="C373" s="19" t="n"/>
      <c r="D373" s="19" t="n"/>
      <c r="E373" s="19" t="n"/>
      <c r="F373" s="19" t="n"/>
      <c r="G373" s="19" t="n"/>
      <c r="H373" s="19" t="n"/>
      <c r="I373" s="19" t="n"/>
      <c r="J373" s="19" t="n"/>
      <c r="K373" s="19" t="n"/>
      <c r="L373" s="19" t="n"/>
    </row>
    <row r="374">
      <c r="A374" s="19" t="n"/>
      <c r="B374" s="19" t="n"/>
      <c r="C374" s="19" t="n"/>
      <c r="D374" s="19" t="n"/>
      <c r="E374" s="19" t="n"/>
      <c r="F374" s="19" t="n"/>
      <c r="G374" s="19" t="n"/>
      <c r="H374" s="19" t="n"/>
      <c r="I374" s="19" t="n"/>
      <c r="J374" s="19" t="n"/>
      <c r="K374" s="19" t="n"/>
      <c r="L374" s="19" t="n"/>
    </row>
    <row r="375">
      <c r="A375" s="19" t="n"/>
      <c r="B375" s="19" t="n"/>
      <c r="C375" s="19" t="n"/>
      <c r="D375" s="19" t="n"/>
      <c r="E375" s="19" t="n"/>
      <c r="F375" s="19" t="n"/>
      <c r="G375" s="19" t="n"/>
      <c r="H375" s="19" t="n"/>
      <c r="I375" s="19" t="n"/>
      <c r="J375" s="19" t="n"/>
      <c r="K375" s="19" t="n"/>
      <c r="L375" s="19" t="n"/>
    </row>
    <row r="376">
      <c r="A376" s="19" t="n"/>
      <c r="B376" s="19" t="n"/>
      <c r="C376" s="19" t="n"/>
      <c r="D376" s="19" t="n"/>
      <c r="E376" s="19" t="n"/>
      <c r="F376" s="19" t="n"/>
      <c r="G376" s="19" t="n"/>
      <c r="H376" s="19" t="n"/>
      <c r="I376" s="19" t="n"/>
      <c r="J376" s="19" t="n"/>
      <c r="K376" s="19" t="n"/>
      <c r="L376" s="19" t="n"/>
    </row>
    <row r="377">
      <c r="A377" s="19" t="n"/>
      <c r="B377" s="19" t="n"/>
      <c r="C377" s="19" t="n"/>
      <c r="D377" s="19" t="n"/>
      <c r="E377" s="19" t="n"/>
      <c r="F377" s="19" t="n"/>
      <c r="G377" s="19" t="n"/>
      <c r="H377" s="19" t="n"/>
      <c r="I377" s="19" t="n"/>
      <c r="J377" s="19" t="n"/>
      <c r="K377" s="19" t="n"/>
      <c r="L377" s="19" t="n"/>
    </row>
    <row r="378">
      <c r="A378" s="19" t="n"/>
      <c r="B378" s="19" t="n"/>
      <c r="C378" s="19" t="n"/>
      <c r="D378" s="19" t="n"/>
      <c r="E378" s="19" t="n"/>
      <c r="F378" s="19" t="n"/>
      <c r="G378" s="19" t="n"/>
      <c r="H378" s="19" t="n"/>
      <c r="I378" s="19" t="n"/>
      <c r="J378" s="19" t="n"/>
      <c r="K378" s="19" t="n"/>
      <c r="L378" s="19" t="n"/>
    </row>
    <row r="379">
      <c r="A379" s="19" t="n"/>
      <c r="B379" s="19" t="n"/>
      <c r="C379" s="19" t="n"/>
      <c r="D379" s="19" t="n"/>
      <c r="E379" s="19" t="n"/>
      <c r="F379" s="19" t="n"/>
      <c r="G379" s="19" t="n"/>
      <c r="H379" s="19" t="n"/>
      <c r="I379" s="19" t="n"/>
      <c r="J379" s="19" t="n"/>
      <c r="K379" s="19" t="n"/>
      <c r="L379" s="19" t="n"/>
    </row>
    <row r="380">
      <c r="A380" s="19" t="n"/>
      <c r="B380" s="19" t="n"/>
      <c r="C380" s="19" t="n"/>
      <c r="D380" s="19" t="n"/>
      <c r="E380" s="19" t="n"/>
      <c r="F380" s="19" t="n"/>
      <c r="G380" s="19" t="n"/>
      <c r="H380" s="19" t="n"/>
      <c r="I380" s="19" t="n"/>
      <c r="J380" s="19" t="n"/>
      <c r="K380" s="19" t="n"/>
      <c r="L380" s="19" t="n"/>
    </row>
    <row r="381">
      <c r="A381" s="19" t="n"/>
      <c r="B381" s="19" t="n"/>
      <c r="C381" s="19" t="n"/>
      <c r="D381" s="19" t="n"/>
      <c r="E381" s="19" t="n"/>
      <c r="F381" s="19" t="n"/>
      <c r="G381" s="19" t="n"/>
      <c r="H381" s="19" t="n"/>
      <c r="I381" s="19" t="n"/>
      <c r="J381" s="19" t="n"/>
      <c r="K381" s="19" t="n"/>
      <c r="L381" s="19" t="n"/>
    </row>
    <row r="382">
      <c r="A382" s="19" t="n"/>
      <c r="B382" s="19" t="n"/>
      <c r="C382" s="19" t="n"/>
      <c r="D382" s="19" t="n"/>
      <c r="E382" s="19" t="n"/>
      <c r="F382" s="19" t="n"/>
      <c r="G382" s="19" t="n"/>
      <c r="H382" s="19" t="n"/>
      <c r="I382" s="19" t="n"/>
      <c r="J382" s="19" t="n"/>
      <c r="K382" s="19" t="n"/>
      <c r="L382" s="19" t="n"/>
    </row>
    <row r="383">
      <c r="A383" s="19" t="n"/>
      <c r="B383" s="19" t="n"/>
      <c r="C383" s="19" t="n"/>
      <c r="D383" s="19" t="n"/>
      <c r="E383" s="19" t="n"/>
      <c r="F383" s="19" t="n"/>
      <c r="G383" s="19" t="n"/>
      <c r="H383" s="19" t="n"/>
      <c r="I383" s="19" t="n"/>
      <c r="J383" s="19" t="n"/>
      <c r="K383" s="19" t="n"/>
      <c r="L383" s="19" t="n"/>
    </row>
    <row r="384">
      <c r="A384" s="19" t="n"/>
      <c r="B384" s="19" t="n"/>
      <c r="C384" s="19" t="n"/>
      <c r="D384" s="19" t="n"/>
      <c r="E384" s="19" t="n"/>
      <c r="F384" s="19" t="n"/>
      <c r="G384" s="19" t="n"/>
      <c r="H384" s="19" t="n"/>
      <c r="I384" s="19" t="n"/>
      <c r="J384" s="19" t="n"/>
      <c r="K384" s="19" t="n"/>
      <c r="L384" s="19" t="n"/>
    </row>
    <row r="385">
      <c r="A385" s="19" t="n"/>
      <c r="B385" s="19" t="n"/>
      <c r="C385" s="19" t="n"/>
      <c r="D385" s="19" t="n"/>
      <c r="E385" s="19" t="n"/>
      <c r="F385" s="19" t="n"/>
      <c r="G385" s="19" t="n"/>
      <c r="H385" s="19" t="n"/>
      <c r="I385" s="19" t="n"/>
      <c r="J385" s="19" t="n"/>
      <c r="K385" s="19" t="n"/>
      <c r="L385" s="19" t="n"/>
    </row>
    <row r="386">
      <c r="A386" s="19" t="n"/>
      <c r="B386" s="19" t="n"/>
      <c r="C386" s="19" t="n"/>
      <c r="D386" s="19" t="n"/>
      <c r="E386" s="19" t="n"/>
      <c r="F386" s="19" t="n"/>
      <c r="G386" s="19" t="n"/>
      <c r="H386" s="19" t="n"/>
      <c r="I386" s="19" t="n"/>
      <c r="J386" s="19" t="n"/>
      <c r="K386" s="19" t="n"/>
      <c r="L386" s="19" t="n"/>
    </row>
    <row r="387">
      <c r="A387" s="19" t="n"/>
      <c r="B387" s="19" t="n"/>
      <c r="C387" s="19" t="n"/>
      <c r="D387" s="19" t="n"/>
      <c r="E387" s="19" t="n"/>
      <c r="F387" s="19" t="n"/>
      <c r="G387" s="19" t="n"/>
      <c r="H387" s="19" t="n"/>
      <c r="I387" s="19" t="n"/>
      <c r="J387" s="19" t="n"/>
      <c r="K387" s="19" t="n"/>
      <c r="L387" s="19" t="n"/>
    </row>
    <row r="388">
      <c r="A388" s="19" t="n"/>
      <c r="B388" s="19" t="n"/>
      <c r="C388" s="19" t="n"/>
      <c r="D388" s="19" t="n"/>
      <c r="E388" s="19" t="n"/>
      <c r="F388" s="19" t="n"/>
      <c r="G388" s="19" t="n"/>
      <c r="H388" s="19" t="n"/>
      <c r="I388" s="19" t="n"/>
      <c r="J388" s="19" t="n"/>
      <c r="K388" s="19" t="n"/>
      <c r="L388" s="19" t="n"/>
    </row>
    <row r="389">
      <c r="A389" s="19" t="n"/>
      <c r="B389" s="19" t="n"/>
      <c r="C389" s="19" t="n"/>
      <c r="D389" s="19" t="n"/>
      <c r="E389" s="19" t="n"/>
      <c r="F389" s="19" t="n"/>
      <c r="G389" s="19" t="n"/>
      <c r="H389" s="19" t="n"/>
      <c r="I389" s="19" t="n"/>
      <c r="J389" s="19" t="n"/>
      <c r="K389" s="19" t="n"/>
      <c r="L389" s="19" t="n"/>
    </row>
    <row r="390">
      <c r="A390" s="19" t="n"/>
      <c r="B390" s="19" t="n"/>
      <c r="C390" s="19" t="n"/>
      <c r="D390" s="19" t="n"/>
      <c r="E390" s="19" t="n"/>
      <c r="F390" s="19" t="n"/>
      <c r="G390" s="19" t="n"/>
      <c r="H390" s="19" t="n"/>
      <c r="I390" s="19" t="n"/>
      <c r="J390" s="19" t="n"/>
      <c r="K390" s="19" t="n"/>
      <c r="L390" s="19" t="n"/>
    </row>
    <row r="391">
      <c r="A391" s="19" t="n"/>
      <c r="B391" s="19" t="n"/>
      <c r="C391" s="19" t="n"/>
      <c r="D391" s="19" t="n"/>
      <c r="E391" s="19" t="n"/>
      <c r="F391" s="19" t="n"/>
      <c r="G391" s="19" t="n"/>
      <c r="H391" s="19" t="n"/>
      <c r="I391" s="19" t="n"/>
      <c r="J391" s="19" t="n"/>
      <c r="K391" s="19" t="n"/>
      <c r="L391" s="19" t="n"/>
    </row>
    <row r="392">
      <c r="A392" s="19" t="n"/>
      <c r="B392" s="19" t="n"/>
      <c r="C392" s="19" t="n"/>
      <c r="D392" s="19" t="n"/>
      <c r="E392" s="19" t="n"/>
      <c r="F392" s="19" t="n"/>
      <c r="G392" s="19" t="n"/>
      <c r="H392" s="19" t="n"/>
      <c r="I392" s="19" t="n"/>
      <c r="J392" s="19" t="n"/>
      <c r="K392" s="19" t="n"/>
      <c r="L392" s="19" t="n"/>
    </row>
    <row r="393">
      <c r="A393" s="19" t="n"/>
      <c r="B393" s="19" t="n"/>
      <c r="C393" s="19" t="n"/>
      <c r="D393" s="19" t="n"/>
      <c r="E393" s="19" t="n"/>
      <c r="F393" s="19" t="n"/>
      <c r="G393" s="19" t="n"/>
      <c r="H393" s="19" t="n"/>
      <c r="I393" s="19" t="n"/>
      <c r="J393" s="19" t="n"/>
      <c r="K393" s="19" t="n"/>
      <c r="L393" s="19" t="n"/>
    </row>
    <row r="394">
      <c r="A394" s="19" t="n"/>
      <c r="B394" s="19" t="n"/>
      <c r="C394" s="19" t="n"/>
      <c r="D394" s="19" t="n"/>
      <c r="E394" s="19" t="n"/>
      <c r="F394" s="19" t="n"/>
      <c r="G394" s="19" t="n"/>
      <c r="H394" s="19" t="n"/>
      <c r="I394" s="19" t="n"/>
      <c r="J394" s="19" t="n"/>
      <c r="K394" s="19" t="n"/>
      <c r="L394" s="19" t="n"/>
    </row>
    <row r="395">
      <c r="A395" s="19" t="n"/>
      <c r="B395" s="19" t="n"/>
      <c r="C395" s="19" t="n"/>
      <c r="D395" s="19" t="n"/>
      <c r="E395" s="19" t="n"/>
      <c r="F395" s="19" t="n"/>
      <c r="G395" s="19" t="n"/>
      <c r="H395" s="19" t="n"/>
      <c r="I395" s="19" t="n"/>
      <c r="J395" s="19" t="n"/>
      <c r="K395" s="19" t="n"/>
      <c r="L395" s="19" t="n"/>
    </row>
    <row r="396">
      <c r="A396" s="19" t="n"/>
      <c r="B396" s="19" t="n"/>
      <c r="C396" s="19" t="n"/>
      <c r="D396" s="19" t="n"/>
      <c r="E396" s="19" t="n"/>
      <c r="F396" s="19" t="n"/>
      <c r="G396" s="19" t="n"/>
      <c r="H396" s="19" t="n"/>
      <c r="I396" s="19" t="n"/>
      <c r="J396" s="19" t="n"/>
      <c r="K396" s="19" t="n"/>
      <c r="L396" s="19" t="n"/>
    </row>
    <row r="397">
      <c r="A397" s="19" t="n"/>
      <c r="B397" s="19" t="n"/>
      <c r="C397" s="19" t="n"/>
      <c r="D397" s="19" t="n"/>
      <c r="E397" s="19" t="n"/>
      <c r="F397" s="19" t="n"/>
      <c r="G397" s="19" t="n"/>
      <c r="H397" s="19" t="n"/>
      <c r="I397" s="19" t="n"/>
      <c r="J397" s="19" t="n"/>
      <c r="K397" s="19" t="n"/>
      <c r="L397" s="19" t="n"/>
    </row>
    <row r="398">
      <c r="A398" s="19" t="n"/>
      <c r="B398" s="19" t="n"/>
      <c r="C398" s="19" t="n"/>
      <c r="D398" s="19" t="n"/>
      <c r="E398" s="19" t="n"/>
      <c r="F398" s="19" t="n"/>
      <c r="G398" s="19" t="n"/>
      <c r="H398" s="19" t="n"/>
      <c r="I398" s="19" t="n"/>
      <c r="J398" s="19" t="n"/>
      <c r="K398" s="19" t="n"/>
      <c r="L398" s="19" t="n"/>
    </row>
    <row r="399">
      <c r="A399" s="19" t="n"/>
      <c r="B399" s="19" t="n"/>
      <c r="C399" s="19" t="n"/>
      <c r="D399" s="19" t="n"/>
      <c r="E399" s="19" t="n"/>
      <c r="F399" s="19" t="n"/>
      <c r="G399" s="19" t="n"/>
      <c r="H399" s="19" t="n"/>
      <c r="I399" s="19" t="n"/>
      <c r="J399" s="19" t="n"/>
      <c r="K399" s="19" t="n"/>
      <c r="L399" s="19" t="n"/>
    </row>
    <row r="400">
      <c r="A400" s="19" t="n"/>
      <c r="B400" s="19" t="n"/>
      <c r="C400" s="19" t="n"/>
      <c r="D400" s="19" t="n"/>
      <c r="E400" s="19" t="n"/>
      <c r="F400" s="19" t="n"/>
      <c r="G400" s="19" t="n"/>
      <c r="H400" s="19" t="n"/>
      <c r="I400" s="19" t="n"/>
      <c r="J400" s="19" t="n"/>
      <c r="K400" s="19" t="n"/>
      <c r="L400" s="19" t="n"/>
    </row>
    <row r="401">
      <c r="A401" s="19" t="n"/>
      <c r="B401" s="19" t="n"/>
      <c r="C401" s="19" t="n"/>
      <c r="D401" s="19" t="n"/>
      <c r="E401" s="19" t="n"/>
      <c r="F401" s="19" t="n"/>
      <c r="G401" s="19" t="n"/>
      <c r="H401" s="19" t="n"/>
      <c r="I401" s="19" t="n"/>
      <c r="J401" s="19" t="n"/>
      <c r="K401" s="19" t="n"/>
      <c r="L401" s="19" t="n"/>
    </row>
    <row r="402">
      <c r="A402" s="19" t="n"/>
      <c r="B402" s="19" t="n"/>
      <c r="C402" s="19" t="n"/>
      <c r="D402" s="19" t="n"/>
      <c r="E402" s="19" t="n"/>
      <c r="F402" s="19" t="n"/>
      <c r="G402" s="19" t="n"/>
      <c r="H402" s="19" t="n"/>
      <c r="I402" s="19" t="n"/>
      <c r="J402" s="19" t="n"/>
      <c r="K402" s="19" t="n"/>
      <c r="L402" s="19" t="n"/>
    </row>
    <row r="403">
      <c r="A403" s="19" t="n"/>
      <c r="B403" s="19" t="n"/>
      <c r="C403" s="19" t="n"/>
      <c r="D403" s="19" t="n"/>
      <c r="E403" s="19" t="n"/>
      <c r="F403" s="19" t="n"/>
      <c r="G403" s="19" t="n"/>
      <c r="H403" s="19" t="n"/>
      <c r="I403" s="19" t="n"/>
      <c r="J403" s="19" t="n"/>
      <c r="K403" s="19" t="n"/>
      <c r="L403" s="19" t="n"/>
    </row>
    <row r="404">
      <c r="A404" s="19" t="n"/>
      <c r="B404" s="19" t="n"/>
      <c r="C404" s="19" t="n"/>
      <c r="D404" s="19" t="n"/>
      <c r="E404" s="19" t="n"/>
      <c r="F404" s="19" t="n"/>
      <c r="G404" s="19" t="n"/>
      <c r="H404" s="19" t="n"/>
      <c r="I404" s="19" t="n"/>
      <c r="J404" s="19" t="n"/>
      <c r="K404" s="19" t="n"/>
      <c r="L404" s="19" t="n"/>
    </row>
    <row r="405">
      <c r="A405" s="19" t="n"/>
      <c r="B405" s="19" t="n"/>
      <c r="C405" s="19" t="n"/>
      <c r="D405" s="19" t="n"/>
      <c r="E405" s="19" t="n"/>
      <c r="F405" s="19" t="n"/>
      <c r="G405" s="19" t="n"/>
      <c r="H405" s="19" t="n"/>
      <c r="I405" s="19" t="n"/>
      <c r="J405" s="19" t="n"/>
      <c r="K405" s="19" t="n"/>
      <c r="L405" s="19" t="n"/>
    </row>
    <row r="406">
      <c r="A406" s="19" t="n"/>
      <c r="B406" s="19" t="n"/>
      <c r="C406" s="19" t="n"/>
      <c r="D406" s="19" t="n"/>
      <c r="E406" s="19" t="n"/>
      <c r="F406" s="19" t="n"/>
      <c r="G406" s="19" t="n"/>
      <c r="H406" s="19" t="n"/>
      <c r="I406" s="19" t="n"/>
      <c r="J406" s="19" t="n"/>
      <c r="K406" s="19" t="n"/>
      <c r="L406" s="19" t="n"/>
    </row>
    <row r="407">
      <c r="A407" s="19" t="n"/>
      <c r="B407" s="19" t="n"/>
      <c r="C407" s="19" t="n"/>
      <c r="D407" s="19" t="n"/>
      <c r="E407" s="19" t="n"/>
      <c r="F407" s="19" t="n"/>
      <c r="G407" s="19" t="n"/>
      <c r="H407" s="19" t="n"/>
      <c r="I407" s="19" t="n"/>
      <c r="J407" s="19" t="n"/>
      <c r="K407" s="19" t="n"/>
      <c r="L407" s="19" t="n"/>
    </row>
    <row r="408">
      <c r="A408" s="19" t="n"/>
      <c r="B408" s="19" t="n"/>
      <c r="C408" s="19" t="n"/>
      <c r="D408" s="19" t="n"/>
      <c r="E408" s="19" t="n"/>
      <c r="F408" s="19" t="n"/>
      <c r="G408" s="19" t="n"/>
      <c r="H408" s="19" t="n"/>
      <c r="I408" s="19" t="n"/>
      <c r="J408" s="19" t="n"/>
      <c r="K408" s="19" t="n"/>
      <c r="L408" s="19" t="n"/>
    </row>
    <row r="409">
      <c r="A409" s="19" t="n"/>
      <c r="B409" s="19" t="n"/>
      <c r="C409" s="19" t="n"/>
      <c r="D409" s="19" t="n"/>
      <c r="E409" s="19" t="n"/>
      <c r="F409" s="19" t="n"/>
      <c r="G409" s="19" t="n"/>
      <c r="H409" s="19" t="n"/>
      <c r="I409" s="19" t="n"/>
      <c r="J409" s="19" t="n"/>
      <c r="K409" s="19" t="n"/>
      <c r="L409" s="19" t="n"/>
    </row>
    <row r="410">
      <c r="A410" s="19" t="n"/>
      <c r="B410" s="19" t="n"/>
      <c r="C410" s="19" t="n"/>
      <c r="D410" s="19" t="n"/>
      <c r="E410" s="19" t="n"/>
      <c r="F410" s="19" t="n"/>
      <c r="G410" s="19" t="n"/>
      <c r="H410" s="19" t="n"/>
      <c r="I410" s="19" t="n"/>
      <c r="J410" s="19" t="n"/>
      <c r="K410" s="19" t="n"/>
      <c r="L410" s="19" t="n"/>
    </row>
    <row r="411">
      <c r="A411" s="19" t="n"/>
      <c r="B411" s="19" t="n"/>
      <c r="C411" s="19" t="n"/>
      <c r="D411" s="19" t="n"/>
      <c r="E411" s="19" t="n"/>
      <c r="F411" s="19" t="n"/>
      <c r="G411" s="19" t="n"/>
      <c r="H411" s="19" t="n"/>
      <c r="I411" s="19" t="n"/>
      <c r="J411" s="19" t="n"/>
      <c r="K411" s="19" t="n"/>
      <c r="L411" s="19" t="n"/>
    </row>
    <row r="412">
      <c r="A412" s="19" t="n"/>
      <c r="B412" s="19" t="n"/>
      <c r="C412" s="19" t="n"/>
      <c r="D412" s="19" t="n"/>
      <c r="E412" s="19" t="n"/>
      <c r="F412" s="19" t="n"/>
      <c r="G412" s="19" t="n"/>
      <c r="H412" s="19" t="n"/>
      <c r="I412" s="19" t="n"/>
      <c r="J412" s="19" t="n"/>
      <c r="K412" s="19" t="n"/>
      <c r="L412" s="19" t="n"/>
    </row>
    <row r="413">
      <c r="A413" s="19" t="n"/>
      <c r="B413" s="19" t="n"/>
      <c r="C413" s="19" t="n"/>
      <c r="D413" s="19" t="n"/>
      <c r="E413" s="19" t="n"/>
      <c r="F413" s="19" t="n"/>
      <c r="G413" s="19" t="n"/>
      <c r="H413" s="19" t="n"/>
      <c r="I413" s="19" t="n"/>
      <c r="J413" s="19" t="n"/>
      <c r="K413" s="19" t="n"/>
      <c r="L413" s="19" t="n"/>
    </row>
    <row r="414">
      <c r="A414" s="19" t="n"/>
      <c r="B414" s="19" t="n"/>
      <c r="C414" s="19" t="n"/>
      <c r="D414" s="19" t="n"/>
      <c r="E414" s="19" t="n"/>
      <c r="F414" s="19" t="n"/>
      <c r="G414" s="19" t="n"/>
      <c r="H414" s="19" t="n"/>
      <c r="I414" s="19" t="n"/>
      <c r="J414" s="19" t="n"/>
      <c r="K414" s="19" t="n"/>
      <c r="L414" s="19" t="n"/>
    </row>
    <row r="415">
      <c r="A415" s="19" t="n"/>
      <c r="B415" s="19" t="n"/>
      <c r="C415" s="19" t="n"/>
      <c r="D415" s="19" t="n"/>
      <c r="E415" s="19" t="n"/>
      <c r="F415" s="19" t="n"/>
      <c r="G415" s="19" t="n"/>
      <c r="H415" s="19" t="n"/>
      <c r="I415" s="19" t="n"/>
      <c r="J415" s="19" t="n"/>
      <c r="K415" s="19" t="n"/>
      <c r="L415" s="19" t="n"/>
    </row>
    <row r="416">
      <c r="A416" s="19" t="n"/>
      <c r="B416" s="19" t="n"/>
      <c r="C416" s="19" t="n"/>
      <c r="D416" s="19" t="n"/>
      <c r="E416" s="19" t="n"/>
      <c r="F416" s="19" t="n"/>
      <c r="G416" s="19" t="n"/>
      <c r="H416" s="19" t="n"/>
      <c r="I416" s="19" t="n"/>
      <c r="J416" s="19" t="n"/>
      <c r="K416" s="19" t="n"/>
      <c r="L416" s="19" t="n"/>
    </row>
    <row r="417">
      <c r="A417" s="19" t="n"/>
      <c r="B417" s="19" t="n"/>
      <c r="C417" s="19" t="n"/>
      <c r="D417" s="19" t="n"/>
      <c r="E417" s="19" t="n"/>
      <c r="F417" s="19" t="n"/>
      <c r="G417" s="19" t="n"/>
      <c r="H417" s="19" t="n"/>
      <c r="I417" s="19" t="n"/>
      <c r="J417" s="19" t="n"/>
      <c r="K417" s="19" t="n"/>
      <c r="L417" s="19" t="n"/>
    </row>
    <row r="418">
      <c r="A418" s="19" t="n"/>
      <c r="B418" s="19" t="n"/>
      <c r="C418" s="19" t="n"/>
      <c r="D418" s="19" t="n"/>
      <c r="E418" s="19" t="n"/>
      <c r="F418" s="19" t="n"/>
      <c r="G418" s="19" t="n"/>
      <c r="H418" s="19" t="n"/>
      <c r="I418" s="19" t="n"/>
      <c r="J418" s="19" t="n"/>
      <c r="K418" s="19" t="n"/>
      <c r="L418" s="19" t="n"/>
    </row>
    <row r="419">
      <c r="A419" s="19" t="n"/>
      <c r="B419" s="19" t="n"/>
      <c r="C419" s="19" t="n"/>
      <c r="D419" s="19" t="n"/>
      <c r="E419" s="19" t="n"/>
      <c r="F419" s="19" t="n"/>
      <c r="G419" s="19" t="n"/>
      <c r="H419" s="19" t="n"/>
      <c r="I419" s="19" t="n"/>
      <c r="J419" s="19" t="n"/>
      <c r="K419" s="19" t="n"/>
      <c r="L419" s="19" t="n"/>
    </row>
    <row r="420">
      <c r="A420" s="19" t="n"/>
      <c r="B420" s="19" t="n"/>
      <c r="C420" s="19" t="n"/>
      <c r="D420" s="19" t="n"/>
      <c r="E420" s="19" t="n"/>
      <c r="F420" s="19" t="n"/>
      <c r="G420" s="19" t="n"/>
      <c r="H420" s="19" t="n"/>
      <c r="I420" s="19" t="n"/>
      <c r="J420" s="19" t="n"/>
      <c r="K420" s="19" t="n"/>
      <c r="L420" s="19" t="n"/>
    </row>
    <row r="421">
      <c r="A421" s="19" t="n"/>
      <c r="B421" s="19" t="n"/>
      <c r="C421" s="19" t="n"/>
      <c r="D421" s="19" t="n"/>
      <c r="E421" s="19" t="n"/>
      <c r="F421" s="19" t="n"/>
      <c r="G421" s="19" t="n"/>
      <c r="H421" s="19" t="n"/>
      <c r="I421" s="19" t="n"/>
      <c r="J421" s="19" t="n"/>
      <c r="K421" s="19" t="n"/>
      <c r="L421" s="19" t="n"/>
    </row>
    <row r="422">
      <c r="A422" s="19" t="n"/>
      <c r="B422" s="19" t="n"/>
      <c r="C422" s="19" t="n"/>
      <c r="D422" s="19" t="n"/>
      <c r="E422" s="19" t="n"/>
      <c r="F422" s="19" t="n"/>
      <c r="G422" s="19" t="n"/>
      <c r="H422" s="19" t="n"/>
      <c r="I422" s="19" t="n"/>
      <c r="J422" s="19" t="n"/>
      <c r="K422" s="19" t="n"/>
      <c r="L422" s="19" t="n"/>
    </row>
    <row r="423">
      <c r="A423" s="19" t="n"/>
      <c r="B423" s="19" t="n"/>
      <c r="C423" s="19" t="n"/>
      <c r="D423" s="19" t="n"/>
      <c r="E423" s="19" t="n"/>
      <c r="F423" s="19" t="n"/>
      <c r="G423" s="19" t="n"/>
      <c r="H423" s="19" t="n"/>
      <c r="I423" s="19" t="n"/>
      <c r="J423" s="19" t="n"/>
      <c r="K423" s="19" t="n"/>
      <c r="L423" s="19" t="n"/>
    </row>
    <row r="424">
      <c r="A424" s="19" t="n"/>
      <c r="B424" s="19" t="n"/>
      <c r="C424" s="19" t="n"/>
      <c r="D424" s="19" t="n"/>
      <c r="E424" s="19" t="n"/>
      <c r="F424" s="19" t="n"/>
      <c r="G424" s="19" t="n"/>
      <c r="H424" s="19" t="n"/>
      <c r="I424" s="19" t="n"/>
      <c r="J424" s="19" t="n"/>
      <c r="K424" s="19" t="n"/>
      <c r="L424" s="19" t="n"/>
    </row>
    <row r="425">
      <c r="A425" s="19" t="n"/>
      <c r="B425" s="19" t="n"/>
      <c r="C425" s="19" t="n"/>
      <c r="D425" s="19" t="n"/>
      <c r="E425" s="19" t="n"/>
      <c r="F425" s="19" t="n"/>
      <c r="G425" s="19" t="n"/>
      <c r="H425" s="19" t="n"/>
      <c r="I425" s="19" t="n"/>
      <c r="J425" s="19" t="n"/>
      <c r="K425" s="19" t="n"/>
      <c r="L425" s="19" t="n"/>
    </row>
    <row r="426">
      <c r="A426" s="19" t="n"/>
      <c r="B426" s="19" t="n"/>
      <c r="C426" s="19" t="n"/>
      <c r="D426" s="19" t="n"/>
      <c r="E426" s="19" t="n"/>
      <c r="F426" s="19" t="n"/>
      <c r="G426" s="19" t="n"/>
      <c r="H426" s="19" t="n"/>
      <c r="I426" s="19" t="n"/>
      <c r="J426" s="19" t="n"/>
      <c r="K426" s="19" t="n"/>
      <c r="L426" s="19" t="n"/>
    </row>
    <row r="427">
      <c r="A427" s="19" t="n"/>
      <c r="B427" s="19" t="n"/>
      <c r="C427" s="19" t="n"/>
      <c r="D427" s="19" t="n"/>
      <c r="E427" s="19" t="n"/>
      <c r="F427" s="19" t="n"/>
      <c r="G427" s="19" t="n"/>
      <c r="H427" s="19" t="n"/>
      <c r="I427" s="19" t="n"/>
      <c r="J427" s="19" t="n"/>
      <c r="K427" s="19" t="n"/>
      <c r="L427" s="19" t="n"/>
    </row>
    <row r="428">
      <c r="A428" s="19" t="n"/>
      <c r="B428" s="19" t="n"/>
      <c r="C428" s="19" t="n"/>
      <c r="D428" s="19" t="n"/>
      <c r="E428" s="19" t="n"/>
      <c r="F428" s="19" t="n"/>
      <c r="G428" s="19" t="n"/>
      <c r="H428" s="19" t="n"/>
      <c r="I428" s="19" t="n"/>
      <c r="J428" s="19" t="n"/>
      <c r="K428" s="19" t="n"/>
      <c r="L428" s="19" t="n"/>
    </row>
    <row r="429">
      <c r="A429" s="19" t="n"/>
      <c r="B429" s="19" t="n"/>
      <c r="C429" s="19" t="n"/>
      <c r="D429" s="19" t="n"/>
      <c r="E429" s="19" t="n"/>
      <c r="F429" s="19" t="n"/>
      <c r="G429" s="19" t="n"/>
      <c r="H429" s="19" t="n"/>
      <c r="I429" s="19" t="n"/>
      <c r="J429" s="19" t="n"/>
      <c r="K429" s="19" t="n"/>
      <c r="L429" s="19" t="n"/>
    </row>
    <row r="430">
      <c r="A430" s="19" t="n"/>
      <c r="B430" s="19" t="n"/>
      <c r="C430" s="19" t="n"/>
      <c r="D430" s="19" t="n"/>
      <c r="E430" s="19" t="n"/>
      <c r="F430" s="19" t="n"/>
      <c r="G430" s="19" t="n"/>
      <c r="H430" s="19" t="n"/>
      <c r="I430" s="19" t="n"/>
      <c r="J430" s="19" t="n"/>
      <c r="K430" s="19" t="n"/>
      <c r="L430" s="19" t="n"/>
    </row>
    <row r="431">
      <c r="A431" s="19" t="n"/>
      <c r="B431" s="19" t="n"/>
      <c r="C431" s="19" t="n"/>
      <c r="D431" s="19" t="n"/>
      <c r="E431" s="19" t="n"/>
      <c r="F431" s="19" t="n"/>
      <c r="G431" s="19" t="n"/>
      <c r="H431" s="19" t="n"/>
      <c r="I431" s="19" t="n"/>
      <c r="J431" s="19" t="n"/>
      <c r="K431" s="19" t="n"/>
      <c r="L431" s="19" t="n"/>
    </row>
    <row r="432">
      <c r="A432" s="19" t="n"/>
      <c r="B432" s="19" t="n"/>
      <c r="C432" s="19" t="n"/>
      <c r="D432" s="19" t="n"/>
      <c r="E432" s="19" t="n"/>
      <c r="F432" s="19" t="n"/>
      <c r="G432" s="19" t="n"/>
      <c r="H432" s="19" t="n"/>
      <c r="I432" s="19" t="n"/>
      <c r="J432" s="19" t="n"/>
      <c r="K432" s="19" t="n"/>
      <c r="L432" s="19" t="n"/>
    </row>
    <row r="433">
      <c r="A433" s="19" t="n"/>
      <c r="B433" s="19" t="n"/>
      <c r="C433" s="19" t="n"/>
      <c r="D433" s="19" t="n"/>
      <c r="E433" s="19" t="n"/>
      <c r="F433" s="19" t="n"/>
      <c r="G433" s="19" t="n"/>
      <c r="H433" s="19" t="n"/>
      <c r="I433" s="19" t="n"/>
      <c r="J433" s="19" t="n"/>
      <c r="K433" s="19" t="n"/>
      <c r="L433" s="19" t="n"/>
    </row>
    <row r="434">
      <c r="A434" s="19" t="n"/>
      <c r="B434" s="19" t="n"/>
      <c r="C434" s="19" t="n"/>
      <c r="D434" s="19" t="n"/>
      <c r="E434" s="19" t="n"/>
      <c r="F434" s="19" t="n"/>
      <c r="G434" s="19" t="n"/>
      <c r="H434" s="19" t="n"/>
      <c r="I434" s="19" t="n"/>
      <c r="J434" s="19" t="n"/>
      <c r="K434" s="19" t="n"/>
      <c r="L434" s="19" t="n"/>
    </row>
    <row r="435">
      <c r="A435" s="19" t="n"/>
      <c r="B435" s="19" t="n"/>
      <c r="C435" s="19" t="n"/>
      <c r="D435" s="19" t="n"/>
      <c r="E435" s="19" t="n"/>
      <c r="F435" s="19" t="n"/>
      <c r="G435" s="19" t="n"/>
      <c r="H435" s="19" t="n"/>
      <c r="I435" s="19" t="n"/>
      <c r="J435" s="19" t="n"/>
      <c r="K435" s="19" t="n"/>
      <c r="L435" s="19" t="n"/>
    </row>
    <row r="436">
      <c r="A436" s="19" t="n"/>
      <c r="B436" s="19" t="n"/>
      <c r="C436" s="19" t="n"/>
      <c r="D436" s="19" t="n"/>
      <c r="E436" s="19" t="n"/>
      <c r="F436" s="19" t="n"/>
      <c r="G436" s="19" t="n"/>
      <c r="H436" s="19" t="n"/>
      <c r="I436" s="19" t="n"/>
      <c r="J436" s="19" t="n"/>
      <c r="K436" s="19" t="n"/>
      <c r="L436" s="19" t="n"/>
    </row>
    <row r="437">
      <c r="A437" s="19" t="n"/>
      <c r="B437" s="19" t="n"/>
      <c r="C437" s="19" t="n"/>
      <c r="D437" s="19" t="n"/>
      <c r="E437" s="19" t="n"/>
      <c r="F437" s="19" t="n"/>
      <c r="G437" s="19" t="n"/>
      <c r="H437" s="19" t="n"/>
      <c r="I437" s="19" t="n"/>
      <c r="J437" s="19" t="n"/>
      <c r="K437" s="19" t="n"/>
      <c r="L437" s="19" t="n"/>
    </row>
    <row r="438">
      <c r="A438" s="19" t="n"/>
      <c r="B438" s="19" t="n"/>
      <c r="C438" s="19" t="n"/>
      <c r="D438" s="19" t="n"/>
      <c r="E438" s="19" t="n"/>
      <c r="F438" s="19" t="n"/>
      <c r="G438" s="19" t="n"/>
      <c r="H438" s="19" t="n"/>
      <c r="I438" s="19" t="n"/>
      <c r="J438" s="19" t="n"/>
      <c r="K438" s="19" t="n"/>
      <c r="L438" s="19" t="n"/>
    </row>
    <row r="439">
      <c r="A439" s="19" t="n"/>
      <c r="B439" s="19" t="n"/>
      <c r="C439" s="19" t="n"/>
      <c r="D439" s="19" t="n"/>
      <c r="E439" s="19" t="n"/>
      <c r="F439" s="19" t="n"/>
      <c r="G439" s="19" t="n"/>
      <c r="H439" s="19" t="n"/>
      <c r="I439" s="19" t="n"/>
      <c r="J439" s="19" t="n"/>
      <c r="K439" s="19" t="n"/>
      <c r="L439" s="19" t="n"/>
    </row>
    <row r="440">
      <c r="A440" s="19" t="n"/>
      <c r="B440" s="19" t="n"/>
      <c r="C440" s="19" t="n"/>
      <c r="D440" s="19" t="n"/>
      <c r="E440" s="19" t="n"/>
      <c r="F440" s="19" t="n"/>
      <c r="G440" s="19" t="n"/>
      <c r="H440" s="19" t="n"/>
      <c r="I440" s="19" t="n"/>
      <c r="J440" s="19" t="n"/>
      <c r="K440" s="19" t="n"/>
      <c r="L440" s="19" t="n"/>
    </row>
    <row r="441">
      <c r="A441" s="19" t="n"/>
      <c r="B441" s="19" t="n"/>
      <c r="C441" s="19" t="n"/>
      <c r="D441" s="19" t="n"/>
      <c r="E441" s="19" t="n"/>
      <c r="F441" s="19" t="n"/>
      <c r="G441" s="19" t="n"/>
      <c r="H441" s="19" t="n"/>
      <c r="I441" s="19" t="n"/>
      <c r="J441" s="19" t="n"/>
      <c r="K441" s="19" t="n"/>
      <c r="L441" s="19" t="n"/>
    </row>
    <row r="442">
      <c r="A442" s="19" t="n"/>
      <c r="B442" s="19" t="n"/>
      <c r="C442" s="19" t="n"/>
      <c r="D442" s="19" t="n"/>
      <c r="E442" s="19" t="n"/>
      <c r="F442" s="19" t="n"/>
      <c r="G442" s="19" t="n"/>
      <c r="H442" s="19" t="n"/>
      <c r="I442" s="19" t="n"/>
      <c r="J442" s="19" t="n"/>
      <c r="K442" s="19" t="n"/>
      <c r="L442" s="19" t="n"/>
    </row>
    <row r="443">
      <c r="A443" s="19" t="n"/>
      <c r="B443" s="19" t="n"/>
      <c r="C443" s="19" t="n"/>
      <c r="D443" s="19" t="n"/>
      <c r="E443" s="19" t="n"/>
      <c r="F443" s="19" t="n"/>
      <c r="G443" s="19" t="n"/>
      <c r="H443" s="19" t="n"/>
      <c r="I443" s="19" t="n"/>
      <c r="J443" s="19" t="n"/>
      <c r="K443" s="19" t="n"/>
      <c r="L443" s="19" t="n"/>
    </row>
    <row r="444">
      <c r="A444" s="19" t="n"/>
      <c r="B444" s="19" t="n"/>
      <c r="C444" s="19" t="n"/>
      <c r="D444" s="19" t="n"/>
      <c r="E444" s="19" t="n"/>
      <c r="F444" s="19" t="n"/>
      <c r="G444" s="19" t="n"/>
      <c r="H444" s="19" t="n"/>
      <c r="I444" s="19" t="n"/>
      <c r="J444" s="19" t="n"/>
      <c r="K444" s="19" t="n"/>
      <c r="L444" s="19" t="n"/>
    </row>
    <row r="445">
      <c r="A445" s="19" t="n"/>
      <c r="B445" s="19" t="n"/>
      <c r="C445" s="19" t="n"/>
      <c r="D445" s="19" t="n"/>
      <c r="E445" s="19" t="n"/>
      <c r="F445" s="19" t="n"/>
      <c r="G445" s="19" t="n"/>
      <c r="H445" s="19" t="n"/>
      <c r="I445" s="19" t="n"/>
      <c r="J445" s="19" t="n"/>
      <c r="K445" s="19" t="n"/>
      <c r="L445" s="19" t="n"/>
    </row>
    <row r="446">
      <c r="A446" s="19" t="n"/>
      <c r="B446" s="19" t="n"/>
      <c r="C446" s="19" t="n"/>
      <c r="D446" s="19" t="n"/>
      <c r="E446" s="19" t="n"/>
      <c r="F446" s="19" t="n"/>
      <c r="G446" s="19" t="n"/>
      <c r="H446" s="19" t="n"/>
      <c r="I446" s="19" t="n"/>
      <c r="J446" s="19" t="n"/>
      <c r="K446" s="19" t="n"/>
      <c r="L446" s="19" t="n"/>
    </row>
    <row r="447">
      <c r="A447" s="19" t="n"/>
      <c r="B447" s="19" t="n"/>
      <c r="C447" s="19" t="n"/>
      <c r="D447" s="19" t="n"/>
      <c r="E447" s="19" t="n"/>
      <c r="F447" s="19" t="n"/>
      <c r="G447" s="19" t="n"/>
      <c r="H447" s="19" t="n"/>
      <c r="I447" s="19" t="n"/>
      <c r="J447" s="19" t="n"/>
      <c r="K447" s="19" t="n"/>
      <c r="L447" s="19" t="n"/>
    </row>
    <row r="448">
      <c r="A448" s="19" t="n"/>
      <c r="B448" s="19" t="n"/>
      <c r="C448" s="19" t="n"/>
      <c r="D448" s="19" t="n"/>
      <c r="E448" s="19" t="n"/>
      <c r="F448" s="19" t="n"/>
      <c r="G448" s="19" t="n"/>
      <c r="H448" s="19" t="n"/>
      <c r="I448" s="19" t="n"/>
      <c r="J448" s="19" t="n"/>
      <c r="K448" s="19" t="n"/>
      <c r="L448" s="19" t="n"/>
    </row>
    <row r="449">
      <c r="A449" s="19" t="n"/>
      <c r="B449" s="19" t="n"/>
      <c r="C449" s="19" t="n"/>
      <c r="D449" s="19" t="n"/>
      <c r="E449" s="19" t="n"/>
      <c r="F449" s="19" t="n"/>
      <c r="G449" s="19" t="n"/>
      <c r="H449" s="19" t="n"/>
      <c r="I449" s="19" t="n"/>
      <c r="J449" s="19" t="n"/>
      <c r="K449" s="19" t="n"/>
      <c r="L449" s="19" t="n"/>
    </row>
    <row r="450">
      <c r="A450" s="19" t="n"/>
      <c r="B450" s="19" t="n"/>
      <c r="C450" s="19" t="n"/>
      <c r="D450" s="19" t="n"/>
      <c r="E450" s="19" t="n"/>
      <c r="F450" s="19" t="n"/>
      <c r="G450" s="19" t="n"/>
      <c r="H450" s="19" t="n"/>
      <c r="I450" s="19" t="n"/>
      <c r="J450" s="19" t="n"/>
      <c r="K450" s="19" t="n"/>
      <c r="L450" s="19" t="n"/>
    </row>
    <row r="451">
      <c r="A451" s="19" t="n"/>
      <c r="B451" s="19" t="n"/>
      <c r="C451" s="19" t="n"/>
      <c r="D451" s="19" t="n"/>
      <c r="E451" s="19" t="n"/>
      <c r="F451" s="19" t="n"/>
      <c r="G451" s="19" t="n"/>
      <c r="H451" s="19" t="n"/>
      <c r="I451" s="19" t="n"/>
      <c r="J451" s="19" t="n"/>
      <c r="K451" s="19" t="n"/>
      <c r="L451" s="19" t="n"/>
    </row>
    <row r="452">
      <c r="A452" s="19" t="n"/>
      <c r="B452" s="19" t="n"/>
      <c r="C452" s="19" t="n"/>
      <c r="D452" s="19" t="n"/>
      <c r="E452" s="19" t="n"/>
      <c r="F452" s="19" t="n"/>
      <c r="G452" s="19" t="n"/>
      <c r="H452" s="19" t="n"/>
      <c r="I452" s="19" t="n"/>
      <c r="J452" s="19" t="n"/>
      <c r="K452" s="19" t="n"/>
      <c r="L452" s="19" t="n"/>
    </row>
    <row r="453">
      <c r="A453" s="19" t="n"/>
      <c r="B453" s="19" t="n"/>
      <c r="C453" s="19" t="n"/>
      <c r="D453" s="19" t="n"/>
      <c r="E453" s="19" t="n"/>
      <c r="F453" s="19" t="n"/>
      <c r="G453" s="19" t="n"/>
      <c r="H453" s="19" t="n"/>
      <c r="I453" s="19" t="n"/>
      <c r="J453" s="19" t="n"/>
      <c r="K453" s="19" t="n"/>
      <c r="L453" s="19" t="n"/>
    </row>
    <row r="454">
      <c r="A454" s="19" t="n"/>
      <c r="B454" s="19" t="n"/>
      <c r="C454" s="19" t="n"/>
      <c r="D454" s="19" t="n"/>
      <c r="E454" s="19" t="n"/>
      <c r="F454" s="19" t="n"/>
      <c r="G454" s="19" t="n"/>
      <c r="H454" s="19" t="n"/>
      <c r="I454" s="19" t="n"/>
      <c r="J454" s="19" t="n"/>
      <c r="K454" s="19" t="n"/>
      <c r="L454" s="19" t="n"/>
    </row>
    <row r="455">
      <c r="A455" s="19" t="n"/>
      <c r="B455" s="19" t="n"/>
      <c r="C455" s="19" t="n"/>
      <c r="D455" s="19" t="n"/>
      <c r="E455" s="19" t="n"/>
      <c r="F455" s="19" t="n"/>
      <c r="G455" s="19" t="n"/>
      <c r="H455" s="19" t="n"/>
      <c r="I455" s="19" t="n"/>
      <c r="J455" s="19" t="n"/>
      <c r="K455" s="19" t="n"/>
      <c r="L455" s="19" t="n"/>
    </row>
    <row r="456">
      <c r="A456" s="19" t="n"/>
      <c r="B456" s="19" t="n"/>
      <c r="C456" s="19" t="n"/>
      <c r="D456" s="19" t="n"/>
      <c r="E456" s="19" t="n"/>
      <c r="F456" s="19" t="n"/>
      <c r="G456" s="19" t="n"/>
      <c r="H456" s="19" t="n"/>
      <c r="I456" s="19" t="n"/>
      <c r="J456" s="19" t="n"/>
      <c r="K456" s="19" t="n"/>
      <c r="L456" s="19" t="n"/>
    </row>
    <row r="457">
      <c r="A457" s="19" t="n"/>
      <c r="B457" s="19" t="n"/>
      <c r="C457" s="19" t="n"/>
      <c r="D457" s="19" t="n"/>
      <c r="E457" s="19" t="n"/>
      <c r="F457" s="19" t="n"/>
      <c r="G457" s="19" t="n"/>
      <c r="H457" s="19" t="n"/>
      <c r="I457" s="19" t="n"/>
      <c r="J457" s="19" t="n"/>
      <c r="K457" s="19" t="n"/>
      <c r="L457" s="19" t="n"/>
    </row>
    <row r="458">
      <c r="A458" s="19" t="n"/>
      <c r="B458" s="19" t="n"/>
      <c r="C458" s="19" t="n"/>
      <c r="D458" s="19" t="n"/>
      <c r="E458" s="19" t="n"/>
      <c r="F458" s="19" t="n"/>
      <c r="G458" s="19" t="n"/>
      <c r="H458" s="19" t="n"/>
      <c r="I458" s="19" t="n"/>
      <c r="J458" s="19" t="n"/>
      <c r="K458" s="19" t="n"/>
      <c r="L458" s="19" t="n"/>
    </row>
    <row r="459">
      <c r="A459" s="19" t="n"/>
      <c r="B459" s="19" t="n"/>
      <c r="C459" s="19" t="n"/>
      <c r="D459" s="19" t="n"/>
      <c r="E459" s="19" t="n"/>
      <c r="F459" s="19" t="n"/>
      <c r="G459" s="19" t="n"/>
      <c r="H459" s="19" t="n"/>
      <c r="I459" s="19" t="n"/>
      <c r="J459" s="19" t="n"/>
      <c r="K459" s="19" t="n"/>
      <c r="L459" s="19" t="n"/>
    </row>
    <row r="460">
      <c r="A460" s="19" t="n"/>
      <c r="B460" s="19" t="n"/>
      <c r="C460" s="19" t="n"/>
      <c r="D460" s="19" t="n"/>
      <c r="E460" s="19" t="n"/>
      <c r="F460" s="19" t="n"/>
      <c r="G460" s="19" t="n"/>
      <c r="H460" s="19" t="n"/>
      <c r="I460" s="19" t="n"/>
      <c r="J460" s="19" t="n"/>
      <c r="K460" s="19" t="n"/>
      <c r="L460" s="19" t="n"/>
    </row>
    <row r="461">
      <c r="A461" s="19" t="n"/>
      <c r="B461" s="19" t="n"/>
      <c r="C461" s="19" t="n"/>
      <c r="D461" s="19" t="n"/>
      <c r="E461" s="19" t="n"/>
      <c r="F461" s="19" t="n"/>
      <c r="G461" s="19" t="n"/>
      <c r="H461" s="19" t="n"/>
      <c r="I461" s="19" t="n"/>
      <c r="J461" s="19" t="n"/>
      <c r="K461" s="19" t="n"/>
      <c r="L461" s="19" t="n"/>
    </row>
    <row r="462">
      <c r="A462" s="19" t="n"/>
      <c r="B462" s="19" t="n"/>
      <c r="C462" s="19" t="n"/>
      <c r="D462" s="19" t="n"/>
      <c r="E462" s="19" t="n"/>
      <c r="F462" s="19" t="n"/>
      <c r="G462" s="19" t="n"/>
      <c r="H462" s="19" t="n"/>
      <c r="I462" s="19" t="n"/>
      <c r="J462" s="19" t="n"/>
      <c r="K462" s="19" t="n"/>
      <c r="L462" s="19" t="n"/>
    </row>
    <row r="463">
      <c r="A463" s="19" t="n"/>
      <c r="B463" s="19" t="n"/>
      <c r="C463" s="19" t="n"/>
      <c r="D463" s="19" t="n"/>
      <c r="E463" s="19" t="n"/>
      <c r="F463" s="19" t="n"/>
      <c r="G463" s="19" t="n"/>
      <c r="H463" s="19" t="n"/>
      <c r="I463" s="19" t="n"/>
      <c r="J463" s="19" t="n"/>
      <c r="K463" s="19" t="n"/>
      <c r="L463" s="19" t="n"/>
    </row>
    <row r="464">
      <c r="A464" s="19" t="n"/>
      <c r="B464" s="19" t="n"/>
      <c r="C464" s="19" t="n"/>
      <c r="D464" s="19" t="n"/>
      <c r="E464" s="19" t="n"/>
      <c r="F464" s="19" t="n"/>
      <c r="G464" s="19" t="n"/>
      <c r="H464" s="19" t="n"/>
      <c r="I464" s="19" t="n"/>
      <c r="J464" s="19" t="n"/>
      <c r="K464" s="19" t="n"/>
      <c r="L464" s="19" t="n"/>
    </row>
    <row r="465">
      <c r="A465" s="19" t="n"/>
      <c r="B465" s="19" t="n"/>
      <c r="C465" s="19" t="n"/>
      <c r="D465" s="19" t="n"/>
      <c r="E465" s="19" t="n"/>
      <c r="F465" s="19" t="n"/>
      <c r="G465" s="19" t="n"/>
      <c r="H465" s="19" t="n"/>
      <c r="I465" s="19" t="n"/>
      <c r="J465" s="19" t="n"/>
      <c r="K465" s="19" t="n"/>
      <c r="L465" s="19" t="n"/>
    </row>
    <row r="466">
      <c r="A466" s="19" t="n"/>
      <c r="B466" s="19" t="n"/>
      <c r="C466" s="19" t="n"/>
      <c r="D466" s="19" t="n"/>
      <c r="E466" s="19" t="n"/>
      <c r="F466" s="19" t="n"/>
      <c r="G466" s="19" t="n"/>
      <c r="H466" s="19" t="n"/>
      <c r="I466" s="19" t="n"/>
      <c r="J466" s="19" t="n"/>
      <c r="K466" s="19" t="n"/>
      <c r="L466" s="19" t="n"/>
    </row>
    <row r="467">
      <c r="A467" s="19" t="n"/>
      <c r="B467" s="19" t="n"/>
      <c r="C467" s="19" t="n"/>
      <c r="D467" s="19" t="n"/>
      <c r="E467" s="19" t="n"/>
      <c r="F467" s="19" t="n"/>
      <c r="G467" s="19" t="n"/>
      <c r="H467" s="19" t="n"/>
      <c r="I467" s="19" t="n"/>
      <c r="J467" s="19" t="n"/>
      <c r="K467" s="19" t="n"/>
      <c r="L467" s="19" t="n"/>
    </row>
    <row r="468">
      <c r="A468" s="19" t="n"/>
      <c r="B468" s="19" t="n"/>
      <c r="C468" s="19" t="n"/>
      <c r="D468" s="19" t="n"/>
      <c r="E468" s="19" t="n"/>
      <c r="F468" s="19" t="n"/>
      <c r="G468" s="19" t="n"/>
      <c r="H468" s="19" t="n"/>
      <c r="I468" s="19" t="n"/>
      <c r="J468" s="19" t="n"/>
      <c r="K468" s="19" t="n"/>
      <c r="L468" s="19" t="n"/>
    </row>
    <row r="469">
      <c r="A469" s="19" t="n"/>
      <c r="B469" s="19" t="n"/>
      <c r="C469" s="19" t="n"/>
      <c r="D469" s="19" t="n"/>
      <c r="E469" s="19" t="n"/>
      <c r="F469" s="19" t="n"/>
      <c r="G469" s="19" t="n"/>
      <c r="H469" s="19" t="n"/>
      <c r="I469" s="19" t="n"/>
      <c r="J469" s="19" t="n"/>
      <c r="K469" s="19" t="n"/>
      <c r="L469" s="19" t="n"/>
    </row>
    <row r="470">
      <c r="A470" s="19" t="n"/>
      <c r="B470" s="19" t="n"/>
      <c r="C470" s="19" t="n"/>
      <c r="D470" s="19" t="n"/>
      <c r="E470" s="19" t="n"/>
      <c r="F470" s="19" t="n"/>
      <c r="G470" s="19" t="n"/>
      <c r="H470" s="19" t="n"/>
      <c r="I470" s="19" t="n"/>
      <c r="J470" s="19" t="n"/>
      <c r="K470" s="19" t="n"/>
      <c r="L470" s="19" t="n"/>
    </row>
    <row r="471">
      <c r="A471" s="19" t="n"/>
      <c r="B471" s="19" t="n"/>
      <c r="C471" s="19" t="n"/>
      <c r="D471" s="19" t="n"/>
      <c r="E471" s="19" t="n"/>
      <c r="F471" s="19" t="n"/>
      <c r="G471" s="19" t="n"/>
      <c r="H471" s="19" t="n"/>
      <c r="I471" s="19" t="n"/>
      <c r="J471" s="19" t="n"/>
      <c r="K471" s="19" t="n"/>
      <c r="L471" s="19" t="n"/>
    </row>
    <row r="472">
      <c r="A472" s="19" t="n"/>
      <c r="B472" s="19" t="n"/>
      <c r="C472" s="19" t="n"/>
      <c r="D472" s="19" t="n"/>
      <c r="E472" s="19" t="n"/>
      <c r="F472" s="19" t="n"/>
      <c r="G472" s="19" t="n"/>
      <c r="H472" s="19" t="n"/>
      <c r="I472" s="19" t="n"/>
      <c r="J472" s="19" t="n"/>
      <c r="K472" s="19" t="n"/>
      <c r="L472" s="19" t="n"/>
    </row>
    <row r="473">
      <c r="A473" s="19" t="n"/>
      <c r="B473" s="19" t="n"/>
      <c r="C473" s="19" t="n"/>
      <c r="D473" s="19" t="n"/>
      <c r="E473" s="19" t="n"/>
      <c r="F473" s="19" t="n"/>
      <c r="G473" s="19" t="n"/>
      <c r="H473" s="19" t="n"/>
      <c r="I473" s="19" t="n"/>
      <c r="J473" s="19" t="n"/>
      <c r="K473" s="19" t="n"/>
      <c r="L473" s="19" t="n"/>
    </row>
    <row r="474">
      <c r="A474" s="19" t="n"/>
      <c r="B474" s="19" t="n"/>
      <c r="C474" s="19" t="n"/>
      <c r="D474" s="19" t="n"/>
      <c r="E474" s="19" t="n"/>
      <c r="F474" s="19" t="n"/>
      <c r="G474" s="19" t="n"/>
      <c r="H474" s="19" t="n"/>
      <c r="I474" s="19" t="n"/>
      <c r="J474" s="19" t="n"/>
      <c r="K474" s="19" t="n"/>
      <c r="L474" s="19" t="n"/>
    </row>
    <row r="475">
      <c r="A475" s="19" t="n"/>
      <c r="B475" s="19" t="n"/>
      <c r="C475" s="19" t="n"/>
      <c r="D475" s="19" t="n"/>
      <c r="E475" s="19" t="n"/>
      <c r="F475" s="19" t="n"/>
      <c r="G475" s="19" t="n"/>
      <c r="H475" s="19" t="n"/>
      <c r="I475" s="19" t="n"/>
      <c r="J475" s="19" t="n"/>
      <c r="K475" s="19" t="n"/>
      <c r="L475" s="19" t="n"/>
    </row>
    <row r="476">
      <c r="A476" s="19" t="n"/>
      <c r="B476" s="19" t="n"/>
      <c r="C476" s="19" t="n"/>
      <c r="D476" s="19" t="n"/>
      <c r="E476" s="19" t="n"/>
      <c r="F476" s="19" t="n"/>
      <c r="G476" s="19" t="n"/>
      <c r="H476" s="19" t="n"/>
      <c r="I476" s="19" t="n"/>
      <c r="J476" s="19" t="n"/>
      <c r="K476" s="19" t="n"/>
      <c r="L476" s="19" t="n"/>
    </row>
    <row r="477">
      <c r="A477" s="19" t="n"/>
      <c r="B477" s="19" t="n"/>
      <c r="C477" s="19" t="n"/>
      <c r="D477" s="19" t="n"/>
      <c r="E477" s="19" t="n"/>
      <c r="F477" s="19" t="n"/>
      <c r="G477" s="19" t="n"/>
      <c r="H477" s="19" t="n"/>
      <c r="I477" s="19" t="n"/>
      <c r="J477" s="19" t="n"/>
      <c r="K477" s="19" t="n"/>
      <c r="L477" s="19" t="n"/>
    </row>
    <row r="478">
      <c r="A478" s="19" t="n"/>
      <c r="B478" s="19" t="n"/>
      <c r="C478" s="19" t="n"/>
      <c r="D478" s="19" t="n"/>
      <c r="E478" s="19" t="n"/>
      <c r="F478" s="19" t="n"/>
      <c r="G478" s="19" t="n"/>
      <c r="H478" s="19" t="n"/>
      <c r="I478" s="19" t="n"/>
      <c r="J478" s="19" t="n"/>
      <c r="K478" s="19" t="n"/>
      <c r="L478" s="19" t="n"/>
    </row>
    <row r="479">
      <c r="A479" s="19" t="n"/>
      <c r="B479" s="19" t="n"/>
      <c r="C479" s="19" t="n"/>
      <c r="D479" s="19" t="n"/>
      <c r="E479" s="19" t="n"/>
      <c r="F479" s="19" t="n"/>
      <c r="G479" s="19" t="n"/>
      <c r="H479" s="19" t="n"/>
      <c r="I479" s="19" t="n"/>
      <c r="J479" s="19" t="n"/>
      <c r="K479" s="19" t="n"/>
      <c r="L479" s="19" t="n"/>
    </row>
    <row r="480">
      <c r="A480" s="19" t="n"/>
      <c r="B480" s="19" t="n"/>
      <c r="C480" s="19" t="n"/>
      <c r="D480" s="19" t="n"/>
      <c r="E480" s="19" t="n"/>
      <c r="F480" s="19" t="n"/>
      <c r="G480" s="19" t="n"/>
      <c r="H480" s="19" t="n"/>
      <c r="I480" s="19" t="n"/>
      <c r="J480" s="19" t="n"/>
      <c r="K480" s="19" t="n"/>
      <c r="L480" s="19" t="n"/>
    </row>
    <row r="481">
      <c r="A481" s="19" t="n"/>
      <c r="B481" s="19" t="n"/>
      <c r="C481" s="19" t="n"/>
      <c r="D481" s="19" t="n"/>
      <c r="E481" s="19" t="n"/>
      <c r="F481" s="19" t="n"/>
      <c r="G481" s="19" t="n"/>
      <c r="H481" s="19" t="n"/>
      <c r="I481" s="19" t="n"/>
      <c r="J481" s="19" t="n"/>
      <c r="K481" s="19" t="n"/>
      <c r="L481" s="19" t="n"/>
    </row>
    <row r="482">
      <c r="A482" s="19" t="n"/>
      <c r="B482" s="19" t="n"/>
      <c r="C482" s="19" t="n"/>
      <c r="D482" s="19" t="n"/>
      <c r="E482" s="19" t="n"/>
      <c r="F482" s="19" t="n"/>
      <c r="G482" s="19" t="n"/>
      <c r="H482" s="19" t="n"/>
      <c r="I482" s="19" t="n"/>
      <c r="J482" s="19" t="n"/>
      <c r="K482" s="19" t="n"/>
      <c r="L482" s="19" t="n"/>
    </row>
    <row r="483">
      <c r="A483" s="19" t="n"/>
      <c r="B483" s="19" t="n"/>
      <c r="C483" s="19" t="n"/>
      <c r="D483" s="19" t="n"/>
      <c r="E483" s="19" t="n"/>
      <c r="F483" s="19" t="n"/>
      <c r="G483" s="19" t="n"/>
      <c r="H483" s="19" t="n"/>
      <c r="I483" s="19" t="n"/>
      <c r="J483" s="19" t="n"/>
      <c r="K483" s="19" t="n"/>
      <c r="L483" s="19" t="n"/>
    </row>
    <row r="484">
      <c r="A484" s="19" t="n"/>
      <c r="B484" s="19" t="n"/>
      <c r="C484" s="19" t="n"/>
      <c r="D484" s="19" t="n"/>
      <c r="E484" s="19" t="n"/>
      <c r="F484" s="19" t="n"/>
      <c r="G484" s="19" t="n"/>
      <c r="H484" s="19" t="n"/>
      <c r="I484" s="19" t="n"/>
      <c r="J484" s="19" t="n"/>
      <c r="K484" s="19" t="n"/>
      <c r="L484" s="19" t="n"/>
    </row>
    <row r="485">
      <c r="A485" s="19" t="n"/>
      <c r="B485" s="19" t="n"/>
      <c r="C485" s="19" t="n"/>
      <c r="D485" s="19" t="n"/>
      <c r="E485" s="19" t="n"/>
      <c r="F485" s="19" t="n"/>
      <c r="G485" s="19" t="n"/>
      <c r="H485" s="19" t="n"/>
      <c r="I485" s="19" t="n"/>
      <c r="J485" s="19" t="n"/>
      <c r="K485" s="19" t="n"/>
      <c r="L485" s="19" t="n"/>
    </row>
    <row r="486">
      <c r="A486" s="19" t="n"/>
      <c r="B486" s="19" t="n"/>
      <c r="C486" s="19" t="n"/>
      <c r="D486" s="19" t="n"/>
      <c r="E486" s="19" t="n"/>
      <c r="F486" s="19" t="n"/>
      <c r="G486" s="19" t="n"/>
      <c r="H486" s="19" t="n"/>
      <c r="I486" s="19" t="n"/>
      <c r="J486" s="19" t="n"/>
      <c r="K486" s="19" t="n"/>
      <c r="L486" s="19" t="n"/>
    </row>
    <row r="487">
      <c r="A487" s="19" t="n"/>
      <c r="B487" s="19" t="n"/>
      <c r="C487" s="19" t="n"/>
      <c r="D487" s="19" t="n"/>
      <c r="E487" s="19" t="n"/>
      <c r="F487" s="19" t="n"/>
      <c r="G487" s="19" t="n"/>
      <c r="H487" s="19" t="n"/>
      <c r="I487" s="19" t="n"/>
      <c r="J487" s="19" t="n"/>
      <c r="K487" s="19" t="n"/>
      <c r="L487" s="19" t="n"/>
    </row>
    <row r="488">
      <c r="A488" s="19" t="n"/>
      <c r="B488" s="19" t="n"/>
      <c r="C488" s="19" t="n"/>
      <c r="D488" s="19" t="n"/>
      <c r="E488" s="19" t="n"/>
      <c r="F488" s="19" t="n"/>
      <c r="G488" s="19" t="n"/>
      <c r="H488" s="19" t="n"/>
      <c r="I488" s="19" t="n"/>
      <c r="J488" s="19" t="n"/>
      <c r="K488" s="19" t="n"/>
      <c r="L488" s="19" t="n"/>
    </row>
    <row r="489">
      <c r="A489" s="19" t="n"/>
      <c r="B489" s="19" t="n"/>
      <c r="C489" s="19" t="n"/>
      <c r="D489" s="19" t="n"/>
      <c r="E489" s="19" t="n"/>
      <c r="F489" s="19" t="n"/>
      <c r="G489" s="19" t="n"/>
      <c r="H489" s="19" t="n"/>
      <c r="I489" s="19" t="n"/>
      <c r="J489" s="19" t="n"/>
      <c r="K489" s="19" t="n"/>
      <c r="L489" s="19" t="n"/>
    </row>
    <row r="490">
      <c r="A490" s="19" t="n"/>
      <c r="B490" s="19" t="n"/>
      <c r="C490" s="19" t="n"/>
      <c r="D490" s="19" t="n"/>
      <c r="E490" s="19" t="n"/>
      <c r="F490" s="19" t="n"/>
      <c r="G490" s="19" t="n"/>
      <c r="H490" s="19" t="n"/>
      <c r="I490" s="19" t="n"/>
      <c r="J490" s="19" t="n"/>
      <c r="K490" s="19" t="n"/>
      <c r="L490" s="19" t="n"/>
    </row>
    <row r="491">
      <c r="A491" s="19" t="n"/>
      <c r="B491" s="19" t="n"/>
      <c r="C491" s="19" t="n"/>
      <c r="D491" s="19" t="n"/>
      <c r="E491" s="19" t="n"/>
      <c r="F491" s="19" t="n"/>
      <c r="G491" s="19" t="n"/>
      <c r="H491" s="19" t="n"/>
      <c r="I491" s="19" t="n"/>
      <c r="J491" s="19" t="n"/>
      <c r="K491" s="19" t="n"/>
      <c r="L491" s="19" t="n"/>
    </row>
    <row r="492">
      <c r="A492" s="19" t="n"/>
      <c r="B492" s="19" t="n"/>
      <c r="C492" s="19" t="n"/>
      <c r="D492" s="19" t="n"/>
      <c r="E492" s="19" t="n"/>
      <c r="F492" s="19" t="n"/>
      <c r="G492" s="19" t="n"/>
      <c r="H492" s="19" t="n"/>
      <c r="I492" s="19" t="n"/>
      <c r="J492" s="19" t="n"/>
      <c r="K492" s="19" t="n"/>
      <c r="L492" s="19" t="n"/>
    </row>
    <row r="493">
      <c r="A493" s="19" t="n"/>
      <c r="B493" s="19" t="n"/>
      <c r="C493" s="19" t="n"/>
      <c r="D493" s="19" t="n"/>
      <c r="E493" s="19" t="n"/>
      <c r="F493" s="19" t="n"/>
      <c r="G493" s="19" t="n"/>
      <c r="H493" s="19" t="n"/>
      <c r="I493" s="19" t="n"/>
      <c r="J493" s="19" t="n"/>
      <c r="K493" s="19" t="n"/>
      <c r="L493" s="19" t="n"/>
    </row>
    <row r="494">
      <c r="A494" s="19" t="n"/>
      <c r="B494" s="19" t="n"/>
      <c r="C494" s="19" t="n"/>
      <c r="D494" s="19" t="n"/>
      <c r="E494" s="19" t="n"/>
      <c r="F494" s="19" t="n"/>
      <c r="G494" s="19" t="n"/>
      <c r="H494" s="19" t="n"/>
      <c r="I494" s="19" t="n"/>
      <c r="J494" s="19" t="n"/>
      <c r="K494" s="19" t="n"/>
      <c r="L494" s="19" t="n"/>
    </row>
    <row r="495">
      <c r="A495" s="19" t="n"/>
      <c r="B495" s="19" t="n"/>
      <c r="C495" s="19" t="n"/>
      <c r="D495" s="19" t="n"/>
      <c r="E495" s="19" t="n"/>
      <c r="F495" s="19" t="n"/>
      <c r="G495" s="19" t="n"/>
      <c r="H495" s="19" t="n"/>
      <c r="I495" s="19" t="n"/>
      <c r="J495" s="19" t="n"/>
      <c r="K495" s="19" t="n"/>
      <c r="L495" s="19" t="n"/>
    </row>
    <row r="496">
      <c r="A496" s="19" t="n"/>
      <c r="B496" s="19" t="n"/>
      <c r="C496" s="19" t="n"/>
      <c r="D496" s="19" t="n"/>
      <c r="E496" s="19" t="n"/>
      <c r="F496" s="19" t="n"/>
      <c r="G496" s="19" t="n"/>
      <c r="H496" s="19" t="n"/>
      <c r="I496" s="19" t="n"/>
      <c r="J496" s="19" t="n"/>
      <c r="K496" s="19" t="n"/>
      <c r="L496" s="19" t="n"/>
    </row>
    <row r="497">
      <c r="A497" s="19" t="n"/>
      <c r="B497" s="19" t="n"/>
      <c r="C497" s="19" t="n"/>
      <c r="D497" s="19" t="n"/>
      <c r="E497" s="19" t="n"/>
      <c r="F497" s="19" t="n"/>
      <c r="G497" s="19" t="n"/>
      <c r="H497" s="19" t="n"/>
      <c r="I497" s="19" t="n"/>
      <c r="J497" s="19" t="n"/>
      <c r="K497" s="19" t="n"/>
      <c r="L497" s="19" t="n"/>
    </row>
    <row r="498">
      <c r="A498" s="19" t="n"/>
      <c r="B498" s="19" t="n"/>
      <c r="C498" s="19" t="n"/>
      <c r="D498" s="19" t="n"/>
      <c r="E498" s="19" t="n"/>
      <c r="F498" s="19" t="n"/>
      <c r="G498" s="19" t="n"/>
      <c r="H498" s="19" t="n"/>
      <c r="I498" s="19" t="n"/>
      <c r="J498" s="19" t="n"/>
      <c r="K498" s="19" t="n"/>
      <c r="L498" s="19" t="n"/>
    </row>
    <row r="499">
      <c r="A499" s="19" t="n"/>
      <c r="B499" s="19" t="n"/>
      <c r="C499" s="19" t="n"/>
      <c r="D499" s="19" t="n"/>
      <c r="E499" s="19" t="n"/>
      <c r="F499" s="19" t="n"/>
      <c r="G499" s="19" t="n"/>
      <c r="H499" s="19" t="n"/>
      <c r="I499" s="19" t="n"/>
      <c r="J499" s="19" t="n"/>
      <c r="K499" s="19" t="n"/>
      <c r="L499" s="19" t="n"/>
    </row>
    <row r="500">
      <c r="A500" s="19" t="n"/>
      <c r="B500" s="19" t="n"/>
      <c r="C500" s="19" t="n"/>
      <c r="D500" s="19" t="n"/>
      <c r="E500" s="19" t="n"/>
      <c r="F500" s="19" t="n"/>
      <c r="G500" s="19" t="n"/>
      <c r="H500" s="19" t="n"/>
      <c r="I500" s="19" t="n"/>
      <c r="J500" s="19" t="n"/>
      <c r="K500" s="19" t="n"/>
      <c r="L500" s="19" t="n"/>
    </row>
  </sheetData>
  <sheetProtection selectLockedCells="0" selectUnlockedCells="0" sheet="1" objects="0" insertRows="1" insertHyperlinks="1" autoFilter="1" scenarios="0" formatColumns="1" deleteColumns="1" insertColumns="1" pivotTables="1" deleteRows="1" formatCells="1" formatRows="1" sort="1"/>
  <mergeCells count="1">
    <mergeCell ref="A6:L6"/>
  </mergeCells>
  <hyperlinks>
    <hyperlink xmlns:r="http://schemas.openxmlformats.org/officeDocument/2006/relationships" ref="A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2026-08-06T06:44:22Z</dcterms:modified>
</cp:coreProperties>
</file>