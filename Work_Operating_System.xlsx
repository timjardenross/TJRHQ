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s" sheetId="1" state="visible" r:id="rId1"/>
    <sheet name="Home" sheetId="2" state="visible" r:id="rId2"/>
    <sheet name="New Mission" sheetId="3" state="visible" r:id="rId3"/>
    <sheet name="Work Register" sheetId="4" state="visible" r:id="rId4"/>
    <sheet name="Missions" sheetId="5" state="visible" r:id="rId5"/>
    <sheet name="Task Finder" sheetId="6" state="visible" r:id="rId6"/>
    <sheet name="Today" sheetId="7" state="visible" r:id="rId7"/>
    <sheet name="Current Focus" sheetId="8" state="visible" r:id="rId8"/>
    <sheet name="Weekly Review" sheetId="9" state="visible" r:id="rId9"/>
    <sheet name="Archive" sheetId="10" state="visible" r:id="rId10"/>
  </sheets>
  <definedNames>
    <definedName name="StatusList">Lists!$A$2:$A$8</definedName>
    <definedName name="PriorityList">Lists!$C$2:$C$4</definedName>
    <definedName name="EnergyList">Lists!$E$2:$E$6</definedName>
    <definedName name="TimeList">Lists!$G$2:$G$6</definedName>
    <definedName name="PriorityWeights">Lists!$L$2:$M$4</definedName>
    <definedName name="TimeMinutes">Lists!$N$2:$O$6</definedName>
    <definedName name="FocusThemes">Lists!$P$2:$Q$6</definedName>
    <definedName name="FilterOptions">'Task Finder'!$T$1:$T$10</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52">
    <font>
      <name val="Calibri"/>
      <family val="2"/>
      <color theme="1"/>
      <sz val="11"/>
      <scheme val="minor"/>
    </font>
    <font>
      <name val="Calibri"/>
      <b val="1"/>
      <sz val="11"/>
    </font>
    <font>
      <name val="Calibri"/>
      <b val="1"/>
      <color rgb="FF4472C4"/>
      <sz val="18"/>
    </font>
    <font>
      <name val="Calibri"/>
      <b val="1"/>
      <color rgb="FFFFFFFF"/>
      <sz val="11"/>
    </font>
    <font>
      <b val="1"/>
      <sz val="14"/>
    </font>
    <font>
      <name val="Calibri"/>
      <b val="1"/>
      <color rgb="FF4472C4"/>
      <sz val="14"/>
    </font>
    <font>
      <name val="Calibri"/>
      <b val="1"/>
      <color rgb="FFFFFFFF"/>
      <sz val="10"/>
    </font>
    <font>
      <name val="Calibri"/>
      <sz val="10"/>
    </font>
    <font>
      <name val="Calibri"/>
      <i val="1"/>
      <color rgb="FF808080"/>
      <sz val="11"/>
    </font>
    <font>
      <b val="1"/>
      <sz val="10"/>
    </font>
    <font>
      <i val="1"/>
      <color rgb="FF808080"/>
      <sz val="9"/>
    </font>
    <font>
      <b val="1"/>
      <sz val="11"/>
    </font>
    <font>
      <b val="1"/>
      <sz val="9"/>
    </font>
    <font>
      <i val="1"/>
      <sz val="9"/>
    </font>
    <font>
      <name val="Calibri"/>
      <i val="1"/>
      <color rgb="FF808080"/>
      <sz val="9"/>
    </font>
    <font>
      <name val="Calibri"/>
      <sz val="11"/>
    </font>
    <font>
      <name val="Calibri"/>
      <i val="1"/>
      <color rgb="FFBFBFBF"/>
      <sz val="8"/>
    </font>
    <font>
      <name val="Calibri"/>
      <b val="1"/>
      <sz val="12"/>
    </font>
    <font>
      <name val="Calibri"/>
      <b val="1"/>
      <color rgb="FF4472C4"/>
      <sz val="12"/>
    </font>
    <font>
      <name val="Calibri"/>
      <b val="1"/>
      <sz val="14"/>
    </font>
    <font>
      <name val="Calibri"/>
      <b val="1"/>
    </font>
    <font>
      <name val="Calibri"/>
      <i val="1"/>
      <color rgb="FF595959"/>
      <sz val="9"/>
    </font>
    <font>
      <name val="Calibri"/>
      <b val="1"/>
      <color rgb="FFFFFFFF"/>
      <sz val="9"/>
    </font>
    <font>
      <name val="Calibri"/>
      <b val="1"/>
      <sz val="13"/>
    </font>
    <font>
      <name val="Calibri"/>
      <i val="1"/>
      <color rgb="FF595959"/>
      <sz val="10"/>
    </font>
    <font>
      <name val="Calibri"/>
      <b val="1"/>
      <color rgb="FF4472C4"/>
      <sz val="10"/>
    </font>
    <font>
      <name val="Calibri"/>
      <i val="1"/>
      <color rgb="FF808080"/>
      <sz val="8"/>
    </font>
    <font>
      <name val="Calibri"/>
      <b val="1"/>
      <color rgb="FF4472C4"/>
      <sz val="11"/>
    </font>
    <font>
      <name val="Calibri"/>
      <i val="1"/>
      <color rgb="FF808080"/>
      <sz val="8"/>
    </font>
    <font>
      <name val="Calibri"/>
      <b val="1"/>
      <color rgb="FFFFFFFF"/>
      <sz val="11"/>
    </font>
    <font>
      <name val="Calibri"/>
      <i val="1"/>
      <color rgb="FF808080"/>
      <sz val="9"/>
    </font>
    <font>
      <name val="Calibri"/>
      <b val="1"/>
      <color rgb="FF9C5700"/>
      <sz val="10"/>
    </font>
    <font>
      <name val="Calibri"/>
      <b val="1"/>
      <color rgb="FF4472C4"/>
      <sz val="14"/>
    </font>
    <font>
      <name val="Calibri"/>
      <b val="1"/>
      <color rgb="FFFFFFFF"/>
      <sz val="10"/>
    </font>
    <font>
      <name val="Calibri"/>
      <b val="1"/>
      <color rgb="FF4472C4"/>
      <sz val="11"/>
    </font>
    <font>
      <name val="Calibri"/>
      <i val="1"/>
      <color rgb="FF595959"/>
      <sz val="10"/>
    </font>
    <font>
      <name val="Calibri"/>
      <i val="1"/>
      <color rgb="FFBFBFBF"/>
      <sz val="8"/>
    </font>
    <font>
      <name val="Calibri"/>
      <b val="1"/>
      <color rgb="FF4472C4"/>
      <sz val="12"/>
    </font>
    <font>
      <name val="Calibri"/>
      <i val="1"/>
      <color rgb="FF595959"/>
      <sz val="9"/>
    </font>
    <font>
      <name val="Calibri"/>
      <b val="1"/>
      <color rgb="FFFFFFFF"/>
      <sz val="9"/>
    </font>
    <font>
      <name val="Calibri"/>
      <color rgb="FF595959"/>
      <sz val="9"/>
    </font>
    <font>
      <name val="Calibri"/>
      <b val="1"/>
      <color rgb="FFFFFFFF"/>
      <sz val="11"/>
    </font>
    <font>
      <name val="Calibri"/>
      <b val="1"/>
      <color rgb="FF4472C4"/>
      <sz val="14"/>
    </font>
    <font>
      <name val="Calibri"/>
      <i val="1"/>
      <color rgb="FF808080"/>
      <sz val="9"/>
    </font>
    <font>
      <name val="Calibri"/>
      <b val="1"/>
      <i val="1"/>
      <color rgb="FF9C5700"/>
      <sz val="9"/>
    </font>
    <font>
      <name val="Calibri"/>
      <i val="1"/>
      <color rgb="FF9C5700"/>
      <sz val="9"/>
    </font>
    <font>
      <name val="Calibri"/>
      <b val="1"/>
      <color rgb="FFFFFFFF"/>
      <sz val="11"/>
    </font>
    <font>
      <name val="Calibri"/>
      <i val="1"/>
      <color rgb="FFBFBFBF"/>
      <sz val="8"/>
    </font>
    <font>
      <name val="Calibri"/>
      <b val="1"/>
      <color rgb="FF4472C4"/>
      <sz val="14"/>
    </font>
    <font>
      <name val="Calibri"/>
      <i val="1"/>
      <color rgb="FF808080"/>
      <sz val="9"/>
    </font>
    <font>
      <name val="Calibri"/>
      <b val="1"/>
      <color rgb="FFFFFFFF"/>
      <sz val="11"/>
    </font>
    <font>
      <name val="Calibri"/>
      <i val="1"/>
      <color rgb="FFBFBFBF"/>
      <sz val="8"/>
    </font>
  </fonts>
  <fills count="9">
    <fill>
      <patternFill/>
    </fill>
    <fill>
      <patternFill patternType="gray125"/>
    </fill>
    <fill>
      <patternFill patternType="solid">
        <fgColor rgb="FF4472C4"/>
        <bgColor rgb="FF4472C4"/>
      </patternFill>
    </fill>
    <fill>
      <patternFill patternType="solid">
        <fgColor rgb="FFF2F2F2"/>
        <bgColor rgb="FFF2F2F2"/>
      </patternFill>
    </fill>
    <fill>
      <patternFill patternType="solid">
        <fgColor rgb="FF4472C4"/>
        <bgColor rgb="FF4472C4"/>
      </patternFill>
    </fill>
    <fill>
      <patternFill patternType="solid">
        <fgColor rgb="FFF2F2F2"/>
        <bgColor rgb="FFF2F2F2"/>
      </patternFill>
    </fill>
    <fill>
      <patternFill patternType="solid">
        <fgColor rgb="FF4472C4"/>
        <bgColor rgb="FF4472C4"/>
      </patternFill>
    </fill>
    <fill>
      <patternFill patternType="solid">
        <fgColor rgb="FF4472C4"/>
        <bgColor rgb="FF4472C4"/>
      </patternFill>
    </fill>
    <fill>
      <patternFill patternType="solid">
        <fgColor rgb="FF4472C4"/>
        <bgColor rgb="FF4472C4"/>
      </patternFill>
    </fill>
  </fills>
  <borders count="16">
    <border>
      <left/>
      <right/>
      <top/>
      <bottom/>
      <diagonal/>
    </border>
    <border>
      <left style="thin">
        <color rgb="FFD3D3D3"/>
      </left>
      <right style="thin">
        <color rgb="FFD3D3D3"/>
      </right>
      <top style="thin">
        <color rgb="FFD3D3D3"/>
      </top>
      <bottom style="thin">
        <color rgb="FFD3D3D3"/>
      </bottom>
    </border>
    <border>
      <left/>
      <right/>
      <top style="thin">
        <color rgb="FFD3D3D3"/>
      </top>
      <bottom/>
      <diagonal/>
    </border>
    <border>
      <left/>
      <right style="thin">
        <color rgb="FFD3D3D3"/>
      </right>
      <top style="thin">
        <color rgb="FFD3D3D3"/>
      </top>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border>
      <right/>
      <bottom/>
    </border>
    <border>
      <left style="thin">
        <color rgb="FFD3D3D3"/>
      </left>
      <right style="thin">
        <color rgb="FFD3D3D3"/>
      </right>
      <top style="thin">
        <color rgb="FFD3D3D3"/>
      </top>
      <bottom style="thin">
        <color rgb="FFD3D3D3"/>
      </bottom>
    </border>
    <border>
      <left/>
      <right/>
      <top style="thin">
        <color rgb="FFD3D3D3"/>
      </top>
      <bottom/>
      <diagonal/>
    </border>
    <border>
      <left/>
      <right style="thin">
        <color rgb="FFD3D3D3"/>
      </right>
      <top style="thin">
        <color rgb="FFD3D3D3"/>
      </top>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s>
  <cellStyleXfs count="1">
    <xf numFmtId="0" fontId="0" fillId="0" borderId="0"/>
  </cellStyleXfs>
  <cellXfs count="17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1" fillId="3" borderId="0" pivotButton="0" quotePrefix="0" xfId="0"/>
    <xf numFmtId="0" fontId="0" fillId="0" borderId="1" pivotButton="0" quotePrefix="0" xfId="0"/>
    <xf numFmtId="0" fontId="0" fillId="0" borderId="4" pivotButton="0" quotePrefix="0" xfId="0"/>
    <xf numFmtId="0" fontId="0" fillId="0" borderId="5" pivotButton="0" quotePrefix="0" xfId="0"/>
    <xf numFmtId="0" fontId="1" fillId="3" borderId="1" pivotButton="0" quotePrefix="0" xfId="0"/>
    <xf numFmtId="0" fontId="4" fillId="0" borderId="1" applyAlignment="1" pivotButton="0" quotePrefix="0" xfId="0">
      <alignment horizontal="center"/>
    </xf>
    <xf numFmtId="0" fontId="5" fillId="0" borderId="0" pivotButton="0" quotePrefix="0" xfId="0"/>
    <xf numFmtId="0" fontId="6" fillId="2" borderId="0" applyAlignment="1" pivotButton="0" quotePrefix="0" xfId="0">
      <alignment horizontal="center" vertical="center"/>
    </xf>
    <xf numFmtId="0" fontId="0" fillId="0"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xf>
    <xf numFmtId="0" fontId="7" fillId="0" borderId="0" applyAlignment="1" pivotButton="0" quotePrefix="0" xfId="0">
      <alignment horizontal="center"/>
    </xf>
    <xf numFmtId="0" fontId="0" fillId="0" borderId="1" applyAlignment="1" applyProtection="1" pivotButton="0" quotePrefix="0" xfId="0">
      <alignment horizontal="left" vertical="top" wrapText="1"/>
      <protection locked="0" hidden="0"/>
    </xf>
    <xf numFmtId="0" fontId="3" fillId="2" borderId="0" applyAlignment="1" pivotButton="0" quotePrefix="0" xfId="0">
      <alignment horizontal="center" vertical="center" wrapText="1"/>
    </xf>
    <xf numFmtId="0" fontId="0" fillId="0" borderId="1" applyAlignment="1" applyProtection="1" pivotButton="0" quotePrefix="0" xfId="0">
      <alignment horizontal="center"/>
      <protection locked="0" hidden="0"/>
    </xf>
    <xf numFmtId="164" fontId="0" fillId="0" borderId="1"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8"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7" fillId="0" borderId="0" pivotButton="0" quotePrefix="0" xfId="0"/>
    <xf numFmtId="0" fontId="0" fillId="0" borderId="4" applyProtection="1" pivotButton="0" quotePrefix="0" xfId="0">
      <protection locked="0" hidden="0"/>
    </xf>
    <xf numFmtId="0" fontId="0" fillId="0" borderId="5" applyProtection="1" pivotButton="0" quotePrefix="0" xfId="0">
      <protection locked="0" hidden="0"/>
    </xf>
    <xf numFmtId="0" fontId="10" fillId="0" borderId="0" pivotButton="0" quotePrefix="0" xfId="0"/>
    <xf numFmtId="0" fontId="9" fillId="0" borderId="0" pivotButton="0" quotePrefix="0" xfId="0"/>
    <xf numFmtId="0" fontId="1" fillId="3" borderId="1" applyAlignment="1" pivotButton="0" quotePrefix="0" xfId="0">
      <alignment horizontal="center"/>
    </xf>
    <xf numFmtId="0" fontId="0"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10" fillId="0" borderId="0" applyProtection="1" pivotButton="0" quotePrefix="0" xfId="0">
      <protection locked="0" hidden="0"/>
    </xf>
    <xf numFmtId="0" fontId="14" fillId="0" borderId="0" pivotButton="0" quotePrefix="0" xfId="0"/>
    <xf numFmtId="165" fontId="0" fillId="0" borderId="1" applyProtection="1" pivotButton="0" quotePrefix="0" xfId="0">
      <protection locked="0" hidden="0"/>
    </xf>
    <xf numFmtId="0" fontId="0" fillId="0" borderId="1" applyProtection="1" pivotButton="0" quotePrefix="0" xfId="0">
      <protection locked="0" hidden="0"/>
    </xf>
    <xf numFmtId="0" fontId="0" fillId="0" borderId="1" applyAlignment="1" pivotButton="0" quotePrefix="0" xfId="0">
      <alignment horizontal="center"/>
    </xf>
    <xf numFmtId="165" fontId="0" fillId="0" borderId="1" applyAlignment="1" pivotButton="0" quotePrefix="0" xfId="0">
      <alignment horizontal="center"/>
    </xf>
    <xf numFmtId="0" fontId="16" fillId="0" borderId="0" pivotButton="0" quotePrefix="0" xfId="0"/>
    <xf numFmtId="0" fontId="15" fillId="0" borderId="6" pivotButton="0" quotePrefix="0" xfId="0"/>
    <xf numFmtId="0" fontId="5" fillId="0" borderId="6" pivotButton="0" quotePrefix="0" xfId="0"/>
    <xf numFmtId="0" fontId="15" fillId="0" borderId="1" applyAlignment="1" pivotButton="0" quotePrefix="0" xfId="0">
      <alignment horizontal="center"/>
    </xf>
    <xf numFmtId="0" fontId="15" fillId="0" borderId="1" applyAlignment="1" pivotButton="0" quotePrefix="0" xfId="0">
      <alignment horizontal="left" vertical="center" wrapText="1"/>
    </xf>
    <xf numFmtId="0" fontId="17" fillId="3" borderId="1" pivotButton="0" quotePrefix="0" xfId="0"/>
    <xf numFmtId="0" fontId="18" fillId="0" borderId="1" applyAlignment="1" pivotButton="0" quotePrefix="0" xfId="0">
      <alignment horizontal="left" vertical="center" wrapText="1"/>
    </xf>
    <xf numFmtId="0" fontId="1" fillId="3" borderId="1" applyAlignment="1" pivotButton="0" quotePrefix="0" xfId="0">
      <alignment horizontal="center" wrapText="1"/>
    </xf>
    <xf numFmtId="0" fontId="19" fillId="0" borderId="1" applyAlignment="1" pivotButton="0" quotePrefix="0" xfId="0">
      <alignment horizontal="center"/>
    </xf>
    <xf numFmtId="0" fontId="15" fillId="0" borderId="1" pivotButton="0" quotePrefix="0" xfId="0"/>
    <xf numFmtId="9" fontId="15" fillId="0" borderId="1" applyAlignment="1" pivotButton="0" quotePrefix="0" xfId="0">
      <alignment horizontal="center"/>
    </xf>
    <xf numFmtId="0" fontId="20" fillId="0" borderId="1" pivotButton="0" quotePrefix="0" xfId="0"/>
    <xf numFmtId="0" fontId="20" fillId="0" borderId="1" applyAlignment="1" pivotButton="0" quotePrefix="0" xfId="0">
      <alignment horizontal="center"/>
    </xf>
    <xf numFmtId="9" fontId="20" fillId="0" borderId="1" applyAlignment="1" pivotButton="0" quotePrefix="0" xfId="0">
      <alignment horizontal="center"/>
    </xf>
    <xf numFmtId="0" fontId="18" fillId="3" borderId="1" applyAlignment="1" pivotButton="0" quotePrefix="0" xfId="0">
      <alignment horizontal="left" vertical="center" wrapText="1"/>
    </xf>
    <xf numFmtId="0" fontId="1" fillId="3" borderId="1" applyAlignment="1" pivotButton="0" quotePrefix="0" xfId="0">
      <alignment horizontal="left" vertical="center"/>
    </xf>
    <xf numFmtId="0" fontId="21" fillId="0" borderId="6" applyAlignment="1" pivotButton="0" quotePrefix="0" xfId="0">
      <alignment horizontal="left" vertical="top" wrapText="1"/>
    </xf>
    <xf numFmtId="0" fontId="22" fillId="2" borderId="6" applyAlignment="1" pivotButton="0" quotePrefix="0" xfId="0">
      <alignment horizontal="center" vertical="center"/>
    </xf>
    <xf numFmtId="0" fontId="23" fillId="3" borderId="1" applyAlignment="1" pivotButton="0" quotePrefix="0" xfId="0">
      <alignment horizontal="left" vertical="center" wrapText="1"/>
    </xf>
    <xf numFmtId="0" fontId="24" fillId="0" borderId="6" applyAlignment="1" applyProtection="1" pivotButton="0" quotePrefix="0" xfId="0">
      <alignment horizontal="left" vertical="center" wrapText="1"/>
      <protection locked="0" hidden="0"/>
    </xf>
    <xf numFmtId="0" fontId="25" fillId="0" borderId="6" applyAlignment="1" applyProtection="1" pivotButton="0" quotePrefix="0" xfId="0">
      <alignment horizontal="right" vertical="center"/>
      <protection locked="0" hidden="0"/>
    </xf>
    <xf numFmtId="0" fontId="15" fillId="0" borderId="6" applyProtection="1" pivotButton="0" quotePrefix="0" xfId="0">
      <protection locked="0" hidden="0"/>
    </xf>
    <xf numFmtId="0" fontId="5" fillId="0" borderId="6" applyProtection="1" pivotButton="0" quotePrefix="0" xfId="0">
      <protection locked="0" hidden="0"/>
    </xf>
    <xf numFmtId="0" fontId="26" fillId="0" borderId="6" pivotButton="0" quotePrefix="0" xfId="0"/>
    <xf numFmtId="0" fontId="15" fillId="0" borderId="1" applyAlignment="1" pivotButton="0" quotePrefix="0" xfId="0">
      <alignment horizontal="left" vertical="top" wrapText="1"/>
    </xf>
    <xf numFmtId="0" fontId="15" fillId="0" borderId="1" applyAlignment="1" applyProtection="1" pivotButton="0" quotePrefix="0" xfId="0">
      <alignment horizontal="left" vertical="top" wrapText="1"/>
      <protection locked="0" hidden="0"/>
    </xf>
    <xf numFmtId="0" fontId="15" fillId="0" borderId="1" applyAlignment="1" pivotButton="0" quotePrefix="0" xfId="0">
      <alignment horizontal="center" vertical="center" wrapText="1"/>
    </xf>
    <xf numFmtId="0" fontId="27" fillId="0" borderId="1" applyAlignment="1" pivotButton="0" quotePrefix="0" xfId="0">
      <alignment horizontal="center"/>
    </xf>
    <xf numFmtId="0" fontId="24" fillId="0" borderId="0" pivotButton="0" quotePrefix="0" xfId="0"/>
    <xf numFmtId="0" fontId="0" fillId="0" borderId="1" applyAlignment="1" pivotButton="0" quotePrefix="0" xfId="0">
      <alignment horizontal="center" vertical="center" wrapText="1"/>
    </xf>
    <xf numFmtId="0" fontId="24" fillId="0" borderId="7" applyAlignment="1" applyProtection="1" pivotButton="0" quotePrefix="0" xfId="0">
      <alignment horizontal="left" vertical="center" wrapText="1"/>
      <protection locked="0" hidden="0"/>
    </xf>
    <xf numFmtId="0" fontId="15" fillId="0" borderId="1" applyAlignment="1" applyProtection="1" pivotButton="0" quotePrefix="0" xfId="0">
      <alignment horizontal="center"/>
      <protection locked="0" hidden="0"/>
    </xf>
    <xf numFmtId="0" fontId="27" fillId="0" borderId="1" applyAlignment="1" applyProtection="1" pivotButton="0" quotePrefix="0" xfId="0">
      <alignment horizontal="center"/>
      <protection locked="0" hidden="0"/>
    </xf>
    <xf numFmtId="0" fontId="24" fillId="0" borderId="7" applyAlignment="1" pivotButton="0" quotePrefix="0" xfId="0">
      <alignment horizontal="left" vertical="center" wrapText="1"/>
    </xf>
    <xf numFmtId="0" fontId="25" fillId="0" borderId="6" applyAlignment="1" pivotButton="0" quotePrefix="0" xfId="0">
      <alignment horizontal="right" vertical="center"/>
    </xf>
    <xf numFmtId="0" fontId="28" fillId="0" borderId="0" pivotButton="0" quotePrefix="0" xfId="0"/>
    <xf numFmtId="0" fontId="29" fillId="4" borderId="8" applyAlignment="1" pivotButton="0" quotePrefix="0" xfId="0">
      <alignment horizontal="center" vertical="center" wrapText="1"/>
    </xf>
    <xf numFmtId="0" fontId="3" fillId="0" borderId="1" applyAlignment="1" pivotButton="0" quotePrefix="0" xfId="0">
      <alignment horizontal="center" vertical="center" wrapText="1"/>
    </xf>
    <xf numFmtId="0" fontId="30" fillId="0" borderId="0" applyProtection="1" pivotButton="0" quotePrefix="0" xfId="0">
      <protection locked="0" hidden="0"/>
    </xf>
    <xf numFmtId="0" fontId="1" fillId="5" borderId="8" pivotButton="0" quotePrefix="0" xfId="0"/>
    <xf numFmtId="0" fontId="15" fillId="0" borderId="8" applyAlignment="1" applyProtection="1" pivotButton="0" quotePrefix="0" xfId="0">
      <alignment horizontal="left" vertical="center" wrapText="1"/>
      <protection locked="0" hidden="0"/>
    </xf>
    <xf numFmtId="0" fontId="31" fillId="0" borderId="6" applyAlignment="1" pivotButton="0" quotePrefix="0" xfId="0">
      <alignment horizontal="left" vertical="center" wrapText="1"/>
    </xf>
    <xf numFmtId="0" fontId="15" fillId="0" borderId="8" applyAlignment="1" applyProtection="1" pivotButton="0" quotePrefix="0" xfId="0">
      <alignment horizontal="left" vertical="top" wrapText="1"/>
      <protection locked="0" hidden="0"/>
    </xf>
    <xf numFmtId="0" fontId="15" fillId="0" borderId="8" applyAlignment="1" pivotButton="0" quotePrefix="0" xfId="0">
      <alignment horizontal="left" vertical="top" wrapText="1"/>
    </xf>
    <xf numFmtId="0" fontId="9" fillId="0" borderId="6" pivotButton="0" quotePrefix="0" xfId="0"/>
    <xf numFmtId="0" fontId="30" fillId="0" borderId="6" pivotButton="0" quotePrefix="0" xfId="0"/>
    <xf numFmtId="0" fontId="30" fillId="0" borderId="0" pivotButton="0" quotePrefix="0" xfId="0"/>
    <xf numFmtId="0" fontId="28" fillId="0" borderId="6" pivotButton="0" quotePrefix="0" xfId="0"/>
    <xf numFmtId="0" fontId="29" fillId="4" borderId="0" applyAlignment="1" pivotButton="0" quotePrefix="0" xfId="0">
      <alignment horizontal="center" vertical="center" wrapText="1"/>
    </xf>
    <xf numFmtId="0" fontId="0" fillId="0" borderId="8" applyAlignment="1" pivotButton="0" quotePrefix="0" xfId="0">
      <alignment horizontal="center"/>
    </xf>
    <xf numFmtId="0" fontId="0" fillId="0" borderId="8" pivotButton="0" quotePrefix="0" xfId="0"/>
    <xf numFmtId="0" fontId="32" fillId="0" borderId="6" pivotButton="0" quotePrefix="0" xfId="0"/>
    <xf numFmtId="0" fontId="33" fillId="4" borderId="6" applyAlignment="1" pivotButton="0" quotePrefix="0" xfId="0">
      <alignment horizontal="center" vertical="center"/>
    </xf>
    <xf numFmtId="0" fontId="34" fillId="0" borderId="8" applyAlignment="1" applyProtection="1" pivotButton="0" quotePrefix="0" xfId="0">
      <alignment horizontal="center"/>
      <protection locked="0" hidden="0"/>
    </xf>
    <xf numFmtId="0" fontId="35" fillId="0" borderId="6" pivotButton="0" quotePrefix="0" xfId="0"/>
    <xf numFmtId="0" fontId="15" fillId="0" borderId="8" applyAlignment="1" pivotButton="0" quotePrefix="0" xfId="0">
      <alignment horizontal="center"/>
    </xf>
    <xf numFmtId="0" fontId="29" fillId="4" borderId="8" applyAlignment="1" pivotButton="0" quotePrefix="0" xfId="0">
      <alignment horizontal="center" vertical="center"/>
    </xf>
    <xf numFmtId="0" fontId="15" fillId="0" borderId="8" applyAlignment="1" pivotButton="0" quotePrefix="0" xfId="0">
      <alignment horizontal="left" vertical="center" wrapText="1"/>
    </xf>
    <xf numFmtId="0" fontId="15" fillId="0" borderId="8" applyAlignment="1" pivotButton="0" quotePrefix="0" xfId="0">
      <alignment horizontal="center" vertical="center" wrapText="1"/>
    </xf>
    <xf numFmtId="0" fontId="36" fillId="0" borderId="0" pivotButton="0" quotePrefix="0" xfId="0"/>
    <xf numFmtId="0" fontId="15" fillId="0" borderId="8" applyAlignment="1" applyProtection="1" pivotButton="0" quotePrefix="0" xfId="0">
      <alignment horizontal="center"/>
      <protection locked="0" hidden="0"/>
    </xf>
    <xf numFmtId="0" fontId="17" fillId="5" borderId="8" pivotButton="0" quotePrefix="0" xfId="0"/>
    <xf numFmtId="0" fontId="37" fillId="0" borderId="8" applyAlignment="1" pivotButton="0" quotePrefix="0" xfId="0">
      <alignment horizontal="left" vertical="center" wrapText="1"/>
    </xf>
    <xf numFmtId="0" fontId="1" fillId="5" borderId="8" applyAlignment="1" pivotButton="0" quotePrefix="0" xfId="0">
      <alignment horizontal="center" wrapText="1"/>
    </xf>
    <xf numFmtId="0" fontId="19" fillId="0" borderId="8" applyAlignment="1" pivotButton="0" quotePrefix="0" xfId="0">
      <alignment horizontal="center"/>
    </xf>
    <xf numFmtId="9" fontId="19" fillId="0" borderId="8" applyAlignment="1" pivotButton="0" quotePrefix="0" xfId="0">
      <alignment horizontal="center"/>
    </xf>
    <xf numFmtId="9" fontId="15" fillId="0" borderId="6" pivotButton="0" quotePrefix="0" xfId="0"/>
    <xf numFmtId="9" fontId="29" fillId="4" borderId="8" applyAlignment="1" pivotButton="0" quotePrefix="0" xfId="0">
      <alignment horizontal="center" vertical="center"/>
    </xf>
    <xf numFmtId="0" fontId="15" fillId="0" borderId="8" pivotButton="0" quotePrefix="0" xfId="0"/>
    <xf numFmtId="9" fontId="15" fillId="0" borderId="8" applyAlignment="1" pivotButton="0" quotePrefix="0" xfId="0">
      <alignment horizontal="center"/>
    </xf>
    <xf numFmtId="0" fontId="20" fillId="0" borderId="8" pivotButton="0" quotePrefix="0" xfId="0"/>
    <xf numFmtId="0" fontId="20" fillId="0" borderId="8" applyAlignment="1" pivotButton="0" quotePrefix="0" xfId="0">
      <alignment horizontal="center"/>
    </xf>
    <xf numFmtId="9" fontId="20" fillId="0" borderId="8" applyAlignment="1" pivotButton="0" quotePrefix="0" xfId="0">
      <alignment horizontal="center"/>
    </xf>
    <xf numFmtId="0" fontId="37" fillId="5" borderId="8" applyAlignment="1" pivotButton="0" quotePrefix="0" xfId="0">
      <alignment horizontal="left" vertical="center" wrapText="1"/>
    </xf>
    <xf numFmtId="0" fontId="1" fillId="5" borderId="8" applyAlignment="1" pivotButton="0" quotePrefix="0" xfId="0">
      <alignment horizontal="left" vertical="center"/>
    </xf>
    <xf numFmtId="0" fontId="0" fillId="0" borderId="11" pivotButton="0" quotePrefix="0" xfId="0"/>
    <xf numFmtId="0" fontId="0" fillId="0" borderId="12" pivotButton="0" quotePrefix="0" xfId="0"/>
    <xf numFmtId="0" fontId="38" fillId="0" borderId="6" applyAlignment="1" pivotButton="0" quotePrefix="0" xfId="0">
      <alignment horizontal="left" vertical="top" wrapText="1"/>
    </xf>
    <xf numFmtId="0" fontId="39" fillId="4" borderId="6" applyAlignment="1" pivotButton="0" quotePrefix="0" xfId="0">
      <alignment horizontal="center" vertical="center"/>
    </xf>
    <xf numFmtId="0" fontId="40" fillId="0" borderId="6" applyAlignment="1" pivotButton="0" quotePrefix="0" xfId="0">
      <alignment horizontal="left" vertical="center"/>
    </xf>
    <xf numFmtId="0" fontId="33" fillId="4" borderId="0" applyAlignment="1" pivotButton="0" quotePrefix="0" xfId="0">
      <alignment horizontal="center" vertical="center"/>
    </xf>
    <xf numFmtId="0" fontId="29" fillId="4" borderId="0" applyAlignment="1" pivotButton="0" quotePrefix="0" xfId="0">
      <alignment horizontal="center" vertical="center"/>
    </xf>
    <xf numFmtId="0" fontId="20" fillId="0" borderId="0" applyAlignment="1" pivotButton="0" quotePrefix="0" xfId="0">
      <alignment horizontal="center"/>
    </xf>
    <xf numFmtId="0" fontId="1" fillId="5" borderId="8" applyAlignment="1" pivotButton="0" quotePrefix="0" xfId="0">
      <alignment horizontal="left" vertical="center" wrapText="1"/>
    </xf>
    <xf numFmtId="0" fontId="29" fillId="4" borderId="8" applyAlignment="1" applyProtection="1" pivotButton="0" quotePrefix="0" xfId="0">
      <alignment horizontal="center" vertical="center" wrapText="1"/>
      <protection locked="0" hidden="0"/>
    </xf>
    <xf numFmtId="0" fontId="7" fillId="0" borderId="6" applyAlignment="1" pivotButton="0" quotePrefix="0" xfId="0">
      <alignment horizontal="center"/>
    </xf>
    <xf numFmtId="0" fontId="15" fillId="0" borderId="8" applyAlignment="1" applyProtection="1" pivotButton="0" quotePrefix="0" xfId="0">
      <alignment horizontal="center" vertical="center" wrapText="1"/>
      <protection locked="0" hidden="0"/>
    </xf>
    <xf numFmtId="0" fontId="0" fillId="0" borderId="8" applyProtection="1" pivotButton="0" quotePrefix="0" xfId="0">
      <protection locked="0" hidden="0"/>
    </xf>
    <xf numFmtId="0" fontId="20" fillId="0" borderId="0" applyAlignment="1" applyProtection="1" pivotButton="0" quotePrefix="0" xfId="0">
      <alignment horizontal="center"/>
      <protection locked="0" hidden="0"/>
    </xf>
    <xf numFmtId="0" fontId="23" fillId="3" borderId="8" applyAlignment="1" pivotButton="0" quotePrefix="0" xfId="0">
      <alignment horizontal="left" vertical="center" wrapText="1"/>
    </xf>
    <xf numFmtId="0" fontId="0" fillId="0" borderId="8" applyAlignment="1" pivotButton="0" quotePrefix="0" xfId="0">
      <alignment horizontal="left" vertical="center" wrapText="1"/>
    </xf>
    <xf numFmtId="0" fontId="41" fillId="6" borderId="13" applyAlignment="1" pivotButton="0" quotePrefix="0" xfId="0">
      <alignment horizontal="center" vertical="center" wrapText="1"/>
    </xf>
    <xf numFmtId="0" fontId="0" fillId="0" borderId="13" pivotButton="0" quotePrefix="0" xfId="0"/>
    <xf numFmtId="0" fontId="42" fillId="0" borderId="6" pivotButton="0" quotePrefix="0" xfId="0"/>
    <xf numFmtId="0" fontId="43" fillId="0" borderId="6" pivotButton="0" quotePrefix="0" xfId="0"/>
    <xf numFmtId="0" fontId="41" fillId="6" borderId="13" applyAlignment="1" pivotButton="0" quotePrefix="0" xfId="0">
      <alignment horizontal="center" vertical="center"/>
    </xf>
    <xf numFmtId="0" fontId="0" fillId="0" borderId="13" applyAlignment="1" pivotButton="0" quotePrefix="0" xfId="0">
      <alignment horizontal="left" vertical="center" wrapText="1"/>
    </xf>
    <xf numFmtId="0" fontId="0" fillId="0" borderId="13" applyAlignment="1" pivotButton="0" quotePrefix="0" xfId="0">
      <alignment horizontal="center" vertical="center" wrapText="1"/>
    </xf>
    <xf numFmtId="0" fontId="43" fillId="0" borderId="0" pivotButton="0" quotePrefix="0" xfId="0"/>
    <xf numFmtId="0" fontId="41" fillId="6" borderId="0" applyAlignment="1" pivotButton="0" quotePrefix="0" xfId="0">
      <alignment horizontal="center" vertical="center" wrapText="1"/>
    </xf>
    <xf numFmtId="0" fontId="0" fillId="0" borderId="13" applyAlignment="1" pivotButton="0" quotePrefix="0" xfId="0">
      <alignment horizontal="center"/>
    </xf>
    <xf numFmtId="0" fontId="43" fillId="0" borderId="0" applyProtection="1" pivotButton="0" quotePrefix="0" xfId="0">
      <protection locked="0" hidden="0"/>
    </xf>
    <xf numFmtId="0" fontId="44" fillId="0" borderId="6" pivotButton="0" quotePrefix="0" xfId="0"/>
    <xf numFmtId="0" fontId="45" fillId="0" borderId="6" applyAlignment="1" pivotButton="0" quotePrefix="0" xfId="0">
      <alignment horizontal="left" vertical="center" wrapText="1"/>
    </xf>
    <xf numFmtId="0" fontId="15" fillId="0" borderId="13" applyAlignment="1" pivotButton="0" quotePrefix="0" xfId="0">
      <alignment horizontal="left" vertical="center" wrapText="1"/>
    </xf>
    <xf numFmtId="0" fontId="37" fillId="0" borderId="13" applyAlignment="1" pivotButton="0" quotePrefix="0" xfId="0">
      <alignment horizontal="left" vertical="center" wrapText="1"/>
    </xf>
    <xf numFmtId="0" fontId="37" fillId="5" borderId="13" applyAlignment="1" pivotButton="0" quotePrefix="0" xfId="0">
      <alignment horizontal="left" vertical="center" wrapText="1"/>
    </xf>
    <xf numFmtId="0" fontId="1" fillId="5" borderId="13" applyAlignment="1" pivotButton="0" quotePrefix="0" xfId="0">
      <alignment horizontal="left" vertical="center"/>
    </xf>
    <xf numFmtId="0" fontId="1" fillId="5" borderId="13" applyAlignment="1" pivotButton="0" quotePrefix="0" xfId="0">
      <alignment horizontal="left" vertical="center" wrapText="1"/>
    </xf>
    <xf numFmtId="0" fontId="23" fillId="3" borderId="13" applyAlignment="1" pivotButton="0" quotePrefix="0" xfId="0">
      <alignment horizontal="left" vertical="center" wrapText="1"/>
    </xf>
    <xf numFmtId="0" fontId="15" fillId="0" borderId="13" applyAlignment="1" pivotButton="0" quotePrefix="0" xfId="0">
      <alignment horizontal="left" vertical="top" wrapText="1"/>
    </xf>
    <xf numFmtId="0" fontId="46" fillId="7" borderId="0" applyAlignment="1" pivotButton="0" quotePrefix="0" xfId="0">
      <alignment horizontal="center" vertical="center" wrapText="1"/>
    </xf>
    <xf numFmtId="0" fontId="0" fillId="0" borderId="14" pivotButton="0" quotePrefix="0" xfId="0"/>
    <xf numFmtId="0" fontId="47" fillId="0" borderId="0" pivotButton="0" quotePrefix="0" xfId="0"/>
    <xf numFmtId="0" fontId="15" fillId="0" borderId="14" applyAlignment="1" pivotButton="0" quotePrefix="0" xfId="0">
      <alignment horizontal="left" vertical="center" wrapText="1"/>
    </xf>
    <xf numFmtId="0" fontId="37" fillId="0" borderId="14" applyAlignment="1" pivotButton="0" quotePrefix="0" xfId="0">
      <alignment horizontal="left" vertical="center" wrapText="1"/>
    </xf>
    <xf numFmtId="0" fontId="37" fillId="5" borderId="14" applyAlignment="1" pivotButton="0" quotePrefix="0" xfId="0">
      <alignment horizontal="left" vertical="center" wrapText="1"/>
    </xf>
    <xf numFmtId="0" fontId="1" fillId="5" borderId="14" applyAlignment="1" pivotButton="0" quotePrefix="0" xfId="0">
      <alignment horizontal="left" vertical="center"/>
    </xf>
    <xf numFmtId="0" fontId="1" fillId="5" borderId="14" applyAlignment="1" pivotButton="0" quotePrefix="0" xfId="0">
      <alignment horizontal="left" vertical="center" wrapText="1"/>
    </xf>
    <xf numFmtId="0" fontId="23" fillId="3" borderId="14" applyAlignment="1" pivotButton="0" quotePrefix="0" xfId="0">
      <alignment horizontal="left" vertical="center" wrapText="1"/>
    </xf>
    <xf numFmtId="0" fontId="15" fillId="0" borderId="14" applyAlignment="1" pivotButton="0" quotePrefix="0" xfId="0">
      <alignment horizontal="left" vertical="top" wrapText="1"/>
    </xf>
    <xf numFmtId="0" fontId="0" fillId="0" borderId="14" applyAlignment="1" pivotButton="0" quotePrefix="0" xfId="0">
      <alignment horizontal="left" vertical="center" wrapText="1"/>
    </xf>
    <xf numFmtId="0" fontId="15" fillId="0" borderId="15" applyAlignment="1" applyProtection="1" pivotButton="0" quotePrefix="0" xfId="0">
      <alignment horizontal="left" vertical="top" wrapText="1"/>
      <protection locked="0" hidden="0"/>
    </xf>
    <xf numFmtId="0" fontId="15" fillId="0" borderId="15" applyAlignment="1" pivotButton="0" quotePrefix="0" xfId="0">
      <alignment horizontal="left" vertical="top" wrapText="1"/>
    </xf>
    <xf numFmtId="0" fontId="48" fillId="0" borderId="6" pivotButton="0" quotePrefix="0" xfId="0"/>
    <xf numFmtId="0" fontId="49" fillId="0" borderId="6" pivotButton="0" quotePrefix="0" xfId="0"/>
    <xf numFmtId="0" fontId="50" fillId="8" borderId="15" applyAlignment="1" pivotButton="0" quotePrefix="0" xfId="0">
      <alignment horizontal="center" vertical="center" wrapText="1"/>
    </xf>
    <xf numFmtId="0" fontId="15" fillId="0" borderId="15" applyAlignment="1" pivotButton="0" quotePrefix="0" xfId="0">
      <alignment horizontal="left" vertical="center" wrapText="1"/>
    </xf>
    <xf numFmtId="0" fontId="15" fillId="0" borderId="15" applyAlignment="1" pivotButton="0" quotePrefix="0" xfId="0">
      <alignment horizontal="center" vertical="center" wrapText="1"/>
    </xf>
    <xf numFmtId="0" fontId="51" fillId="0" borderId="0" pivotButton="0" quotePrefix="0" xfId="0"/>
    <xf numFmtId="0" fontId="15" fillId="0" borderId="15" applyAlignment="1" applyProtection="1" pivotButton="0" quotePrefix="0" xfId="0">
      <alignment horizontal="center" vertical="center" wrapText="1"/>
      <protection locked="0" hidden="0"/>
    </xf>
    <xf numFmtId="0" fontId="15" fillId="0" borderId="15" applyAlignment="1" applyProtection="1" pivotButton="0" quotePrefix="0" xfId="0">
      <alignment horizontal="left" vertical="center" wrapText="1"/>
      <protection locked="0" hidden="0"/>
    </xf>
  </cellXfs>
  <cellStyles count="1">
    <cellStyle name="Normal" xfId="0" builtinId="0" hidden="0"/>
  </cellStyles>
  <dxfs count="14">
    <dxf>
      <font>
        <b val="1"/>
        <color rgb="FFFFFFFF"/>
      </font>
      <fill>
        <patternFill patternType="solid">
          <fgColor rgb="FF70AD47"/>
          <bgColor rgb="FF70AD47"/>
        </patternFill>
      </fill>
    </dxf>
    <dxf>
      <font>
        <b val="1"/>
        <color rgb="FFFFFFFF"/>
      </font>
      <fill>
        <patternFill patternType="solid">
          <fgColor rgb="FF4472C4"/>
          <bgColor rgb="FF4472C4"/>
        </patternFill>
      </fill>
    </dxf>
    <dxf>
      <font>
        <b val="1"/>
        <color rgb="FFFFFFFF"/>
      </font>
      <fill>
        <patternFill patternType="solid">
          <fgColor rgb="FFFFC000"/>
          <bgColor rgb="FFFFC000"/>
        </patternFill>
      </fill>
    </dxf>
    <dxf>
      <font>
        <b val="1"/>
        <color rgb="FFFFFFFF"/>
      </font>
      <fill>
        <patternFill patternType="solid">
          <fgColor rgb="FFFF0000"/>
          <bgColor rgb="FFFF0000"/>
        </patternFill>
      </fill>
    </dxf>
    <dxf>
      <font>
        <b val="1"/>
        <color rgb="FFFFFFFF"/>
      </font>
      <fill>
        <patternFill patternType="solid">
          <fgColor rgb="FF808080"/>
          <bgColor rgb="FF808080"/>
        </patternFill>
      </fill>
    </dxf>
    <dxf>
      <fill>
        <patternFill patternType="solid">
          <fgColor rgb="FFFFF2CC"/>
          <bgColor rgb="FFFFF2CC"/>
        </patternFill>
      </fill>
    </dxf>
    <dxf>
      <fill>
        <patternFill patternType="solid">
          <fgColor rgb="FFFFC7CE"/>
          <bgColor rgb="FFFFC7CE"/>
        </patternFill>
      </fill>
    </dxf>
    <dxf>
      <fill>
        <patternFill patternType="solid">
          <fgColor rgb="FFFFF2CC"/>
          <bgColor rgb="FFFFF2CC"/>
        </patternFill>
      </fill>
    </dxf>
    <dxf>
      <font>
        <b val="1"/>
        <color rgb="FFFFFFFF"/>
      </font>
      <fill>
        <patternFill patternType="solid">
          <fgColor rgb="FF70AD47"/>
          <bgColor rgb="FF70AD47"/>
        </patternFill>
      </fill>
    </dxf>
    <dxf>
      <font>
        <b val="1"/>
        <color rgb="FFFFFFFF"/>
      </font>
      <fill>
        <patternFill patternType="solid">
          <fgColor rgb="FF4472C4"/>
          <bgColor rgb="FF4472C4"/>
        </patternFill>
      </fill>
    </dxf>
    <dxf>
      <font>
        <b val="1"/>
        <color rgb="FFFFFFFF"/>
      </font>
      <fill>
        <patternFill patternType="solid">
          <fgColor rgb="FFFFC000"/>
          <bgColor rgb="FFFFC000"/>
        </patternFill>
      </fill>
    </dxf>
    <dxf>
      <font>
        <b val="1"/>
        <color rgb="FFFFFFFF"/>
      </font>
      <fill>
        <patternFill patternType="solid">
          <fgColor rgb="FFFF0000"/>
          <bgColor rgb="FFFF0000"/>
        </patternFill>
      </fill>
    </dxf>
    <dxf>
      <font>
        <b val="1"/>
        <color rgb="FFFFFFFF"/>
      </font>
      <fill>
        <patternFill patternType="solid">
          <fgColor rgb="FF808080"/>
          <bgColor rgb="FF808080"/>
        </patternFill>
      </fill>
    </dxf>
    <dxf>
      <fill>
        <patternFill patternType="solid">
          <fgColor rgb="FFFFF2CC"/>
          <bgColor rgb="FFFFF2CC"/>
        </patternFill>
      </fill>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ome!A1" TargetMode="External" Id="rId1" /></Relationships>
</file>

<file path=xl/worksheets/_rels/sheet2.xml.rels><Relationships xmlns="http://schemas.openxmlformats.org/package/2006/relationships"><Relationship Type="http://schemas.openxmlformats.org/officeDocument/2006/relationships/hyperlink" Target="#New Mission!A1" TargetMode="External" Id="rId1" /><Relationship Type="http://schemas.openxmlformats.org/officeDocument/2006/relationships/hyperlink" Target="#Today!A1" TargetMode="External" Id="rId2" /><Relationship Type="http://schemas.openxmlformats.org/officeDocument/2006/relationships/hyperlink" Target="#Work Register!A1" TargetMode="External" Id="rId3" /><Relationship Type="http://schemas.openxmlformats.org/officeDocument/2006/relationships/hyperlink" Target="#'Weekly Review'!A1" TargetMode="External" Id="rId4" /><Relationship Type="http://schemas.openxmlformats.org/officeDocument/2006/relationships/hyperlink" Target="#'Current Focus'!A1" TargetMode="External" Id="rId5" /><Relationship Type="http://schemas.openxmlformats.org/officeDocument/2006/relationships/hyperlink" Target="#'Weekly Review'!A1" TargetMode="External" Id="rId6" /><Relationship Type="http://schemas.openxmlformats.org/officeDocument/2006/relationships/hyperlink" Target="#Archive!A1" TargetMode="External" Id="rId7" /><Relationship Type="http://schemas.openxmlformats.org/officeDocument/2006/relationships/hyperlink" Target="#'Current Focus'!A1" TargetMode="External" Id="rId8" /><Relationship Type="http://schemas.openxmlformats.org/officeDocument/2006/relationships/hyperlink" Target="#Archive!A1" TargetMode="External" Id="rId9" /><Relationship Type="http://schemas.openxmlformats.org/officeDocument/2006/relationships/hyperlink" Target="#'Current Focus'!A1" TargetMode="External" Id="rId10" /><Relationship Type="http://schemas.openxmlformats.org/officeDocument/2006/relationships/hyperlink" Target="#'Weekly Review'!A1" TargetMode="External" Id="rId11" /><Relationship Type="http://schemas.openxmlformats.org/officeDocument/2006/relationships/hyperlink" Target="#'Task Finder'!A1" TargetMode="External" Id="rId12" /><Relationship Type="http://schemas.openxmlformats.org/officeDocument/2006/relationships/hyperlink" Target="#Missions!A1" TargetMode="External" Id="rId13" /><Relationship Type="http://schemas.openxmlformats.org/officeDocument/2006/relationships/hyperlink" Target="#Archive!A1" TargetMode="External" Id="rId14" /></Relationships>
</file>

<file path=xl/worksheets/_rels/sheet3.xml.rels><Relationships xmlns="http://schemas.openxmlformats.org/package/2006/relationships"><Relationship Type="http://schemas.openxmlformats.org/officeDocument/2006/relationships/hyperlink" Target="#Home!A1" TargetMode="External" Id="rId1" /></Relationships>
</file>

<file path=xl/worksheets/_rels/sheet4.xml.rels><Relationships xmlns="http://schemas.openxmlformats.org/package/2006/relationships"><Relationship Type="http://schemas.openxmlformats.org/officeDocument/2006/relationships/hyperlink" Target="#Home!A1" TargetMode="External" Id="rId1" /></Relationships>
</file>

<file path=xl/worksheets/_rels/sheet5.xml.rels><Relationships xmlns="http://schemas.openxmlformats.org/package/2006/relationships"><Relationship Type="http://schemas.openxmlformats.org/officeDocument/2006/relationships/hyperlink" Target="#Home!A1" TargetMode="External" Id="rId1" /></Relationships>
</file>

<file path=xl/worksheets/_rels/sheet6.xml.rels><Relationships xmlns="http://schemas.openxmlformats.org/package/2006/relationships"><Relationship Type="http://schemas.openxmlformats.org/officeDocument/2006/relationships/hyperlink" Target="#Home!A1" TargetMode="External" Id="rId1" /></Relationships>
</file>

<file path=xl/worksheets/_rels/sheet7.xml.rels><Relationships xmlns="http://schemas.openxmlformats.org/package/2006/relationships"><Relationship Type="http://schemas.openxmlformats.org/officeDocument/2006/relationships/hyperlink" Target="#Home!A1" TargetMode="External" Id="rId1" /></Relationships>
</file>

<file path=xl/worksheets/_rels/sheet8.xml.rels><Relationships xmlns="http://schemas.openxmlformats.org/package/2006/relationships"><Relationship Type="http://schemas.openxmlformats.org/officeDocument/2006/relationships/hyperlink" Target="#Home!A1" TargetMode="External" Id="rId1" /></Relationships>
</file>

<file path=xl/worksheets/_rels/sheet9.xml.rels><Relationships xmlns="http://schemas.openxmlformats.org/package/2006/relationships"><Relationship Type="http://schemas.openxmlformats.org/officeDocument/2006/relationships/hyperlink" Target="#Home!A1" TargetMode="External" Id="rId1" /></Relationships>
</file>

<file path=xl/worksheets/_rels/sheet10.xml.rels><Relationships xmlns="http://schemas.openxmlformats.org/package/2006/relationships"><Relationship Type="http://schemas.openxmlformats.org/officeDocument/2006/relationships/hyperlink" Target="#Home!A1" TargetMode="External" Id="rId1" /></Relationships>
</file>

<file path=xl/worksheets/sheet1.xml><?xml version="1.0" encoding="utf-8"?>
<worksheet xmlns="http://schemas.openxmlformats.org/spreadsheetml/2006/main">
  <sheetPr>
    <outlinePr summaryBelow="1" summaryRight="1"/>
    <pageSetUpPr/>
  </sheetPr>
  <dimension ref="A1:Q20"/>
  <sheetViews>
    <sheetView showGridLines="0" workbookViewId="0">
      <selection activeCell="A1" sqref="A1"/>
    </sheetView>
  </sheetViews>
  <sheetFormatPr baseColWidth="8" defaultRowHeight="15"/>
  <cols>
    <col width="20" customWidth="1" min="1" max="1"/>
    <col width="20" customWidth="1" min="3" max="3"/>
    <col width="20" customWidth="1" min="5" max="5"/>
    <col width="20" customWidth="1" min="7" max="7"/>
    <col width="18" customWidth="1" min="9" max="9"/>
    <col width="35" customWidth="1" min="10" max="10"/>
    <col width="14" customWidth="1" min="12" max="12"/>
    <col width="10" customWidth="1" min="13" max="13"/>
    <col width="14" customWidth="1" min="14" max="14"/>
    <col width="10" customWidth="1" min="15" max="15"/>
    <col width="16" customWidth="1" min="16" max="16"/>
    <col width="32" customWidth="1" min="17" max="17"/>
  </cols>
  <sheetData>
    <row r="1">
      <c r="A1" s="1" t="inlineStr">
        <is>
          <t>Status</t>
        </is>
      </c>
      <c r="C1" s="1" t="inlineStr">
        <is>
          <t>Priority</t>
        </is>
      </c>
      <c r="E1" s="1" t="inlineStr">
        <is>
          <t>Energy</t>
        </is>
      </c>
      <c r="G1" s="1" t="inlineStr">
        <is>
          <t>Estimated Time</t>
        </is>
      </c>
      <c r="I1" s="21" t="inlineStr">
        <is>
          <t>Energy Guidelines</t>
        </is>
      </c>
      <c r="L1" s="1" t="inlineStr">
        <is>
          <t>Priority</t>
        </is>
      </c>
      <c r="M1" s="1" t="inlineStr">
        <is>
          <t>Weight</t>
        </is>
      </c>
      <c r="N1" s="1" t="inlineStr">
        <is>
          <t>Time Label</t>
        </is>
      </c>
      <c r="O1" s="1" t="inlineStr">
        <is>
          <t>Minutes</t>
        </is>
      </c>
      <c r="P1" s="1" t="inlineStr">
        <is>
          <t>Energy</t>
        </is>
      </c>
      <c r="Q1" s="1" t="inlineStr">
        <is>
          <t>Suggested Focus</t>
        </is>
      </c>
    </row>
    <row r="2">
      <c r="A2" t="inlineStr">
        <is>
          <t>Captured</t>
        </is>
      </c>
      <c r="C2" t="inlineStr">
        <is>
          <t>High</t>
        </is>
      </c>
      <c r="E2" t="inlineStr">
        <is>
          <t>Deep Thinking</t>
        </is>
      </c>
      <c r="G2" t="inlineStr">
        <is>
          <t>5 mins</t>
        </is>
      </c>
      <c r="I2" s="22" t="inlineStr">
        <is>
          <t>Deep Thinking</t>
        </is>
      </c>
      <c r="J2" s="23" t="inlineStr">
        <is>
          <t>Complex problems, strategic work, decision-making</t>
        </is>
      </c>
      <c r="L2" t="inlineStr">
        <is>
          <t>High</t>
        </is>
      </c>
      <c r="M2" t="n">
        <v>30</v>
      </c>
      <c r="N2" t="inlineStr">
        <is>
          <t>5 mins</t>
        </is>
      </c>
      <c r="O2" t="n">
        <v>5</v>
      </c>
      <c r="P2" t="inlineStr">
        <is>
          <t>Deep Thinking</t>
        </is>
      </c>
      <c r="Q2" t="inlineStr">
        <is>
          <t>Framework Design &amp; Strategic Work</t>
        </is>
      </c>
    </row>
    <row r="3">
      <c r="A3" t="inlineStr">
        <is>
          <t>Next</t>
        </is>
      </c>
      <c r="C3" t="inlineStr">
        <is>
          <t>Medium</t>
        </is>
      </c>
      <c r="E3" t="inlineStr">
        <is>
          <t>Processing</t>
        </is>
      </c>
      <c r="G3" t="inlineStr">
        <is>
          <t>15 mins</t>
        </is>
      </c>
      <c r="I3" s="22" t="inlineStr">
        <is>
          <t>Processing</t>
        </is>
      </c>
      <c r="J3" s="23" t="inlineStr">
        <is>
          <t>Routine analysis, execution, review</t>
        </is>
      </c>
      <c r="L3" t="inlineStr">
        <is>
          <t>Medium</t>
        </is>
      </c>
      <c r="M3" t="n">
        <v>20</v>
      </c>
      <c r="N3" t="inlineStr">
        <is>
          <t>15 mins</t>
        </is>
      </c>
      <c r="O3" t="n">
        <v>15</v>
      </c>
      <c r="P3" t="inlineStr">
        <is>
          <t>Processing</t>
        </is>
      </c>
      <c r="Q3" t="inlineStr">
        <is>
          <t>Documentation &amp; Review</t>
        </is>
      </c>
    </row>
    <row r="4">
      <c r="A4" t="inlineStr">
        <is>
          <t>In Progress</t>
        </is>
      </c>
      <c r="C4" t="inlineStr">
        <is>
          <t>Low</t>
        </is>
      </c>
      <c r="E4" t="inlineStr">
        <is>
          <t>Admin</t>
        </is>
      </c>
      <c r="G4" t="inlineStr">
        <is>
          <t>30 mins</t>
        </is>
      </c>
      <c r="I4" s="22" t="inlineStr">
        <is>
          <t>Admin</t>
        </is>
      </c>
      <c r="J4" s="23" t="inlineStr">
        <is>
          <t>Emails, scheduling, admin tasks</t>
        </is>
      </c>
      <c r="L4" t="inlineStr">
        <is>
          <t>Low</t>
        </is>
      </c>
      <c r="M4" t="n">
        <v>10</v>
      </c>
      <c r="N4" t="inlineStr">
        <is>
          <t>30 mins</t>
        </is>
      </c>
      <c r="O4" t="n">
        <v>30</v>
      </c>
      <c r="P4" t="inlineStr">
        <is>
          <t>Admin</t>
        </is>
      </c>
      <c r="Q4" t="inlineStr">
        <is>
          <t>Administration &amp; Housekeeping</t>
        </is>
      </c>
    </row>
    <row r="5">
      <c r="A5" t="inlineStr">
        <is>
          <t>Waiting</t>
        </is>
      </c>
      <c r="E5" t="inlineStr">
        <is>
          <t>Meeting</t>
        </is>
      </c>
      <c r="G5" t="inlineStr">
        <is>
          <t>60 mins</t>
        </is>
      </c>
      <c r="I5" s="22" t="inlineStr">
        <is>
          <t>Meeting</t>
        </is>
      </c>
      <c r="J5" s="23" t="inlineStr">
        <is>
          <t>Meetings, calls, collaboration</t>
        </is>
      </c>
      <c r="N5" t="inlineStr">
        <is>
          <t>60 mins</t>
        </is>
      </c>
      <c r="O5" t="n">
        <v>60</v>
      </c>
      <c r="P5" t="inlineStr">
        <is>
          <t>Meeting</t>
        </is>
      </c>
      <c r="Q5" t="inlineStr">
        <is>
          <t>Stakeholder Review &amp; Collaboration</t>
        </is>
      </c>
    </row>
    <row r="6">
      <c r="A6" t="inlineStr">
        <is>
          <t>Blocked</t>
        </is>
      </c>
      <c r="E6" t="inlineStr">
        <is>
          <t>Low Energy</t>
        </is>
      </c>
      <c r="G6" t="inlineStr">
        <is>
          <t>90+ mins</t>
        </is>
      </c>
      <c r="N6" t="inlineStr">
        <is>
          <t>90+ mins</t>
        </is>
      </c>
      <c r="O6" t="n">
        <v>90</v>
      </c>
      <c r="P6" t="inlineStr">
        <is>
          <t>Low Energy</t>
        </is>
      </c>
      <c r="Q6" t="inlineStr">
        <is>
          <t>Knowledge Capture &amp; Light Tasks</t>
        </is>
      </c>
    </row>
    <row r="7">
      <c r="A7" t="inlineStr">
        <is>
          <t>Done</t>
        </is>
      </c>
    </row>
    <row r="8">
      <c r="A8" t="inlineStr">
        <is>
          <t>Archive</t>
        </is>
      </c>
    </row>
    <row r="20">
      <c r="A20" s="118" t="inlineStr">
        <is>
          <t>← Home</t>
        </is>
      </c>
    </row>
  </sheetData>
  <sheetProtection selectLockedCells="0" selectUnlockedCells="0" sheet="1" objects="0" insertRows="1" insertHyperlinks="1" autoFilter="1" scenarios="0" formatColumns="1" deleteColumns="1" insertColumns="1" pivotTables="1" deleteRows="1" formatCells="1" formatRows="1" sort="1"/>
  <hyperlinks>
    <hyperlink xmlns:r="http://schemas.openxmlformats.org/officeDocument/2006/relationships" ref="A20"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
  <sheetViews>
    <sheetView showGridLines="0" workbookViewId="0">
      <selection activeCell="A1" sqref="A1"/>
    </sheetView>
  </sheetViews>
  <sheetFormatPr baseColWidth="8" defaultRowHeight="15"/>
  <cols>
    <col width="3" customWidth="1" min="1" max="1"/>
    <col width="20" customWidth="1" min="2" max="2"/>
    <col width="20" customWidth="1" min="3" max="3"/>
    <col width="20" customWidth="1" min="4" max="4"/>
    <col width="20" customWidth="1" min="5" max="5"/>
    <col width="18" customWidth="1" min="6" max="6"/>
  </cols>
  <sheetData>
    <row r="1">
      <c r="Y1" s="97" t="inlineStr">
        <is>
          <t>system — do not edit</t>
        </is>
      </c>
      <c r="Z1" s="97">
        <f>IF(MAX('Work Register'!$N$5:$N$500)&lt;=-9000,0,MATCH(MAX('Work Register'!$N$5:$N$500),'Work Register'!$N$5:$N$500,0)+4)</f>
        <v/>
      </c>
    </row>
    <row r="2" ht="25" customHeight="1">
      <c r="B2" s="2" t="inlineStr">
        <is>
          <t>Work Operating System</t>
        </is>
      </c>
      <c r="Z2" s="151">
        <f>IF(Missions!$O$2,"; "&amp;Missions!$N$2,"")&amp;IF(Missions!$O$3,"; "&amp;Missions!$N$3,"")&amp;IF(Missions!$O$4,"; "&amp;Missions!$N$4,"")&amp;IF(Missions!$O$5,"; "&amp;Missions!$N$5,"")&amp;IF(Missions!$O$6,"; "&amp;Missions!$N$6,"")&amp;IF(Missions!$O$7,"; "&amp;Missions!$N$7,"")&amp;IF(Missions!$O$8,"; "&amp;Missions!$N$8,"")&amp;IF(Missions!$O$9,"; "&amp;Missions!$N$9,"")</f>
        <v/>
      </c>
    </row>
    <row r="4" ht="25" customHeight="1">
      <c r="B4" s="3" t="inlineStr">
        <is>
          <t>New Mission</t>
        </is>
      </c>
      <c r="C4" s="3" t="inlineStr">
        <is>
          <t>Today</t>
        </is>
      </c>
      <c r="D4" s="3" t="inlineStr">
        <is>
          <t>Work Register</t>
        </is>
      </c>
      <c r="E4" s="3" t="inlineStr">
        <is>
          <t>Weekly Review</t>
        </is>
      </c>
    </row>
    <row r="6">
      <c r="A6" s="39" t="n"/>
      <c r="B6" s="89" t="inlineStr">
        <is>
          <t>Work Selection</t>
        </is>
      </c>
      <c r="C6" s="39" t="n"/>
      <c r="D6" s="39" t="n"/>
      <c r="E6" s="39" t="n"/>
      <c r="F6" s="39" t="n"/>
      <c r="G6" s="39" t="n"/>
      <c r="H6" s="39" t="n"/>
      <c r="I6" s="39" t="n"/>
      <c r="J6" s="39" t="n"/>
      <c r="K6" s="39" t="n"/>
      <c r="L6" s="39" t="n"/>
      <c r="M6" s="39" t="n"/>
      <c r="N6" s="39" t="n"/>
      <c r="O6" s="39" t="n"/>
      <c r="P6" s="39" t="n"/>
      <c r="Q6" s="39" t="n"/>
      <c r="R6" s="39" t="n"/>
      <c r="S6" s="39" t="n"/>
      <c r="T6" s="39" t="n"/>
      <c r="U6" s="39" t="n"/>
      <c r="V6" s="39" t="n"/>
      <c r="W6" s="39" t="n"/>
      <c r="X6" s="39" t="n"/>
      <c r="Y6" s="39" t="n"/>
      <c r="Z6" s="39" t="n"/>
    </row>
    <row r="7" ht="20" customHeight="1">
      <c r="A7" s="39" t="n"/>
      <c r="B7" s="77" t="inlineStr">
        <is>
          <t>Available Time</t>
        </is>
      </c>
      <c r="C7" s="98" t="inlineStr">
        <is>
          <t>30 mins</t>
        </is>
      </c>
      <c r="D7" s="77" t="inlineStr">
        <is>
          <t>Current Energy</t>
        </is>
      </c>
      <c r="E7" s="98" t="inlineStr">
        <is>
          <t>Processing</t>
        </is>
      </c>
      <c r="F7" s="39" t="n"/>
      <c r="G7" s="39" t="n"/>
      <c r="H7" s="39" t="n"/>
      <c r="I7" s="39" t="n"/>
      <c r="J7" s="39" t="n"/>
      <c r="K7" s="39" t="n"/>
      <c r="L7" s="39" t="n"/>
      <c r="M7" s="39" t="n"/>
      <c r="N7" s="39" t="n"/>
      <c r="O7" s="39" t="n"/>
      <c r="P7" s="39" t="n"/>
      <c r="Q7" s="39" t="n"/>
      <c r="R7" s="39" t="n"/>
      <c r="S7" s="39" t="n"/>
      <c r="T7" s="39" t="n"/>
      <c r="U7" s="39" t="n"/>
      <c r="V7" s="39" t="n"/>
      <c r="W7" s="39" t="n"/>
      <c r="X7" s="39" t="n"/>
      <c r="Y7" s="39" t="n"/>
      <c r="Z7" s="39" t="n"/>
    </row>
    <row r="8">
      <c r="A8" s="39" t="n"/>
      <c r="B8" s="39" t="n"/>
      <c r="C8" s="39" t="n"/>
      <c r="D8" s="39"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39" t="n"/>
    </row>
    <row r="9">
      <c r="A9" s="39" t="n"/>
      <c r="B9" s="89" t="inlineStr">
        <is>
          <t>Recommended Next Task</t>
        </is>
      </c>
      <c r="F9" s="39" t="n"/>
      <c r="G9" s="39" t="n"/>
      <c r="H9" s="39" t="n"/>
      <c r="I9" s="39" t="n"/>
      <c r="J9" s="39" t="n"/>
      <c r="K9" s="39" t="n"/>
      <c r="L9" s="39" t="n"/>
      <c r="M9" s="39" t="n"/>
      <c r="N9" s="39" t="n"/>
      <c r="O9" s="39" t="n"/>
      <c r="P9" s="39" t="n"/>
      <c r="Q9" s="39" t="n"/>
      <c r="R9" s="39" t="n"/>
      <c r="S9" s="39" t="n"/>
      <c r="T9" s="39" t="n"/>
      <c r="U9" s="39" t="n"/>
      <c r="V9" s="39" t="n"/>
      <c r="W9" s="39" t="n"/>
      <c r="X9" s="39" t="n"/>
      <c r="Y9" s="39" t="n"/>
      <c r="Z9" s="39" t="n"/>
    </row>
    <row r="10" ht="20" customHeight="1">
      <c r="A10" s="39" t="n"/>
      <c r="B10" s="77" t="inlineStr">
        <is>
          <t>Mission</t>
        </is>
      </c>
      <c r="C10" s="152">
        <f>IF($Z$1=0,"No actionable tasks",INDEX('Work Register'!A:A,$Z$1))</f>
        <v/>
      </c>
      <c r="D10" s="113" t="n"/>
      <c r="E10" s="114" t="n"/>
      <c r="F10" s="39" t="n"/>
      <c r="G10" s="39" t="n"/>
      <c r="H10" s="39" t="n"/>
      <c r="I10" s="39" t="n"/>
      <c r="J10" s="39" t="n"/>
      <c r="K10" s="39" t="n"/>
      <c r="L10" s="39" t="n"/>
      <c r="M10" s="39" t="n"/>
      <c r="N10" s="39" t="n"/>
      <c r="O10" s="39" t="n"/>
      <c r="P10" s="39" t="n"/>
      <c r="Q10" s="39" t="n"/>
      <c r="R10" s="39" t="n"/>
      <c r="S10" s="39" t="n"/>
      <c r="T10" s="39" t="n"/>
      <c r="U10" s="39" t="n"/>
      <c r="V10" s="39" t="n"/>
      <c r="W10" s="39" t="n"/>
      <c r="X10" s="39" t="n"/>
      <c r="Y10" s="39" t="n"/>
      <c r="Z10" s="39" t="n"/>
    </row>
    <row r="11" ht="20" customHeight="1">
      <c r="A11" s="39" t="n"/>
      <c r="B11" s="77" t="inlineStr">
        <is>
          <t>Component</t>
        </is>
      </c>
      <c r="C11" s="152">
        <f>IF($Z$1=0,"—",INDEX('Work Register'!C:C,$Z$1))</f>
        <v/>
      </c>
      <c r="D11" s="113" t="n"/>
      <c r="E11" s="114" t="n"/>
      <c r="F11" s="39" t="n"/>
      <c r="G11" s="39" t="n"/>
      <c r="H11" s="39" t="n"/>
      <c r="I11" s="39" t="n"/>
      <c r="J11" s="39" t="n"/>
      <c r="K11" s="39" t="n"/>
      <c r="L11" s="39" t="n"/>
      <c r="M11" s="39" t="n"/>
      <c r="N11" s="39" t="n"/>
      <c r="O11" s="39" t="n"/>
      <c r="P11" s="39" t="n"/>
      <c r="Q11" s="39" t="n"/>
      <c r="R11" s="39" t="n"/>
      <c r="S11" s="39" t="n"/>
      <c r="T11" s="39" t="n"/>
      <c r="U11" s="39" t="n"/>
      <c r="V11" s="39" t="n"/>
      <c r="W11" s="39" t="n"/>
      <c r="X11" s="39" t="n"/>
      <c r="Y11" s="39" t="n"/>
      <c r="Z11" s="39" t="n"/>
    </row>
    <row r="12" ht="20" customHeight="1">
      <c r="A12" s="39" t="n"/>
      <c r="B12" s="99" t="inlineStr">
        <is>
          <t>Task</t>
        </is>
      </c>
      <c r="C12" s="153">
        <f>IF($Z$1=0,"—",INDEX('Work Register'!D:D,$Z$1))</f>
        <v/>
      </c>
      <c r="D12" s="113" t="n"/>
      <c r="E12" s="114" t="n"/>
      <c r="F12" s="39" t="n"/>
      <c r="G12" s="39" t="n"/>
      <c r="H12" s="39" t="n"/>
      <c r="I12" s="39" t="n"/>
      <c r="J12" s="39" t="n"/>
      <c r="K12" s="39" t="n"/>
      <c r="L12" s="39" t="n"/>
      <c r="M12" s="39" t="n"/>
      <c r="N12" s="39" t="n"/>
      <c r="O12" s="39" t="n"/>
      <c r="P12" s="39" t="n"/>
      <c r="Q12" s="39" t="n"/>
      <c r="R12" s="39" t="n"/>
      <c r="S12" s="39" t="n"/>
      <c r="T12" s="39" t="n"/>
      <c r="U12" s="39" t="n"/>
      <c r="V12" s="39" t="n"/>
      <c r="W12" s="39" t="n"/>
      <c r="X12" s="39" t="n"/>
      <c r="Y12" s="39" t="n"/>
      <c r="Z12" s="39" t="n"/>
    </row>
    <row r="13" ht="32" customHeight="1">
      <c r="A13" s="39" t="n"/>
      <c r="B13" s="77" t="inlineStr">
        <is>
          <t>Reason</t>
        </is>
      </c>
      <c r="C13" s="152">
        <f>IF($Z$1=0,"Nothing actionable — review Blocked and Waiting items.",INDEX('Work Register'!O:O,$Z$1))</f>
        <v/>
      </c>
      <c r="D13" s="113" t="n"/>
      <c r="E13" s="114" t="n"/>
      <c r="F13" s="39" t="n"/>
      <c r="G13" s="39" t="n"/>
      <c r="H13" s="39" t="n"/>
      <c r="I13" s="39" t="n"/>
      <c r="J13" s="39" t="n"/>
      <c r="K13" s="39" t="n"/>
      <c r="L13" s="39" t="n"/>
      <c r="M13" s="39" t="n"/>
      <c r="N13" s="39" t="n"/>
      <c r="O13" s="39" t="n"/>
      <c r="P13" s="39" t="n"/>
      <c r="Q13" s="39" t="n"/>
      <c r="R13" s="39" t="n"/>
      <c r="S13" s="39" t="n"/>
      <c r="T13" s="39" t="n"/>
      <c r="U13" s="39" t="n"/>
      <c r="V13" s="39" t="n"/>
      <c r="W13" s="39" t="n"/>
      <c r="X13" s="39" t="n"/>
      <c r="Y13" s="39" t="n"/>
      <c r="Z13" s="39" t="n"/>
    </row>
    <row r="14" ht="20" customHeight="1">
      <c r="A14" s="39" t="n"/>
      <c r="B14" s="77" t="inlineStr">
        <is>
          <t>Estimated Duration</t>
        </is>
      </c>
      <c r="C14" s="152">
        <f>IF($Z$1=0,"—",INDEX('Work Register'!H:H,$Z$1))</f>
        <v/>
      </c>
      <c r="D14" s="113" t="n"/>
      <c r="E14" s="114" t="n"/>
      <c r="F14" s="39" t="n"/>
      <c r="G14" s="39" t="n"/>
      <c r="H14" s="39" t="n"/>
      <c r="I14" s="39" t="n"/>
      <c r="J14" s="39" t="n"/>
      <c r="K14" s="39" t="n"/>
      <c r="L14" s="39" t="n"/>
      <c r="M14" s="39" t="n"/>
      <c r="N14" s="39" t="n"/>
      <c r="O14" s="39" t="n"/>
      <c r="P14" s="39" t="n"/>
      <c r="Q14" s="39" t="n"/>
      <c r="R14" s="39" t="n"/>
      <c r="S14" s="39" t="n"/>
      <c r="T14" s="39" t="n"/>
      <c r="U14" s="39" t="n"/>
      <c r="V14" s="39" t="n"/>
      <c r="W14" s="39" t="n"/>
      <c r="X14" s="39" t="n"/>
      <c r="Y14" s="39" t="n"/>
      <c r="Z14" s="39" t="n"/>
    </row>
    <row r="15" ht="20" customHeight="1">
      <c r="A15" s="39" t="n"/>
      <c r="B15" s="77" t="inlineStr">
        <is>
          <t>Deliverable</t>
        </is>
      </c>
      <c r="C15" s="152">
        <f>IF($Z$1=0,"—",INDEX('Work Register'!B:B,$Z$1))</f>
        <v/>
      </c>
      <c r="D15" s="113" t="n"/>
      <c r="E15" s="114" t="n"/>
      <c r="F15" s="39" t="n"/>
      <c r="G15" s="39" t="n"/>
      <c r="H15" s="39" t="n"/>
      <c r="I15" s="39" t="n"/>
      <c r="J15" s="39" t="n"/>
      <c r="K15" s="39" t="n"/>
      <c r="L15" s="39" t="n"/>
      <c r="M15" s="39" t="n"/>
      <c r="N15" s="39" t="n"/>
      <c r="O15" s="39" t="n"/>
      <c r="P15" s="39" t="n"/>
      <c r="Q15" s="39" t="n"/>
      <c r="R15" s="39" t="n"/>
      <c r="S15" s="39" t="n"/>
      <c r="T15" s="39" t="n"/>
      <c r="U15" s="39" t="n"/>
      <c r="V15" s="39" t="n"/>
      <c r="W15" s="39" t="n"/>
      <c r="X15" s="39" t="n"/>
      <c r="Y15" s="39" t="n"/>
      <c r="Z15" s="39" t="n"/>
    </row>
    <row r="16" ht="20" customHeight="1">
      <c r="A16" s="39" t="n"/>
      <c r="B16" s="77" t="inlineStr">
        <is>
          <t>Energy Required</t>
        </is>
      </c>
      <c r="C16" s="152">
        <f>IF($Z$1=0,"—",INDEX('Work Register'!G:G,$Z$1))</f>
        <v/>
      </c>
      <c r="D16" s="113" t="n"/>
      <c r="E16" s="114" t="n"/>
      <c r="F16" s="39" t="n"/>
      <c r="G16" s="39" t="n"/>
      <c r="H16" s="39" t="n"/>
      <c r="I16" s="39" t="n"/>
      <c r="J16" s="39" t="n"/>
      <c r="K16" s="39" t="n"/>
      <c r="L16" s="39" t="n"/>
      <c r="M16" s="39" t="n"/>
      <c r="N16" s="39" t="n"/>
      <c r="O16" s="39" t="n"/>
      <c r="P16" s="39" t="n"/>
      <c r="Q16" s="39" t="n"/>
      <c r="R16" s="39" t="n"/>
      <c r="S16" s="39" t="n"/>
      <c r="T16" s="39" t="n"/>
      <c r="U16" s="39" t="n"/>
      <c r="V16" s="39" t="n"/>
      <c r="W16" s="39" t="n"/>
      <c r="X16" s="39" t="n"/>
      <c r="Y16" s="39" t="n"/>
      <c r="Z16" s="39" t="n"/>
    </row>
    <row r="17" ht="20" customHeight="1">
      <c r="A17" s="39" t="n"/>
      <c r="B17" s="77" t="inlineStr">
        <is>
          <t>Due Date</t>
        </is>
      </c>
      <c r="C17" s="152">
        <f>IF($Z$1=0,"—",IFERROR(TEXT(INDEX('Work Register'!I:I,$Z$1),"ddd d mmm"),"No due date"))</f>
        <v/>
      </c>
      <c r="D17" s="113" t="n"/>
      <c r="E17" s="114" t="n"/>
      <c r="F17" s="39" t="n"/>
      <c r="G17" s="39" t="n"/>
      <c r="H17" s="39" t="n"/>
      <c r="I17" s="39" t="n"/>
      <c r="J17" s="39" t="n"/>
      <c r="K17" s="39" t="n"/>
      <c r="L17" s="39" t="n"/>
      <c r="M17" s="39" t="n"/>
      <c r="N17" s="39" t="n"/>
      <c r="O17" s="39" t="n"/>
      <c r="P17" s="39" t="n"/>
      <c r="Q17" s="39" t="n"/>
      <c r="R17" s="39" t="n"/>
      <c r="S17" s="39" t="n"/>
      <c r="T17" s="39" t="n"/>
      <c r="U17" s="39" t="n"/>
      <c r="V17" s="39" t="n"/>
      <c r="W17" s="39" t="n"/>
      <c r="X17" s="39" t="n"/>
      <c r="Y17" s="39" t="n"/>
      <c r="Z17" s="39" t="n"/>
    </row>
    <row r="18" ht="20" customHeight="1">
      <c r="A18" s="39" t="n"/>
      <c r="B18" s="77" t="inlineStr">
        <is>
          <t>Status</t>
        </is>
      </c>
      <c r="C18" s="152">
        <f>IF($Z$1=0,"—",INDEX('Work Register'!E:E,$Z$1))</f>
        <v/>
      </c>
      <c r="D18" s="113" t="n"/>
      <c r="E18" s="114" t="n"/>
      <c r="F18" s="39" t="n"/>
      <c r="G18" s="39" t="n"/>
      <c r="H18" s="39" t="n"/>
      <c r="I18" s="39" t="n"/>
      <c r="J18" s="39" t="n"/>
      <c r="K18" s="39" t="n"/>
      <c r="L18" s="39" t="n"/>
      <c r="M18" s="39" t="n"/>
      <c r="N18" s="39" t="n"/>
      <c r="O18" s="39" t="n"/>
      <c r="P18" s="39" t="n"/>
      <c r="Q18" s="39" t="n"/>
      <c r="R18" s="39" t="n"/>
      <c r="S18" s="39" t="n"/>
      <c r="T18" s="39" t="n"/>
      <c r="U18" s="39" t="n"/>
      <c r="V18" s="39" t="n"/>
      <c r="W18" s="39" t="n"/>
      <c r="X18" s="39" t="n"/>
      <c r="Y18" s="39" t="n"/>
      <c r="Z18" s="39" t="n"/>
    </row>
    <row r="19">
      <c r="A19" s="39" t="n"/>
      <c r="B19" s="39" t="n"/>
      <c r="C19" s="39" t="n"/>
      <c r="D19" s="39" t="n"/>
      <c r="E19" s="39" t="n"/>
      <c r="F19" s="39" t="n"/>
      <c r="G19" s="39" t="n"/>
      <c r="H19" s="39" t="n"/>
      <c r="I19" s="39" t="n"/>
      <c r="J19" s="39" t="n"/>
      <c r="K19" s="39" t="n"/>
      <c r="L19" s="39" t="n"/>
      <c r="M19" s="39" t="n"/>
      <c r="N19" s="39" t="n"/>
      <c r="O19" s="39" t="n"/>
      <c r="P19" s="39" t="n"/>
      <c r="Q19" s="39" t="n"/>
      <c r="R19" s="39" t="n"/>
      <c r="S19" s="39" t="n"/>
      <c r="T19" s="39" t="n"/>
      <c r="U19" s="39" t="n"/>
      <c r="V19" s="39" t="n"/>
      <c r="W19" s="39" t="n"/>
      <c r="X19" s="39" t="n"/>
      <c r="Y19" s="39" t="n"/>
      <c r="Z19" s="39" t="n"/>
    </row>
    <row r="20">
      <c r="A20" s="39" t="n"/>
      <c r="B20" s="101" t="inlineStr">
        <is>
          <t>Active Missions</t>
        </is>
      </c>
      <c r="C20" s="101" t="inlineStr">
        <is>
          <t>Due Today</t>
        </is>
      </c>
      <c r="D20" s="101" t="inlineStr">
        <is>
          <t>Blocked</t>
        </is>
      </c>
      <c r="E20" s="101" t="inlineStr">
        <is>
          <t>Waiting</t>
        </is>
      </c>
      <c r="F20" s="101" t="inlineStr">
        <is>
          <t>Completed This Week</t>
        </is>
      </c>
      <c r="G20" s="39" t="n"/>
      <c r="H20" s="39" t="n"/>
      <c r="I20" s="39" t="n"/>
      <c r="J20" s="39" t="n"/>
      <c r="K20" s="39" t="n"/>
      <c r="L20" s="39" t="n"/>
      <c r="M20" s="39" t="n"/>
      <c r="N20" s="39" t="n"/>
      <c r="O20" s="39" t="n"/>
      <c r="P20" s="39" t="n"/>
      <c r="Q20" s="39" t="n"/>
      <c r="R20" s="39" t="n"/>
      <c r="S20" s="39" t="n"/>
      <c r="T20" s="39" t="n"/>
      <c r="U20" s="39" t="n"/>
      <c r="V20" s="39" t="n"/>
      <c r="W20" s="39" t="n"/>
      <c r="X20" s="39" t="n"/>
      <c r="Y20" s="39" t="n"/>
      <c r="Z20" s="39" t="n"/>
    </row>
    <row r="21" ht="20" customHeight="1">
      <c r="A21" s="39" t="n"/>
      <c r="B21" s="102">
        <f>COUNTIFS('Work Register'!$E:$E,"&lt;&gt;Done",'Work Register'!$E:$E,"&lt;&gt;Archive",'Work Register'!$E:$E,"&lt;&gt;Blocked")</f>
        <v/>
      </c>
      <c r="C21" s="102">
        <f>COUNTIFS('Work Register'!$I:$I,"&gt;="&amp;TODAY(),'Work Register'!$I:$I,"&lt;"&amp;TODAY()+1,'Work Register'!$E:$E,"&lt;&gt;Done")</f>
        <v/>
      </c>
      <c r="D21" s="102">
        <f>COUNTIF('Work Register'!$E:$E,"Blocked")</f>
        <v/>
      </c>
      <c r="E21" s="103">
        <f>COUNTIF('Work Register'!$E:$E,"Waiting")</f>
        <v/>
      </c>
      <c r="F21" s="102">
        <f>COUNTIFS('Work Register'!$E:$E,"Done",'Work Register'!$L:$L,"&gt;="&amp;(TODAY()-WEEKDAY(TODAY(),3)))</f>
        <v/>
      </c>
      <c r="G21" s="39" t="n"/>
      <c r="H21" s="39" t="n"/>
      <c r="I21" s="39" t="n"/>
      <c r="J21" s="39" t="n"/>
      <c r="K21" s="39" t="n"/>
      <c r="L21" s="39" t="n"/>
      <c r="M21" s="39" t="n"/>
      <c r="N21" s="39" t="n"/>
      <c r="O21" s="39" t="n"/>
      <c r="P21" s="39" t="n"/>
      <c r="Q21" s="39" t="n"/>
      <c r="R21" s="39" t="n"/>
      <c r="S21" s="39" t="n"/>
      <c r="T21" s="39" t="n"/>
      <c r="U21" s="39" t="n"/>
      <c r="V21" s="39" t="n"/>
      <c r="W21" s="39" t="n"/>
      <c r="X21" s="39" t="n"/>
      <c r="Y21" s="39" t="n"/>
      <c r="Z21" s="39" t="n"/>
    </row>
    <row r="22" ht="20" customHeight="1">
      <c r="A22" s="39" t="n"/>
      <c r="B22" s="39" t="inlineStr">
        <is>
          <t>#'Weekly Review'!A1</t>
        </is>
      </c>
      <c r="C22" s="39" t="n"/>
      <c r="D22" s="39" t="n"/>
      <c r="E22" s="104" t="n"/>
      <c r="F22" s="39" t="n"/>
      <c r="G22" s="39" t="n"/>
      <c r="H22" s="39" t="n"/>
      <c r="I22" s="39" t="n"/>
      <c r="J22" s="39" t="n"/>
      <c r="K22" s="39" t="n"/>
      <c r="L22" s="39" t="n"/>
      <c r="M22" s="39" t="n"/>
      <c r="N22" s="39" t="n"/>
      <c r="O22" s="39" t="n"/>
      <c r="P22" s="39" t="n"/>
      <c r="Q22" s="39" t="n"/>
      <c r="R22" s="39" t="n"/>
      <c r="S22" s="39" t="n"/>
      <c r="T22" s="39" t="n"/>
      <c r="U22" s="39" t="n"/>
      <c r="V22" s="39" t="n"/>
      <c r="W22" s="39" t="n"/>
      <c r="X22" s="39" t="n"/>
      <c r="Y22" s="39" t="n"/>
      <c r="Z22" s="39" t="n"/>
    </row>
    <row r="23" ht="20" customHeight="1">
      <c r="A23" s="39" t="n"/>
      <c r="B23" s="89" t="inlineStr">
        <is>
          <t>Workload Balance</t>
        </is>
      </c>
      <c r="C23" s="39" t="n"/>
      <c r="D23" s="39" t="n"/>
      <c r="E23" s="104" t="n"/>
      <c r="F23" s="39" t="n"/>
      <c r="G23" s="39" t="n"/>
      <c r="H23" s="39" t="n"/>
      <c r="I23" s="39" t="n"/>
      <c r="J23" s="39" t="n"/>
      <c r="K23" s="39" t="n"/>
      <c r="L23" s="39" t="n"/>
      <c r="M23" s="39" t="n"/>
      <c r="N23" s="39" t="n"/>
      <c r="O23" s="39" t="n"/>
      <c r="P23" s="39" t="n"/>
      <c r="Q23" s="39" t="n"/>
      <c r="R23" s="39" t="n"/>
      <c r="S23" s="39" t="n"/>
      <c r="T23" s="39" t="n"/>
      <c r="U23" s="39" t="n"/>
      <c r="V23" s="39" t="n"/>
      <c r="W23" s="39" t="n"/>
      <c r="X23" s="39" t="n"/>
      <c r="Y23" s="39" t="n"/>
      <c r="Z23" s="39" t="n"/>
    </row>
    <row r="24">
      <c r="A24" s="39" t="n"/>
      <c r="B24" s="94" t="inlineStr">
        <is>
          <t>Energy</t>
        </is>
      </c>
      <c r="C24" s="94" t="inlineStr">
        <is>
          <t>Tasks</t>
        </is>
      </c>
      <c r="D24" s="94" t="inlineStr">
        <is>
          <t>Hours</t>
        </is>
      </c>
      <c r="E24" s="105" t="inlineStr">
        <is>
          <t>% of Active</t>
        </is>
      </c>
      <c r="F24" s="39" t="n"/>
      <c r="G24" s="39" t="n"/>
      <c r="H24" s="39" t="n"/>
      <c r="I24" s="39" t="n"/>
      <c r="J24" s="39" t="n"/>
      <c r="K24" s="39" t="n"/>
      <c r="L24" s="39" t="n"/>
      <c r="M24" s="39" t="n"/>
      <c r="N24" s="39" t="n"/>
      <c r="O24" s="39" t="n"/>
      <c r="P24" s="39" t="n"/>
      <c r="Q24" s="39" t="n"/>
      <c r="R24" s="39" t="n"/>
      <c r="S24" s="39" t="n"/>
      <c r="T24" s="39" t="n"/>
      <c r="U24" s="39" t="n"/>
      <c r="V24" s="39" t="n"/>
      <c r="W24" s="39" t="n"/>
      <c r="X24" s="39" t="n"/>
      <c r="Y24" s="39" t="n"/>
      <c r="Z24" s="39" t="n"/>
    </row>
    <row r="25">
      <c r="A25" s="39" t="n"/>
      <c r="B25" s="106" t="inlineStr">
        <is>
          <t>Deep Thinking</t>
        </is>
      </c>
      <c r="C25" s="93">
        <f>SUMPRODUCT(('Work Register'!$G$5:$G$500="Deep Thinking")*(('Work Register'!$E$5:$E$500="Captured")+('Work Register'!$E$5:$E$500="Next")+('Work Register'!$E$5:$E$500="In Progress")+('Work Register'!$E$5:$E$500="Waiting")))</f>
        <v/>
      </c>
      <c r="D25" s="93">
        <f>ROUND(SUMPRODUCT(('Work Register'!$G$5:$G$500="Deep Thinking")*(('Work Register'!$E$5:$E$500="Captured")+('Work Register'!$E$5:$E$500="Next")+('Work Register'!$E$5:$E$500="In Progress")+('Work Register'!$E$5:$E$500="Waiting"))*'Work Register'!$M$5:$M$500)/60,1)</f>
        <v/>
      </c>
      <c r="E25" s="107">
        <f>IFERROR($D25/$D$30,0)</f>
        <v/>
      </c>
      <c r="F25" s="39" t="n"/>
      <c r="G25" s="39" t="n"/>
      <c r="H25" s="39" t="n"/>
      <c r="I25" s="39" t="n"/>
      <c r="J25" s="39" t="n"/>
      <c r="K25" s="39" t="n"/>
      <c r="L25" s="39" t="n"/>
      <c r="M25" s="39" t="n"/>
      <c r="N25" s="39" t="n"/>
      <c r="O25" s="39" t="n"/>
      <c r="P25" s="39" t="n"/>
      <c r="Q25" s="39" t="n"/>
      <c r="R25" s="39" t="n"/>
      <c r="S25" s="39" t="n"/>
      <c r="T25" s="39" t="n"/>
      <c r="U25" s="39" t="n"/>
      <c r="V25" s="39" t="n"/>
      <c r="W25" s="39" t="n"/>
      <c r="X25" s="39" t="n"/>
      <c r="Y25" s="39" t="n"/>
      <c r="Z25" s="39" t="n"/>
    </row>
    <row r="26">
      <c r="A26" s="39" t="n"/>
      <c r="B26" s="106" t="inlineStr">
        <is>
          <t>Processing</t>
        </is>
      </c>
      <c r="C26" s="93">
        <f>SUMPRODUCT(('Work Register'!$G$5:$G$500="Processing")*(('Work Register'!$E$5:$E$500="Captured")+('Work Register'!$E$5:$E$500="Next")+('Work Register'!$E$5:$E$500="In Progress")+('Work Register'!$E$5:$E$500="Waiting")))</f>
        <v/>
      </c>
      <c r="D26" s="93">
        <f>ROUND(SUMPRODUCT(('Work Register'!$G$5:$G$500="Processing")*(('Work Register'!$E$5:$E$500="Captured")+('Work Register'!$E$5:$E$500="Next")+('Work Register'!$E$5:$E$500="In Progress")+('Work Register'!$E$5:$E$500="Waiting"))*'Work Register'!$M$5:$M$500)/60,1)</f>
        <v/>
      </c>
      <c r="E26" s="107">
        <f>IFERROR($D26/$D$30,0)</f>
        <v/>
      </c>
      <c r="F26" s="39" t="n"/>
      <c r="G26" s="39" t="n"/>
      <c r="H26" s="39" t="n"/>
      <c r="I26" s="39" t="n"/>
      <c r="J26" s="39" t="n"/>
      <c r="K26" s="39" t="n"/>
      <c r="L26" s="39" t="n"/>
      <c r="M26" s="39" t="n"/>
      <c r="N26" s="39" t="n"/>
      <c r="O26" s="39" t="n"/>
      <c r="P26" s="39" t="n"/>
      <c r="Q26" s="39" t="n"/>
      <c r="R26" s="39" t="n"/>
      <c r="S26" s="39" t="n"/>
      <c r="T26" s="39" t="n"/>
      <c r="U26" s="39" t="n"/>
      <c r="V26" s="39" t="n"/>
      <c r="W26" s="39" t="n"/>
      <c r="X26" s="39" t="n"/>
      <c r="Y26" s="39" t="n"/>
      <c r="Z26" s="39" t="n"/>
    </row>
    <row r="27">
      <c r="A27" s="39" t="n"/>
      <c r="B27" s="106" t="inlineStr">
        <is>
          <t>Admin</t>
        </is>
      </c>
      <c r="C27" s="93">
        <f>SUMPRODUCT(('Work Register'!$G$5:$G$500="Admin")*(('Work Register'!$E$5:$E$500="Captured")+('Work Register'!$E$5:$E$500="Next")+('Work Register'!$E$5:$E$500="In Progress")+('Work Register'!$E$5:$E$500="Waiting")))</f>
        <v/>
      </c>
      <c r="D27" s="93">
        <f>ROUND(SUMPRODUCT(('Work Register'!$G$5:$G$500="Admin")*(('Work Register'!$E$5:$E$500="Captured")+('Work Register'!$E$5:$E$500="Next")+('Work Register'!$E$5:$E$500="In Progress")+('Work Register'!$E$5:$E$500="Waiting"))*'Work Register'!$M$5:$M$500)/60,1)</f>
        <v/>
      </c>
      <c r="E27" s="107">
        <f>IFERROR($D27/$D$30,0)</f>
        <v/>
      </c>
      <c r="F27" s="39" t="n"/>
      <c r="G27" s="39" t="n"/>
      <c r="H27" s="39" t="n"/>
      <c r="I27" s="39" t="n"/>
      <c r="J27" s="39" t="n"/>
      <c r="K27" s="39" t="n"/>
      <c r="L27" s="39" t="n"/>
      <c r="M27" s="39" t="n"/>
      <c r="N27" s="39" t="n"/>
      <c r="O27" s="39" t="n"/>
      <c r="P27" s="39" t="n"/>
      <c r="Q27" s="39" t="n"/>
      <c r="R27" s="39" t="n"/>
      <c r="S27" s="39" t="n"/>
      <c r="T27" s="39" t="n"/>
      <c r="U27" s="39" t="n"/>
      <c r="V27" s="39" t="n"/>
      <c r="W27" s="39" t="n"/>
      <c r="X27" s="39" t="n"/>
      <c r="Y27" s="39" t="n"/>
      <c r="Z27" s="39" t="n"/>
    </row>
    <row r="28">
      <c r="A28" s="39" t="n"/>
      <c r="B28" s="106" t="inlineStr">
        <is>
          <t>Meeting</t>
        </is>
      </c>
      <c r="C28" s="93">
        <f>SUMPRODUCT(('Work Register'!$G$5:$G$500="Meeting")*(('Work Register'!$E$5:$E$500="Captured")+('Work Register'!$E$5:$E$500="Next")+('Work Register'!$E$5:$E$500="In Progress")+('Work Register'!$E$5:$E$500="Waiting")))</f>
        <v/>
      </c>
      <c r="D28" s="93">
        <f>ROUND(SUMPRODUCT(('Work Register'!$G$5:$G$500="Meeting")*(('Work Register'!$E$5:$E$500="Captured")+('Work Register'!$E$5:$E$500="Next")+('Work Register'!$E$5:$E$500="In Progress")+('Work Register'!$E$5:$E$500="Waiting"))*'Work Register'!$M$5:$M$500)/60,1)</f>
        <v/>
      </c>
      <c r="E28" s="107">
        <f>IFERROR($D28/$D$30,0)</f>
        <v/>
      </c>
      <c r="F28" s="39" t="n"/>
      <c r="G28" s="39" t="n"/>
      <c r="H28" s="39" t="n"/>
      <c r="I28" s="39" t="n"/>
      <c r="J28" s="39" t="n"/>
      <c r="K28" s="39" t="n"/>
      <c r="L28" s="39" t="n"/>
      <c r="M28" s="39" t="n"/>
      <c r="N28" s="39" t="n"/>
      <c r="O28" s="39" t="n"/>
      <c r="P28" s="39" t="n"/>
      <c r="Q28" s="39" t="n"/>
      <c r="R28" s="39" t="n"/>
      <c r="S28" s="39" t="n"/>
      <c r="T28" s="39" t="n"/>
      <c r="U28" s="39" t="n"/>
      <c r="V28" s="39" t="n"/>
      <c r="W28" s="39" t="n"/>
      <c r="X28" s="39" t="n"/>
      <c r="Y28" s="39" t="n"/>
      <c r="Z28" s="39" t="n"/>
    </row>
    <row r="29" ht="24" customHeight="1">
      <c r="A29" s="39" t="n"/>
      <c r="B29" s="106" t="inlineStr">
        <is>
          <t>Low Energy</t>
        </is>
      </c>
      <c r="C29" s="93">
        <f>SUMPRODUCT(('Work Register'!$G$5:$G$500="Low Energy")*(('Work Register'!$E$5:$E$500="Captured")+('Work Register'!$E$5:$E$500="Next")+('Work Register'!$E$5:$E$500="In Progress")+('Work Register'!$E$5:$E$500="Waiting")))</f>
        <v/>
      </c>
      <c r="D29" s="93">
        <f>ROUND(SUMPRODUCT(('Work Register'!$G$5:$G$500="Low Energy")*(('Work Register'!$E$5:$E$500="Captured")+('Work Register'!$E$5:$E$500="Next")+('Work Register'!$E$5:$E$500="In Progress")+('Work Register'!$E$5:$E$500="Waiting"))*'Work Register'!$M$5:$M$500)/60,1)</f>
        <v/>
      </c>
      <c r="E29" s="107">
        <f>IFERROR($D29/$D$30,0)</f>
        <v/>
      </c>
      <c r="F29" s="39" t="n"/>
      <c r="G29" s="39" t="n"/>
      <c r="H29" s="39" t="n"/>
      <c r="I29" s="39" t="n"/>
      <c r="J29" s="39" t="n"/>
      <c r="K29" s="39" t="n"/>
      <c r="L29" s="39" t="n"/>
      <c r="M29" s="39" t="n"/>
      <c r="N29" s="39" t="n"/>
      <c r="O29" s="39" t="n"/>
      <c r="P29" s="39" t="n"/>
      <c r="Q29" s="39" t="n"/>
      <c r="R29" s="39" t="n"/>
      <c r="S29" s="39" t="n"/>
      <c r="T29" s="39" t="n"/>
      <c r="U29" s="39" t="n"/>
      <c r="V29" s="39" t="n"/>
      <c r="W29" s="39" t="n"/>
      <c r="X29" s="39" t="n"/>
      <c r="Y29" s="39" t="n"/>
      <c r="Z29" s="39" t="n"/>
    </row>
    <row r="30">
      <c r="A30" s="39" t="n"/>
      <c r="B30" s="108" t="inlineStr">
        <is>
          <t>Total</t>
        </is>
      </c>
      <c r="C30" s="109">
        <f>SUM(C25:C29)</f>
        <v/>
      </c>
      <c r="D30" s="109">
        <f>SUM(D25:D29)</f>
        <v/>
      </c>
      <c r="E30" s="110">
        <f>IFERROR(SUM(E25:E29),0)</f>
        <v/>
      </c>
      <c r="F30" s="39" t="n"/>
      <c r="G30" s="39" t="n"/>
      <c r="H30" s="39" t="n"/>
      <c r="I30" s="39" t="n"/>
      <c r="J30" s="39" t="n"/>
      <c r="K30" s="39" t="n"/>
      <c r="L30" s="39" t="n"/>
      <c r="M30" s="39" t="n"/>
      <c r="N30" s="39" t="n"/>
      <c r="O30" s="39" t="n"/>
      <c r="P30" s="39" t="n"/>
      <c r="Q30" s="39" t="n"/>
      <c r="R30" s="39" t="n"/>
      <c r="S30" s="39" t="n"/>
      <c r="T30" s="39" t="n"/>
      <c r="U30" s="39" t="n"/>
      <c r="V30" s="39" t="n"/>
      <c r="W30" s="39" t="n"/>
      <c r="X30" s="39" t="n"/>
      <c r="Y30" s="39" t="n"/>
      <c r="Z30" s="39" t="n"/>
    </row>
    <row r="31">
      <c r="A31" s="39" t="n"/>
      <c r="B31" s="39" t="n"/>
      <c r="C31" s="39" t="n"/>
      <c r="D31" s="39" t="n"/>
      <c r="E31" s="39" t="n"/>
      <c r="F31" s="39" t="n"/>
      <c r="G31" s="39" t="n"/>
      <c r="H31" s="39" t="n"/>
      <c r="I31" s="39" t="n"/>
      <c r="J31" s="39" t="n"/>
      <c r="K31" s="39" t="n"/>
      <c r="L31" s="39" t="n"/>
      <c r="M31" s="39" t="n"/>
      <c r="N31" s="39" t="n"/>
      <c r="O31" s="39" t="n"/>
      <c r="P31" s="39" t="n"/>
      <c r="Q31" s="39" t="n"/>
      <c r="R31" s="39" t="n"/>
      <c r="S31" s="39" t="n"/>
      <c r="T31" s="39" t="n"/>
      <c r="U31" s="39" t="n"/>
      <c r="V31" s="39" t="n"/>
      <c r="W31" s="39" t="n"/>
      <c r="X31" s="39" t="n"/>
      <c r="Y31" s="39" t="n"/>
      <c r="Z31" s="39" t="n"/>
    </row>
    <row r="32">
      <c r="A32" s="39" t="n"/>
      <c r="B32" s="89" t="inlineStr">
        <is>
          <t>Today is Best Suited To</t>
        </is>
      </c>
      <c r="C32" s="39" t="n"/>
      <c r="D32" s="39" t="n"/>
      <c r="E32" s="39" t="n"/>
      <c r="F32" s="39" t="n"/>
      <c r="G32" s="39" t="n"/>
      <c r="H32" s="39" t="n"/>
      <c r="I32" s="39" t="n"/>
      <c r="J32" s="39" t="n"/>
      <c r="K32" s="39" t="n"/>
      <c r="L32" s="39" t="n"/>
      <c r="M32" s="39" t="n"/>
      <c r="N32" s="39" t="n"/>
      <c r="O32" s="39" t="n"/>
      <c r="P32" s="39" t="n"/>
      <c r="Q32" s="39" t="n"/>
      <c r="R32" s="39" t="n"/>
      <c r="S32" s="39" t="n"/>
      <c r="T32" s="39" t="n"/>
      <c r="U32" s="39" t="n"/>
      <c r="V32" s="39" t="n"/>
      <c r="W32" s="39" t="n"/>
      <c r="X32" s="39" t="n"/>
      <c r="Y32" s="39" t="n"/>
      <c r="Z32" s="39" t="n"/>
    </row>
    <row r="33" ht="24" customHeight="1">
      <c r="A33" s="39" t="n"/>
      <c r="B33" s="154">
        <f>IFERROR(VLOOKUP(INDEX($B$25:$B$29,MATCH(MAX($D$25:$D$29),$D$25:$D$29,0)),Lists!$P$2:$Q$6,2,FALSE),"Add tasks to Work Register to see a recommendation")</f>
        <v/>
      </c>
      <c r="C33" s="113" t="n"/>
      <c r="D33" s="113" t="n"/>
      <c r="E33" s="114" t="n"/>
      <c r="F33" s="39" t="n"/>
      <c r="G33" s="39" t="n"/>
      <c r="H33" s="39" t="n"/>
      <c r="I33" s="39" t="n"/>
      <c r="J33" s="39" t="n"/>
      <c r="K33" s="39" t="n"/>
      <c r="L33" s="39" t="n"/>
      <c r="M33" s="39" t="n"/>
      <c r="N33" s="39" t="n"/>
      <c r="O33" s="39" t="n"/>
      <c r="P33" s="39" t="n"/>
      <c r="Q33" s="39" t="n"/>
      <c r="R33" s="39" t="n"/>
      <c r="S33" s="39" t="n"/>
      <c r="T33" s="39" t="n"/>
      <c r="U33" s="39" t="n"/>
      <c r="V33" s="39" t="n"/>
      <c r="W33" s="39" t="n"/>
      <c r="X33" s="39" t="n"/>
      <c r="Y33" s="39" t="n"/>
      <c r="Z33" s="39" t="n"/>
    </row>
    <row r="34">
      <c r="A34" s="39" t="n"/>
      <c r="B34" s="39" t="n"/>
      <c r="C34" s="39" t="n"/>
      <c r="D34" s="39" t="n"/>
      <c r="E34" s="39" t="n"/>
      <c r="F34" s="39" t="n"/>
      <c r="G34" s="39" t="n"/>
      <c r="H34" s="39" t="n"/>
      <c r="I34" s="39" t="n"/>
      <c r="J34" s="39" t="n"/>
      <c r="K34" s="39" t="n"/>
      <c r="L34" s="39" t="n"/>
      <c r="M34" s="39" t="n"/>
      <c r="N34" s="39" t="n"/>
      <c r="O34" s="39" t="n"/>
      <c r="P34" s="39" t="n"/>
      <c r="Q34" s="39" t="n"/>
      <c r="R34" s="39" t="n"/>
      <c r="S34" s="39" t="n"/>
      <c r="T34" s="39" t="n"/>
      <c r="U34" s="39" t="n"/>
      <c r="V34" s="39" t="n"/>
      <c r="W34" s="39" t="n"/>
      <c r="X34" s="39" t="n"/>
      <c r="Y34" s="39" t="n"/>
      <c r="Z34" s="39" t="n"/>
    </row>
    <row r="35">
      <c r="A35" s="39" t="n"/>
      <c r="B35" s="89" t="inlineStr">
        <is>
          <t>Needs Attention</t>
        </is>
      </c>
      <c r="C35" s="39" t="n"/>
      <c r="D35" s="39" t="n"/>
      <c r="E35" s="39" t="n"/>
      <c r="F35" s="39" t="n"/>
      <c r="G35" s="39" t="n"/>
      <c r="H35" s="39" t="n"/>
      <c r="I35" s="39" t="n"/>
      <c r="J35" s="39" t="n"/>
      <c r="K35" s="39" t="n"/>
      <c r="L35" s="39" t="n"/>
      <c r="M35" s="39" t="n"/>
      <c r="N35" s="39" t="n"/>
      <c r="O35" s="39" t="n"/>
      <c r="P35" s="39" t="n"/>
      <c r="Q35" s="39" t="n"/>
      <c r="R35" s="39" t="n"/>
      <c r="S35" s="39" t="n"/>
      <c r="T35" s="39" t="n"/>
      <c r="U35" s="39" t="n"/>
      <c r="V35" s="39" t="n"/>
      <c r="W35" s="39" t="n"/>
      <c r="X35" s="39" t="n"/>
      <c r="Y35" s="39" t="n"/>
      <c r="Z35" s="39" t="n"/>
    </row>
    <row r="36" ht="20" customHeight="1">
      <c r="A36" s="39" t="n"/>
      <c r="B36" s="155">
        <f>COUNTIF(Missions!$O$2:$O$9,TRUE)&amp;" active warning(s)"</f>
        <v/>
      </c>
      <c r="C36" s="113" t="n"/>
      <c r="D36" s="113" t="n"/>
      <c r="E36" s="114" t="n"/>
      <c r="F36" s="39" t="inlineStr">
        <is>
          <t>#Archive!A1</t>
        </is>
      </c>
      <c r="G36" s="39" t="n"/>
      <c r="H36" s="39" t="n"/>
      <c r="I36" s="39" t="n"/>
      <c r="J36" s="39" t="n"/>
      <c r="K36" s="39" t="n"/>
      <c r="L36" s="39" t="n"/>
      <c r="M36" s="39" t="n"/>
      <c r="N36" s="39" t="n"/>
      <c r="O36" s="39" t="n"/>
      <c r="P36" s="39" t="n"/>
      <c r="Q36" s="39" t="n"/>
      <c r="R36" s="39" t="n"/>
      <c r="S36" s="39" t="n"/>
      <c r="T36" s="39" t="n"/>
      <c r="U36" s="39" t="n"/>
      <c r="V36" s="39" t="n"/>
      <c r="W36" s="39" t="n"/>
      <c r="X36" s="39" t="n"/>
      <c r="Y36" s="39" t="n"/>
      <c r="Z36" s="39" t="n"/>
    </row>
    <row r="37" ht="26" customHeight="1">
      <c r="A37" s="39" t="n"/>
      <c r="B37" s="115">
        <f>IFERROR(IF($Z$2="","",IF(LEFT($Z$2,2)="; ",MID($Z$2,3,9999),$Z$2)),"")</f>
        <v/>
      </c>
      <c r="F37" s="39" t="n"/>
      <c r="G37" s="39" t="n"/>
      <c r="H37" s="39" t="n"/>
      <c r="I37" s="39" t="n"/>
      <c r="J37" s="39" t="n"/>
      <c r="K37" s="39" t="n"/>
      <c r="L37" s="39" t="n"/>
      <c r="M37" s="39" t="n"/>
      <c r="N37" s="39" t="n"/>
      <c r="O37" s="39" t="n"/>
      <c r="P37" s="39" t="n"/>
      <c r="Q37" s="39" t="n"/>
      <c r="R37" s="39" t="n"/>
      <c r="S37" s="39" t="n"/>
      <c r="T37" s="39" t="n"/>
      <c r="U37" s="39" t="n"/>
      <c r="V37" s="39" t="n"/>
      <c r="W37" s="39" t="n"/>
      <c r="X37" s="39" t="n"/>
      <c r="Y37" s="39" t="n"/>
      <c r="Z37" s="39" t="n"/>
    </row>
    <row r="38">
      <c r="A38" s="39" t="n"/>
      <c r="B38" s="39" t="n"/>
      <c r="C38" s="39" t="n"/>
      <c r="D38" s="39" t="n"/>
      <c r="E38" s="39" t="n"/>
      <c r="F38" s="39" t="n"/>
      <c r="G38" s="39" t="n"/>
      <c r="H38" s="39" t="n"/>
      <c r="I38" s="39" t="n"/>
      <c r="J38" s="39" t="n"/>
      <c r="K38" s="39" t="n"/>
      <c r="L38" s="39" t="n"/>
      <c r="M38" s="39" t="n"/>
      <c r="N38" s="39" t="n"/>
      <c r="O38" s="39" t="n"/>
      <c r="P38" s="39" t="n"/>
      <c r="Q38" s="39" t="n"/>
      <c r="R38" s="39" t="n"/>
      <c r="S38" s="39" t="n"/>
      <c r="T38" s="39" t="n"/>
      <c r="U38" s="39" t="n"/>
      <c r="V38" s="39" t="n"/>
      <c r="W38" s="39" t="n"/>
      <c r="X38" s="39" t="n"/>
      <c r="Y38" s="39" t="n"/>
      <c r="Z38" s="39" t="n"/>
    </row>
    <row r="39">
      <c r="A39" s="39" t="n"/>
      <c r="B39" s="89" t="inlineStr">
        <is>
          <t>Quick Access</t>
        </is>
      </c>
      <c r="C39" s="39" t="n"/>
      <c r="D39" s="39" t="n"/>
      <c r="E39" s="39" t="n"/>
      <c r="F39" s="39" t="n"/>
      <c r="G39" s="39" t="n"/>
      <c r="H39" s="39" t="n"/>
      <c r="I39" s="39" t="n"/>
      <c r="J39" s="39" t="n"/>
      <c r="K39" s="39" t="n"/>
      <c r="L39" s="39" t="n"/>
      <c r="M39" s="39" t="n"/>
      <c r="N39" s="39" t="n"/>
      <c r="O39" s="39" t="n"/>
      <c r="P39" s="39" t="n"/>
      <c r="Q39" s="39" t="n"/>
      <c r="R39" s="39" t="n"/>
      <c r="S39" s="39" t="n"/>
      <c r="T39" s="39" t="n"/>
      <c r="U39" s="39" t="n"/>
      <c r="V39" s="39" t="n"/>
      <c r="W39" s="39" t="n"/>
      <c r="X39" s="39" t="n"/>
      <c r="Y39" s="39" t="n"/>
      <c r="Z39" s="39" t="n"/>
    </row>
    <row r="40" ht="20" customHeight="1">
      <c r="A40" s="39" t="n"/>
      <c r="B40" s="116" t="inlineStr">
        <is>
          <t>Current Focus</t>
        </is>
      </c>
      <c r="C40" s="116" t="inlineStr">
        <is>
          <t>Weekly Review</t>
        </is>
      </c>
      <c r="D40" s="116" t="inlineStr">
        <is>
          <t>Task Finder</t>
        </is>
      </c>
      <c r="E40" s="116" t="inlineStr">
        <is>
          <t>Missions</t>
        </is>
      </c>
      <c r="F40" s="116" t="inlineStr">
        <is>
          <t>Archive</t>
        </is>
      </c>
      <c r="G40" s="39" t="n"/>
      <c r="H40" s="39" t="n"/>
      <c r="I40" s="39" t="n"/>
      <c r="J40" s="39" t="n"/>
      <c r="K40" s="39" t="n"/>
      <c r="L40" s="39" t="n"/>
      <c r="M40" s="39" t="n"/>
      <c r="N40" s="39" t="n"/>
      <c r="O40" s="39" t="n"/>
      <c r="P40" s="39" t="n"/>
      <c r="Q40" s="39" t="n"/>
      <c r="R40" s="39" t="n"/>
      <c r="S40" s="39" t="n"/>
      <c r="T40" s="39" t="n"/>
      <c r="U40" s="39" t="n"/>
      <c r="V40" s="39" t="n"/>
      <c r="W40" s="39" t="n"/>
      <c r="X40" s="39" t="n"/>
      <c r="Y40" s="39" t="n"/>
      <c r="Z40" s="39" t="n"/>
    </row>
    <row r="41">
      <c r="A41" s="39" t="n"/>
      <c r="B41" s="39" t="n"/>
      <c r="C41" s="39" t="n"/>
      <c r="D41" s="39" t="n"/>
      <c r="E41" s="39" t="n"/>
      <c r="F41" s="39" t="n"/>
      <c r="G41" s="39" t="n"/>
      <c r="H41" s="39" t="n"/>
      <c r="I41" s="39" t="n"/>
      <c r="J41" s="39" t="n"/>
      <c r="K41" s="39" t="n"/>
      <c r="L41" s="39" t="n"/>
      <c r="M41" s="39" t="n"/>
      <c r="N41" s="39" t="n"/>
      <c r="O41" s="39" t="n"/>
      <c r="P41" s="39" t="n"/>
      <c r="Q41" s="39" t="n"/>
      <c r="R41" s="39" t="n"/>
      <c r="S41" s="39" t="n"/>
      <c r="T41" s="39" t="n"/>
      <c r="U41" s="39" t="n"/>
      <c r="V41" s="39" t="n"/>
      <c r="W41" s="39" t="n"/>
      <c r="X41" s="39" t="n"/>
      <c r="Y41" s="39" t="n"/>
      <c r="Z41" s="39" t="n"/>
    </row>
    <row r="42">
      <c r="A42" s="39" t="n"/>
      <c r="B42" s="39" t="n"/>
      <c r="C42" s="39" t="n"/>
      <c r="D42" s="39" t="n"/>
      <c r="E42" s="39" t="n"/>
      <c r="F42" s="39" t="n"/>
      <c r="G42" s="39" t="n"/>
      <c r="H42" s="39" t="n"/>
      <c r="I42" s="39" t="n"/>
      <c r="J42" s="39" t="n"/>
      <c r="K42" s="39" t="n"/>
      <c r="L42" s="39" t="n"/>
      <c r="M42" s="39" t="n"/>
      <c r="N42" s="39" t="n"/>
      <c r="O42" s="39" t="n"/>
      <c r="P42" s="39" t="n"/>
      <c r="Q42" s="39" t="n"/>
      <c r="R42" s="39" t="n"/>
      <c r="S42" s="39" t="n"/>
      <c r="T42" s="39" t="n"/>
      <c r="U42" s="39" t="n"/>
      <c r="V42" s="39" t="n"/>
      <c r="W42" s="39" t="n"/>
      <c r="X42" s="39" t="n"/>
      <c r="Y42" s="39" t="n"/>
      <c r="Z42" s="39" t="n"/>
    </row>
    <row r="43">
      <c r="A43" s="39" t="n"/>
      <c r="B43" s="39" t="n"/>
      <c r="C43" s="39" t="n"/>
      <c r="D43" s="39" t="n"/>
      <c r="E43" s="39" t="n"/>
      <c r="F43" s="39" t="n"/>
      <c r="G43" s="39" t="n"/>
      <c r="H43" s="39" t="n"/>
      <c r="I43" s="39" t="n"/>
      <c r="J43" s="39" t="n"/>
      <c r="K43" s="39" t="n"/>
      <c r="L43" s="39" t="n"/>
      <c r="M43" s="39" t="n"/>
      <c r="N43" s="39" t="n"/>
      <c r="O43" s="39" t="n"/>
      <c r="P43" s="39" t="n"/>
      <c r="Q43" s="39" t="n"/>
      <c r="R43" s="39" t="n"/>
      <c r="S43" s="39" t="n"/>
      <c r="T43" s="39" t="n"/>
      <c r="U43" s="39" t="n"/>
      <c r="V43" s="39" t="n"/>
      <c r="W43" s="39" t="n"/>
      <c r="X43" s="39" t="n"/>
      <c r="Y43" s="39" t="n"/>
      <c r="Z43" s="39" t="n"/>
    </row>
    <row r="44">
      <c r="A44" s="39" t="n"/>
      <c r="B44" s="39" t="n"/>
      <c r="C44" s="39" t="n"/>
      <c r="D44" s="39" t="n"/>
      <c r="E44" s="39" t="n"/>
      <c r="F44" s="39" t="n"/>
      <c r="G44" s="39" t="n"/>
      <c r="H44" s="39" t="n"/>
      <c r="I44" s="39" t="n"/>
      <c r="J44" s="39" t="n"/>
      <c r="K44" s="39" t="n"/>
      <c r="L44" s="39" t="n"/>
      <c r="M44" s="39" t="n"/>
      <c r="N44" s="39" t="n"/>
      <c r="O44" s="39" t="n"/>
      <c r="P44" s="39" t="n"/>
      <c r="Q44" s="39" t="n"/>
      <c r="R44" s="39" t="n"/>
      <c r="S44" s="39" t="n"/>
      <c r="T44" s="39" t="n"/>
      <c r="U44" s="39" t="n"/>
      <c r="V44" s="39" t="n"/>
      <c r="W44" s="39" t="n"/>
      <c r="X44" s="39" t="n"/>
      <c r="Y44" s="39" t="n"/>
      <c r="Z44" s="39" t="n"/>
    </row>
    <row r="45">
      <c r="A45" s="39" t="n"/>
      <c r="B45" s="39" t="n"/>
      <c r="C45" s="39" t="n"/>
      <c r="D45" s="39" t="n"/>
      <c r="E45" s="39" t="n"/>
      <c r="F45" s="39" t="n"/>
      <c r="G45" s="39" t="n"/>
      <c r="H45" s="39" t="n"/>
      <c r="I45" s="39" t="n"/>
      <c r="J45" s="39" t="n"/>
      <c r="K45" s="39" t="n"/>
      <c r="L45" s="39" t="n"/>
      <c r="M45" s="39" t="n"/>
      <c r="N45" s="39" t="n"/>
      <c r="O45" s="39" t="n"/>
      <c r="P45" s="39" t="n"/>
      <c r="Q45" s="39" t="n"/>
      <c r="R45" s="39" t="n"/>
      <c r="S45" s="39" t="n"/>
      <c r="T45" s="39" t="n"/>
      <c r="U45" s="39" t="n"/>
      <c r="V45" s="39" t="n"/>
      <c r="W45" s="39" t="n"/>
      <c r="X45" s="39" t="n"/>
      <c r="Y45" s="39" t="n"/>
      <c r="Z45" s="39" t="n"/>
    </row>
  </sheetData>
  <sheetProtection selectLockedCells="0" selectUnlockedCells="0" sheet="1" objects="0" insertRows="1" insertHyperlinks="1" autoFilter="1" scenarios="0" formatColumns="1" deleteColumns="1" insertColumns="1" pivotTables="1" deleteRows="1" formatCells="1" formatRows="1" sort="1"/>
  <mergeCells count="13">
    <mergeCell ref="C16:E16"/>
    <mergeCell ref="B9:E9"/>
    <mergeCell ref="C11:E11"/>
    <mergeCell ref="C14:E14"/>
    <mergeCell ref="C13:E13"/>
    <mergeCell ref="C18:E18"/>
    <mergeCell ref="B33:E33"/>
    <mergeCell ref="C17:E17"/>
    <mergeCell ref="B37:E37"/>
    <mergeCell ref="C15:E15"/>
    <mergeCell ref="C12:E12"/>
    <mergeCell ref="B36:E36"/>
    <mergeCell ref="C10:E10"/>
  </mergeCells>
  <conditionalFormatting sqref="E25:E29">
    <cfRule type="dataBar" priority="1">
      <dataBar showValue="1">
        <cfvo type="num" val="0"/>
        <cfvo type="num" val="1"/>
        <color rgb="FF4472C4"/>
      </dataBar>
    </cfRule>
  </conditionalFormatting>
  <conditionalFormatting sqref="B36:E36">
    <cfRule type="expression" priority="2" dxfId="5">
      <formula>COUNTIF(Missions!$O$2:$O$9,TRUE)&gt;0</formula>
    </cfRule>
  </conditionalFormatting>
  <dataValidations count="2">
    <dataValidation sqref="C7" showDropDown="0" showInputMessage="0" showErrorMessage="0" allowBlank="1" type="list">
      <formula1>TimeList</formula1>
    </dataValidation>
    <dataValidation sqref="E7" showDropDown="0" showInputMessage="0" showErrorMessage="0" allowBlank="1" type="list">
      <formula1>EnergyList</formula1>
    </dataValidation>
  </dataValidations>
  <hyperlinks>
    <hyperlink xmlns:r="http://schemas.openxmlformats.org/officeDocument/2006/relationships" ref="B4" r:id="rId1"/>
    <hyperlink xmlns:r="http://schemas.openxmlformats.org/officeDocument/2006/relationships" ref="C4" r:id="rId2"/>
    <hyperlink xmlns:r="http://schemas.openxmlformats.org/officeDocument/2006/relationships" ref="D4" r:id="rId3"/>
    <hyperlink xmlns:r="http://schemas.openxmlformats.org/officeDocument/2006/relationships" ref="E4"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36" r:id="rId8"/>
    <hyperlink xmlns:r="http://schemas.openxmlformats.org/officeDocument/2006/relationships" ref="F36" r:id="rId9"/>
    <hyperlink xmlns:r="http://schemas.openxmlformats.org/officeDocument/2006/relationships" ref="B40" r:id="rId10"/>
    <hyperlink xmlns:r="http://schemas.openxmlformats.org/officeDocument/2006/relationships" ref="C40" r:id="rId11"/>
    <hyperlink xmlns:r="http://schemas.openxmlformats.org/officeDocument/2006/relationships" ref="D40" r:id="rId12"/>
    <hyperlink xmlns:r="http://schemas.openxmlformats.org/officeDocument/2006/relationships" ref="E40" r:id="rId13"/>
    <hyperlink xmlns:r="http://schemas.openxmlformats.org/officeDocument/2006/relationships" ref="F40" r:id="rId14"/>
  </hyperlinks>
  <pageMargins left="0.5" right="0.5" top="0.5" bottom="0.5" header="0.5" footer="0.5"/>
  <pageSetup paperSize="1"/>
</worksheet>
</file>

<file path=xl/worksheets/sheet3.xml><?xml version="1.0" encoding="utf-8"?>
<worksheet xmlns="http://schemas.openxmlformats.org/spreadsheetml/2006/main">
  <sheetPr>
    <outlinePr summaryBelow="1" summaryRight="1"/>
    <pageSetUpPr/>
  </sheetPr>
  <dimension ref="A1:N60"/>
  <sheetViews>
    <sheetView showGridLines="0" workbookViewId="0">
      <selection activeCell="A1" sqref="A1"/>
    </sheetView>
  </sheetViews>
  <sheetFormatPr baseColWidth="8" defaultRowHeight="15"/>
  <cols>
    <col width="22" customWidth="1" min="1" max="1"/>
    <col width="18" customWidth="1" min="2" max="2"/>
    <col width="16" customWidth="1" min="3" max="3"/>
    <col width="22" customWidth="1" min="4" max="4"/>
    <col width="12" customWidth="1" min="5" max="5"/>
    <col width="10" customWidth="1" min="6" max="6"/>
    <col width="14" customWidth="1" min="7" max="7"/>
    <col width="12" customWidth="1" min="8" max="8"/>
    <col width="12" customWidth="1" min="9" max="9"/>
    <col width="10" customWidth="1" min="10" max="10"/>
    <col width="20" customWidth="1" min="11" max="11"/>
  </cols>
  <sheetData>
    <row r="1">
      <c r="N1" s="167">
        <f>IF(IF($C$5="","Mission Name","")&lt;&gt;"",", "&amp;IF($C$5="","Mission Name",""),"")&amp;IF(IF($C$6="","Outcome","")&lt;&gt;"",", "&amp;IF($C$6="","Outcome",""),"")&amp;IF(IF($C$8="","Priority","")&lt;&gt;"",", "&amp;IF($C$8="","Priority",""),"")&amp;IF(IF(COUNTIFS($C$17:$C$31,"&lt;&gt;",$D$17:$D$31,"&lt;&gt;",$E$17:$E$31,"&lt;&gt;")=0,"at least one complete Deliverable (Name + Component + Task)","")&lt;&gt;"",", "&amp;IF(COUNTIFS($C$17:$C$31,"&lt;&gt;",$D$17:$D$31,"&lt;&gt;",$E$17:$E$31,"&lt;&gt;")=0,"at least one complete Deliverable (Name + Component + Task)",""),"")</f>
        <v/>
      </c>
    </row>
    <row r="2" ht="25" customHeight="1">
      <c r="B2" s="10" t="inlineStr">
        <is>
          <t>New Mission</t>
        </is>
      </c>
      <c r="N2" s="167">
        <f>IF(IF(AND(OR($C17&lt;&gt;"",$D17&lt;&gt;"",$E17&lt;&gt;""),NOT(AND($C17&lt;&gt;"",$D17&lt;&gt;"",$E17&lt;&gt;""))),"D1","")&lt;&gt;"",", "&amp;IF(AND(OR($C17&lt;&gt;"",$D17&lt;&gt;"",$E17&lt;&gt;""),NOT(AND($C17&lt;&gt;"",$D17&lt;&gt;"",$E17&lt;&gt;""))),"D1",""),"")&amp;IF(IF(AND(OR($C18&lt;&gt;"",$D18&lt;&gt;"",$E18&lt;&gt;""),NOT(AND($C18&lt;&gt;"",$D18&lt;&gt;"",$E18&lt;&gt;""))),"D2","")&lt;&gt;"",", "&amp;IF(AND(OR($C18&lt;&gt;"",$D18&lt;&gt;"",$E18&lt;&gt;""),NOT(AND($C18&lt;&gt;"",$D18&lt;&gt;"",$E18&lt;&gt;""))),"D2",""),"")&amp;IF(IF(AND(OR($C19&lt;&gt;"",$D19&lt;&gt;"",$E19&lt;&gt;""),NOT(AND($C19&lt;&gt;"",$D19&lt;&gt;"",$E19&lt;&gt;""))),"D3","")&lt;&gt;"",", "&amp;IF(AND(OR($C19&lt;&gt;"",$D19&lt;&gt;"",$E19&lt;&gt;""),NOT(AND($C19&lt;&gt;"",$D19&lt;&gt;"",$E19&lt;&gt;""))),"D3",""),"")&amp;IF(IF(AND(OR($C20&lt;&gt;"",$D20&lt;&gt;"",$E20&lt;&gt;""),NOT(AND($C20&lt;&gt;"",$D20&lt;&gt;"",$E20&lt;&gt;""))),"D4","")&lt;&gt;"",", "&amp;IF(AND(OR($C20&lt;&gt;"",$D20&lt;&gt;"",$E20&lt;&gt;""),NOT(AND($C20&lt;&gt;"",$D20&lt;&gt;"",$E20&lt;&gt;""))),"D4",""),"")&amp;IF(IF(AND(OR($C21&lt;&gt;"",$D21&lt;&gt;"",$E21&lt;&gt;""),NOT(AND($C21&lt;&gt;"",$D21&lt;&gt;"",$E21&lt;&gt;""))),"D5","")&lt;&gt;"",", "&amp;IF(AND(OR($C21&lt;&gt;"",$D21&lt;&gt;"",$E21&lt;&gt;""),NOT(AND($C21&lt;&gt;"",$D21&lt;&gt;"",$E21&lt;&gt;""))),"D5",""),"")&amp;IF(IF(AND(OR($C22&lt;&gt;"",$D22&lt;&gt;"",$E22&lt;&gt;""),NOT(AND($C22&lt;&gt;"",$D22&lt;&gt;"",$E22&lt;&gt;""))),"D6","")&lt;&gt;"",", "&amp;IF(AND(OR($C22&lt;&gt;"",$D22&lt;&gt;"",$E22&lt;&gt;""),NOT(AND($C22&lt;&gt;"",$D22&lt;&gt;"",$E22&lt;&gt;""))),"D6",""),"")&amp;IF(IF(AND(OR($C23&lt;&gt;"",$D23&lt;&gt;"",$E23&lt;&gt;""),NOT(AND($C23&lt;&gt;"",$D23&lt;&gt;"",$E23&lt;&gt;""))),"D7","")&lt;&gt;"",", "&amp;IF(AND(OR($C23&lt;&gt;"",$D23&lt;&gt;"",$E23&lt;&gt;""),NOT(AND($C23&lt;&gt;"",$D23&lt;&gt;"",$E23&lt;&gt;""))),"D7",""),"")&amp;IF(IF(AND(OR($C24&lt;&gt;"",$D24&lt;&gt;"",$E24&lt;&gt;""),NOT(AND($C24&lt;&gt;"",$D24&lt;&gt;"",$E24&lt;&gt;""))),"D8","")&lt;&gt;"",", "&amp;IF(AND(OR($C24&lt;&gt;"",$D24&lt;&gt;"",$E24&lt;&gt;""),NOT(AND($C24&lt;&gt;"",$D24&lt;&gt;"",$E24&lt;&gt;""))),"D8",""),"")&amp;IF(IF(AND(OR($C25&lt;&gt;"",$D25&lt;&gt;"",$E25&lt;&gt;""),NOT(AND($C25&lt;&gt;"",$D25&lt;&gt;"",$E25&lt;&gt;""))),"D9","")&lt;&gt;"",", "&amp;IF(AND(OR($C25&lt;&gt;"",$D25&lt;&gt;"",$E25&lt;&gt;""),NOT(AND($C25&lt;&gt;"",$D25&lt;&gt;"",$E25&lt;&gt;""))),"D9",""),"")&amp;IF(IF(AND(OR($C26&lt;&gt;"",$D26&lt;&gt;"",$E26&lt;&gt;""),NOT(AND($C26&lt;&gt;"",$D26&lt;&gt;"",$E26&lt;&gt;""))),"D10","")&lt;&gt;"",", "&amp;IF(AND(OR($C26&lt;&gt;"",$D26&lt;&gt;"",$E26&lt;&gt;""),NOT(AND($C26&lt;&gt;"",$D26&lt;&gt;"",$E26&lt;&gt;""))),"D10",""),"")&amp;IF(IF(AND(OR($C27&lt;&gt;"",$D27&lt;&gt;"",$E27&lt;&gt;""),NOT(AND($C27&lt;&gt;"",$D27&lt;&gt;"",$E27&lt;&gt;""))),"D11","")&lt;&gt;"",", "&amp;IF(AND(OR($C27&lt;&gt;"",$D27&lt;&gt;"",$E27&lt;&gt;""),NOT(AND($C27&lt;&gt;"",$D27&lt;&gt;"",$E27&lt;&gt;""))),"D11",""),"")&amp;IF(IF(AND(OR($C28&lt;&gt;"",$D28&lt;&gt;"",$E28&lt;&gt;""),NOT(AND($C28&lt;&gt;"",$D28&lt;&gt;"",$E28&lt;&gt;""))),"D12","")&lt;&gt;"",", "&amp;IF(AND(OR($C28&lt;&gt;"",$D28&lt;&gt;"",$E28&lt;&gt;""),NOT(AND($C28&lt;&gt;"",$D28&lt;&gt;"",$E28&lt;&gt;""))),"D12",""),"")&amp;IF(IF(AND(OR($C29&lt;&gt;"",$D29&lt;&gt;"",$E29&lt;&gt;""),NOT(AND($C29&lt;&gt;"",$D29&lt;&gt;"",$E29&lt;&gt;""))),"D13","")&lt;&gt;"",", "&amp;IF(AND(OR($C29&lt;&gt;"",$D29&lt;&gt;"",$E29&lt;&gt;""),NOT(AND($C29&lt;&gt;"",$D29&lt;&gt;"",$E29&lt;&gt;""))),"D13",""),"")&amp;IF(IF(AND(OR($C30&lt;&gt;"",$D30&lt;&gt;"",$E30&lt;&gt;""),NOT(AND($C30&lt;&gt;"",$D30&lt;&gt;"",$E30&lt;&gt;""))),"D14","")&lt;&gt;"",", "&amp;IF(AND(OR($C30&lt;&gt;"",$D30&lt;&gt;"",$E30&lt;&gt;""),NOT(AND($C30&lt;&gt;"",$D30&lt;&gt;"",$E30&lt;&gt;""))),"D14",""),"")&amp;IF(IF(AND(OR($C31&lt;&gt;"",$D31&lt;&gt;"",$E31&lt;&gt;""),NOT(AND($C31&lt;&gt;"",$D31&lt;&gt;"",$E31&lt;&gt;""))),"D15","")&lt;&gt;"",", "&amp;IF(AND(OR($C31&lt;&gt;"",$D31&lt;&gt;"",$E31&lt;&gt;""),NOT(AND($C31&lt;&gt;"",$D31&lt;&gt;"",$E31&lt;&gt;""))),"D15",""),"")</f>
        <v/>
      </c>
    </row>
    <row r="3" ht="20" customHeight="1">
      <c r="B3" s="11" t="inlineStr">
        <is>
          <t>← Home</t>
        </is>
      </c>
    </row>
    <row r="4"/>
    <row r="5">
      <c r="B5" s="4" t="inlineStr">
        <is>
          <t>Mission Name</t>
        </is>
      </c>
      <c r="C5" s="12" t="n"/>
    </row>
    <row r="6">
      <c r="B6" s="4" t="inlineStr">
        <is>
          <t>Outcome</t>
        </is>
      </c>
      <c r="C6" s="12" t="n"/>
    </row>
    <row r="7">
      <c r="B7" s="4" t="inlineStr">
        <is>
          <t>Why does this exist?</t>
        </is>
      </c>
      <c r="C7" s="12" t="n"/>
    </row>
    <row r="8">
      <c r="B8" s="4" t="inlineStr">
        <is>
          <t>Priority</t>
        </is>
      </c>
      <c r="C8" s="12" t="n"/>
    </row>
    <row r="9">
      <c r="B9" s="4" t="inlineStr">
        <is>
          <t>Due Date</t>
        </is>
      </c>
      <c r="C9" s="12" t="n"/>
    </row>
    <row r="10">
      <c r="B10" s="4" t="inlineStr">
        <is>
          <t>Status</t>
        </is>
      </c>
      <c r="C10" s="12" t="n"/>
    </row>
    <row r="11"/>
    <row r="12">
      <c r="A12" s="39" t="n"/>
      <c r="B12" s="89" t="inlineStr">
        <is>
          <t>Readiness Check</t>
        </is>
      </c>
      <c r="C12" s="39" t="n"/>
      <c r="D12" s="39" t="n"/>
      <c r="E12" s="39" t="n"/>
      <c r="F12" s="39" t="n"/>
      <c r="G12" s="39" t="n"/>
      <c r="H12" s="39" t="n"/>
      <c r="I12" s="39" t="n"/>
      <c r="J12" s="39" t="n"/>
      <c r="K12" s="39" t="n"/>
      <c r="L12" s="39" t="n"/>
    </row>
    <row r="13" ht="20" customHeight="1">
      <c r="A13" s="39" t="n"/>
      <c r="B13" s="156">
        <f>IF(AND($C$5&lt;&gt;"",$C$6&lt;&gt;"",$C$8&lt;&gt;"",COUNTIFS($C$17:$C$31,"&lt;&gt;",$D$17:$D$31,"&lt;&gt;",$E$17:$E$31,"&lt;&gt;")&gt;0),"✓ Ready — select and copy the block below into Work Register","⚠ Missing: "&amp;IF($N$1="","",IF(LEFT($N$1,2)=", ",MID($N$1,3,9999),$N$1)))</f>
        <v/>
      </c>
      <c r="C13" s="113" t="n"/>
      <c r="D13" s="113" t="n"/>
      <c r="E13" s="113" t="n"/>
      <c r="F13" s="114" t="n"/>
      <c r="G13" s="39" t="n"/>
      <c r="H13" s="39" t="n"/>
      <c r="I13" s="39" t="n"/>
      <c r="J13" s="39" t="n"/>
      <c r="K13" s="39" t="n"/>
      <c r="L13" s="39" t="n"/>
    </row>
    <row r="14" ht="16" customHeight="1">
      <c r="A14" s="39" t="n"/>
      <c r="B14" s="141">
        <f>IFERROR(IF($N$2&lt;&gt;"","⚠ Incomplete: "&amp;IF($N$2="","",IF(LEFT($N$2,2)=", ",MID($N$2,3,9999),$N$2))&amp;" — missing Deliverable Name, Component, or Task on that row",""),"")</f>
        <v/>
      </c>
      <c r="G14" s="39" t="n"/>
      <c r="H14" s="39" t="n"/>
      <c r="I14" s="39" t="n"/>
      <c r="J14" s="39" t="n"/>
      <c r="K14" s="39" t="n"/>
      <c r="L14" s="39" t="n"/>
    </row>
    <row r="15">
      <c r="A15" s="39" t="n"/>
      <c r="B15" s="89" t="inlineStr">
        <is>
          <t>Deliverables</t>
        </is>
      </c>
      <c r="C15" s="39" t="n"/>
      <c r="D15" s="39" t="n"/>
      <c r="E15" s="39" t="n"/>
      <c r="F15" s="39" t="n"/>
      <c r="G15" s="39" t="n"/>
      <c r="H15" s="39" t="n"/>
      <c r="I15" s="39" t="n"/>
      <c r="J15" s="39" t="n"/>
      <c r="K15" s="39" t="n"/>
      <c r="L15" s="39" t="n"/>
    </row>
    <row r="16">
      <c r="A16" s="39" t="n"/>
      <c r="B16" s="39" t="n"/>
      <c r="C16" s="74" t="inlineStr">
        <is>
          <t>Deliverable Name</t>
        </is>
      </c>
      <c r="D16" s="74" t="inlineStr">
        <is>
          <t>Component</t>
        </is>
      </c>
      <c r="E16" s="74" t="inlineStr">
        <is>
          <t>Task (First Next Action)</t>
        </is>
      </c>
      <c r="F16" s="74" t="inlineStr">
        <is>
          <t>Energy</t>
        </is>
      </c>
      <c r="G16" s="74" t="inlineStr">
        <is>
          <t>Estimated Time</t>
        </is>
      </c>
      <c r="H16" s="39" t="n"/>
      <c r="I16" s="39" t="n"/>
      <c r="J16" s="39" t="n"/>
      <c r="K16" s="39" t="n"/>
      <c r="L16" s="39" t="n"/>
    </row>
    <row r="17">
      <c r="A17" s="39" t="n"/>
      <c r="B17" s="123" t="inlineStr">
        <is>
          <t>D1</t>
        </is>
      </c>
      <c r="C17" s="160" t="n"/>
      <c r="D17" s="160" t="n"/>
      <c r="E17" s="160" t="n"/>
      <c r="F17" s="160" t="n"/>
      <c r="G17" s="160" t="n"/>
      <c r="H17" s="39" t="n"/>
      <c r="I17" s="39" t="n"/>
      <c r="J17" s="39" t="n"/>
      <c r="K17" s="39" t="n"/>
      <c r="L17" s="39" t="n"/>
    </row>
    <row r="18">
      <c r="A18" s="39" t="n"/>
      <c r="B18" s="123" t="inlineStr">
        <is>
          <t>D2</t>
        </is>
      </c>
      <c r="C18" s="160" t="n"/>
      <c r="D18" s="160" t="n"/>
      <c r="E18" s="160" t="n"/>
      <c r="F18" s="160" t="n"/>
      <c r="G18" s="160" t="n"/>
      <c r="H18" s="39" t="n"/>
      <c r="I18" s="39" t="n"/>
      <c r="J18" s="39" t="n"/>
      <c r="K18" s="39" t="n"/>
      <c r="L18" s="39" t="n"/>
    </row>
    <row r="19">
      <c r="A19" s="39" t="n"/>
      <c r="B19" s="123" t="inlineStr">
        <is>
          <t>D3</t>
        </is>
      </c>
      <c r="C19" s="160" t="n"/>
      <c r="D19" s="160" t="n"/>
      <c r="E19" s="160" t="n"/>
      <c r="F19" s="160" t="n"/>
      <c r="G19" s="160" t="n"/>
      <c r="H19" s="39" t="n"/>
      <c r="I19" s="39" t="n"/>
      <c r="J19" s="39" t="n"/>
      <c r="K19" s="39" t="n"/>
      <c r="L19" s="39" t="n"/>
    </row>
    <row r="20">
      <c r="A20" s="39" t="n"/>
      <c r="B20" s="123" t="inlineStr">
        <is>
          <t>D4</t>
        </is>
      </c>
      <c r="C20" s="160" t="n"/>
      <c r="D20" s="160" t="n"/>
      <c r="E20" s="160" t="n"/>
      <c r="F20" s="160" t="n"/>
      <c r="G20" s="160" t="n"/>
      <c r="H20" s="39" t="n"/>
      <c r="I20" s="39" t="n"/>
      <c r="J20" s="39" t="n"/>
      <c r="K20" s="39" t="n"/>
      <c r="L20" s="39" t="n"/>
    </row>
    <row r="21">
      <c r="A21" s="39" t="n"/>
      <c r="B21" s="123" t="inlineStr">
        <is>
          <t>D5</t>
        </is>
      </c>
      <c r="C21" s="160" t="n"/>
      <c r="D21" s="160" t="n"/>
      <c r="E21" s="160" t="n"/>
      <c r="F21" s="160" t="n"/>
      <c r="G21" s="160" t="n"/>
      <c r="H21" s="39" t="n"/>
      <c r="I21" s="39" t="n"/>
      <c r="J21" s="39" t="n"/>
      <c r="K21" s="39" t="n"/>
      <c r="L21" s="39" t="n"/>
    </row>
    <row r="22">
      <c r="A22" s="39" t="n"/>
      <c r="B22" s="123" t="inlineStr">
        <is>
          <t>D6</t>
        </is>
      </c>
      <c r="C22" s="160" t="n"/>
      <c r="D22" s="160" t="n"/>
      <c r="E22" s="160" t="n"/>
      <c r="F22" s="160" t="n"/>
      <c r="G22" s="160" t="n"/>
      <c r="H22" s="39" t="n"/>
      <c r="I22" s="39" t="n"/>
      <c r="J22" s="39" t="n"/>
      <c r="K22" s="39" t="n"/>
      <c r="L22" s="39" t="n"/>
    </row>
    <row r="23">
      <c r="A23" s="39" t="n"/>
      <c r="B23" s="123" t="inlineStr">
        <is>
          <t>D7</t>
        </is>
      </c>
      <c r="C23" s="160" t="n"/>
      <c r="D23" s="160" t="n"/>
      <c r="E23" s="160" t="n"/>
      <c r="F23" s="160" t="n"/>
      <c r="G23" s="160" t="n"/>
      <c r="H23" s="39" t="n"/>
      <c r="I23" s="39" t="n"/>
      <c r="J23" s="39" t="n"/>
      <c r="K23" s="39" t="n"/>
      <c r="L23" s="39" t="n"/>
    </row>
    <row r="24">
      <c r="A24" s="39" t="n"/>
      <c r="B24" s="123" t="inlineStr">
        <is>
          <t>D8</t>
        </is>
      </c>
      <c r="C24" s="160" t="n"/>
      <c r="D24" s="160" t="n"/>
      <c r="E24" s="160" t="n"/>
      <c r="F24" s="160" t="n"/>
      <c r="G24" s="160" t="n"/>
      <c r="H24" s="39" t="n"/>
      <c r="I24" s="39" t="n"/>
      <c r="J24" s="39" t="n"/>
      <c r="K24" s="39" t="n"/>
      <c r="L24" s="39" t="n"/>
    </row>
    <row r="25">
      <c r="A25" s="39" t="n"/>
      <c r="B25" s="123" t="inlineStr">
        <is>
          <t>D9</t>
        </is>
      </c>
      <c r="C25" s="160" t="n"/>
      <c r="D25" s="160" t="n"/>
      <c r="E25" s="160" t="n"/>
      <c r="F25" s="160" t="n"/>
      <c r="G25" s="160" t="n"/>
      <c r="H25" s="39" t="n"/>
      <c r="I25" s="39" t="n"/>
      <c r="J25" s="39" t="n"/>
      <c r="K25" s="39" t="n"/>
      <c r="L25" s="39" t="n"/>
    </row>
    <row r="26">
      <c r="A26" s="39" t="n"/>
      <c r="B26" s="123" t="inlineStr">
        <is>
          <t>D10</t>
        </is>
      </c>
      <c r="C26" s="160" t="n"/>
      <c r="D26" s="160" t="n"/>
      <c r="E26" s="160" t="n"/>
      <c r="F26" s="160" t="n"/>
      <c r="G26" s="160" t="n"/>
      <c r="H26" s="39" t="n"/>
      <c r="I26" s="39" t="n"/>
      <c r="J26" s="39" t="n"/>
      <c r="K26" s="39" t="n"/>
      <c r="L26" s="39" t="n"/>
    </row>
    <row r="27">
      <c r="A27" s="39" t="n"/>
      <c r="B27" s="123" t="inlineStr">
        <is>
          <t>D11</t>
        </is>
      </c>
      <c r="C27" s="160" t="n"/>
      <c r="D27" s="160" t="n"/>
      <c r="E27" s="160" t="n"/>
      <c r="F27" s="160" t="n"/>
      <c r="G27" s="160" t="n"/>
      <c r="H27" s="39" t="n"/>
      <c r="I27" s="39" t="n"/>
      <c r="J27" s="39" t="n"/>
      <c r="K27" s="39" t="n"/>
      <c r="L27" s="39" t="n"/>
    </row>
    <row r="28">
      <c r="A28" s="39" t="n"/>
      <c r="B28" s="123" t="inlineStr">
        <is>
          <t>D12</t>
        </is>
      </c>
      <c r="C28" s="160" t="n"/>
      <c r="D28" s="160" t="n"/>
      <c r="E28" s="160" t="n"/>
      <c r="F28" s="160" t="n"/>
      <c r="G28" s="160" t="n"/>
      <c r="H28" s="39" t="n"/>
      <c r="I28" s="39" t="n"/>
      <c r="J28" s="39" t="n"/>
      <c r="K28" s="39" t="n"/>
      <c r="L28" s="39" t="n"/>
    </row>
    <row r="29">
      <c r="A29" s="39" t="n"/>
      <c r="B29" s="123" t="inlineStr">
        <is>
          <t>D13</t>
        </is>
      </c>
      <c r="C29" s="160" t="n"/>
      <c r="D29" s="160" t="n"/>
      <c r="E29" s="160" t="n"/>
      <c r="F29" s="160" t="n"/>
      <c r="G29" s="160" t="n"/>
      <c r="H29" s="39" t="n"/>
      <c r="I29" s="39" t="n"/>
      <c r="J29" s="39" t="n"/>
      <c r="K29" s="39" t="n"/>
      <c r="L29" s="39" t="n"/>
    </row>
    <row r="30">
      <c r="A30" s="39" t="n"/>
      <c r="B30" s="123" t="inlineStr">
        <is>
          <t>D14</t>
        </is>
      </c>
      <c r="C30" s="160" t="n"/>
      <c r="D30" s="160" t="n"/>
      <c r="E30" s="160" t="n"/>
      <c r="F30" s="160" t="n"/>
      <c r="G30" s="160" t="n"/>
      <c r="H30" s="39" t="n"/>
      <c r="I30" s="39" t="n"/>
      <c r="J30" s="39" t="n"/>
      <c r="K30" s="39" t="n"/>
      <c r="L30" s="39" t="n"/>
    </row>
    <row r="31">
      <c r="A31" s="39" t="n"/>
      <c r="B31" s="123" t="inlineStr">
        <is>
          <t>D15</t>
        </is>
      </c>
      <c r="C31" s="160" t="n"/>
      <c r="D31" s="160" t="n"/>
      <c r="E31" s="160" t="n"/>
      <c r="F31" s="160" t="n"/>
      <c r="G31" s="160" t="n"/>
      <c r="H31" s="39" t="n"/>
      <c r="I31" s="39" t="n"/>
      <c r="J31" s="39" t="n"/>
      <c r="K31" s="39" t="n"/>
      <c r="L31" s="39" t="n"/>
    </row>
    <row r="32">
      <c r="A32" s="39" t="n"/>
      <c r="B32" s="39" t="n"/>
      <c r="C32" s="39" t="n"/>
      <c r="D32" s="39" t="n"/>
      <c r="E32" s="39" t="n"/>
      <c r="F32" s="39" t="n"/>
      <c r="G32" s="39" t="n"/>
      <c r="H32" s="39" t="n"/>
      <c r="I32" s="39" t="n"/>
      <c r="J32" s="39" t="n"/>
      <c r="K32" s="39" t="n"/>
      <c r="L32" s="39" t="n"/>
    </row>
    <row r="33">
      <c r="A33" s="39" t="n"/>
      <c r="B33" s="162" t="inlineStr">
        <is>
          <t>Copy This Block Into Work Register</t>
        </is>
      </c>
      <c r="C33" s="39" t="n"/>
      <c r="D33" s="39" t="n"/>
      <c r="E33" s="39" t="n"/>
      <c r="F33" s="39" t="n"/>
      <c r="G33" s="39" t="n"/>
      <c r="H33" s="39" t="n"/>
      <c r="I33" s="39" t="n"/>
      <c r="J33" s="39" t="n"/>
      <c r="K33" s="39" t="n"/>
      <c r="L33" s="39" t="n"/>
    </row>
    <row r="34">
      <c r="A34" s="39" t="n"/>
      <c r="B34" s="163" t="inlineStr">
        <is>
          <t>Select A36:K50, copy, then paste into the first empty row of Work Register (starting at column A). Rows for Deliverables you didn't fill in will paste blank — delete them after pasting. Fill in Owner and Notes (columns J and K) either before or after pasting.</t>
        </is>
      </c>
      <c r="L34" s="39" t="n"/>
    </row>
    <row r="35">
      <c r="A35" s="164" t="inlineStr">
        <is>
          <t>Mission</t>
        </is>
      </c>
      <c r="B35" s="164" t="inlineStr">
        <is>
          <t>Deliverable</t>
        </is>
      </c>
      <c r="C35" s="164" t="inlineStr">
        <is>
          <t>Component</t>
        </is>
      </c>
      <c r="D35" s="164" t="inlineStr">
        <is>
          <t>Task</t>
        </is>
      </c>
      <c r="E35" s="164" t="inlineStr">
        <is>
          <t>Status</t>
        </is>
      </c>
      <c r="F35" s="164" t="inlineStr">
        <is>
          <t>Priority</t>
        </is>
      </c>
      <c r="G35" s="164" t="inlineStr">
        <is>
          <t>Energy</t>
        </is>
      </c>
      <c r="H35" s="164" t="inlineStr">
        <is>
          <t>Estimated Time</t>
        </is>
      </c>
      <c r="I35" s="164" t="inlineStr">
        <is>
          <t>Due Date</t>
        </is>
      </c>
      <c r="J35" s="164" t="inlineStr">
        <is>
          <t>Owner</t>
        </is>
      </c>
      <c r="K35" s="164" t="inlineStr">
        <is>
          <t>Notes</t>
        </is>
      </c>
      <c r="L35" s="39" t="n"/>
    </row>
    <row r="36">
      <c r="A36" s="165">
        <f>IF($C$17="","",$C$5)</f>
        <v/>
      </c>
      <c r="B36" s="165">
        <f>IF($C$17="","",$C$17)</f>
        <v/>
      </c>
      <c r="C36" s="165">
        <f>IF($D$17="","",$D$17)</f>
        <v/>
      </c>
      <c r="D36" s="165">
        <f>IF($E$17="","",$E$17)</f>
        <v/>
      </c>
      <c r="E36" s="166">
        <f>IF($C$17="","",$C$10)</f>
        <v/>
      </c>
      <c r="F36" s="166">
        <f>IF($C$17="","",$C$8)</f>
        <v/>
      </c>
      <c r="G36" s="166">
        <f>IF($C$17="","",$F$17)</f>
        <v/>
      </c>
      <c r="H36" s="166">
        <f>IF($C$17="","",$G$17)</f>
        <v/>
      </c>
      <c r="I36" s="166">
        <f>IF($C$17="","",$C$9)</f>
        <v/>
      </c>
      <c r="J36" s="168" t="n"/>
      <c r="K36" s="169" t="n"/>
      <c r="L36" s="39" t="n"/>
    </row>
    <row r="37">
      <c r="A37" s="165">
        <f>IF($C$18="","",$C$5)</f>
        <v/>
      </c>
      <c r="B37" s="165">
        <f>IF($C$18="","",$C$18)</f>
        <v/>
      </c>
      <c r="C37" s="165">
        <f>IF($D$18="","",$D$18)</f>
        <v/>
      </c>
      <c r="D37" s="165">
        <f>IF($E$18="","",$E$18)</f>
        <v/>
      </c>
      <c r="E37" s="166">
        <f>IF($C$18="","",$C$10)</f>
        <v/>
      </c>
      <c r="F37" s="166">
        <f>IF($C$18="","",$C$8)</f>
        <v/>
      </c>
      <c r="G37" s="166">
        <f>IF($C$18="","",$F$18)</f>
        <v/>
      </c>
      <c r="H37" s="166">
        <f>IF($C$18="","",$G$18)</f>
        <v/>
      </c>
      <c r="I37" s="166">
        <f>IF($C$18="","",$C$9)</f>
        <v/>
      </c>
      <c r="J37" s="168" t="n"/>
      <c r="K37" s="169" t="n"/>
      <c r="L37" s="39" t="n"/>
    </row>
    <row r="38">
      <c r="A38" s="165">
        <f>IF($C$19="","",$C$5)</f>
        <v/>
      </c>
      <c r="B38" s="165">
        <f>IF($C$19="","",$C$19)</f>
        <v/>
      </c>
      <c r="C38" s="165">
        <f>IF($D$19="","",$D$19)</f>
        <v/>
      </c>
      <c r="D38" s="165">
        <f>IF($E$19="","",$E$19)</f>
        <v/>
      </c>
      <c r="E38" s="166">
        <f>IF($C$19="","",$C$10)</f>
        <v/>
      </c>
      <c r="F38" s="166">
        <f>IF($C$19="","",$C$8)</f>
        <v/>
      </c>
      <c r="G38" s="166">
        <f>IF($C$19="","",$F$19)</f>
        <v/>
      </c>
      <c r="H38" s="166">
        <f>IF($C$19="","",$G$19)</f>
        <v/>
      </c>
      <c r="I38" s="166">
        <f>IF($C$19="","",$C$9)</f>
        <v/>
      </c>
      <c r="J38" s="168" t="n"/>
      <c r="K38" s="169" t="n"/>
      <c r="L38" s="39" t="n"/>
    </row>
    <row r="39">
      <c r="A39" s="165">
        <f>IF($C$20="","",$C$5)</f>
        <v/>
      </c>
      <c r="B39" s="165">
        <f>IF($C$20="","",$C$20)</f>
        <v/>
      </c>
      <c r="C39" s="165">
        <f>IF($D$20="","",$D$20)</f>
        <v/>
      </c>
      <c r="D39" s="165">
        <f>IF($E$20="","",$E$20)</f>
        <v/>
      </c>
      <c r="E39" s="166">
        <f>IF($C$20="","",$C$10)</f>
        <v/>
      </c>
      <c r="F39" s="166">
        <f>IF($C$20="","",$C$8)</f>
        <v/>
      </c>
      <c r="G39" s="166">
        <f>IF($C$20="","",$F$20)</f>
        <v/>
      </c>
      <c r="H39" s="166">
        <f>IF($C$20="","",$G$20)</f>
        <v/>
      </c>
      <c r="I39" s="166">
        <f>IF($C$20="","",$C$9)</f>
        <v/>
      </c>
      <c r="J39" s="168" t="n"/>
      <c r="K39" s="169" t="n"/>
      <c r="L39" s="39" t="n"/>
    </row>
    <row r="40">
      <c r="A40" s="165">
        <f>IF($C$21="","",$C$5)</f>
        <v/>
      </c>
      <c r="B40" s="165">
        <f>IF($C$21="","",$C$21)</f>
        <v/>
      </c>
      <c r="C40" s="165">
        <f>IF($D$21="","",$D$21)</f>
        <v/>
      </c>
      <c r="D40" s="165">
        <f>IF($E$21="","",$E$21)</f>
        <v/>
      </c>
      <c r="E40" s="166">
        <f>IF($C$21="","",$C$10)</f>
        <v/>
      </c>
      <c r="F40" s="166">
        <f>IF($C$21="","",$C$8)</f>
        <v/>
      </c>
      <c r="G40" s="166">
        <f>IF($C$21="","",$F$21)</f>
        <v/>
      </c>
      <c r="H40" s="166">
        <f>IF($C$21="","",$G$21)</f>
        <v/>
      </c>
      <c r="I40" s="166">
        <f>IF($C$21="","",$C$9)</f>
        <v/>
      </c>
      <c r="J40" s="168" t="n"/>
      <c r="K40" s="169" t="n"/>
      <c r="L40" s="39" t="n"/>
    </row>
    <row r="41">
      <c r="A41" s="165">
        <f>IF($C$22="","",$C$5)</f>
        <v/>
      </c>
      <c r="B41" s="165">
        <f>IF($C$22="","",$C$22)</f>
        <v/>
      </c>
      <c r="C41" s="165">
        <f>IF($D$22="","",$D$22)</f>
        <v/>
      </c>
      <c r="D41" s="165">
        <f>IF($E$22="","",$E$22)</f>
        <v/>
      </c>
      <c r="E41" s="166">
        <f>IF($C$22="","",$C$10)</f>
        <v/>
      </c>
      <c r="F41" s="166">
        <f>IF($C$22="","",$C$8)</f>
        <v/>
      </c>
      <c r="G41" s="166">
        <f>IF($C$22="","",$F$22)</f>
        <v/>
      </c>
      <c r="H41" s="166">
        <f>IF($C$22="","",$G$22)</f>
        <v/>
      </c>
      <c r="I41" s="166">
        <f>IF($C$22="","",$C$9)</f>
        <v/>
      </c>
      <c r="J41" s="168" t="n"/>
      <c r="K41" s="169" t="n"/>
      <c r="L41" s="39" t="n"/>
    </row>
    <row r="42">
      <c r="A42" s="165">
        <f>IF($C$23="","",$C$5)</f>
        <v/>
      </c>
      <c r="B42" s="165">
        <f>IF($C$23="","",$C$23)</f>
        <v/>
      </c>
      <c r="C42" s="165">
        <f>IF($D$23="","",$D$23)</f>
        <v/>
      </c>
      <c r="D42" s="165">
        <f>IF($E$23="","",$E$23)</f>
        <v/>
      </c>
      <c r="E42" s="166">
        <f>IF($C$23="","",$C$10)</f>
        <v/>
      </c>
      <c r="F42" s="166">
        <f>IF($C$23="","",$C$8)</f>
        <v/>
      </c>
      <c r="G42" s="166">
        <f>IF($C$23="","",$F$23)</f>
        <v/>
      </c>
      <c r="H42" s="166">
        <f>IF($C$23="","",$G$23)</f>
        <v/>
      </c>
      <c r="I42" s="166">
        <f>IF($C$23="","",$C$9)</f>
        <v/>
      </c>
      <c r="J42" s="168" t="n"/>
      <c r="K42" s="169" t="n"/>
      <c r="L42" s="39" t="n"/>
    </row>
    <row r="43">
      <c r="A43" s="165">
        <f>IF($C$24="","",$C$5)</f>
        <v/>
      </c>
      <c r="B43" s="165">
        <f>IF($C$24="","",$C$24)</f>
        <v/>
      </c>
      <c r="C43" s="165">
        <f>IF($D$24="","",$D$24)</f>
        <v/>
      </c>
      <c r="D43" s="165">
        <f>IF($E$24="","",$E$24)</f>
        <v/>
      </c>
      <c r="E43" s="166">
        <f>IF($C$24="","",$C$10)</f>
        <v/>
      </c>
      <c r="F43" s="166">
        <f>IF($C$24="","",$C$8)</f>
        <v/>
      </c>
      <c r="G43" s="166">
        <f>IF($C$24="","",$F$24)</f>
        <v/>
      </c>
      <c r="H43" s="166">
        <f>IF($C$24="","",$G$24)</f>
        <v/>
      </c>
      <c r="I43" s="166">
        <f>IF($C$24="","",$C$9)</f>
        <v/>
      </c>
      <c r="J43" s="168" t="n"/>
      <c r="K43" s="169" t="n"/>
      <c r="L43" s="39" t="n"/>
    </row>
    <row r="44">
      <c r="A44" s="165">
        <f>IF($C$25="","",$C$5)</f>
        <v/>
      </c>
      <c r="B44" s="165">
        <f>IF($C$25="","",$C$25)</f>
        <v/>
      </c>
      <c r="C44" s="165">
        <f>IF($D$25="","",$D$25)</f>
        <v/>
      </c>
      <c r="D44" s="165">
        <f>IF($E$25="","",$E$25)</f>
        <v/>
      </c>
      <c r="E44" s="166">
        <f>IF($C$25="","",$C$10)</f>
        <v/>
      </c>
      <c r="F44" s="166">
        <f>IF($C$25="","",$C$8)</f>
        <v/>
      </c>
      <c r="G44" s="166">
        <f>IF($C$25="","",$F$25)</f>
        <v/>
      </c>
      <c r="H44" s="166">
        <f>IF($C$25="","",$G$25)</f>
        <v/>
      </c>
      <c r="I44" s="166">
        <f>IF($C$25="","",$C$9)</f>
        <v/>
      </c>
      <c r="J44" s="168" t="n"/>
      <c r="K44" s="169" t="n"/>
      <c r="L44" s="39" t="n"/>
    </row>
    <row r="45">
      <c r="A45" s="165">
        <f>IF($C$26="","",$C$5)</f>
        <v/>
      </c>
      <c r="B45" s="165">
        <f>IF($C$26="","",$C$26)</f>
        <v/>
      </c>
      <c r="C45" s="165">
        <f>IF($D$26="","",$D$26)</f>
        <v/>
      </c>
      <c r="D45" s="165">
        <f>IF($E$26="","",$E$26)</f>
        <v/>
      </c>
      <c r="E45" s="166">
        <f>IF($C$26="","",$C$10)</f>
        <v/>
      </c>
      <c r="F45" s="166">
        <f>IF($C$26="","",$C$8)</f>
        <v/>
      </c>
      <c r="G45" s="166">
        <f>IF($C$26="","",$F$26)</f>
        <v/>
      </c>
      <c r="H45" s="166">
        <f>IF($C$26="","",$G$26)</f>
        <v/>
      </c>
      <c r="I45" s="166">
        <f>IF($C$26="","",$C$9)</f>
        <v/>
      </c>
      <c r="J45" s="168" t="n"/>
      <c r="K45" s="169" t="n"/>
      <c r="L45" s="39" t="n"/>
    </row>
    <row r="46">
      <c r="A46" s="165">
        <f>IF($C$27="","",$C$5)</f>
        <v/>
      </c>
      <c r="B46" s="165">
        <f>IF($C$27="","",$C$27)</f>
        <v/>
      </c>
      <c r="C46" s="165">
        <f>IF($D$27="","",$D$27)</f>
        <v/>
      </c>
      <c r="D46" s="165">
        <f>IF($E$27="","",$E$27)</f>
        <v/>
      </c>
      <c r="E46" s="166">
        <f>IF($C$27="","",$C$10)</f>
        <v/>
      </c>
      <c r="F46" s="166">
        <f>IF($C$27="","",$C$8)</f>
        <v/>
      </c>
      <c r="G46" s="166">
        <f>IF($C$27="","",$F$27)</f>
        <v/>
      </c>
      <c r="H46" s="166">
        <f>IF($C$27="","",$G$27)</f>
        <v/>
      </c>
      <c r="I46" s="166">
        <f>IF($C$27="","",$C$9)</f>
        <v/>
      </c>
      <c r="J46" s="168" t="n"/>
      <c r="K46" s="169" t="n"/>
      <c r="L46" s="39" t="n"/>
    </row>
    <row r="47">
      <c r="A47" s="165">
        <f>IF($C$28="","",$C$5)</f>
        <v/>
      </c>
      <c r="B47" s="165">
        <f>IF($C$28="","",$C$28)</f>
        <v/>
      </c>
      <c r="C47" s="165">
        <f>IF($D$28="","",$D$28)</f>
        <v/>
      </c>
      <c r="D47" s="165">
        <f>IF($E$28="","",$E$28)</f>
        <v/>
      </c>
      <c r="E47" s="166">
        <f>IF($C$28="","",$C$10)</f>
        <v/>
      </c>
      <c r="F47" s="166">
        <f>IF($C$28="","",$C$8)</f>
        <v/>
      </c>
      <c r="G47" s="166">
        <f>IF($C$28="","",$F$28)</f>
        <v/>
      </c>
      <c r="H47" s="166">
        <f>IF($C$28="","",$G$28)</f>
        <v/>
      </c>
      <c r="I47" s="166">
        <f>IF($C$28="","",$C$9)</f>
        <v/>
      </c>
      <c r="J47" s="168" t="n"/>
      <c r="K47" s="169" t="n"/>
      <c r="L47" s="39" t="n"/>
    </row>
    <row r="48">
      <c r="A48" s="165">
        <f>IF($C$29="","",$C$5)</f>
        <v/>
      </c>
      <c r="B48" s="165">
        <f>IF($C$29="","",$C$29)</f>
        <v/>
      </c>
      <c r="C48" s="165">
        <f>IF($D$29="","",$D$29)</f>
        <v/>
      </c>
      <c r="D48" s="165">
        <f>IF($E$29="","",$E$29)</f>
        <v/>
      </c>
      <c r="E48" s="166">
        <f>IF($C$29="","",$C$10)</f>
        <v/>
      </c>
      <c r="F48" s="166">
        <f>IF($C$29="","",$C$8)</f>
        <v/>
      </c>
      <c r="G48" s="166">
        <f>IF($C$29="","",$F$29)</f>
        <v/>
      </c>
      <c r="H48" s="166">
        <f>IF($C$29="","",$G$29)</f>
        <v/>
      </c>
      <c r="I48" s="166">
        <f>IF($C$29="","",$C$9)</f>
        <v/>
      </c>
      <c r="J48" s="168" t="n"/>
      <c r="K48" s="169" t="n"/>
      <c r="L48" s="39" t="n"/>
    </row>
    <row r="49">
      <c r="A49" s="165">
        <f>IF($C$30="","",$C$5)</f>
        <v/>
      </c>
      <c r="B49" s="165">
        <f>IF($C$30="","",$C$30)</f>
        <v/>
      </c>
      <c r="C49" s="165">
        <f>IF($D$30="","",$D$30)</f>
        <v/>
      </c>
      <c r="D49" s="165">
        <f>IF($E$30="","",$E$30)</f>
        <v/>
      </c>
      <c r="E49" s="166">
        <f>IF($C$30="","",$C$10)</f>
        <v/>
      </c>
      <c r="F49" s="166">
        <f>IF($C$30="","",$C$8)</f>
        <v/>
      </c>
      <c r="G49" s="166">
        <f>IF($C$30="","",$F$30)</f>
        <v/>
      </c>
      <c r="H49" s="166">
        <f>IF($C$30="","",$G$30)</f>
        <v/>
      </c>
      <c r="I49" s="166">
        <f>IF($C$30="","",$C$9)</f>
        <v/>
      </c>
      <c r="J49" s="168" t="n"/>
      <c r="K49" s="169" t="n"/>
      <c r="L49" s="39" t="n"/>
    </row>
    <row r="50">
      <c r="A50" s="165">
        <f>IF($C$31="","",$C$5)</f>
        <v/>
      </c>
      <c r="B50" s="165">
        <f>IF($C$31="","",$C$31)</f>
        <v/>
      </c>
      <c r="C50" s="165">
        <f>IF($D$31="","",$D$31)</f>
        <v/>
      </c>
      <c r="D50" s="165">
        <f>IF($E$31="","",$E$31)</f>
        <v/>
      </c>
      <c r="E50" s="166">
        <f>IF($C$31="","",$C$10)</f>
        <v/>
      </c>
      <c r="F50" s="166">
        <f>IF($C$31="","",$C$8)</f>
        <v/>
      </c>
      <c r="G50" s="166">
        <f>IF($C$31="","",$F$31)</f>
        <v/>
      </c>
      <c r="H50" s="166">
        <f>IF($C$31="","",$G$31)</f>
        <v/>
      </c>
      <c r="I50" s="166">
        <f>IF($C$31="","",$C$9)</f>
        <v/>
      </c>
      <c r="J50" s="168" t="n"/>
      <c r="K50" s="169" t="n"/>
      <c r="L50" s="39" t="n"/>
    </row>
    <row r="51">
      <c r="A51" s="39" t="n"/>
      <c r="B51" s="39" t="n"/>
      <c r="C51" s="39" t="n"/>
      <c r="D51" s="39" t="n"/>
      <c r="E51" s="39" t="n"/>
      <c r="F51" s="39" t="n"/>
      <c r="G51" s="39" t="n"/>
      <c r="H51" s="39" t="n"/>
      <c r="I51" s="39" t="n"/>
      <c r="J51" s="39" t="n"/>
      <c r="K51" s="39" t="n"/>
      <c r="L51" s="39" t="n"/>
    </row>
    <row r="52">
      <c r="A52" s="39" t="n"/>
      <c r="B52" s="82" t="inlineStr">
        <is>
          <t>How this works:</t>
        </is>
      </c>
      <c r="C52" s="39" t="n"/>
      <c r="D52" s="39" t="n"/>
      <c r="E52" s="39" t="n"/>
      <c r="F52" s="39" t="n"/>
      <c r="G52" s="39" t="n"/>
      <c r="H52" s="39" t="n"/>
      <c r="I52" s="39" t="n"/>
      <c r="J52" s="39" t="n"/>
      <c r="K52" s="39" t="n"/>
      <c r="L52" s="39" t="n"/>
    </row>
    <row r="53">
      <c r="A53" s="39" t="n"/>
      <c r="B53" s="163" t="inlineStr">
        <is>
          <t>This form does not automatically create records — Excel formulas can't write to another sheet</t>
        </is>
      </c>
      <c r="C53" s="39" t="n"/>
      <c r="D53" s="39" t="n"/>
      <c r="E53" s="39" t="n"/>
      <c r="F53" s="39" t="n"/>
      <c r="G53" s="39" t="n"/>
      <c r="H53" s="39" t="n"/>
      <c r="I53" s="39" t="n"/>
      <c r="J53" s="39" t="n"/>
      <c r="K53" s="39" t="n"/>
      <c r="L53" s="39" t="n"/>
    </row>
    <row r="54">
      <c r="A54" s="39" t="n"/>
      <c r="B54" s="163" t="inlineStr">
        <is>
          <t>on their own without VBA, which this workbook deliberately avoids for corporate compatibility.</t>
        </is>
      </c>
      <c r="C54" s="39" t="n"/>
      <c r="D54" s="39" t="n"/>
      <c r="E54" s="39" t="n"/>
      <c r="F54" s="39" t="n"/>
      <c r="G54" s="39" t="n"/>
      <c r="H54" s="39" t="n"/>
      <c r="I54" s="39" t="n"/>
      <c r="J54" s="39" t="n"/>
      <c r="K54" s="39" t="n"/>
      <c r="L54" s="39" t="n"/>
    </row>
    <row r="55">
      <c r="A55" s="39" t="n"/>
      <c r="B55" s="163" t="inlineStr">
        <is>
          <t>Fill in the Mission fields and up to 15 Deliverables above; the Readiness Check tells you when</t>
        </is>
      </c>
      <c r="C55" s="39" t="n"/>
      <c r="D55" s="39" t="n"/>
      <c r="E55" s="39" t="n"/>
      <c r="F55" s="39" t="n"/>
      <c r="G55" s="39" t="n"/>
      <c r="H55" s="39" t="n"/>
      <c r="I55" s="39" t="n"/>
      <c r="J55" s="39" t="n"/>
      <c r="K55" s="39" t="n"/>
      <c r="L55" s="39" t="n"/>
    </row>
    <row r="56">
      <c r="A56" s="39" t="n"/>
      <c r="B56" s="163" t="inlineStr">
        <is>
          <t>you're good to go. The block below auto-fills Mission/Status/Priority/Due Date for you, so you</t>
        </is>
      </c>
      <c r="C56" s="39" t="n"/>
      <c r="D56" s="39" t="n"/>
      <c r="E56" s="39" t="n"/>
      <c r="F56" s="39" t="n"/>
      <c r="G56" s="39" t="n"/>
      <c r="H56" s="39" t="n"/>
      <c r="I56" s="39" t="n"/>
      <c r="J56" s="39" t="n"/>
      <c r="K56" s="39" t="n"/>
      <c r="L56" s="39" t="n"/>
    </row>
    <row r="57">
      <c r="A57" s="39" t="n"/>
      <c r="B57" s="163" t="inlineStr">
        <is>
          <t>only type each Deliverable's details once. Copy it into Work Register, done in one paste.</t>
        </is>
      </c>
      <c r="C57" s="39" t="n"/>
      <c r="D57" s="39" t="n"/>
      <c r="E57" s="39" t="n"/>
      <c r="F57" s="39" t="n"/>
      <c r="G57" s="39" t="n"/>
      <c r="H57" s="39" t="n"/>
      <c r="I57" s="39" t="n"/>
      <c r="J57" s="39" t="n"/>
      <c r="K57" s="39" t="n"/>
      <c r="L57" s="39" t="n"/>
    </row>
    <row r="58">
      <c r="A58" s="39" t="n"/>
      <c r="B58" s="39" t="n"/>
      <c r="C58" s="39" t="n"/>
      <c r="D58" s="39" t="n"/>
      <c r="E58" s="39" t="n"/>
      <c r="F58" s="39" t="n"/>
      <c r="G58" s="39" t="n"/>
      <c r="H58" s="39" t="n"/>
      <c r="I58" s="39" t="n"/>
      <c r="J58" s="39" t="n"/>
      <c r="K58" s="39" t="n"/>
      <c r="L58" s="39" t="n"/>
    </row>
    <row r="59">
      <c r="A59" s="39" t="n"/>
      <c r="B59" s="39" t="n"/>
      <c r="C59" s="39" t="n"/>
      <c r="D59" s="39" t="n"/>
      <c r="E59" s="39" t="n"/>
      <c r="F59" s="39" t="n"/>
      <c r="G59" s="39" t="n"/>
      <c r="H59" s="39" t="n"/>
      <c r="I59" s="39" t="n"/>
      <c r="J59" s="39" t="n"/>
      <c r="K59" s="39" t="n"/>
      <c r="L59" s="39" t="n"/>
    </row>
    <row r="60">
      <c r="A60" s="39" t="n"/>
      <c r="B60" s="39" t="n"/>
      <c r="C60" s="39" t="n"/>
      <c r="D60" s="39" t="n"/>
      <c r="E60" s="39" t="n"/>
      <c r="F60" s="39" t="n"/>
      <c r="G60" s="39" t="n"/>
      <c r="H60" s="39" t="n"/>
      <c r="I60" s="39" t="n"/>
      <c r="J60" s="39" t="n"/>
      <c r="K60" s="39" t="n"/>
      <c r="L60" s="39" t="n"/>
    </row>
  </sheetData>
  <sheetProtection selectLockedCells="0" selectUnlockedCells="0" sheet="1" objects="0" insertRows="1" insertHyperlinks="1" autoFilter="1" scenarios="0" formatColumns="1" deleteColumns="1" insertColumns="1" pivotTables="1" deleteRows="1" formatCells="1" formatRows="1" sort="1"/>
  <mergeCells count="3">
    <mergeCell ref="B34:K34"/>
    <mergeCell ref="B13:F13"/>
    <mergeCell ref="B14:F14"/>
  </mergeCells>
  <dataValidations count="6">
    <dataValidation sqref="C8" showDropDown="0" showInputMessage="0" showErrorMessage="0" allowBlank="1" type="list">
      <formula1>PriorityList</formula1>
    </dataValidation>
    <dataValidation sqref="C10" showDropDown="0" showInputMessage="0" showErrorMessage="0" allowBlank="1" type="list">
      <formula1>StatusList</formula1>
    </dataValidation>
    <dataValidation sqref="F17 F18 F19 F20 F21" showDropDown="0" showInputMessage="0" showErrorMessage="0" allowBlank="1" type="list">
      <formula1>EnergyList</formula1>
    </dataValidation>
    <dataValidation sqref="G17 G18 G19 G20 G21" showDropDown="0" showInputMessage="0" showErrorMessage="0" allowBlank="1" type="list">
      <formula1>TimeList</formula1>
    </dataValidation>
    <dataValidation sqref="F17 F18 F19 F20 F21 F22 F23 F24 F25 F26 F27 F28 F29 F30 F31" showDropDown="0" showInputMessage="0" showErrorMessage="0" allowBlank="1" type="list">
      <formula1>EnergyList</formula1>
    </dataValidation>
    <dataValidation sqref="G17 G18 G19 G20 G21 G22 G23 G24 G25 G26 G27 G28 G29 G30 G31" showDropDown="0" showInputMessage="0" showErrorMessage="0" allowBlank="1" type="list">
      <formula1>TimeList</formula1>
    </dataValidation>
  </dataValidations>
  <hyperlinks>
    <hyperlink xmlns:r="http://schemas.openxmlformats.org/officeDocument/2006/relationships" ref="B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00"/>
  <sheetViews>
    <sheetView showGridLines="0" workbookViewId="0">
      <selection activeCell="A1" sqref="A1"/>
    </sheetView>
  </sheetViews>
  <sheetFormatPr baseColWidth="8" defaultRowHeight="15"/>
  <cols>
    <col width="20" customWidth="1" min="1" max="1"/>
    <col width="20" customWidth="1" min="2" max="2"/>
    <col width="18" customWidth="1" min="3" max="3"/>
    <col width="25" customWidth="1" min="4" max="4"/>
    <col width="15" customWidth="1" min="5" max="5"/>
    <col width="12" customWidth="1" min="6" max="6"/>
    <col width="16" customWidth="1" min="7" max="7"/>
    <col width="16" customWidth="1" min="8" max="8"/>
    <col width="12" customWidth="1" min="9" max="9"/>
    <col width="10" customWidth="1" min="10" max="10"/>
    <col width="25" customWidth="1" min="11" max="11"/>
    <col width="14" customWidth="1" min="12" max="12"/>
    <col width="10" customWidth="1" min="13" max="13"/>
    <col width="9" customWidth="1" min="14" max="14"/>
    <col width="34" customWidth="1" min="15" max="15"/>
    <col width="12" customWidth="1" min="16" max="16"/>
    <col width="14" customWidth="1" min="17" max="17"/>
    <col width="14" customWidth="1" min="18" max="18"/>
    <col width="14" customWidth="1" min="19" max="19"/>
    <col width="14" customWidth="1" min="20" max="20"/>
    <col width="14" customWidth="1" min="21" max="21"/>
    <col width="14" customWidth="1" min="22" max="22"/>
  </cols>
  <sheetData>
    <row r="1">
      <c r="A1" s="10" t="inlineStr">
        <is>
          <t>Work Register</t>
        </is>
      </c>
    </row>
    <row r="2" ht="20" customHeight="1">
      <c r="A2" s="11" t="inlineStr">
        <is>
          <t>← Home</t>
        </is>
      </c>
    </row>
    <row r="3">
      <c r="H3" s="84">
        <f>COUNTIF($D$5:$D$500,"&lt;&gt;")&amp;" of 496 task rows used"</f>
        <v/>
      </c>
      <c r="L3" s="33" t="inlineStr">
        <is>
          <t>Columns L–P power the recommendation engine — formulas cover rows 5–500 (496 tasks). Safe to leave as-is.</t>
        </is>
      </c>
    </row>
    <row r="4">
      <c r="A4" s="16" t="inlineStr">
        <is>
          <t>Mission</t>
        </is>
      </c>
      <c r="B4" s="16" t="inlineStr">
        <is>
          <t>Deliverable</t>
        </is>
      </c>
      <c r="C4" s="16" t="inlineStr">
        <is>
          <t>Component</t>
        </is>
      </c>
      <c r="D4" s="16" t="inlineStr">
        <is>
          <t>Task</t>
        </is>
      </c>
      <c r="E4" s="16" t="inlineStr">
        <is>
          <t>Status</t>
        </is>
      </c>
      <c r="F4" s="16" t="inlineStr">
        <is>
          <t>Priority</t>
        </is>
      </c>
      <c r="G4" s="16" t="inlineStr">
        <is>
          <t>Energy</t>
        </is>
      </c>
      <c r="H4" s="16" t="inlineStr">
        <is>
          <t>Estimated Time</t>
        </is>
      </c>
      <c r="I4" s="16" t="inlineStr">
        <is>
          <t>Due Date</t>
        </is>
      </c>
      <c r="J4" s="16" t="inlineStr">
        <is>
          <t>Owner</t>
        </is>
      </c>
      <c r="K4" s="16" t="inlineStr">
        <is>
          <t>Notes</t>
        </is>
      </c>
      <c r="L4" s="16" t="inlineStr">
        <is>
          <t>Last Updated</t>
        </is>
      </c>
      <c r="M4" s="16" t="inlineStr">
        <is>
          <t>Minutes</t>
        </is>
      </c>
      <c r="N4" s="16" t="inlineStr">
        <is>
          <t>Score</t>
        </is>
      </c>
      <c r="O4" s="16" t="inlineStr">
        <is>
          <t>Reason</t>
        </is>
      </c>
      <c r="P4" s="16" t="inlineStr">
        <is>
          <t>Filter Match</t>
        </is>
      </c>
      <c r="Q4" s="149" t="inlineStr">
        <is>
          <t>Term: Priority</t>
        </is>
      </c>
      <c r="R4" s="149" t="inlineStr">
        <is>
          <t>Term: Overdue</t>
        </is>
      </c>
      <c r="S4" s="149" t="inlineStr">
        <is>
          <t>Term: Due Soon</t>
        </is>
      </c>
      <c r="T4" s="149" t="inlineStr">
        <is>
          <t>Term: Time Fit</t>
        </is>
      </c>
      <c r="U4" s="149" t="inlineStr">
        <is>
          <t>Term: Energy Fit</t>
        </is>
      </c>
      <c r="V4" s="149" t="inlineStr">
        <is>
          <t>Reason (built)</t>
        </is>
      </c>
    </row>
    <row r="5">
      <c r="A5" s="15" t="inlineStr">
        <is>
          <t>Operational Resilience Framework</t>
        </is>
      </c>
      <c r="B5" s="15" t="inlineStr">
        <is>
          <t>Framework</t>
        </is>
      </c>
      <c r="C5" s="15" t="inlineStr">
        <is>
          <t>Role Cards</t>
        </is>
      </c>
      <c r="D5" s="15" t="inlineStr">
        <is>
          <t>Rewrite Coordinator Role</t>
        </is>
      </c>
      <c r="E5" s="17" t="inlineStr">
        <is>
          <t>In Progress</t>
        </is>
      </c>
      <c r="F5" s="17" t="inlineStr">
        <is>
          <t>High</t>
        </is>
      </c>
      <c r="G5" s="17" t="inlineStr">
        <is>
          <t>Deep Thinking</t>
        </is>
      </c>
      <c r="H5" s="17" t="inlineStr">
        <is>
          <t>90+ mins</t>
        </is>
      </c>
      <c r="I5" s="18" t="n">
        <v>46243.24672175926</v>
      </c>
      <c r="J5" s="15" t="inlineStr">
        <is>
          <t>TJR</t>
        </is>
      </c>
      <c r="K5" s="15" t="inlineStr">
        <is>
          <t>Updated role mapping</t>
        </is>
      </c>
      <c r="L5" s="34" t="n">
        <v>46239.24672175926</v>
      </c>
      <c r="M5" s="5">
        <f>IF($D5="","",IFERROR(VLOOKUP($H5,Lists!$N$2:$O$6,2,FALSE),0))</f>
        <v/>
      </c>
      <c r="N5" s="5">
        <f>IF($D5="","",IF(OR($E5="Blocked",$E5="Done",$E5="Archive"),-9999,IF(AND($E5="Waiting",SUMPRODUCT((($E$5:$E$500="Next")+($E$5:$E$500="In Progress")+($E$5:$E$500="Captured"))*($D$5:$D$500&lt;&gt;""))&gt;0),-500,VLOOKUP($F5,Lists!$L$2:$M$4,2,FALSE)+IF($E5="In Progress",10,0)+IF(AND($I5&lt;&gt;"",$I5&lt;TODAY()),25,0)+IF(AND($I5&lt;&gt;"",$I5&gt;=TODAY(),$I5&lt;=TODAY()+7),15,0)+IF($H5="",0,IF($M5&lt;=VLOOKUP(Home!$C$7,Lists!$N$2:$O$6,2,FALSE),20,-10))+IF($G5=Home!$E$7,15,IF(Home!$E$7="",0,-5))-ROW()/100000)))</f>
        <v/>
      </c>
      <c r="O5" s="5">
        <f>IF($D5="","",IF($N5&lt;=-500,"Not recommended right now",IF($E5="Waiting","Nothing else actionable right now — Waiting on: "&amp;IF($K5="","this item",$K5),MID($V5,4,9999))))</f>
        <v/>
      </c>
      <c r="P5" s="5">
        <f>IF($D5="","",IF('Task Finder'!$C$6="High Priority",AND($F5="High",$E5&lt;&gt;"Done",$E5&lt;&gt;"Archive"),IF('Task Finder'!$C$6="Due This Week",AND($I5&lt;&gt;"",$I5&gt;=TODAY(),$I5&lt;=TODAY()+7,$E5&lt;&gt;"Done"),IF('Task Finder'!$C$6="Quick Wins (15 mins or less)",AND($M5&lt;=15,$E5&lt;&gt;"Done",$E5&lt;&gt;"Blocked"),IF('Task Finder'!$C$6="Deep Thinking",AND($G5="Deep Thinking",$E5&lt;&gt;"Done"),IF('Task Finder'!$C$6="Processing",AND($G5="Processing",$E5&lt;&gt;"Done"),IF('Task Finder'!$C$6="Blocked",$E5="Blocked",IF('Task Finder'!$C$6="Waiting",$E5="Waiting",IF('Task Finder'!$C$6="Recently Updated",AND($L5&lt;&gt;"",$L5&gt;=TODAY()-7),IF('Task Finder'!$C$6="Keyword",AND('Task Finder'!$C$7&lt;&gt;"",OR(ISNUMBER(SEARCH('Task Finder'!$C$7,$A5)),ISNUMBER(SEARCH('Task Finder'!$C$7,$B5)),ISNUMBER(SEARCH('Task Finder'!$C$7,$C5)),ISNUMBER(SEARCH('Task Finder'!$C$7,$D5)),ISNUMBER(SEARCH('Task Finder'!$C$7,$K5)))),TRUE))))))))))</f>
        <v/>
      </c>
      <c r="Q5" s="150">
        <f>IF($F5="High","High Priority","")</f>
        <v/>
      </c>
      <c r="R5" s="150">
        <f>IF(AND($I5&lt;&gt;"",$I5&lt;TODAY()),"Overdue","")</f>
        <v/>
      </c>
      <c r="S5" s="150">
        <f>IF(AND($I5&lt;&gt;"",$I5&gt;=TODAY(),$I5&lt;=TODAY()+7),"Due This Week","")</f>
        <v/>
      </c>
      <c r="T5" s="150">
        <f>IF(AND($H5&lt;&gt;"",$M5&lt;=VLOOKUP(Home!$C$7,Lists!$N$2:$O$6,2,FALSE)),$H5&amp;" Task","")</f>
        <v/>
      </c>
      <c r="U5" s="150">
        <f>IF($G5=Home!$E$7,"Fits Current Energy","")</f>
        <v/>
      </c>
      <c r="V5" s="150">
        <f>IF($Q5&lt;&gt;""," • "&amp;$Q5,"")&amp;IF($R5&lt;&gt;""," • "&amp;$R5,"")&amp;IF($S5&lt;&gt;""," • "&amp;$S5,"")&amp;IF($T5&lt;&gt;""," • "&amp;$T5,"")&amp;IF($U5&lt;&gt;""," • "&amp;$U5,"")&amp;" • No Blockers"</f>
        <v/>
      </c>
    </row>
    <row r="6">
      <c r="A6" s="15" t="inlineStr">
        <is>
          <t>Operational Resilience Framework</t>
        </is>
      </c>
      <c r="B6" s="15" t="inlineStr">
        <is>
          <t>Framework</t>
        </is>
      </c>
      <c r="C6" s="15" t="inlineStr">
        <is>
          <t>Role Cards</t>
        </is>
      </c>
      <c r="D6" s="15" t="inlineStr">
        <is>
          <t>Review Governance Section</t>
        </is>
      </c>
      <c r="E6" s="17" t="inlineStr">
        <is>
          <t>Waiting</t>
        </is>
      </c>
      <c r="F6" s="17" t="inlineStr">
        <is>
          <t>High</t>
        </is>
      </c>
      <c r="G6" s="17" t="inlineStr">
        <is>
          <t>Processing</t>
        </is>
      </c>
      <c r="H6" s="17" t="inlineStr">
        <is>
          <t>60 mins</t>
        </is>
      </c>
      <c r="I6" s="18" t="n">
        <v>46252.24672175926</v>
      </c>
      <c r="J6" s="15" t="inlineStr">
        <is>
          <t>TJR</t>
        </is>
      </c>
      <c r="K6" s="15" t="inlineStr">
        <is>
          <t>Awaiting feedback</t>
        </is>
      </c>
      <c r="L6" s="34" t="n">
        <v>46234.24672175926</v>
      </c>
      <c r="M6" s="5">
        <f>IF($D6="","",IFERROR(VLOOKUP($H6,Lists!$N$2:$O$6,2,FALSE),0))</f>
        <v/>
      </c>
      <c r="N6" s="5">
        <f>IF($D6="","",IF(OR($E6="Blocked",$E6="Done",$E6="Archive"),-9999,IF(AND($E6="Waiting",SUMPRODUCT((($E$5:$E$500="Next")+($E$5:$E$500="In Progress")+($E$5:$E$500="Captured"))*($D$5:$D$500&lt;&gt;""))&gt;0),-500,VLOOKUP($F6,Lists!$L$2:$M$4,2,FALSE)+IF($E6="In Progress",10,0)+IF(AND($I6&lt;&gt;"",$I6&lt;TODAY()),25,0)+IF(AND($I6&lt;&gt;"",$I6&gt;=TODAY(),$I6&lt;=TODAY()+7),15,0)+IF($H6="",0,IF($M6&lt;=VLOOKUP(Home!$C$7,Lists!$N$2:$O$6,2,FALSE),20,-10))+IF($G6=Home!$E$7,15,IF(Home!$E$7="",0,-5))-ROW()/100000)))</f>
        <v/>
      </c>
      <c r="O6" s="5">
        <f>IF($D6="","",IF($N6&lt;=-500,"Not recommended right now",IF($E6="Waiting","Nothing else actionable right now — Waiting on: "&amp;IF($K6="","this item",$K6),MID($V6,4,9999))))</f>
        <v/>
      </c>
      <c r="P6" s="5">
        <f>IF($D6="","",IF('Task Finder'!$C$6="High Priority",AND($F6="High",$E6&lt;&gt;"Done",$E6&lt;&gt;"Archive"),IF('Task Finder'!$C$6="Due This Week",AND($I6&lt;&gt;"",$I6&gt;=TODAY(),$I6&lt;=TODAY()+7,$E6&lt;&gt;"Done"),IF('Task Finder'!$C$6="Quick Wins (15 mins or less)",AND($M6&lt;=15,$E6&lt;&gt;"Done",$E6&lt;&gt;"Blocked"),IF('Task Finder'!$C$6="Deep Thinking",AND($G6="Deep Thinking",$E6&lt;&gt;"Done"),IF('Task Finder'!$C$6="Processing",AND($G6="Processing",$E6&lt;&gt;"Done"),IF('Task Finder'!$C$6="Blocked",$E6="Blocked",IF('Task Finder'!$C$6="Waiting",$E6="Waiting",IF('Task Finder'!$C$6="Recently Updated",AND($L6&lt;&gt;"",$L6&gt;=TODAY()-7),IF('Task Finder'!$C$6="Keyword",AND('Task Finder'!$C$7&lt;&gt;"",OR(ISNUMBER(SEARCH('Task Finder'!$C$7,$A6)),ISNUMBER(SEARCH('Task Finder'!$C$7,$B6)),ISNUMBER(SEARCH('Task Finder'!$C$7,$C6)),ISNUMBER(SEARCH('Task Finder'!$C$7,$D6)),ISNUMBER(SEARCH('Task Finder'!$C$7,$K6)))),TRUE))))))))))</f>
        <v/>
      </c>
      <c r="Q6" s="150">
        <f>IF($F6="High","High Priority","")</f>
        <v/>
      </c>
      <c r="R6" s="150">
        <f>IF(AND($I6&lt;&gt;"",$I6&lt;TODAY()),"Overdue","")</f>
        <v/>
      </c>
      <c r="S6" s="150">
        <f>IF(AND($I6&lt;&gt;"",$I6&gt;=TODAY(),$I6&lt;=TODAY()+7),"Due This Week","")</f>
        <v/>
      </c>
      <c r="T6" s="150">
        <f>IF(AND($H6&lt;&gt;"",$M6&lt;=VLOOKUP(Home!$C$7,Lists!$N$2:$O$6,2,FALSE)),$H6&amp;" Task","")</f>
        <v/>
      </c>
      <c r="U6" s="150">
        <f>IF($G6=Home!$E$7,"Fits Current Energy","")</f>
        <v/>
      </c>
      <c r="V6" s="150">
        <f>IF($Q6&lt;&gt;""," • "&amp;$Q6,"")&amp;IF($R6&lt;&gt;""," • "&amp;$R6,"")&amp;IF($S6&lt;&gt;""," • "&amp;$S6,"")&amp;IF($T6&lt;&gt;""," • "&amp;$T6,"")&amp;IF($U6&lt;&gt;""," • "&amp;$U6,"")&amp;" • No Blockers"</f>
        <v/>
      </c>
    </row>
    <row r="7">
      <c r="A7" s="15" t="inlineStr">
        <is>
          <t>Operational Resilience Framework</t>
        </is>
      </c>
      <c r="B7" s="15" t="inlineStr">
        <is>
          <t>Exercises</t>
        </is>
      </c>
      <c r="C7" s="15" t="inlineStr">
        <is>
          <t>Training</t>
        </is>
      </c>
      <c r="D7" s="15" t="inlineStr">
        <is>
          <t>Draft Exercise Plan</t>
        </is>
      </c>
      <c r="E7" s="17" t="inlineStr">
        <is>
          <t>Captured</t>
        </is>
      </c>
      <c r="F7" s="17" t="inlineStr">
        <is>
          <t>Medium</t>
        </is>
      </c>
      <c r="G7" s="17" t="inlineStr">
        <is>
          <t>Admin</t>
        </is>
      </c>
      <c r="H7" s="17" t="inlineStr">
        <is>
          <t>30 mins</t>
        </is>
      </c>
      <c r="I7" s="18" t="n">
        <v>46238.24672175926</v>
      </c>
      <c r="J7" s="15" t="inlineStr">
        <is>
          <t>TJR</t>
        </is>
      </c>
      <c r="K7" s="15" t="inlineStr">
        <is>
          <t>Initial outline needed</t>
        </is>
      </c>
      <c r="L7" s="34" t="n">
        <v>46224.24672175926</v>
      </c>
      <c r="M7" s="5">
        <f>IF($D7="","",IFERROR(VLOOKUP($H7,Lists!$N$2:$O$6,2,FALSE),0))</f>
        <v/>
      </c>
      <c r="N7" s="5">
        <f>IF($D7="","",IF(OR($E7="Blocked",$E7="Done",$E7="Archive"),-9999,IF(AND($E7="Waiting",SUMPRODUCT((($E$5:$E$500="Next")+($E$5:$E$500="In Progress")+($E$5:$E$500="Captured"))*($D$5:$D$500&lt;&gt;""))&gt;0),-500,VLOOKUP($F7,Lists!$L$2:$M$4,2,FALSE)+IF($E7="In Progress",10,0)+IF(AND($I7&lt;&gt;"",$I7&lt;TODAY()),25,0)+IF(AND($I7&lt;&gt;"",$I7&gt;=TODAY(),$I7&lt;=TODAY()+7),15,0)+IF($H7="",0,IF($M7&lt;=VLOOKUP(Home!$C$7,Lists!$N$2:$O$6,2,FALSE),20,-10))+IF($G7=Home!$E$7,15,IF(Home!$E$7="",0,-5))-ROW()/100000)))</f>
        <v/>
      </c>
      <c r="O7" s="5">
        <f>IF($D7="","",IF($N7&lt;=-500,"Not recommended right now",IF($E7="Waiting","Nothing else actionable right now — Waiting on: "&amp;IF($K7="","this item",$K7),MID($V7,4,9999))))</f>
        <v/>
      </c>
      <c r="P7" s="5">
        <f>IF($D7="","",IF('Task Finder'!$C$6="High Priority",AND($F7="High",$E7&lt;&gt;"Done",$E7&lt;&gt;"Archive"),IF('Task Finder'!$C$6="Due This Week",AND($I7&lt;&gt;"",$I7&gt;=TODAY(),$I7&lt;=TODAY()+7,$E7&lt;&gt;"Done"),IF('Task Finder'!$C$6="Quick Wins (15 mins or less)",AND($M7&lt;=15,$E7&lt;&gt;"Done",$E7&lt;&gt;"Blocked"),IF('Task Finder'!$C$6="Deep Thinking",AND($G7="Deep Thinking",$E7&lt;&gt;"Done"),IF('Task Finder'!$C$6="Processing",AND($G7="Processing",$E7&lt;&gt;"Done"),IF('Task Finder'!$C$6="Blocked",$E7="Blocked",IF('Task Finder'!$C$6="Waiting",$E7="Waiting",IF('Task Finder'!$C$6="Recently Updated",AND($L7&lt;&gt;"",$L7&gt;=TODAY()-7),IF('Task Finder'!$C$6="Keyword",AND('Task Finder'!$C$7&lt;&gt;"",OR(ISNUMBER(SEARCH('Task Finder'!$C$7,$A7)),ISNUMBER(SEARCH('Task Finder'!$C$7,$B7)),ISNUMBER(SEARCH('Task Finder'!$C$7,$C7)),ISNUMBER(SEARCH('Task Finder'!$C$7,$D7)),ISNUMBER(SEARCH('Task Finder'!$C$7,$K7)))),TRUE))))))))))</f>
        <v/>
      </c>
      <c r="Q7" s="150">
        <f>IF($F7="High","High Priority","")</f>
        <v/>
      </c>
      <c r="R7" s="150">
        <f>IF(AND($I7&lt;&gt;"",$I7&lt;TODAY()),"Overdue","")</f>
        <v/>
      </c>
      <c r="S7" s="150">
        <f>IF(AND($I7&lt;&gt;"",$I7&gt;=TODAY(),$I7&lt;=TODAY()+7),"Due This Week","")</f>
        <v/>
      </c>
      <c r="T7" s="150">
        <f>IF(AND($H7&lt;&gt;"",$M7&lt;=VLOOKUP(Home!$C$7,Lists!$N$2:$O$6,2,FALSE)),$H7&amp;" Task","")</f>
        <v/>
      </c>
      <c r="U7" s="150">
        <f>IF($G7=Home!$E$7,"Fits Current Energy","")</f>
        <v/>
      </c>
      <c r="V7" s="150">
        <f>IF($Q7&lt;&gt;""," • "&amp;$Q7,"")&amp;IF($R7&lt;&gt;""," • "&amp;$R7,"")&amp;IF($S7&lt;&gt;""," • "&amp;$S7,"")&amp;IF($T7&lt;&gt;""," • "&amp;$T7,"")&amp;IF($U7&lt;&gt;""," • "&amp;$U7,"")&amp;" • No Blockers"</f>
        <v/>
      </c>
    </row>
    <row r="8">
      <c r="A8" s="15" t="inlineStr">
        <is>
          <t>Operational Resilience Framework</t>
        </is>
      </c>
      <c r="B8" s="15" t="inlineStr">
        <is>
          <t>Training</t>
        </is>
      </c>
      <c r="C8" s="15" t="inlineStr">
        <is>
          <t>Training</t>
        </is>
      </c>
      <c r="D8" s="15" t="inlineStr">
        <is>
          <t>Publish Version 1</t>
        </is>
      </c>
      <c r="E8" s="17" t="inlineStr">
        <is>
          <t>Next</t>
        </is>
      </c>
      <c r="F8" s="17" t="inlineStr">
        <is>
          <t>High</t>
        </is>
      </c>
      <c r="G8" s="17" t="inlineStr">
        <is>
          <t>Admin</t>
        </is>
      </c>
      <c r="H8" s="17" t="inlineStr">
        <is>
          <t>15 mins</t>
        </is>
      </c>
      <c r="I8" s="18" t="n">
        <v>46241.24672175926</v>
      </c>
      <c r="J8" s="15" t="inlineStr">
        <is>
          <t>TJR</t>
        </is>
      </c>
      <c r="K8" s="15" t="inlineStr">
        <is>
          <t>Final review pending</t>
        </is>
      </c>
      <c r="L8" s="34" t="n">
        <v>46238.24672175926</v>
      </c>
      <c r="M8" s="5">
        <f>IF($D8="","",IFERROR(VLOOKUP($H8,Lists!$N$2:$O$6,2,FALSE),0))</f>
        <v/>
      </c>
      <c r="N8" s="5">
        <f>IF($D8="","",IF(OR($E8="Blocked",$E8="Done",$E8="Archive"),-9999,IF(AND($E8="Waiting",SUMPRODUCT((($E$5:$E$500="Next")+($E$5:$E$500="In Progress")+($E$5:$E$500="Captured"))*($D$5:$D$500&lt;&gt;""))&gt;0),-500,VLOOKUP($F8,Lists!$L$2:$M$4,2,FALSE)+IF($E8="In Progress",10,0)+IF(AND($I8&lt;&gt;"",$I8&lt;TODAY()),25,0)+IF(AND($I8&lt;&gt;"",$I8&gt;=TODAY(),$I8&lt;=TODAY()+7),15,0)+IF($H8="",0,IF($M8&lt;=VLOOKUP(Home!$C$7,Lists!$N$2:$O$6,2,FALSE),20,-10))+IF($G8=Home!$E$7,15,IF(Home!$E$7="",0,-5))-ROW()/100000)))</f>
        <v/>
      </c>
      <c r="O8" s="5">
        <f>IF($D8="","",IF($N8&lt;=-500,"Not recommended right now",IF($E8="Waiting","Nothing else actionable right now — Waiting on: "&amp;IF($K8="","this item",$K8),MID($V8,4,9999))))</f>
        <v/>
      </c>
      <c r="P8" s="5">
        <f>IF($D8="","",IF('Task Finder'!$C$6="High Priority",AND($F8="High",$E8&lt;&gt;"Done",$E8&lt;&gt;"Archive"),IF('Task Finder'!$C$6="Due This Week",AND($I8&lt;&gt;"",$I8&gt;=TODAY(),$I8&lt;=TODAY()+7,$E8&lt;&gt;"Done"),IF('Task Finder'!$C$6="Quick Wins (15 mins or less)",AND($M8&lt;=15,$E8&lt;&gt;"Done",$E8&lt;&gt;"Blocked"),IF('Task Finder'!$C$6="Deep Thinking",AND($G8="Deep Thinking",$E8&lt;&gt;"Done"),IF('Task Finder'!$C$6="Processing",AND($G8="Processing",$E8&lt;&gt;"Done"),IF('Task Finder'!$C$6="Blocked",$E8="Blocked",IF('Task Finder'!$C$6="Waiting",$E8="Waiting",IF('Task Finder'!$C$6="Recently Updated",AND($L8&lt;&gt;"",$L8&gt;=TODAY()-7),IF('Task Finder'!$C$6="Keyword",AND('Task Finder'!$C$7&lt;&gt;"",OR(ISNUMBER(SEARCH('Task Finder'!$C$7,$A8)),ISNUMBER(SEARCH('Task Finder'!$C$7,$B8)),ISNUMBER(SEARCH('Task Finder'!$C$7,$C8)),ISNUMBER(SEARCH('Task Finder'!$C$7,$D8)),ISNUMBER(SEARCH('Task Finder'!$C$7,$K8)))),TRUE))))))))))</f>
        <v/>
      </c>
      <c r="Q8" s="150">
        <f>IF($F8="High","High Priority","")</f>
        <v/>
      </c>
      <c r="R8" s="150">
        <f>IF(AND($I8&lt;&gt;"",$I8&lt;TODAY()),"Overdue","")</f>
        <v/>
      </c>
      <c r="S8" s="150">
        <f>IF(AND($I8&lt;&gt;"",$I8&gt;=TODAY(),$I8&lt;=TODAY()+7),"Due This Week","")</f>
        <v/>
      </c>
      <c r="T8" s="150">
        <f>IF(AND($H8&lt;&gt;"",$M8&lt;=VLOOKUP(Home!$C$7,Lists!$N$2:$O$6,2,FALSE)),$H8&amp;" Task","")</f>
        <v/>
      </c>
      <c r="U8" s="150">
        <f>IF($G8=Home!$E$7,"Fits Current Energy","")</f>
        <v/>
      </c>
      <c r="V8" s="150">
        <f>IF($Q8&lt;&gt;""," • "&amp;$Q8,"")&amp;IF($R8&lt;&gt;""," • "&amp;$R8,"")&amp;IF($S8&lt;&gt;""," • "&amp;$S8,"")&amp;IF($T8&lt;&gt;""," • "&amp;$T8,"")&amp;IF($U8&lt;&gt;""," • "&amp;$U8,"")&amp;" • No Blockers"</f>
        <v/>
      </c>
    </row>
    <row r="9">
      <c r="A9" s="15" t="inlineStr">
        <is>
          <t>Operational Resilience Framework</t>
        </is>
      </c>
      <c r="B9" s="15" t="inlineStr">
        <is>
          <t>Framework</t>
        </is>
      </c>
      <c r="C9" s="15" t="inlineStr">
        <is>
          <t>Role Cards</t>
        </is>
      </c>
      <c r="D9" s="15" t="inlineStr">
        <is>
          <t>Send Role Card for Sign-off</t>
        </is>
      </c>
      <c r="E9" s="17" t="inlineStr">
        <is>
          <t>Waiting</t>
        </is>
      </c>
      <c r="F9" s="17" t="inlineStr">
        <is>
          <t>Medium</t>
        </is>
      </c>
      <c r="G9" s="17" t="inlineStr">
        <is>
          <t>Admin</t>
        </is>
      </c>
      <c r="H9" s="17" t="inlineStr">
        <is>
          <t>15 mins</t>
        </is>
      </c>
      <c r="I9" s="18" t="n">
        <v>46245.24672175926</v>
      </c>
      <c r="J9" s="15" t="inlineStr">
        <is>
          <t>TJR</t>
        </is>
      </c>
      <c r="K9" s="15" t="inlineStr">
        <is>
          <t>Awaiting sponsor sign-off</t>
        </is>
      </c>
      <c r="L9" s="34" t="n">
        <v>46237.24672175926</v>
      </c>
      <c r="M9" s="5">
        <f>IF($D9="","",IFERROR(VLOOKUP($H9,Lists!$N$2:$O$6,2,FALSE),0))</f>
        <v/>
      </c>
      <c r="N9" s="5">
        <f>IF($D9="","",IF(OR($E9="Blocked",$E9="Done",$E9="Archive"),-9999,IF(AND($E9="Waiting",SUMPRODUCT((($E$5:$E$500="Next")+($E$5:$E$500="In Progress")+($E$5:$E$500="Captured"))*($D$5:$D$500&lt;&gt;""))&gt;0),-500,VLOOKUP($F9,Lists!$L$2:$M$4,2,FALSE)+IF($E9="In Progress",10,0)+IF(AND($I9&lt;&gt;"",$I9&lt;TODAY()),25,0)+IF(AND($I9&lt;&gt;"",$I9&gt;=TODAY(),$I9&lt;=TODAY()+7),15,0)+IF($H9="",0,IF($M9&lt;=VLOOKUP(Home!$C$7,Lists!$N$2:$O$6,2,FALSE),20,-10))+IF($G9=Home!$E$7,15,IF(Home!$E$7="",0,-5))-ROW()/100000)))</f>
        <v/>
      </c>
      <c r="O9" s="5">
        <f>IF($D9="","",IF($N9&lt;=-500,"Not recommended right now",IF($E9="Waiting","Nothing else actionable right now — Waiting on: "&amp;IF($K9="","this item",$K9),MID($V9,4,9999))))</f>
        <v/>
      </c>
      <c r="P9" s="5">
        <f>IF($D9="","",IF('Task Finder'!$C$6="High Priority",AND($F9="High",$E9&lt;&gt;"Done",$E9&lt;&gt;"Archive"),IF('Task Finder'!$C$6="Due This Week",AND($I9&lt;&gt;"",$I9&gt;=TODAY(),$I9&lt;=TODAY()+7,$E9&lt;&gt;"Done"),IF('Task Finder'!$C$6="Quick Wins (15 mins or less)",AND($M9&lt;=15,$E9&lt;&gt;"Done",$E9&lt;&gt;"Blocked"),IF('Task Finder'!$C$6="Deep Thinking",AND($G9="Deep Thinking",$E9&lt;&gt;"Done"),IF('Task Finder'!$C$6="Processing",AND($G9="Processing",$E9&lt;&gt;"Done"),IF('Task Finder'!$C$6="Blocked",$E9="Blocked",IF('Task Finder'!$C$6="Waiting",$E9="Waiting",IF('Task Finder'!$C$6="Recently Updated",AND($L9&lt;&gt;"",$L9&gt;=TODAY()-7),IF('Task Finder'!$C$6="Keyword",AND('Task Finder'!$C$7&lt;&gt;"",OR(ISNUMBER(SEARCH('Task Finder'!$C$7,$A9)),ISNUMBER(SEARCH('Task Finder'!$C$7,$B9)),ISNUMBER(SEARCH('Task Finder'!$C$7,$C9)),ISNUMBER(SEARCH('Task Finder'!$C$7,$D9)),ISNUMBER(SEARCH('Task Finder'!$C$7,$K9)))),TRUE))))))))))</f>
        <v/>
      </c>
      <c r="Q9" s="150">
        <f>IF($F9="High","High Priority","")</f>
        <v/>
      </c>
      <c r="R9" s="150">
        <f>IF(AND($I9&lt;&gt;"",$I9&lt;TODAY()),"Overdue","")</f>
        <v/>
      </c>
      <c r="S9" s="150">
        <f>IF(AND($I9&lt;&gt;"",$I9&gt;=TODAY(),$I9&lt;=TODAY()+7),"Due This Week","")</f>
        <v/>
      </c>
      <c r="T9" s="150">
        <f>IF(AND($H9&lt;&gt;"",$M9&lt;=VLOOKUP(Home!$C$7,Lists!$N$2:$O$6,2,FALSE)),$H9&amp;" Task","")</f>
        <v/>
      </c>
      <c r="U9" s="150">
        <f>IF($G9=Home!$E$7,"Fits Current Energy","")</f>
        <v/>
      </c>
      <c r="V9" s="150">
        <f>IF($Q9&lt;&gt;""," • "&amp;$Q9,"")&amp;IF($R9&lt;&gt;""," • "&amp;$R9,"")&amp;IF($S9&lt;&gt;""," • "&amp;$S9,"")&amp;IF($T9&lt;&gt;""," • "&amp;$T9,"")&amp;IF($U9&lt;&gt;""," • "&amp;$U9,"")&amp;" • No Blockers"</f>
        <v/>
      </c>
    </row>
    <row r="10">
      <c r="A10" s="15" t="inlineStr">
        <is>
          <t>Operational Resilience Framework</t>
        </is>
      </c>
      <c r="B10" s="15" t="inlineStr">
        <is>
          <t>Exercises</t>
        </is>
      </c>
      <c r="C10" s="15" t="inlineStr">
        <is>
          <t>Training</t>
        </is>
      </c>
      <c r="D10" s="15" t="inlineStr">
        <is>
          <t>Confirm Venue Booking</t>
        </is>
      </c>
      <c r="E10" s="17" t="inlineStr">
        <is>
          <t>Blocked</t>
        </is>
      </c>
      <c r="F10" s="17" t="inlineStr">
        <is>
          <t>Medium</t>
        </is>
      </c>
      <c r="G10" s="17" t="inlineStr">
        <is>
          <t>Admin</t>
        </is>
      </c>
      <c r="H10" s="17" t="inlineStr">
        <is>
          <t>15 mins</t>
        </is>
      </c>
      <c r="I10" s="18" t="n">
        <v>46250.24672175926</v>
      </c>
      <c r="J10" s="15" t="inlineStr">
        <is>
          <t>TJR</t>
        </is>
      </c>
      <c r="K10" s="15" t="inlineStr">
        <is>
          <t>Blocked on facilities team</t>
        </is>
      </c>
      <c r="L10" s="34" t="n">
        <v>46231.24672175926</v>
      </c>
      <c r="M10" s="5">
        <f>IF($D10="","",IFERROR(VLOOKUP($H10,Lists!$N$2:$O$6,2,FALSE),0))</f>
        <v/>
      </c>
      <c r="N10" s="5">
        <f>IF($D10="","",IF(OR($E10="Blocked",$E10="Done",$E10="Archive"),-9999,IF(AND($E10="Waiting",SUMPRODUCT((($E$5:$E$500="Next")+($E$5:$E$500="In Progress")+($E$5:$E$500="Captured"))*($D$5:$D$500&lt;&gt;""))&gt;0),-500,VLOOKUP($F10,Lists!$L$2:$M$4,2,FALSE)+IF($E10="In Progress",10,0)+IF(AND($I10&lt;&gt;"",$I10&lt;TODAY()),25,0)+IF(AND($I10&lt;&gt;"",$I10&gt;=TODAY(),$I10&lt;=TODAY()+7),15,0)+IF($H10="",0,IF($M10&lt;=VLOOKUP(Home!$C$7,Lists!$N$2:$O$6,2,FALSE),20,-10))+IF($G10=Home!$E$7,15,IF(Home!$E$7="",0,-5))-ROW()/100000)))</f>
        <v/>
      </c>
      <c r="O10" s="5">
        <f>IF($D10="","",IF($N10&lt;=-500,"Not recommended right now",IF($E10="Waiting","Nothing else actionable right now — Waiting on: "&amp;IF($K10="","this item",$K10),MID($V10,4,9999))))</f>
        <v/>
      </c>
      <c r="P10" s="5">
        <f>IF($D10="","",IF('Task Finder'!$C$6="High Priority",AND($F10="High",$E10&lt;&gt;"Done",$E10&lt;&gt;"Archive"),IF('Task Finder'!$C$6="Due This Week",AND($I10&lt;&gt;"",$I10&gt;=TODAY(),$I10&lt;=TODAY()+7,$E10&lt;&gt;"Done"),IF('Task Finder'!$C$6="Quick Wins (15 mins or less)",AND($M10&lt;=15,$E10&lt;&gt;"Done",$E10&lt;&gt;"Blocked"),IF('Task Finder'!$C$6="Deep Thinking",AND($G10="Deep Thinking",$E10&lt;&gt;"Done"),IF('Task Finder'!$C$6="Processing",AND($G10="Processing",$E10&lt;&gt;"Done"),IF('Task Finder'!$C$6="Blocked",$E10="Blocked",IF('Task Finder'!$C$6="Waiting",$E10="Waiting",IF('Task Finder'!$C$6="Recently Updated",AND($L10&lt;&gt;"",$L10&gt;=TODAY()-7),IF('Task Finder'!$C$6="Keyword",AND('Task Finder'!$C$7&lt;&gt;"",OR(ISNUMBER(SEARCH('Task Finder'!$C$7,$A10)),ISNUMBER(SEARCH('Task Finder'!$C$7,$B10)),ISNUMBER(SEARCH('Task Finder'!$C$7,$C10)),ISNUMBER(SEARCH('Task Finder'!$C$7,$D10)),ISNUMBER(SEARCH('Task Finder'!$C$7,$K10)))),TRUE))))))))))</f>
        <v/>
      </c>
      <c r="Q10" s="150">
        <f>IF($F10="High","High Priority","")</f>
        <v/>
      </c>
      <c r="R10" s="150">
        <f>IF(AND($I10&lt;&gt;"",$I10&lt;TODAY()),"Overdue","")</f>
        <v/>
      </c>
      <c r="S10" s="150">
        <f>IF(AND($I10&lt;&gt;"",$I10&gt;=TODAY(),$I10&lt;=TODAY()+7),"Due This Week","")</f>
        <v/>
      </c>
      <c r="T10" s="150">
        <f>IF(AND($H10&lt;&gt;"",$M10&lt;=VLOOKUP(Home!$C$7,Lists!$N$2:$O$6,2,FALSE)),$H10&amp;" Task","")</f>
        <v/>
      </c>
      <c r="U10" s="150">
        <f>IF($G10=Home!$E$7,"Fits Current Energy","")</f>
        <v/>
      </c>
      <c r="V10" s="150">
        <f>IF($Q10&lt;&gt;""," • "&amp;$Q10,"")&amp;IF($R10&lt;&gt;""," • "&amp;$R10,"")&amp;IF($S10&lt;&gt;""," • "&amp;$S10,"")&amp;IF($T10&lt;&gt;""," • "&amp;$T10,"")&amp;IF($U10&lt;&gt;""," • "&amp;$U10,"")&amp;" • No Blockers"</f>
        <v/>
      </c>
    </row>
    <row r="11">
      <c r="A11" s="15" t="inlineStr">
        <is>
          <t>Operational Resilience Framework</t>
        </is>
      </c>
      <c r="B11" s="15" t="inlineStr">
        <is>
          <t>Framework</t>
        </is>
      </c>
      <c r="C11" s="15" t="inlineStr">
        <is>
          <t>Governance</t>
        </is>
      </c>
      <c r="D11" s="15" t="inlineStr">
        <is>
          <t>Tidy Reference List</t>
        </is>
      </c>
      <c r="E11" s="17" t="inlineStr">
        <is>
          <t>Next</t>
        </is>
      </c>
      <c r="F11" s="17" t="inlineStr">
        <is>
          <t>Low</t>
        </is>
      </c>
      <c r="G11" s="17" t="inlineStr">
        <is>
          <t>Admin</t>
        </is>
      </c>
      <c r="H11" s="17" t="inlineStr">
        <is>
          <t>5 mins</t>
        </is>
      </c>
      <c r="I11" s="15" t="inlineStr"/>
      <c r="J11" s="15" t="inlineStr">
        <is>
          <t>TJR</t>
        </is>
      </c>
      <c r="K11" s="15" t="inlineStr"/>
      <c r="L11" s="34" t="n">
        <v>46239.24672175926</v>
      </c>
      <c r="M11" s="5">
        <f>IF($D11="","",IFERROR(VLOOKUP($H11,Lists!$N$2:$O$6,2,FALSE),0))</f>
        <v/>
      </c>
      <c r="N11" s="5">
        <f>IF($D11="","",IF(OR($E11="Blocked",$E11="Done",$E11="Archive"),-9999,IF(AND($E11="Waiting",SUMPRODUCT((($E$5:$E$500="Next")+($E$5:$E$500="In Progress")+($E$5:$E$500="Captured"))*($D$5:$D$500&lt;&gt;""))&gt;0),-500,VLOOKUP($F11,Lists!$L$2:$M$4,2,FALSE)+IF($E11="In Progress",10,0)+IF(AND($I11&lt;&gt;"",$I11&lt;TODAY()),25,0)+IF(AND($I11&lt;&gt;"",$I11&gt;=TODAY(),$I11&lt;=TODAY()+7),15,0)+IF($H11="",0,IF($M11&lt;=VLOOKUP(Home!$C$7,Lists!$N$2:$O$6,2,FALSE),20,-10))+IF($G11=Home!$E$7,15,IF(Home!$E$7="",0,-5))-ROW()/100000)))</f>
        <v/>
      </c>
      <c r="O11" s="5">
        <f>IF($D11="","",IF($N11&lt;=-500,"Not recommended right now",IF($E11="Waiting","Nothing else actionable right now — Waiting on: "&amp;IF($K11="","this item",$K11),MID($V11,4,9999))))</f>
        <v/>
      </c>
      <c r="P11" s="5">
        <f>IF($D11="","",IF('Task Finder'!$C$6="High Priority",AND($F11="High",$E11&lt;&gt;"Done",$E11&lt;&gt;"Archive"),IF('Task Finder'!$C$6="Due This Week",AND($I11&lt;&gt;"",$I11&gt;=TODAY(),$I11&lt;=TODAY()+7,$E11&lt;&gt;"Done"),IF('Task Finder'!$C$6="Quick Wins (15 mins or less)",AND($M11&lt;=15,$E11&lt;&gt;"Done",$E11&lt;&gt;"Blocked"),IF('Task Finder'!$C$6="Deep Thinking",AND($G11="Deep Thinking",$E11&lt;&gt;"Done"),IF('Task Finder'!$C$6="Processing",AND($G11="Processing",$E11&lt;&gt;"Done"),IF('Task Finder'!$C$6="Blocked",$E11="Blocked",IF('Task Finder'!$C$6="Waiting",$E11="Waiting",IF('Task Finder'!$C$6="Recently Updated",AND($L11&lt;&gt;"",$L11&gt;=TODAY()-7),IF('Task Finder'!$C$6="Keyword",AND('Task Finder'!$C$7&lt;&gt;"",OR(ISNUMBER(SEARCH('Task Finder'!$C$7,$A11)),ISNUMBER(SEARCH('Task Finder'!$C$7,$B11)),ISNUMBER(SEARCH('Task Finder'!$C$7,$C11)),ISNUMBER(SEARCH('Task Finder'!$C$7,$D11)),ISNUMBER(SEARCH('Task Finder'!$C$7,$K11)))),TRUE))))))))))</f>
        <v/>
      </c>
      <c r="Q11" s="150">
        <f>IF($F11="High","High Priority","")</f>
        <v/>
      </c>
      <c r="R11" s="150">
        <f>IF(AND($I11&lt;&gt;"",$I11&lt;TODAY()),"Overdue","")</f>
        <v/>
      </c>
      <c r="S11" s="150">
        <f>IF(AND($I11&lt;&gt;"",$I11&gt;=TODAY(),$I11&lt;=TODAY()+7),"Due This Week","")</f>
        <v/>
      </c>
      <c r="T11" s="150">
        <f>IF(AND($H11&lt;&gt;"",$M11&lt;=VLOOKUP(Home!$C$7,Lists!$N$2:$O$6,2,FALSE)),$H11&amp;" Task","")</f>
        <v/>
      </c>
      <c r="U11" s="150">
        <f>IF($G11=Home!$E$7,"Fits Current Energy","")</f>
        <v/>
      </c>
      <c r="V11" s="150">
        <f>IF($Q11&lt;&gt;""," • "&amp;$Q11,"")&amp;IF($R11&lt;&gt;""," • "&amp;$R11,"")&amp;IF($S11&lt;&gt;""," • "&amp;$S11,"")&amp;IF($T11&lt;&gt;""," • "&amp;$T11,"")&amp;IF($U11&lt;&gt;""," • "&amp;$U11,"")&amp;" • No Blockers"</f>
        <v/>
      </c>
    </row>
    <row r="12">
      <c r="A12" s="15" t="inlineStr">
        <is>
          <t>Client Onboarding Playbook</t>
        </is>
      </c>
      <c r="B12" s="15" t="inlineStr">
        <is>
          <t>Playbook</t>
        </is>
      </c>
      <c r="C12" s="15" t="inlineStr">
        <is>
          <t>Welcome Kit</t>
        </is>
      </c>
      <c r="D12" s="15" t="inlineStr">
        <is>
          <t>Draft Welcome Email Template</t>
        </is>
      </c>
      <c r="E12" s="17" t="inlineStr">
        <is>
          <t>In Progress</t>
        </is>
      </c>
      <c r="F12" s="17" t="inlineStr">
        <is>
          <t>High</t>
        </is>
      </c>
      <c r="G12" s="17" t="inlineStr">
        <is>
          <t>Processing</t>
        </is>
      </c>
      <c r="H12" s="17" t="inlineStr">
        <is>
          <t>30 mins</t>
        </is>
      </c>
      <c r="I12" s="18" t="n">
        <v>46242.24672175926</v>
      </c>
      <c r="J12" s="15" t="inlineStr">
        <is>
          <t>TJR</t>
        </is>
      </c>
      <c r="K12" s="15" t="inlineStr">
        <is>
          <t>First draft underway</t>
        </is>
      </c>
      <c r="L12" s="34" t="n">
        <v>46240.24672175926</v>
      </c>
      <c r="M12" s="5">
        <f>IF($D12="","",IFERROR(VLOOKUP($H12,Lists!$N$2:$O$6,2,FALSE),0))</f>
        <v/>
      </c>
      <c r="N12" s="5">
        <f>IF($D12="","",IF(OR($E12="Blocked",$E12="Done",$E12="Archive"),-9999,IF(AND($E12="Waiting",SUMPRODUCT((($E$5:$E$500="Next")+($E$5:$E$500="In Progress")+($E$5:$E$500="Captured"))*($D$5:$D$500&lt;&gt;""))&gt;0),-500,VLOOKUP($F12,Lists!$L$2:$M$4,2,FALSE)+IF($E12="In Progress",10,0)+IF(AND($I12&lt;&gt;"",$I12&lt;TODAY()),25,0)+IF(AND($I12&lt;&gt;"",$I12&gt;=TODAY(),$I12&lt;=TODAY()+7),15,0)+IF($H12="",0,IF($M12&lt;=VLOOKUP(Home!$C$7,Lists!$N$2:$O$6,2,FALSE),20,-10))+IF($G12=Home!$E$7,15,IF(Home!$E$7="",0,-5))-ROW()/100000)))</f>
        <v/>
      </c>
      <c r="O12" s="5">
        <f>IF($D12="","",IF($N12&lt;=-500,"Not recommended right now",IF($E12="Waiting","Nothing else actionable right now — Waiting on: "&amp;IF($K12="","this item",$K12),MID($V12,4,9999))))</f>
        <v/>
      </c>
      <c r="P12" s="5">
        <f>IF($D12="","",IF('Task Finder'!$C$6="High Priority",AND($F12="High",$E12&lt;&gt;"Done",$E12&lt;&gt;"Archive"),IF('Task Finder'!$C$6="Due This Week",AND($I12&lt;&gt;"",$I12&gt;=TODAY(),$I12&lt;=TODAY()+7,$E12&lt;&gt;"Done"),IF('Task Finder'!$C$6="Quick Wins (15 mins or less)",AND($M12&lt;=15,$E12&lt;&gt;"Done",$E12&lt;&gt;"Blocked"),IF('Task Finder'!$C$6="Deep Thinking",AND($G12="Deep Thinking",$E12&lt;&gt;"Done"),IF('Task Finder'!$C$6="Processing",AND($G12="Processing",$E12&lt;&gt;"Done"),IF('Task Finder'!$C$6="Blocked",$E12="Blocked",IF('Task Finder'!$C$6="Waiting",$E12="Waiting",IF('Task Finder'!$C$6="Recently Updated",AND($L12&lt;&gt;"",$L12&gt;=TODAY()-7),IF('Task Finder'!$C$6="Keyword",AND('Task Finder'!$C$7&lt;&gt;"",OR(ISNUMBER(SEARCH('Task Finder'!$C$7,$A12)),ISNUMBER(SEARCH('Task Finder'!$C$7,$B12)),ISNUMBER(SEARCH('Task Finder'!$C$7,$C12)),ISNUMBER(SEARCH('Task Finder'!$C$7,$D12)),ISNUMBER(SEARCH('Task Finder'!$C$7,$K12)))),TRUE))))))))))</f>
        <v/>
      </c>
      <c r="Q12" s="150">
        <f>IF($F12="High","High Priority","")</f>
        <v/>
      </c>
      <c r="R12" s="150">
        <f>IF(AND($I12&lt;&gt;"",$I12&lt;TODAY()),"Overdue","")</f>
        <v/>
      </c>
      <c r="S12" s="150">
        <f>IF(AND($I12&lt;&gt;"",$I12&gt;=TODAY(),$I12&lt;=TODAY()+7),"Due This Week","")</f>
        <v/>
      </c>
      <c r="T12" s="150">
        <f>IF(AND($H12&lt;&gt;"",$M12&lt;=VLOOKUP(Home!$C$7,Lists!$N$2:$O$6,2,FALSE)),$H12&amp;" Task","")</f>
        <v/>
      </c>
      <c r="U12" s="150">
        <f>IF($G12=Home!$E$7,"Fits Current Energy","")</f>
        <v/>
      </c>
      <c r="V12" s="150">
        <f>IF($Q12&lt;&gt;""," • "&amp;$Q12,"")&amp;IF($R12&lt;&gt;""," • "&amp;$R12,"")&amp;IF($S12&lt;&gt;""," • "&amp;$S12,"")&amp;IF($T12&lt;&gt;""," • "&amp;$T12,"")&amp;IF($U12&lt;&gt;""," • "&amp;$U12,"")&amp;" • No Blockers"</f>
        <v/>
      </c>
    </row>
    <row r="13">
      <c r="A13" s="15" t="inlineStr">
        <is>
          <t>Client Onboarding Playbook</t>
        </is>
      </c>
      <c r="B13" s="15" t="inlineStr">
        <is>
          <t>Playbook</t>
        </is>
      </c>
      <c r="C13" s="15" t="inlineStr">
        <is>
          <t>Welcome Kit</t>
        </is>
      </c>
      <c r="D13" s="15" t="inlineStr">
        <is>
          <t>List Required Access Requests</t>
        </is>
      </c>
      <c r="E13" s="17" t="inlineStr">
        <is>
          <t>Next</t>
        </is>
      </c>
      <c r="F13" s="17" t="inlineStr">
        <is>
          <t>Medium</t>
        </is>
      </c>
      <c r="G13" s="17" t="inlineStr">
        <is>
          <t>Admin</t>
        </is>
      </c>
      <c r="H13" s="17" t="inlineStr">
        <is>
          <t>15 mins</t>
        </is>
      </c>
      <c r="I13" s="18" t="n">
        <v>46246.24672175926</v>
      </c>
      <c r="J13" s="15" t="inlineStr">
        <is>
          <t>TJR</t>
        </is>
      </c>
      <c r="K13" s="15" t="inlineStr"/>
      <c r="L13" s="34" t="n">
        <v>46236.24672175926</v>
      </c>
      <c r="M13" s="5">
        <f>IF($D13="","",IFERROR(VLOOKUP($H13,Lists!$N$2:$O$6,2,FALSE),0))</f>
        <v/>
      </c>
      <c r="N13" s="5">
        <f>IF($D13="","",IF(OR($E13="Blocked",$E13="Done",$E13="Archive"),-9999,IF(AND($E13="Waiting",SUMPRODUCT((($E$5:$E$500="Next")+($E$5:$E$500="In Progress")+($E$5:$E$500="Captured"))*($D$5:$D$500&lt;&gt;""))&gt;0),-500,VLOOKUP($F13,Lists!$L$2:$M$4,2,FALSE)+IF($E13="In Progress",10,0)+IF(AND($I13&lt;&gt;"",$I13&lt;TODAY()),25,0)+IF(AND($I13&lt;&gt;"",$I13&gt;=TODAY(),$I13&lt;=TODAY()+7),15,0)+IF($H13="",0,IF($M13&lt;=VLOOKUP(Home!$C$7,Lists!$N$2:$O$6,2,FALSE),20,-10))+IF($G13=Home!$E$7,15,IF(Home!$E$7="",0,-5))-ROW()/100000)))</f>
        <v/>
      </c>
      <c r="O13" s="5">
        <f>IF($D13="","",IF($N13&lt;=-500,"Not recommended right now",IF($E13="Waiting","Nothing else actionable right now — Waiting on: "&amp;IF($K13="","this item",$K13),MID($V13,4,9999))))</f>
        <v/>
      </c>
      <c r="P13" s="5">
        <f>IF($D13="","",IF('Task Finder'!$C$6="High Priority",AND($F13="High",$E13&lt;&gt;"Done",$E13&lt;&gt;"Archive"),IF('Task Finder'!$C$6="Due This Week",AND($I13&lt;&gt;"",$I13&gt;=TODAY(),$I13&lt;=TODAY()+7,$E13&lt;&gt;"Done"),IF('Task Finder'!$C$6="Quick Wins (15 mins or less)",AND($M13&lt;=15,$E13&lt;&gt;"Done",$E13&lt;&gt;"Blocked"),IF('Task Finder'!$C$6="Deep Thinking",AND($G13="Deep Thinking",$E13&lt;&gt;"Done"),IF('Task Finder'!$C$6="Processing",AND($G13="Processing",$E13&lt;&gt;"Done"),IF('Task Finder'!$C$6="Blocked",$E13="Blocked",IF('Task Finder'!$C$6="Waiting",$E13="Waiting",IF('Task Finder'!$C$6="Recently Updated",AND($L13&lt;&gt;"",$L13&gt;=TODAY()-7),IF('Task Finder'!$C$6="Keyword",AND('Task Finder'!$C$7&lt;&gt;"",OR(ISNUMBER(SEARCH('Task Finder'!$C$7,$A13)),ISNUMBER(SEARCH('Task Finder'!$C$7,$B13)),ISNUMBER(SEARCH('Task Finder'!$C$7,$C13)),ISNUMBER(SEARCH('Task Finder'!$C$7,$D13)),ISNUMBER(SEARCH('Task Finder'!$C$7,$K13)))),TRUE))))))))))</f>
        <v/>
      </c>
      <c r="Q13" s="150">
        <f>IF($F13="High","High Priority","")</f>
        <v/>
      </c>
      <c r="R13" s="150">
        <f>IF(AND($I13&lt;&gt;"",$I13&lt;TODAY()),"Overdue","")</f>
        <v/>
      </c>
      <c r="S13" s="150">
        <f>IF(AND($I13&lt;&gt;"",$I13&gt;=TODAY(),$I13&lt;=TODAY()+7),"Due This Week","")</f>
        <v/>
      </c>
      <c r="T13" s="150">
        <f>IF(AND($H13&lt;&gt;"",$M13&lt;=VLOOKUP(Home!$C$7,Lists!$N$2:$O$6,2,FALSE)),$H13&amp;" Task","")</f>
        <v/>
      </c>
      <c r="U13" s="150">
        <f>IF($G13=Home!$E$7,"Fits Current Energy","")</f>
        <v/>
      </c>
      <c r="V13" s="150">
        <f>IF($Q13&lt;&gt;""," • "&amp;$Q13,"")&amp;IF($R13&lt;&gt;""," • "&amp;$R13,"")&amp;IF($S13&lt;&gt;""," • "&amp;$S13,"")&amp;IF($T13&lt;&gt;""," • "&amp;$T13,"")&amp;IF($U13&lt;&gt;""," • "&amp;$U13,"")&amp;" • No Blockers"</f>
        <v/>
      </c>
    </row>
    <row r="14">
      <c r="A14" s="19" t="n"/>
      <c r="B14" s="19" t="n"/>
      <c r="C14" s="19" t="n"/>
      <c r="D14" s="19" t="n"/>
      <c r="E14" s="19" t="n"/>
      <c r="F14" s="19" t="n"/>
      <c r="G14" s="19" t="n"/>
      <c r="H14" s="19" t="n"/>
      <c r="I14" s="19" t="n"/>
      <c r="J14" s="19" t="n"/>
      <c r="K14" s="19" t="n"/>
      <c r="L14" s="35" t="n"/>
      <c r="M14" s="5">
        <f>IF($D14="","",IFERROR(VLOOKUP($H14,Lists!$N$2:$O$6,2,FALSE),0))</f>
        <v/>
      </c>
      <c r="N14" s="5">
        <f>IF($D14="","",IF(OR($E14="Blocked",$E14="Done",$E14="Archive"),-9999,IF(AND($E14="Waiting",SUMPRODUCT((($E$5:$E$500="Next")+($E$5:$E$500="In Progress")+($E$5:$E$500="Captured"))*($D$5:$D$500&lt;&gt;""))&gt;0),-500,VLOOKUP($F14,Lists!$L$2:$M$4,2,FALSE)+IF($E14="In Progress",10,0)+IF(AND($I14&lt;&gt;"",$I14&lt;TODAY()),25,0)+IF(AND($I14&lt;&gt;"",$I14&gt;=TODAY(),$I14&lt;=TODAY()+7),15,0)+IF($H14="",0,IF($M14&lt;=VLOOKUP(Home!$C$7,Lists!$N$2:$O$6,2,FALSE),20,-10))+IF($G14=Home!$E$7,15,IF(Home!$E$7="",0,-5))-ROW()/100000)))</f>
        <v/>
      </c>
      <c r="O14" s="5">
        <f>IF($D14="","",IF($N14&lt;=-500,"Not recommended right now",IF($E14="Waiting","Nothing else actionable right now — Waiting on: "&amp;IF($K14="","this item",$K14),MID($V14,4,9999))))</f>
        <v/>
      </c>
      <c r="P14" s="5">
        <f>IF($D14="","",IF('Task Finder'!$C$6="High Priority",AND($F14="High",$E14&lt;&gt;"Done",$E14&lt;&gt;"Archive"),IF('Task Finder'!$C$6="Due This Week",AND($I14&lt;&gt;"",$I14&gt;=TODAY(),$I14&lt;=TODAY()+7,$E14&lt;&gt;"Done"),IF('Task Finder'!$C$6="Quick Wins (15 mins or less)",AND($M14&lt;=15,$E14&lt;&gt;"Done",$E14&lt;&gt;"Blocked"),IF('Task Finder'!$C$6="Deep Thinking",AND($G14="Deep Thinking",$E14&lt;&gt;"Done"),IF('Task Finder'!$C$6="Processing",AND($G14="Processing",$E14&lt;&gt;"Done"),IF('Task Finder'!$C$6="Blocked",$E14="Blocked",IF('Task Finder'!$C$6="Waiting",$E14="Waiting",IF('Task Finder'!$C$6="Recently Updated",AND($L14&lt;&gt;"",$L14&gt;=TODAY()-7),IF('Task Finder'!$C$6="Keyword",AND('Task Finder'!$C$7&lt;&gt;"",OR(ISNUMBER(SEARCH('Task Finder'!$C$7,$A14)),ISNUMBER(SEARCH('Task Finder'!$C$7,$B14)),ISNUMBER(SEARCH('Task Finder'!$C$7,$C14)),ISNUMBER(SEARCH('Task Finder'!$C$7,$D14)),ISNUMBER(SEARCH('Task Finder'!$C$7,$K14)))),TRUE))))))))))</f>
        <v/>
      </c>
      <c r="Q14" s="150">
        <f>IF($F14="High","High Priority","")</f>
        <v/>
      </c>
      <c r="R14" s="150">
        <f>IF(AND($I14&lt;&gt;"",$I14&lt;TODAY()),"Overdue","")</f>
        <v/>
      </c>
      <c r="S14" s="150">
        <f>IF(AND($I14&lt;&gt;"",$I14&gt;=TODAY(),$I14&lt;=TODAY()+7),"Due This Week","")</f>
        <v/>
      </c>
      <c r="T14" s="150">
        <f>IF(AND($H14&lt;&gt;"",$M14&lt;=VLOOKUP(Home!$C$7,Lists!$N$2:$O$6,2,FALSE)),$H14&amp;" Task","")</f>
        <v/>
      </c>
      <c r="U14" s="150">
        <f>IF($G14=Home!$E$7,"Fits Current Energy","")</f>
        <v/>
      </c>
      <c r="V14" s="150">
        <f>IF($Q14&lt;&gt;""," • "&amp;$Q14,"")&amp;IF($R14&lt;&gt;""," • "&amp;$R14,"")&amp;IF($S14&lt;&gt;""," • "&amp;$S14,"")&amp;IF($T14&lt;&gt;""," • "&amp;$T14,"")&amp;IF($U14&lt;&gt;""," • "&amp;$U14,"")&amp;" • No Blockers"</f>
        <v/>
      </c>
    </row>
    <row r="15">
      <c r="A15" s="19" t="n"/>
      <c r="B15" s="19" t="n"/>
      <c r="C15" s="19" t="n"/>
      <c r="D15" s="19" t="n"/>
      <c r="E15" s="19" t="n"/>
      <c r="F15" s="19" t="n"/>
      <c r="G15" s="19" t="n"/>
      <c r="H15" s="19" t="n"/>
      <c r="I15" s="19" t="n"/>
      <c r="J15" s="19" t="n"/>
      <c r="K15" s="19" t="n"/>
      <c r="L15" s="35" t="n"/>
      <c r="M15" s="5">
        <f>IF($D15="","",IFERROR(VLOOKUP($H15,Lists!$N$2:$O$6,2,FALSE),0))</f>
        <v/>
      </c>
      <c r="N15" s="5">
        <f>IF($D15="","",IF(OR($E15="Blocked",$E15="Done",$E15="Archive"),-9999,IF(AND($E15="Waiting",SUMPRODUCT((($E$5:$E$500="Next")+($E$5:$E$500="In Progress")+($E$5:$E$500="Captured"))*($D$5:$D$500&lt;&gt;""))&gt;0),-500,VLOOKUP($F15,Lists!$L$2:$M$4,2,FALSE)+IF($E15="In Progress",10,0)+IF(AND($I15&lt;&gt;"",$I15&lt;TODAY()),25,0)+IF(AND($I15&lt;&gt;"",$I15&gt;=TODAY(),$I15&lt;=TODAY()+7),15,0)+IF($H15="",0,IF($M15&lt;=VLOOKUP(Home!$C$7,Lists!$N$2:$O$6,2,FALSE),20,-10))+IF($G15=Home!$E$7,15,IF(Home!$E$7="",0,-5))-ROW()/100000)))</f>
        <v/>
      </c>
      <c r="O15" s="5">
        <f>IF($D15="","",IF($N15&lt;=-500,"Not recommended right now",IF($E15="Waiting","Nothing else actionable right now — Waiting on: "&amp;IF($K15="","this item",$K15),MID($V15,4,9999))))</f>
        <v/>
      </c>
      <c r="P15" s="5">
        <f>IF($D15="","",IF('Task Finder'!$C$6="High Priority",AND($F15="High",$E15&lt;&gt;"Done",$E15&lt;&gt;"Archive"),IF('Task Finder'!$C$6="Due This Week",AND($I15&lt;&gt;"",$I15&gt;=TODAY(),$I15&lt;=TODAY()+7,$E15&lt;&gt;"Done"),IF('Task Finder'!$C$6="Quick Wins (15 mins or less)",AND($M15&lt;=15,$E15&lt;&gt;"Done",$E15&lt;&gt;"Blocked"),IF('Task Finder'!$C$6="Deep Thinking",AND($G15="Deep Thinking",$E15&lt;&gt;"Done"),IF('Task Finder'!$C$6="Processing",AND($G15="Processing",$E15&lt;&gt;"Done"),IF('Task Finder'!$C$6="Blocked",$E15="Blocked",IF('Task Finder'!$C$6="Waiting",$E15="Waiting",IF('Task Finder'!$C$6="Recently Updated",AND($L15&lt;&gt;"",$L15&gt;=TODAY()-7),IF('Task Finder'!$C$6="Keyword",AND('Task Finder'!$C$7&lt;&gt;"",OR(ISNUMBER(SEARCH('Task Finder'!$C$7,$A15)),ISNUMBER(SEARCH('Task Finder'!$C$7,$B15)),ISNUMBER(SEARCH('Task Finder'!$C$7,$C15)),ISNUMBER(SEARCH('Task Finder'!$C$7,$D15)),ISNUMBER(SEARCH('Task Finder'!$C$7,$K15)))),TRUE))))))))))</f>
        <v/>
      </c>
      <c r="Q15" s="150">
        <f>IF($F15="High","High Priority","")</f>
        <v/>
      </c>
      <c r="R15" s="150">
        <f>IF(AND($I15&lt;&gt;"",$I15&lt;TODAY()),"Overdue","")</f>
        <v/>
      </c>
      <c r="S15" s="150">
        <f>IF(AND($I15&lt;&gt;"",$I15&gt;=TODAY(),$I15&lt;=TODAY()+7),"Due This Week","")</f>
        <v/>
      </c>
      <c r="T15" s="150">
        <f>IF(AND($H15&lt;&gt;"",$M15&lt;=VLOOKUP(Home!$C$7,Lists!$N$2:$O$6,2,FALSE)),$H15&amp;" Task","")</f>
        <v/>
      </c>
      <c r="U15" s="150">
        <f>IF($G15=Home!$E$7,"Fits Current Energy","")</f>
        <v/>
      </c>
      <c r="V15" s="150">
        <f>IF($Q15&lt;&gt;""," • "&amp;$Q15,"")&amp;IF($R15&lt;&gt;""," • "&amp;$R15,"")&amp;IF($S15&lt;&gt;""," • "&amp;$S15,"")&amp;IF($T15&lt;&gt;""," • "&amp;$T15,"")&amp;IF($U15&lt;&gt;""," • "&amp;$U15,"")&amp;" • No Blockers"</f>
        <v/>
      </c>
    </row>
    <row r="16">
      <c r="A16" s="19" t="n"/>
      <c r="B16" s="19" t="n"/>
      <c r="C16" s="19" t="n"/>
      <c r="D16" s="19" t="n"/>
      <c r="E16" s="19" t="n"/>
      <c r="F16" s="19" t="n"/>
      <c r="G16" s="19" t="n"/>
      <c r="H16" s="19" t="n"/>
      <c r="I16" s="19" t="n"/>
      <c r="J16" s="19" t="n"/>
      <c r="K16" s="19" t="n"/>
      <c r="L16" s="35" t="n"/>
      <c r="M16" s="5">
        <f>IF($D16="","",IFERROR(VLOOKUP($H16,Lists!$N$2:$O$6,2,FALSE),0))</f>
        <v/>
      </c>
      <c r="N16" s="5">
        <f>IF($D16="","",IF(OR($E16="Blocked",$E16="Done",$E16="Archive"),-9999,IF(AND($E16="Waiting",SUMPRODUCT((($E$5:$E$500="Next")+($E$5:$E$500="In Progress")+($E$5:$E$500="Captured"))*($D$5:$D$500&lt;&gt;""))&gt;0),-500,VLOOKUP($F16,Lists!$L$2:$M$4,2,FALSE)+IF($E16="In Progress",10,0)+IF(AND($I16&lt;&gt;"",$I16&lt;TODAY()),25,0)+IF(AND($I16&lt;&gt;"",$I16&gt;=TODAY(),$I16&lt;=TODAY()+7),15,0)+IF($H16="",0,IF($M16&lt;=VLOOKUP(Home!$C$7,Lists!$N$2:$O$6,2,FALSE),20,-10))+IF($G16=Home!$E$7,15,IF(Home!$E$7="",0,-5))-ROW()/100000)))</f>
        <v/>
      </c>
      <c r="O16" s="5">
        <f>IF($D16="","",IF($N16&lt;=-500,"Not recommended right now",IF($E16="Waiting","Nothing else actionable right now — Waiting on: "&amp;IF($K16="","this item",$K16),MID($V16,4,9999))))</f>
        <v/>
      </c>
      <c r="P16" s="5">
        <f>IF($D16="","",IF('Task Finder'!$C$6="High Priority",AND($F16="High",$E16&lt;&gt;"Done",$E16&lt;&gt;"Archive"),IF('Task Finder'!$C$6="Due This Week",AND($I16&lt;&gt;"",$I16&gt;=TODAY(),$I16&lt;=TODAY()+7,$E16&lt;&gt;"Done"),IF('Task Finder'!$C$6="Quick Wins (15 mins or less)",AND($M16&lt;=15,$E16&lt;&gt;"Done",$E16&lt;&gt;"Blocked"),IF('Task Finder'!$C$6="Deep Thinking",AND($G16="Deep Thinking",$E16&lt;&gt;"Done"),IF('Task Finder'!$C$6="Processing",AND($G16="Processing",$E16&lt;&gt;"Done"),IF('Task Finder'!$C$6="Blocked",$E16="Blocked",IF('Task Finder'!$C$6="Waiting",$E16="Waiting",IF('Task Finder'!$C$6="Recently Updated",AND($L16&lt;&gt;"",$L16&gt;=TODAY()-7),IF('Task Finder'!$C$6="Keyword",AND('Task Finder'!$C$7&lt;&gt;"",OR(ISNUMBER(SEARCH('Task Finder'!$C$7,$A16)),ISNUMBER(SEARCH('Task Finder'!$C$7,$B16)),ISNUMBER(SEARCH('Task Finder'!$C$7,$C16)),ISNUMBER(SEARCH('Task Finder'!$C$7,$D16)),ISNUMBER(SEARCH('Task Finder'!$C$7,$K16)))),TRUE))))))))))</f>
        <v/>
      </c>
      <c r="Q16" s="150">
        <f>IF($F16="High","High Priority","")</f>
        <v/>
      </c>
      <c r="R16" s="150">
        <f>IF(AND($I16&lt;&gt;"",$I16&lt;TODAY()),"Overdue","")</f>
        <v/>
      </c>
      <c r="S16" s="150">
        <f>IF(AND($I16&lt;&gt;"",$I16&gt;=TODAY(),$I16&lt;=TODAY()+7),"Due This Week","")</f>
        <v/>
      </c>
      <c r="T16" s="150">
        <f>IF(AND($H16&lt;&gt;"",$M16&lt;=VLOOKUP(Home!$C$7,Lists!$N$2:$O$6,2,FALSE)),$H16&amp;" Task","")</f>
        <v/>
      </c>
      <c r="U16" s="150">
        <f>IF($G16=Home!$E$7,"Fits Current Energy","")</f>
        <v/>
      </c>
      <c r="V16" s="150">
        <f>IF($Q16&lt;&gt;""," • "&amp;$Q16,"")&amp;IF($R16&lt;&gt;""," • "&amp;$R16,"")&amp;IF($S16&lt;&gt;""," • "&amp;$S16,"")&amp;IF($T16&lt;&gt;""," • "&amp;$T16,"")&amp;IF($U16&lt;&gt;""," • "&amp;$U16,"")&amp;" • No Blockers"</f>
        <v/>
      </c>
    </row>
    <row r="17">
      <c r="A17" s="19" t="n"/>
      <c r="B17" s="19" t="n"/>
      <c r="C17" s="19" t="n"/>
      <c r="D17" s="19" t="n"/>
      <c r="E17" s="19" t="n"/>
      <c r="F17" s="19" t="n"/>
      <c r="G17" s="19" t="n"/>
      <c r="H17" s="19" t="n"/>
      <c r="I17" s="19" t="n"/>
      <c r="J17" s="19" t="n"/>
      <c r="K17" s="19" t="n"/>
      <c r="L17" s="35" t="n"/>
      <c r="M17" s="5">
        <f>IF($D17="","",IFERROR(VLOOKUP($H17,Lists!$N$2:$O$6,2,FALSE),0))</f>
        <v/>
      </c>
      <c r="N17" s="5">
        <f>IF($D17="","",IF(OR($E17="Blocked",$E17="Done",$E17="Archive"),-9999,IF(AND($E17="Waiting",SUMPRODUCT((($E$5:$E$500="Next")+($E$5:$E$500="In Progress")+($E$5:$E$500="Captured"))*($D$5:$D$500&lt;&gt;""))&gt;0),-500,VLOOKUP($F17,Lists!$L$2:$M$4,2,FALSE)+IF($E17="In Progress",10,0)+IF(AND($I17&lt;&gt;"",$I17&lt;TODAY()),25,0)+IF(AND($I17&lt;&gt;"",$I17&gt;=TODAY(),$I17&lt;=TODAY()+7),15,0)+IF($H17="",0,IF($M17&lt;=VLOOKUP(Home!$C$7,Lists!$N$2:$O$6,2,FALSE),20,-10))+IF($G17=Home!$E$7,15,IF(Home!$E$7="",0,-5))-ROW()/100000)))</f>
        <v/>
      </c>
      <c r="O17" s="5">
        <f>IF($D17="","",IF($N17&lt;=-500,"Not recommended right now",IF($E17="Waiting","Nothing else actionable right now — Waiting on: "&amp;IF($K17="","this item",$K17),MID($V17,4,9999))))</f>
        <v/>
      </c>
      <c r="P17" s="5">
        <f>IF($D17="","",IF('Task Finder'!$C$6="High Priority",AND($F17="High",$E17&lt;&gt;"Done",$E17&lt;&gt;"Archive"),IF('Task Finder'!$C$6="Due This Week",AND($I17&lt;&gt;"",$I17&gt;=TODAY(),$I17&lt;=TODAY()+7,$E17&lt;&gt;"Done"),IF('Task Finder'!$C$6="Quick Wins (15 mins or less)",AND($M17&lt;=15,$E17&lt;&gt;"Done",$E17&lt;&gt;"Blocked"),IF('Task Finder'!$C$6="Deep Thinking",AND($G17="Deep Thinking",$E17&lt;&gt;"Done"),IF('Task Finder'!$C$6="Processing",AND($G17="Processing",$E17&lt;&gt;"Done"),IF('Task Finder'!$C$6="Blocked",$E17="Blocked",IF('Task Finder'!$C$6="Waiting",$E17="Waiting",IF('Task Finder'!$C$6="Recently Updated",AND($L17&lt;&gt;"",$L17&gt;=TODAY()-7),IF('Task Finder'!$C$6="Keyword",AND('Task Finder'!$C$7&lt;&gt;"",OR(ISNUMBER(SEARCH('Task Finder'!$C$7,$A17)),ISNUMBER(SEARCH('Task Finder'!$C$7,$B17)),ISNUMBER(SEARCH('Task Finder'!$C$7,$C17)),ISNUMBER(SEARCH('Task Finder'!$C$7,$D17)),ISNUMBER(SEARCH('Task Finder'!$C$7,$K17)))),TRUE))))))))))</f>
        <v/>
      </c>
      <c r="Q17" s="150">
        <f>IF($F17="High","High Priority","")</f>
        <v/>
      </c>
      <c r="R17" s="150">
        <f>IF(AND($I17&lt;&gt;"",$I17&lt;TODAY()),"Overdue","")</f>
        <v/>
      </c>
      <c r="S17" s="150">
        <f>IF(AND($I17&lt;&gt;"",$I17&gt;=TODAY(),$I17&lt;=TODAY()+7),"Due This Week","")</f>
        <v/>
      </c>
      <c r="T17" s="150">
        <f>IF(AND($H17&lt;&gt;"",$M17&lt;=VLOOKUP(Home!$C$7,Lists!$N$2:$O$6,2,FALSE)),$H17&amp;" Task","")</f>
        <v/>
      </c>
      <c r="U17" s="150">
        <f>IF($G17=Home!$E$7,"Fits Current Energy","")</f>
        <v/>
      </c>
      <c r="V17" s="150">
        <f>IF($Q17&lt;&gt;""," • "&amp;$Q17,"")&amp;IF($R17&lt;&gt;""," • "&amp;$R17,"")&amp;IF($S17&lt;&gt;""," • "&amp;$S17,"")&amp;IF($T17&lt;&gt;""," • "&amp;$T17,"")&amp;IF($U17&lt;&gt;""," • "&amp;$U17,"")&amp;" • No Blockers"</f>
        <v/>
      </c>
    </row>
    <row r="18">
      <c r="A18" s="19" t="n"/>
      <c r="B18" s="19" t="n"/>
      <c r="C18" s="19" t="n"/>
      <c r="D18" s="19" t="n"/>
      <c r="E18" s="19" t="n"/>
      <c r="F18" s="19" t="n"/>
      <c r="G18" s="19" t="n"/>
      <c r="H18" s="19" t="n"/>
      <c r="I18" s="19" t="n"/>
      <c r="J18" s="19" t="n"/>
      <c r="K18" s="19" t="n"/>
      <c r="L18" s="35" t="n"/>
      <c r="M18" s="5">
        <f>IF($D18="","",IFERROR(VLOOKUP($H18,Lists!$N$2:$O$6,2,FALSE),0))</f>
        <v/>
      </c>
      <c r="N18" s="5">
        <f>IF($D18="","",IF(OR($E18="Blocked",$E18="Done",$E18="Archive"),-9999,IF(AND($E18="Waiting",SUMPRODUCT((($E$5:$E$500="Next")+($E$5:$E$500="In Progress")+($E$5:$E$500="Captured"))*($D$5:$D$500&lt;&gt;""))&gt;0),-500,VLOOKUP($F18,Lists!$L$2:$M$4,2,FALSE)+IF($E18="In Progress",10,0)+IF(AND($I18&lt;&gt;"",$I18&lt;TODAY()),25,0)+IF(AND($I18&lt;&gt;"",$I18&gt;=TODAY(),$I18&lt;=TODAY()+7),15,0)+IF($H18="",0,IF($M18&lt;=VLOOKUP(Home!$C$7,Lists!$N$2:$O$6,2,FALSE),20,-10))+IF($G18=Home!$E$7,15,IF(Home!$E$7="",0,-5))-ROW()/100000)))</f>
        <v/>
      </c>
      <c r="O18" s="5">
        <f>IF($D18="","",IF($N18&lt;=-500,"Not recommended right now",IF($E18="Waiting","Nothing else actionable right now — Waiting on: "&amp;IF($K18="","this item",$K18),MID($V18,4,9999))))</f>
        <v/>
      </c>
      <c r="P18" s="5">
        <f>IF($D18="","",IF('Task Finder'!$C$6="High Priority",AND($F18="High",$E18&lt;&gt;"Done",$E18&lt;&gt;"Archive"),IF('Task Finder'!$C$6="Due This Week",AND($I18&lt;&gt;"",$I18&gt;=TODAY(),$I18&lt;=TODAY()+7,$E18&lt;&gt;"Done"),IF('Task Finder'!$C$6="Quick Wins (15 mins or less)",AND($M18&lt;=15,$E18&lt;&gt;"Done",$E18&lt;&gt;"Blocked"),IF('Task Finder'!$C$6="Deep Thinking",AND($G18="Deep Thinking",$E18&lt;&gt;"Done"),IF('Task Finder'!$C$6="Processing",AND($G18="Processing",$E18&lt;&gt;"Done"),IF('Task Finder'!$C$6="Blocked",$E18="Blocked",IF('Task Finder'!$C$6="Waiting",$E18="Waiting",IF('Task Finder'!$C$6="Recently Updated",AND($L18&lt;&gt;"",$L18&gt;=TODAY()-7),IF('Task Finder'!$C$6="Keyword",AND('Task Finder'!$C$7&lt;&gt;"",OR(ISNUMBER(SEARCH('Task Finder'!$C$7,$A18)),ISNUMBER(SEARCH('Task Finder'!$C$7,$B18)),ISNUMBER(SEARCH('Task Finder'!$C$7,$C18)),ISNUMBER(SEARCH('Task Finder'!$C$7,$D18)),ISNUMBER(SEARCH('Task Finder'!$C$7,$K18)))),TRUE))))))))))</f>
        <v/>
      </c>
      <c r="Q18" s="150">
        <f>IF($F18="High","High Priority","")</f>
        <v/>
      </c>
      <c r="R18" s="150">
        <f>IF(AND($I18&lt;&gt;"",$I18&lt;TODAY()),"Overdue","")</f>
        <v/>
      </c>
      <c r="S18" s="150">
        <f>IF(AND($I18&lt;&gt;"",$I18&gt;=TODAY(),$I18&lt;=TODAY()+7),"Due This Week","")</f>
        <v/>
      </c>
      <c r="T18" s="150">
        <f>IF(AND($H18&lt;&gt;"",$M18&lt;=VLOOKUP(Home!$C$7,Lists!$N$2:$O$6,2,FALSE)),$H18&amp;" Task","")</f>
        <v/>
      </c>
      <c r="U18" s="150">
        <f>IF($G18=Home!$E$7,"Fits Current Energy","")</f>
        <v/>
      </c>
      <c r="V18" s="150">
        <f>IF($Q18&lt;&gt;""," • "&amp;$Q18,"")&amp;IF($R18&lt;&gt;""," • "&amp;$R18,"")&amp;IF($S18&lt;&gt;""," • "&amp;$S18,"")&amp;IF($T18&lt;&gt;""," • "&amp;$T18,"")&amp;IF($U18&lt;&gt;""," • "&amp;$U18,"")&amp;" • No Blockers"</f>
        <v/>
      </c>
    </row>
    <row r="19">
      <c r="A19" s="19" t="n"/>
      <c r="B19" s="19" t="n"/>
      <c r="C19" s="19" t="n"/>
      <c r="D19" s="19" t="n"/>
      <c r="E19" s="19" t="n"/>
      <c r="F19" s="19" t="n"/>
      <c r="G19" s="19" t="n"/>
      <c r="H19" s="19" t="n"/>
      <c r="I19" s="19" t="n"/>
      <c r="J19" s="19" t="n"/>
      <c r="K19" s="19" t="n"/>
      <c r="L19" s="35" t="n"/>
      <c r="M19" s="5">
        <f>IF($D19="","",IFERROR(VLOOKUP($H19,Lists!$N$2:$O$6,2,FALSE),0))</f>
        <v/>
      </c>
      <c r="N19" s="5">
        <f>IF($D19="","",IF(OR($E19="Blocked",$E19="Done",$E19="Archive"),-9999,IF(AND($E19="Waiting",SUMPRODUCT((($E$5:$E$500="Next")+($E$5:$E$500="In Progress")+($E$5:$E$500="Captured"))*($D$5:$D$500&lt;&gt;""))&gt;0),-500,VLOOKUP($F19,Lists!$L$2:$M$4,2,FALSE)+IF($E19="In Progress",10,0)+IF(AND($I19&lt;&gt;"",$I19&lt;TODAY()),25,0)+IF(AND($I19&lt;&gt;"",$I19&gt;=TODAY(),$I19&lt;=TODAY()+7),15,0)+IF($H19="",0,IF($M19&lt;=VLOOKUP(Home!$C$7,Lists!$N$2:$O$6,2,FALSE),20,-10))+IF($G19=Home!$E$7,15,IF(Home!$E$7="",0,-5))-ROW()/100000)))</f>
        <v/>
      </c>
      <c r="O19" s="5">
        <f>IF($D19="","",IF($N19&lt;=-500,"Not recommended right now",IF($E19="Waiting","Nothing else actionable right now — Waiting on: "&amp;IF($K19="","this item",$K19),MID($V19,4,9999))))</f>
        <v/>
      </c>
      <c r="P19" s="5">
        <f>IF($D19="","",IF('Task Finder'!$C$6="High Priority",AND($F19="High",$E19&lt;&gt;"Done",$E19&lt;&gt;"Archive"),IF('Task Finder'!$C$6="Due This Week",AND($I19&lt;&gt;"",$I19&gt;=TODAY(),$I19&lt;=TODAY()+7,$E19&lt;&gt;"Done"),IF('Task Finder'!$C$6="Quick Wins (15 mins or less)",AND($M19&lt;=15,$E19&lt;&gt;"Done",$E19&lt;&gt;"Blocked"),IF('Task Finder'!$C$6="Deep Thinking",AND($G19="Deep Thinking",$E19&lt;&gt;"Done"),IF('Task Finder'!$C$6="Processing",AND($G19="Processing",$E19&lt;&gt;"Done"),IF('Task Finder'!$C$6="Blocked",$E19="Blocked",IF('Task Finder'!$C$6="Waiting",$E19="Waiting",IF('Task Finder'!$C$6="Recently Updated",AND($L19&lt;&gt;"",$L19&gt;=TODAY()-7),IF('Task Finder'!$C$6="Keyword",AND('Task Finder'!$C$7&lt;&gt;"",OR(ISNUMBER(SEARCH('Task Finder'!$C$7,$A19)),ISNUMBER(SEARCH('Task Finder'!$C$7,$B19)),ISNUMBER(SEARCH('Task Finder'!$C$7,$C19)),ISNUMBER(SEARCH('Task Finder'!$C$7,$D19)),ISNUMBER(SEARCH('Task Finder'!$C$7,$K19)))),TRUE))))))))))</f>
        <v/>
      </c>
      <c r="Q19" s="150">
        <f>IF($F19="High","High Priority","")</f>
        <v/>
      </c>
      <c r="R19" s="150">
        <f>IF(AND($I19&lt;&gt;"",$I19&lt;TODAY()),"Overdue","")</f>
        <v/>
      </c>
      <c r="S19" s="150">
        <f>IF(AND($I19&lt;&gt;"",$I19&gt;=TODAY(),$I19&lt;=TODAY()+7),"Due This Week","")</f>
        <v/>
      </c>
      <c r="T19" s="150">
        <f>IF(AND($H19&lt;&gt;"",$M19&lt;=VLOOKUP(Home!$C$7,Lists!$N$2:$O$6,2,FALSE)),$H19&amp;" Task","")</f>
        <v/>
      </c>
      <c r="U19" s="150">
        <f>IF($G19=Home!$E$7,"Fits Current Energy","")</f>
        <v/>
      </c>
      <c r="V19" s="150">
        <f>IF($Q19&lt;&gt;""," • "&amp;$Q19,"")&amp;IF($R19&lt;&gt;""," • "&amp;$R19,"")&amp;IF($S19&lt;&gt;""," • "&amp;$S19,"")&amp;IF($T19&lt;&gt;""," • "&amp;$T19,"")&amp;IF($U19&lt;&gt;""," • "&amp;$U19,"")&amp;" • No Blockers"</f>
        <v/>
      </c>
    </row>
    <row r="20">
      <c r="A20" s="19" t="n"/>
      <c r="B20" s="19" t="n"/>
      <c r="C20" s="19" t="n"/>
      <c r="D20" s="19" t="n"/>
      <c r="E20" s="19" t="n"/>
      <c r="F20" s="19" t="n"/>
      <c r="G20" s="19" t="n"/>
      <c r="H20" s="19" t="n"/>
      <c r="I20" s="19" t="n"/>
      <c r="J20" s="19" t="n"/>
      <c r="K20" s="19" t="n"/>
      <c r="L20" s="35" t="n"/>
      <c r="M20" s="5">
        <f>IF($D20="","",IFERROR(VLOOKUP($H20,Lists!$N$2:$O$6,2,FALSE),0))</f>
        <v/>
      </c>
      <c r="N20" s="5">
        <f>IF($D20="","",IF(OR($E20="Blocked",$E20="Done",$E20="Archive"),-9999,IF(AND($E20="Waiting",SUMPRODUCT((($E$5:$E$500="Next")+($E$5:$E$500="In Progress")+($E$5:$E$500="Captured"))*($D$5:$D$500&lt;&gt;""))&gt;0),-500,VLOOKUP($F20,Lists!$L$2:$M$4,2,FALSE)+IF($E20="In Progress",10,0)+IF(AND($I20&lt;&gt;"",$I20&lt;TODAY()),25,0)+IF(AND($I20&lt;&gt;"",$I20&gt;=TODAY(),$I20&lt;=TODAY()+7),15,0)+IF($H20="",0,IF($M20&lt;=VLOOKUP(Home!$C$7,Lists!$N$2:$O$6,2,FALSE),20,-10))+IF($G20=Home!$E$7,15,IF(Home!$E$7="",0,-5))-ROW()/100000)))</f>
        <v/>
      </c>
      <c r="O20" s="5">
        <f>IF($D20="","",IF($N20&lt;=-500,"Not recommended right now",IF($E20="Waiting","Nothing else actionable right now — Waiting on: "&amp;IF($K20="","this item",$K20),MID($V20,4,9999))))</f>
        <v/>
      </c>
      <c r="P20" s="5">
        <f>IF($D20="","",IF('Task Finder'!$C$6="High Priority",AND($F20="High",$E20&lt;&gt;"Done",$E20&lt;&gt;"Archive"),IF('Task Finder'!$C$6="Due This Week",AND($I20&lt;&gt;"",$I20&gt;=TODAY(),$I20&lt;=TODAY()+7,$E20&lt;&gt;"Done"),IF('Task Finder'!$C$6="Quick Wins (15 mins or less)",AND($M20&lt;=15,$E20&lt;&gt;"Done",$E20&lt;&gt;"Blocked"),IF('Task Finder'!$C$6="Deep Thinking",AND($G20="Deep Thinking",$E20&lt;&gt;"Done"),IF('Task Finder'!$C$6="Processing",AND($G20="Processing",$E20&lt;&gt;"Done"),IF('Task Finder'!$C$6="Blocked",$E20="Blocked",IF('Task Finder'!$C$6="Waiting",$E20="Waiting",IF('Task Finder'!$C$6="Recently Updated",AND($L20&lt;&gt;"",$L20&gt;=TODAY()-7),IF('Task Finder'!$C$6="Keyword",AND('Task Finder'!$C$7&lt;&gt;"",OR(ISNUMBER(SEARCH('Task Finder'!$C$7,$A20)),ISNUMBER(SEARCH('Task Finder'!$C$7,$B20)),ISNUMBER(SEARCH('Task Finder'!$C$7,$C20)),ISNUMBER(SEARCH('Task Finder'!$C$7,$D20)),ISNUMBER(SEARCH('Task Finder'!$C$7,$K20)))),TRUE))))))))))</f>
        <v/>
      </c>
      <c r="Q20" s="150">
        <f>IF($F20="High","High Priority","")</f>
        <v/>
      </c>
      <c r="R20" s="150">
        <f>IF(AND($I20&lt;&gt;"",$I20&lt;TODAY()),"Overdue","")</f>
        <v/>
      </c>
      <c r="S20" s="150">
        <f>IF(AND($I20&lt;&gt;"",$I20&gt;=TODAY(),$I20&lt;=TODAY()+7),"Due This Week","")</f>
        <v/>
      </c>
      <c r="T20" s="150">
        <f>IF(AND($H20&lt;&gt;"",$M20&lt;=VLOOKUP(Home!$C$7,Lists!$N$2:$O$6,2,FALSE)),$H20&amp;" Task","")</f>
        <v/>
      </c>
      <c r="U20" s="150">
        <f>IF($G20=Home!$E$7,"Fits Current Energy","")</f>
        <v/>
      </c>
      <c r="V20" s="150">
        <f>IF($Q20&lt;&gt;""," • "&amp;$Q20,"")&amp;IF($R20&lt;&gt;""," • "&amp;$R20,"")&amp;IF($S20&lt;&gt;""," • "&amp;$S20,"")&amp;IF($T20&lt;&gt;""," • "&amp;$T20,"")&amp;IF($U20&lt;&gt;""," • "&amp;$U20,"")&amp;" • No Blockers"</f>
        <v/>
      </c>
    </row>
    <row r="21">
      <c r="A21" s="19" t="n"/>
      <c r="B21" s="19" t="n"/>
      <c r="C21" s="19" t="n"/>
      <c r="D21" s="19" t="n"/>
      <c r="E21" s="19" t="n"/>
      <c r="F21" s="19" t="n"/>
      <c r="G21" s="19" t="n"/>
      <c r="H21" s="19" t="n"/>
      <c r="I21" s="19" t="n"/>
      <c r="J21" s="19" t="n"/>
      <c r="K21" s="19" t="n"/>
      <c r="L21" s="35" t="n"/>
      <c r="M21" s="5">
        <f>IF($D21="","",IFERROR(VLOOKUP($H21,Lists!$N$2:$O$6,2,FALSE),0))</f>
        <v/>
      </c>
      <c r="N21" s="5">
        <f>IF($D21="","",IF(OR($E21="Blocked",$E21="Done",$E21="Archive"),-9999,IF(AND($E21="Waiting",SUMPRODUCT((($E$5:$E$500="Next")+($E$5:$E$500="In Progress")+($E$5:$E$500="Captured"))*($D$5:$D$500&lt;&gt;""))&gt;0),-500,VLOOKUP($F21,Lists!$L$2:$M$4,2,FALSE)+IF($E21="In Progress",10,0)+IF(AND($I21&lt;&gt;"",$I21&lt;TODAY()),25,0)+IF(AND($I21&lt;&gt;"",$I21&gt;=TODAY(),$I21&lt;=TODAY()+7),15,0)+IF($H21="",0,IF($M21&lt;=VLOOKUP(Home!$C$7,Lists!$N$2:$O$6,2,FALSE),20,-10))+IF($G21=Home!$E$7,15,IF(Home!$E$7="",0,-5))-ROW()/100000)))</f>
        <v/>
      </c>
      <c r="O21" s="5">
        <f>IF($D21="","",IF($N21&lt;=-500,"Not recommended right now",IF($E21="Waiting","Nothing else actionable right now — Waiting on: "&amp;IF($K21="","this item",$K21),MID($V21,4,9999))))</f>
        <v/>
      </c>
      <c r="P21" s="5">
        <f>IF($D21="","",IF('Task Finder'!$C$6="High Priority",AND($F21="High",$E21&lt;&gt;"Done",$E21&lt;&gt;"Archive"),IF('Task Finder'!$C$6="Due This Week",AND($I21&lt;&gt;"",$I21&gt;=TODAY(),$I21&lt;=TODAY()+7,$E21&lt;&gt;"Done"),IF('Task Finder'!$C$6="Quick Wins (15 mins or less)",AND($M21&lt;=15,$E21&lt;&gt;"Done",$E21&lt;&gt;"Blocked"),IF('Task Finder'!$C$6="Deep Thinking",AND($G21="Deep Thinking",$E21&lt;&gt;"Done"),IF('Task Finder'!$C$6="Processing",AND($G21="Processing",$E21&lt;&gt;"Done"),IF('Task Finder'!$C$6="Blocked",$E21="Blocked",IF('Task Finder'!$C$6="Waiting",$E21="Waiting",IF('Task Finder'!$C$6="Recently Updated",AND($L21&lt;&gt;"",$L21&gt;=TODAY()-7),IF('Task Finder'!$C$6="Keyword",AND('Task Finder'!$C$7&lt;&gt;"",OR(ISNUMBER(SEARCH('Task Finder'!$C$7,$A21)),ISNUMBER(SEARCH('Task Finder'!$C$7,$B21)),ISNUMBER(SEARCH('Task Finder'!$C$7,$C21)),ISNUMBER(SEARCH('Task Finder'!$C$7,$D21)),ISNUMBER(SEARCH('Task Finder'!$C$7,$K21)))),TRUE))))))))))</f>
        <v/>
      </c>
      <c r="Q21" s="150">
        <f>IF($F21="High","High Priority","")</f>
        <v/>
      </c>
      <c r="R21" s="150">
        <f>IF(AND($I21&lt;&gt;"",$I21&lt;TODAY()),"Overdue","")</f>
        <v/>
      </c>
      <c r="S21" s="150">
        <f>IF(AND($I21&lt;&gt;"",$I21&gt;=TODAY(),$I21&lt;=TODAY()+7),"Due This Week","")</f>
        <v/>
      </c>
      <c r="T21" s="150">
        <f>IF(AND($H21&lt;&gt;"",$M21&lt;=VLOOKUP(Home!$C$7,Lists!$N$2:$O$6,2,FALSE)),$H21&amp;" Task","")</f>
        <v/>
      </c>
      <c r="U21" s="150">
        <f>IF($G21=Home!$E$7,"Fits Current Energy","")</f>
        <v/>
      </c>
      <c r="V21" s="150">
        <f>IF($Q21&lt;&gt;""," • "&amp;$Q21,"")&amp;IF($R21&lt;&gt;""," • "&amp;$R21,"")&amp;IF($S21&lt;&gt;""," • "&amp;$S21,"")&amp;IF($T21&lt;&gt;""," • "&amp;$T21,"")&amp;IF($U21&lt;&gt;""," • "&amp;$U21,"")&amp;" • No Blockers"</f>
        <v/>
      </c>
    </row>
    <row r="22">
      <c r="A22" s="19" t="n"/>
      <c r="B22" s="19" t="n"/>
      <c r="C22" s="19" t="n"/>
      <c r="D22" s="19" t="n"/>
      <c r="E22" s="19" t="n"/>
      <c r="F22" s="19" t="n"/>
      <c r="G22" s="19" t="n"/>
      <c r="H22" s="19" t="n"/>
      <c r="I22" s="19" t="n"/>
      <c r="J22" s="19" t="n"/>
      <c r="K22" s="19" t="n"/>
      <c r="L22" s="35" t="n"/>
      <c r="M22" s="5">
        <f>IF($D22="","",IFERROR(VLOOKUP($H22,Lists!$N$2:$O$6,2,FALSE),0))</f>
        <v/>
      </c>
      <c r="N22" s="5">
        <f>IF($D22="","",IF(OR($E22="Blocked",$E22="Done",$E22="Archive"),-9999,IF(AND($E22="Waiting",SUMPRODUCT((($E$5:$E$500="Next")+($E$5:$E$500="In Progress")+($E$5:$E$500="Captured"))*($D$5:$D$500&lt;&gt;""))&gt;0),-500,VLOOKUP($F22,Lists!$L$2:$M$4,2,FALSE)+IF($E22="In Progress",10,0)+IF(AND($I22&lt;&gt;"",$I22&lt;TODAY()),25,0)+IF(AND($I22&lt;&gt;"",$I22&gt;=TODAY(),$I22&lt;=TODAY()+7),15,0)+IF($H22="",0,IF($M22&lt;=VLOOKUP(Home!$C$7,Lists!$N$2:$O$6,2,FALSE),20,-10))+IF($G22=Home!$E$7,15,IF(Home!$E$7="",0,-5))-ROW()/100000)))</f>
        <v/>
      </c>
      <c r="O22" s="5">
        <f>IF($D22="","",IF($N22&lt;=-500,"Not recommended right now",IF($E22="Waiting","Nothing else actionable right now — Waiting on: "&amp;IF($K22="","this item",$K22),MID($V22,4,9999))))</f>
        <v/>
      </c>
      <c r="P22" s="5">
        <f>IF($D22="","",IF('Task Finder'!$C$6="High Priority",AND($F22="High",$E22&lt;&gt;"Done",$E22&lt;&gt;"Archive"),IF('Task Finder'!$C$6="Due This Week",AND($I22&lt;&gt;"",$I22&gt;=TODAY(),$I22&lt;=TODAY()+7,$E22&lt;&gt;"Done"),IF('Task Finder'!$C$6="Quick Wins (15 mins or less)",AND($M22&lt;=15,$E22&lt;&gt;"Done",$E22&lt;&gt;"Blocked"),IF('Task Finder'!$C$6="Deep Thinking",AND($G22="Deep Thinking",$E22&lt;&gt;"Done"),IF('Task Finder'!$C$6="Processing",AND($G22="Processing",$E22&lt;&gt;"Done"),IF('Task Finder'!$C$6="Blocked",$E22="Blocked",IF('Task Finder'!$C$6="Waiting",$E22="Waiting",IF('Task Finder'!$C$6="Recently Updated",AND($L22&lt;&gt;"",$L22&gt;=TODAY()-7),IF('Task Finder'!$C$6="Keyword",AND('Task Finder'!$C$7&lt;&gt;"",OR(ISNUMBER(SEARCH('Task Finder'!$C$7,$A22)),ISNUMBER(SEARCH('Task Finder'!$C$7,$B22)),ISNUMBER(SEARCH('Task Finder'!$C$7,$C22)),ISNUMBER(SEARCH('Task Finder'!$C$7,$D22)),ISNUMBER(SEARCH('Task Finder'!$C$7,$K22)))),TRUE))))))))))</f>
        <v/>
      </c>
      <c r="Q22" s="150">
        <f>IF($F22="High","High Priority","")</f>
        <v/>
      </c>
      <c r="R22" s="150">
        <f>IF(AND($I22&lt;&gt;"",$I22&lt;TODAY()),"Overdue","")</f>
        <v/>
      </c>
      <c r="S22" s="150">
        <f>IF(AND($I22&lt;&gt;"",$I22&gt;=TODAY(),$I22&lt;=TODAY()+7),"Due This Week","")</f>
        <v/>
      </c>
      <c r="T22" s="150">
        <f>IF(AND($H22&lt;&gt;"",$M22&lt;=VLOOKUP(Home!$C$7,Lists!$N$2:$O$6,2,FALSE)),$H22&amp;" Task","")</f>
        <v/>
      </c>
      <c r="U22" s="150">
        <f>IF($G22=Home!$E$7,"Fits Current Energy","")</f>
        <v/>
      </c>
      <c r="V22" s="150">
        <f>IF($Q22&lt;&gt;""," • "&amp;$Q22,"")&amp;IF($R22&lt;&gt;""," • "&amp;$R22,"")&amp;IF($S22&lt;&gt;""," • "&amp;$S22,"")&amp;IF($T22&lt;&gt;""," • "&amp;$T22,"")&amp;IF($U22&lt;&gt;""," • "&amp;$U22,"")&amp;" • No Blockers"</f>
        <v/>
      </c>
    </row>
    <row r="23">
      <c r="A23" s="19" t="n"/>
      <c r="B23" s="19" t="n"/>
      <c r="C23" s="19" t="n"/>
      <c r="D23" s="19" t="n"/>
      <c r="E23" s="19" t="n"/>
      <c r="F23" s="19" t="n"/>
      <c r="G23" s="19" t="n"/>
      <c r="H23" s="19" t="n"/>
      <c r="I23" s="19" t="n"/>
      <c r="J23" s="19" t="n"/>
      <c r="K23" s="19" t="n"/>
      <c r="L23" s="35" t="n"/>
      <c r="M23" s="5">
        <f>IF($D23="","",IFERROR(VLOOKUP($H23,Lists!$N$2:$O$6,2,FALSE),0))</f>
        <v/>
      </c>
      <c r="N23" s="5">
        <f>IF($D23="","",IF(OR($E23="Blocked",$E23="Done",$E23="Archive"),-9999,IF(AND($E23="Waiting",SUMPRODUCT((($E$5:$E$500="Next")+($E$5:$E$500="In Progress")+($E$5:$E$500="Captured"))*($D$5:$D$500&lt;&gt;""))&gt;0),-500,VLOOKUP($F23,Lists!$L$2:$M$4,2,FALSE)+IF($E23="In Progress",10,0)+IF(AND($I23&lt;&gt;"",$I23&lt;TODAY()),25,0)+IF(AND($I23&lt;&gt;"",$I23&gt;=TODAY(),$I23&lt;=TODAY()+7),15,0)+IF($H23="",0,IF($M23&lt;=VLOOKUP(Home!$C$7,Lists!$N$2:$O$6,2,FALSE),20,-10))+IF($G23=Home!$E$7,15,IF(Home!$E$7="",0,-5))-ROW()/100000)))</f>
        <v/>
      </c>
      <c r="O23" s="5">
        <f>IF($D23="","",IF($N23&lt;=-500,"Not recommended right now",IF($E23="Waiting","Nothing else actionable right now — Waiting on: "&amp;IF($K23="","this item",$K23),MID($V23,4,9999))))</f>
        <v/>
      </c>
      <c r="P23" s="5">
        <f>IF($D23="","",IF('Task Finder'!$C$6="High Priority",AND($F23="High",$E23&lt;&gt;"Done",$E23&lt;&gt;"Archive"),IF('Task Finder'!$C$6="Due This Week",AND($I23&lt;&gt;"",$I23&gt;=TODAY(),$I23&lt;=TODAY()+7,$E23&lt;&gt;"Done"),IF('Task Finder'!$C$6="Quick Wins (15 mins or less)",AND($M23&lt;=15,$E23&lt;&gt;"Done",$E23&lt;&gt;"Blocked"),IF('Task Finder'!$C$6="Deep Thinking",AND($G23="Deep Thinking",$E23&lt;&gt;"Done"),IF('Task Finder'!$C$6="Processing",AND($G23="Processing",$E23&lt;&gt;"Done"),IF('Task Finder'!$C$6="Blocked",$E23="Blocked",IF('Task Finder'!$C$6="Waiting",$E23="Waiting",IF('Task Finder'!$C$6="Recently Updated",AND($L23&lt;&gt;"",$L23&gt;=TODAY()-7),IF('Task Finder'!$C$6="Keyword",AND('Task Finder'!$C$7&lt;&gt;"",OR(ISNUMBER(SEARCH('Task Finder'!$C$7,$A23)),ISNUMBER(SEARCH('Task Finder'!$C$7,$B23)),ISNUMBER(SEARCH('Task Finder'!$C$7,$C23)),ISNUMBER(SEARCH('Task Finder'!$C$7,$D23)),ISNUMBER(SEARCH('Task Finder'!$C$7,$K23)))),TRUE))))))))))</f>
        <v/>
      </c>
      <c r="Q23" s="150">
        <f>IF($F23="High","High Priority","")</f>
        <v/>
      </c>
      <c r="R23" s="150">
        <f>IF(AND($I23&lt;&gt;"",$I23&lt;TODAY()),"Overdue","")</f>
        <v/>
      </c>
      <c r="S23" s="150">
        <f>IF(AND($I23&lt;&gt;"",$I23&gt;=TODAY(),$I23&lt;=TODAY()+7),"Due This Week","")</f>
        <v/>
      </c>
      <c r="T23" s="150">
        <f>IF(AND($H23&lt;&gt;"",$M23&lt;=VLOOKUP(Home!$C$7,Lists!$N$2:$O$6,2,FALSE)),$H23&amp;" Task","")</f>
        <v/>
      </c>
      <c r="U23" s="150">
        <f>IF($G23=Home!$E$7,"Fits Current Energy","")</f>
        <v/>
      </c>
      <c r="V23" s="150">
        <f>IF($Q23&lt;&gt;""," • "&amp;$Q23,"")&amp;IF($R23&lt;&gt;""," • "&amp;$R23,"")&amp;IF($S23&lt;&gt;""," • "&amp;$S23,"")&amp;IF($T23&lt;&gt;""," • "&amp;$T23,"")&amp;IF($U23&lt;&gt;""," • "&amp;$U23,"")&amp;" • No Blockers"</f>
        <v/>
      </c>
    </row>
    <row r="24">
      <c r="A24" s="19" t="n"/>
      <c r="B24" s="19" t="n"/>
      <c r="C24" s="19" t="n"/>
      <c r="D24" s="19" t="n"/>
      <c r="E24" s="19" t="n"/>
      <c r="F24" s="19" t="n"/>
      <c r="G24" s="19" t="n"/>
      <c r="H24" s="19" t="n"/>
      <c r="I24" s="19" t="n"/>
      <c r="J24" s="19" t="n"/>
      <c r="K24" s="19" t="n"/>
      <c r="L24" s="35" t="n"/>
      <c r="M24" s="5">
        <f>IF($D24="","",IFERROR(VLOOKUP($H24,Lists!$N$2:$O$6,2,FALSE),0))</f>
        <v/>
      </c>
      <c r="N24" s="5">
        <f>IF($D24="","",IF(OR($E24="Blocked",$E24="Done",$E24="Archive"),-9999,IF(AND($E24="Waiting",SUMPRODUCT((($E$5:$E$500="Next")+($E$5:$E$500="In Progress")+($E$5:$E$500="Captured"))*($D$5:$D$500&lt;&gt;""))&gt;0),-500,VLOOKUP($F24,Lists!$L$2:$M$4,2,FALSE)+IF($E24="In Progress",10,0)+IF(AND($I24&lt;&gt;"",$I24&lt;TODAY()),25,0)+IF(AND($I24&lt;&gt;"",$I24&gt;=TODAY(),$I24&lt;=TODAY()+7),15,0)+IF($H24="",0,IF($M24&lt;=VLOOKUP(Home!$C$7,Lists!$N$2:$O$6,2,FALSE),20,-10))+IF($G24=Home!$E$7,15,IF(Home!$E$7="",0,-5))-ROW()/100000)))</f>
        <v/>
      </c>
      <c r="O24" s="5">
        <f>IF($D24="","",IF($N24&lt;=-500,"Not recommended right now",IF($E24="Waiting","Nothing else actionable right now — Waiting on: "&amp;IF($K24="","this item",$K24),MID($V24,4,9999))))</f>
        <v/>
      </c>
      <c r="P24" s="5">
        <f>IF($D24="","",IF('Task Finder'!$C$6="High Priority",AND($F24="High",$E24&lt;&gt;"Done",$E24&lt;&gt;"Archive"),IF('Task Finder'!$C$6="Due This Week",AND($I24&lt;&gt;"",$I24&gt;=TODAY(),$I24&lt;=TODAY()+7,$E24&lt;&gt;"Done"),IF('Task Finder'!$C$6="Quick Wins (15 mins or less)",AND($M24&lt;=15,$E24&lt;&gt;"Done",$E24&lt;&gt;"Blocked"),IF('Task Finder'!$C$6="Deep Thinking",AND($G24="Deep Thinking",$E24&lt;&gt;"Done"),IF('Task Finder'!$C$6="Processing",AND($G24="Processing",$E24&lt;&gt;"Done"),IF('Task Finder'!$C$6="Blocked",$E24="Blocked",IF('Task Finder'!$C$6="Waiting",$E24="Waiting",IF('Task Finder'!$C$6="Recently Updated",AND($L24&lt;&gt;"",$L24&gt;=TODAY()-7),IF('Task Finder'!$C$6="Keyword",AND('Task Finder'!$C$7&lt;&gt;"",OR(ISNUMBER(SEARCH('Task Finder'!$C$7,$A24)),ISNUMBER(SEARCH('Task Finder'!$C$7,$B24)),ISNUMBER(SEARCH('Task Finder'!$C$7,$C24)),ISNUMBER(SEARCH('Task Finder'!$C$7,$D24)),ISNUMBER(SEARCH('Task Finder'!$C$7,$K24)))),TRUE))))))))))</f>
        <v/>
      </c>
      <c r="Q24" s="150">
        <f>IF($F24="High","High Priority","")</f>
        <v/>
      </c>
      <c r="R24" s="150">
        <f>IF(AND($I24&lt;&gt;"",$I24&lt;TODAY()),"Overdue","")</f>
        <v/>
      </c>
      <c r="S24" s="150">
        <f>IF(AND($I24&lt;&gt;"",$I24&gt;=TODAY(),$I24&lt;=TODAY()+7),"Due This Week","")</f>
        <v/>
      </c>
      <c r="T24" s="150">
        <f>IF(AND($H24&lt;&gt;"",$M24&lt;=VLOOKUP(Home!$C$7,Lists!$N$2:$O$6,2,FALSE)),$H24&amp;" Task","")</f>
        <v/>
      </c>
      <c r="U24" s="150">
        <f>IF($G24=Home!$E$7,"Fits Current Energy","")</f>
        <v/>
      </c>
      <c r="V24" s="150">
        <f>IF($Q24&lt;&gt;""," • "&amp;$Q24,"")&amp;IF($R24&lt;&gt;""," • "&amp;$R24,"")&amp;IF($S24&lt;&gt;""," • "&amp;$S24,"")&amp;IF($T24&lt;&gt;""," • "&amp;$T24,"")&amp;IF($U24&lt;&gt;""," • "&amp;$U24,"")&amp;" • No Blockers"</f>
        <v/>
      </c>
    </row>
    <row r="25">
      <c r="A25" s="19" t="n"/>
      <c r="B25" s="19" t="n"/>
      <c r="C25" s="19" t="n"/>
      <c r="D25" s="19" t="n"/>
      <c r="E25" s="19" t="n"/>
      <c r="F25" s="19" t="n"/>
      <c r="G25" s="19" t="n"/>
      <c r="H25" s="19" t="n"/>
      <c r="I25" s="19" t="n"/>
      <c r="J25" s="19" t="n"/>
      <c r="K25" s="19" t="n"/>
      <c r="L25" s="35" t="n"/>
      <c r="M25" s="5">
        <f>IF($D25="","",IFERROR(VLOOKUP($H25,Lists!$N$2:$O$6,2,FALSE),0))</f>
        <v/>
      </c>
      <c r="N25" s="5">
        <f>IF($D25="","",IF(OR($E25="Blocked",$E25="Done",$E25="Archive"),-9999,IF(AND($E25="Waiting",SUMPRODUCT((($E$5:$E$500="Next")+($E$5:$E$500="In Progress")+($E$5:$E$500="Captured"))*($D$5:$D$500&lt;&gt;""))&gt;0),-500,VLOOKUP($F25,Lists!$L$2:$M$4,2,FALSE)+IF($E25="In Progress",10,0)+IF(AND($I25&lt;&gt;"",$I25&lt;TODAY()),25,0)+IF(AND($I25&lt;&gt;"",$I25&gt;=TODAY(),$I25&lt;=TODAY()+7),15,0)+IF($H25="",0,IF($M25&lt;=VLOOKUP(Home!$C$7,Lists!$N$2:$O$6,2,FALSE),20,-10))+IF($G25=Home!$E$7,15,IF(Home!$E$7="",0,-5))-ROW()/100000)))</f>
        <v/>
      </c>
      <c r="O25" s="5">
        <f>IF($D25="","",IF($N25&lt;=-500,"Not recommended right now",IF($E25="Waiting","Nothing else actionable right now — Waiting on: "&amp;IF($K25="","this item",$K25),MID($V25,4,9999))))</f>
        <v/>
      </c>
      <c r="P25" s="5">
        <f>IF($D25="","",IF('Task Finder'!$C$6="High Priority",AND($F25="High",$E25&lt;&gt;"Done",$E25&lt;&gt;"Archive"),IF('Task Finder'!$C$6="Due This Week",AND($I25&lt;&gt;"",$I25&gt;=TODAY(),$I25&lt;=TODAY()+7,$E25&lt;&gt;"Done"),IF('Task Finder'!$C$6="Quick Wins (15 mins or less)",AND($M25&lt;=15,$E25&lt;&gt;"Done",$E25&lt;&gt;"Blocked"),IF('Task Finder'!$C$6="Deep Thinking",AND($G25="Deep Thinking",$E25&lt;&gt;"Done"),IF('Task Finder'!$C$6="Processing",AND($G25="Processing",$E25&lt;&gt;"Done"),IF('Task Finder'!$C$6="Blocked",$E25="Blocked",IF('Task Finder'!$C$6="Waiting",$E25="Waiting",IF('Task Finder'!$C$6="Recently Updated",AND($L25&lt;&gt;"",$L25&gt;=TODAY()-7),IF('Task Finder'!$C$6="Keyword",AND('Task Finder'!$C$7&lt;&gt;"",OR(ISNUMBER(SEARCH('Task Finder'!$C$7,$A25)),ISNUMBER(SEARCH('Task Finder'!$C$7,$B25)),ISNUMBER(SEARCH('Task Finder'!$C$7,$C25)),ISNUMBER(SEARCH('Task Finder'!$C$7,$D25)),ISNUMBER(SEARCH('Task Finder'!$C$7,$K25)))),TRUE))))))))))</f>
        <v/>
      </c>
      <c r="Q25" s="150">
        <f>IF($F25="High","High Priority","")</f>
        <v/>
      </c>
      <c r="R25" s="150">
        <f>IF(AND($I25&lt;&gt;"",$I25&lt;TODAY()),"Overdue","")</f>
        <v/>
      </c>
      <c r="S25" s="150">
        <f>IF(AND($I25&lt;&gt;"",$I25&gt;=TODAY(),$I25&lt;=TODAY()+7),"Due This Week","")</f>
        <v/>
      </c>
      <c r="T25" s="150">
        <f>IF(AND($H25&lt;&gt;"",$M25&lt;=VLOOKUP(Home!$C$7,Lists!$N$2:$O$6,2,FALSE)),$H25&amp;" Task","")</f>
        <v/>
      </c>
      <c r="U25" s="150">
        <f>IF($G25=Home!$E$7,"Fits Current Energy","")</f>
        <v/>
      </c>
      <c r="V25" s="150">
        <f>IF($Q25&lt;&gt;""," • "&amp;$Q25,"")&amp;IF($R25&lt;&gt;""," • "&amp;$R25,"")&amp;IF($S25&lt;&gt;""," • "&amp;$S25,"")&amp;IF($T25&lt;&gt;""," • "&amp;$T25,"")&amp;IF($U25&lt;&gt;""," • "&amp;$U25,"")&amp;" • No Blockers"</f>
        <v/>
      </c>
    </row>
    <row r="26">
      <c r="A26" s="19" t="n"/>
      <c r="B26" s="19" t="n"/>
      <c r="C26" s="19" t="n"/>
      <c r="D26" s="19" t="n"/>
      <c r="E26" s="19" t="n"/>
      <c r="F26" s="19" t="n"/>
      <c r="G26" s="19" t="n"/>
      <c r="H26" s="19" t="n"/>
      <c r="I26" s="19" t="n"/>
      <c r="J26" s="19" t="n"/>
      <c r="K26" s="19" t="n"/>
      <c r="L26" s="35" t="n"/>
      <c r="M26" s="5">
        <f>IF($D26="","",IFERROR(VLOOKUP($H26,Lists!$N$2:$O$6,2,FALSE),0))</f>
        <v/>
      </c>
      <c r="N26" s="5">
        <f>IF($D26="","",IF(OR($E26="Blocked",$E26="Done",$E26="Archive"),-9999,IF(AND($E26="Waiting",SUMPRODUCT((($E$5:$E$500="Next")+($E$5:$E$500="In Progress")+($E$5:$E$500="Captured"))*($D$5:$D$500&lt;&gt;""))&gt;0),-500,VLOOKUP($F26,Lists!$L$2:$M$4,2,FALSE)+IF($E26="In Progress",10,0)+IF(AND($I26&lt;&gt;"",$I26&lt;TODAY()),25,0)+IF(AND($I26&lt;&gt;"",$I26&gt;=TODAY(),$I26&lt;=TODAY()+7),15,0)+IF($H26="",0,IF($M26&lt;=VLOOKUP(Home!$C$7,Lists!$N$2:$O$6,2,FALSE),20,-10))+IF($G26=Home!$E$7,15,IF(Home!$E$7="",0,-5))-ROW()/100000)))</f>
        <v/>
      </c>
      <c r="O26" s="5">
        <f>IF($D26="","",IF($N26&lt;=-500,"Not recommended right now",IF($E26="Waiting","Nothing else actionable right now — Waiting on: "&amp;IF($K26="","this item",$K26),MID($V26,4,9999))))</f>
        <v/>
      </c>
      <c r="P26" s="5">
        <f>IF($D26="","",IF('Task Finder'!$C$6="High Priority",AND($F26="High",$E26&lt;&gt;"Done",$E26&lt;&gt;"Archive"),IF('Task Finder'!$C$6="Due This Week",AND($I26&lt;&gt;"",$I26&gt;=TODAY(),$I26&lt;=TODAY()+7,$E26&lt;&gt;"Done"),IF('Task Finder'!$C$6="Quick Wins (15 mins or less)",AND($M26&lt;=15,$E26&lt;&gt;"Done",$E26&lt;&gt;"Blocked"),IF('Task Finder'!$C$6="Deep Thinking",AND($G26="Deep Thinking",$E26&lt;&gt;"Done"),IF('Task Finder'!$C$6="Processing",AND($G26="Processing",$E26&lt;&gt;"Done"),IF('Task Finder'!$C$6="Blocked",$E26="Blocked",IF('Task Finder'!$C$6="Waiting",$E26="Waiting",IF('Task Finder'!$C$6="Recently Updated",AND($L26&lt;&gt;"",$L26&gt;=TODAY()-7),IF('Task Finder'!$C$6="Keyword",AND('Task Finder'!$C$7&lt;&gt;"",OR(ISNUMBER(SEARCH('Task Finder'!$C$7,$A26)),ISNUMBER(SEARCH('Task Finder'!$C$7,$B26)),ISNUMBER(SEARCH('Task Finder'!$C$7,$C26)),ISNUMBER(SEARCH('Task Finder'!$C$7,$D26)),ISNUMBER(SEARCH('Task Finder'!$C$7,$K26)))),TRUE))))))))))</f>
        <v/>
      </c>
      <c r="Q26" s="150">
        <f>IF($F26="High","High Priority","")</f>
        <v/>
      </c>
      <c r="R26" s="150">
        <f>IF(AND($I26&lt;&gt;"",$I26&lt;TODAY()),"Overdue","")</f>
        <v/>
      </c>
      <c r="S26" s="150">
        <f>IF(AND($I26&lt;&gt;"",$I26&gt;=TODAY(),$I26&lt;=TODAY()+7),"Due This Week","")</f>
        <v/>
      </c>
      <c r="T26" s="150">
        <f>IF(AND($H26&lt;&gt;"",$M26&lt;=VLOOKUP(Home!$C$7,Lists!$N$2:$O$6,2,FALSE)),$H26&amp;" Task","")</f>
        <v/>
      </c>
      <c r="U26" s="150">
        <f>IF($G26=Home!$E$7,"Fits Current Energy","")</f>
        <v/>
      </c>
      <c r="V26" s="150">
        <f>IF($Q26&lt;&gt;""," • "&amp;$Q26,"")&amp;IF($R26&lt;&gt;""," • "&amp;$R26,"")&amp;IF($S26&lt;&gt;""," • "&amp;$S26,"")&amp;IF($T26&lt;&gt;""," • "&amp;$T26,"")&amp;IF($U26&lt;&gt;""," • "&amp;$U26,"")&amp;" • No Blockers"</f>
        <v/>
      </c>
    </row>
    <row r="27">
      <c r="A27" s="19" t="n"/>
      <c r="B27" s="19" t="n"/>
      <c r="C27" s="19" t="n"/>
      <c r="D27" s="19" t="n"/>
      <c r="E27" s="19" t="n"/>
      <c r="F27" s="19" t="n"/>
      <c r="G27" s="19" t="n"/>
      <c r="H27" s="19" t="n"/>
      <c r="I27" s="19" t="n"/>
      <c r="J27" s="19" t="n"/>
      <c r="K27" s="19" t="n"/>
      <c r="L27" s="35" t="n"/>
      <c r="M27" s="5">
        <f>IF($D27="","",IFERROR(VLOOKUP($H27,Lists!$N$2:$O$6,2,FALSE),0))</f>
        <v/>
      </c>
      <c r="N27" s="5">
        <f>IF($D27="","",IF(OR($E27="Blocked",$E27="Done",$E27="Archive"),-9999,IF(AND($E27="Waiting",SUMPRODUCT((($E$5:$E$500="Next")+($E$5:$E$500="In Progress")+($E$5:$E$500="Captured"))*($D$5:$D$500&lt;&gt;""))&gt;0),-500,VLOOKUP($F27,Lists!$L$2:$M$4,2,FALSE)+IF($E27="In Progress",10,0)+IF(AND($I27&lt;&gt;"",$I27&lt;TODAY()),25,0)+IF(AND($I27&lt;&gt;"",$I27&gt;=TODAY(),$I27&lt;=TODAY()+7),15,0)+IF($H27="",0,IF($M27&lt;=VLOOKUP(Home!$C$7,Lists!$N$2:$O$6,2,FALSE),20,-10))+IF($G27=Home!$E$7,15,IF(Home!$E$7="",0,-5))-ROW()/100000)))</f>
        <v/>
      </c>
      <c r="O27" s="5">
        <f>IF($D27="","",IF($N27&lt;=-500,"Not recommended right now",IF($E27="Waiting","Nothing else actionable right now — Waiting on: "&amp;IF($K27="","this item",$K27),MID($V27,4,9999))))</f>
        <v/>
      </c>
      <c r="P27" s="5">
        <f>IF($D27="","",IF('Task Finder'!$C$6="High Priority",AND($F27="High",$E27&lt;&gt;"Done",$E27&lt;&gt;"Archive"),IF('Task Finder'!$C$6="Due This Week",AND($I27&lt;&gt;"",$I27&gt;=TODAY(),$I27&lt;=TODAY()+7,$E27&lt;&gt;"Done"),IF('Task Finder'!$C$6="Quick Wins (15 mins or less)",AND($M27&lt;=15,$E27&lt;&gt;"Done",$E27&lt;&gt;"Blocked"),IF('Task Finder'!$C$6="Deep Thinking",AND($G27="Deep Thinking",$E27&lt;&gt;"Done"),IF('Task Finder'!$C$6="Processing",AND($G27="Processing",$E27&lt;&gt;"Done"),IF('Task Finder'!$C$6="Blocked",$E27="Blocked",IF('Task Finder'!$C$6="Waiting",$E27="Waiting",IF('Task Finder'!$C$6="Recently Updated",AND($L27&lt;&gt;"",$L27&gt;=TODAY()-7),IF('Task Finder'!$C$6="Keyword",AND('Task Finder'!$C$7&lt;&gt;"",OR(ISNUMBER(SEARCH('Task Finder'!$C$7,$A27)),ISNUMBER(SEARCH('Task Finder'!$C$7,$B27)),ISNUMBER(SEARCH('Task Finder'!$C$7,$C27)),ISNUMBER(SEARCH('Task Finder'!$C$7,$D27)),ISNUMBER(SEARCH('Task Finder'!$C$7,$K27)))),TRUE))))))))))</f>
        <v/>
      </c>
      <c r="Q27" s="150">
        <f>IF($F27="High","High Priority","")</f>
        <v/>
      </c>
      <c r="R27" s="150">
        <f>IF(AND($I27&lt;&gt;"",$I27&lt;TODAY()),"Overdue","")</f>
        <v/>
      </c>
      <c r="S27" s="150">
        <f>IF(AND($I27&lt;&gt;"",$I27&gt;=TODAY(),$I27&lt;=TODAY()+7),"Due This Week","")</f>
        <v/>
      </c>
      <c r="T27" s="150">
        <f>IF(AND($H27&lt;&gt;"",$M27&lt;=VLOOKUP(Home!$C$7,Lists!$N$2:$O$6,2,FALSE)),$H27&amp;" Task","")</f>
        <v/>
      </c>
      <c r="U27" s="150">
        <f>IF($G27=Home!$E$7,"Fits Current Energy","")</f>
        <v/>
      </c>
      <c r="V27" s="150">
        <f>IF($Q27&lt;&gt;""," • "&amp;$Q27,"")&amp;IF($R27&lt;&gt;""," • "&amp;$R27,"")&amp;IF($S27&lt;&gt;""," • "&amp;$S27,"")&amp;IF($T27&lt;&gt;""," • "&amp;$T27,"")&amp;IF($U27&lt;&gt;""," • "&amp;$U27,"")&amp;" • No Blockers"</f>
        <v/>
      </c>
    </row>
    <row r="28">
      <c r="A28" s="19" t="n"/>
      <c r="B28" s="19" t="n"/>
      <c r="C28" s="19" t="n"/>
      <c r="D28" s="19" t="n"/>
      <c r="E28" s="19" t="n"/>
      <c r="F28" s="19" t="n"/>
      <c r="G28" s="19" t="n"/>
      <c r="H28" s="19" t="n"/>
      <c r="I28" s="19" t="n"/>
      <c r="J28" s="19" t="n"/>
      <c r="K28" s="19" t="n"/>
      <c r="L28" s="35" t="n"/>
      <c r="M28" s="5">
        <f>IF($D28="","",IFERROR(VLOOKUP($H28,Lists!$N$2:$O$6,2,FALSE),0))</f>
        <v/>
      </c>
      <c r="N28" s="5">
        <f>IF($D28="","",IF(OR($E28="Blocked",$E28="Done",$E28="Archive"),-9999,IF(AND($E28="Waiting",SUMPRODUCT((($E$5:$E$500="Next")+($E$5:$E$500="In Progress")+($E$5:$E$500="Captured"))*($D$5:$D$500&lt;&gt;""))&gt;0),-500,VLOOKUP($F28,Lists!$L$2:$M$4,2,FALSE)+IF($E28="In Progress",10,0)+IF(AND($I28&lt;&gt;"",$I28&lt;TODAY()),25,0)+IF(AND($I28&lt;&gt;"",$I28&gt;=TODAY(),$I28&lt;=TODAY()+7),15,0)+IF($H28="",0,IF($M28&lt;=VLOOKUP(Home!$C$7,Lists!$N$2:$O$6,2,FALSE),20,-10))+IF($G28=Home!$E$7,15,IF(Home!$E$7="",0,-5))-ROW()/100000)))</f>
        <v/>
      </c>
      <c r="O28" s="5">
        <f>IF($D28="","",IF($N28&lt;=-500,"Not recommended right now",IF($E28="Waiting","Nothing else actionable right now — Waiting on: "&amp;IF($K28="","this item",$K28),MID($V28,4,9999))))</f>
        <v/>
      </c>
      <c r="P28" s="5">
        <f>IF($D28="","",IF('Task Finder'!$C$6="High Priority",AND($F28="High",$E28&lt;&gt;"Done",$E28&lt;&gt;"Archive"),IF('Task Finder'!$C$6="Due This Week",AND($I28&lt;&gt;"",$I28&gt;=TODAY(),$I28&lt;=TODAY()+7,$E28&lt;&gt;"Done"),IF('Task Finder'!$C$6="Quick Wins (15 mins or less)",AND($M28&lt;=15,$E28&lt;&gt;"Done",$E28&lt;&gt;"Blocked"),IF('Task Finder'!$C$6="Deep Thinking",AND($G28="Deep Thinking",$E28&lt;&gt;"Done"),IF('Task Finder'!$C$6="Processing",AND($G28="Processing",$E28&lt;&gt;"Done"),IF('Task Finder'!$C$6="Blocked",$E28="Blocked",IF('Task Finder'!$C$6="Waiting",$E28="Waiting",IF('Task Finder'!$C$6="Recently Updated",AND($L28&lt;&gt;"",$L28&gt;=TODAY()-7),IF('Task Finder'!$C$6="Keyword",AND('Task Finder'!$C$7&lt;&gt;"",OR(ISNUMBER(SEARCH('Task Finder'!$C$7,$A28)),ISNUMBER(SEARCH('Task Finder'!$C$7,$B28)),ISNUMBER(SEARCH('Task Finder'!$C$7,$C28)),ISNUMBER(SEARCH('Task Finder'!$C$7,$D28)),ISNUMBER(SEARCH('Task Finder'!$C$7,$K28)))),TRUE))))))))))</f>
        <v/>
      </c>
      <c r="Q28" s="150">
        <f>IF($F28="High","High Priority","")</f>
        <v/>
      </c>
      <c r="R28" s="150">
        <f>IF(AND($I28&lt;&gt;"",$I28&lt;TODAY()),"Overdue","")</f>
        <v/>
      </c>
      <c r="S28" s="150">
        <f>IF(AND($I28&lt;&gt;"",$I28&gt;=TODAY(),$I28&lt;=TODAY()+7),"Due This Week","")</f>
        <v/>
      </c>
      <c r="T28" s="150">
        <f>IF(AND($H28&lt;&gt;"",$M28&lt;=VLOOKUP(Home!$C$7,Lists!$N$2:$O$6,2,FALSE)),$H28&amp;" Task","")</f>
        <v/>
      </c>
      <c r="U28" s="150">
        <f>IF($G28=Home!$E$7,"Fits Current Energy","")</f>
        <v/>
      </c>
      <c r="V28" s="150">
        <f>IF($Q28&lt;&gt;""," • "&amp;$Q28,"")&amp;IF($R28&lt;&gt;""," • "&amp;$R28,"")&amp;IF($S28&lt;&gt;""," • "&amp;$S28,"")&amp;IF($T28&lt;&gt;""," • "&amp;$T28,"")&amp;IF($U28&lt;&gt;""," • "&amp;$U28,"")&amp;" • No Blockers"</f>
        <v/>
      </c>
    </row>
    <row r="29">
      <c r="A29" s="19" t="n"/>
      <c r="B29" s="19" t="n"/>
      <c r="C29" s="19" t="n"/>
      <c r="D29" s="19" t="n"/>
      <c r="E29" s="19" t="n"/>
      <c r="F29" s="19" t="n"/>
      <c r="G29" s="19" t="n"/>
      <c r="H29" s="19" t="n"/>
      <c r="I29" s="19" t="n"/>
      <c r="J29" s="19" t="n"/>
      <c r="K29" s="19" t="n"/>
      <c r="L29" s="35" t="n"/>
      <c r="M29" s="5">
        <f>IF($D29="","",IFERROR(VLOOKUP($H29,Lists!$N$2:$O$6,2,FALSE),0))</f>
        <v/>
      </c>
      <c r="N29" s="5">
        <f>IF($D29="","",IF(OR($E29="Blocked",$E29="Done",$E29="Archive"),-9999,IF(AND($E29="Waiting",SUMPRODUCT((($E$5:$E$500="Next")+($E$5:$E$500="In Progress")+($E$5:$E$500="Captured"))*($D$5:$D$500&lt;&gt;""))&gt;0),-500,VLOOKUP($F29,Lists!$L$2:$M$4,2,FALSE)+IF($E29="In Progress",10,0)+IF(AND($I29&lt;&gt;"",$I29&lt;TODAY()),25,0)+IF(AND($I29&lt;&gt;"",$I29&gt;=TODAY(),$I29&lt;=TODAY()+7),15,0)+IF($H29="",0,IF($M29&lt;=VLOOKUP(Home!$C$7,Lists!$N$2:$O$6,2,FALSE),20,-10))+IF($G29=Home!$E$7,15,IF(Home!$E$7="",0,-5))-ROW()/100000)))</f>
        <v/>
      </c>
      <c r="O29" s="5">
        <f>IF($D29="","",IF($N29&lt;=-500,"Not recommended right now",IF($E29="Waiting","Nothing else actionable right now — Waiting on: "&amp;IF($K29="","this item",$K29),MID($V29,4,9999))))</f>
        <v/>
      </c>
      <c r="P29" s="5">
        <f>IF($D29="","",IF('Task Finder'!$C$6="High Priority",AND($F29="High",$E29&lt;&gt;"Done",$E29&lt;&gt;"Archive"),IF('Task Finder'!$C$6="Due This Week",AND($I29&lt;&gt;"",$I29&gt;=TODAY(),$I29&lt;=TODAY()+7,$E29&lt;&gt;"Done"),IF('Task Finder'!$C$6="Quick Wins (15 mins or less)",AND($M29&lt;=15,$E29&lt;&gt;"Done",$E29&lt;&gt;"Blocked"),IF('Task Finder'!$C$6="Deep Thinking",AND($G29="Deep Thinking",$E29&lt;&gt;"Done"),IF('Task Finder'!$C$6="Processing",AND($G29="Processing",$E29&lt;&gt;"Done"),IF('Task Finder'!$C$6="Blocked",$E29="Blocked",IF('Task Finder'!$C$6="Waiting",$E29="Waiting",IF('Task Finder'!$C$6="Recently Updated",AND($L29&lt;&gt;"",$L29&gt;=TODAY()-7),IF('Task Finder'!$C$6="Keyword",AND('Task Finder'!$C$7&lt;&gt;"",OR(ISNUMBER(SEARCH('Task Finder'!$C$7,$A29)),ISNUMBER(SEARCH('Task Finder'!$C$7,$B29)),ISNUMBER(SEARCH('Task Finder'!$C$7,$C29)),ISNUMBER(SEARCH('Task Finder'!$C$7,$D29)),ISNUMBER(SEARCH('Task Finder'!$C$7,$K29)))),TRUE))))))))))</f>
        <v/>
      </c>
      <c r="Q29" s="150">
        <f>IF($F29="High","High Priority","")</f>
        <v/>
      </c>
      <c r="R29" s="150">
        <f>IF(AND($I29&lt;&gt;"",$I29&lt;TODAY()),"Overdue","")</f>
        <v/>
      </c>
      <c r="S29" s="150">
        <f>IF(AND($I29&lt;&gt;"",$I29&gt;=TODAY(),$I29&lt;=TODAY()+7),"Due This Week","")</f>
        <v/>
      </c>
      <c r="T29" s="150">
        <f>IF(AND($H29&lt;&gt;"",$M29&lt;=VLOOKUP(Home!$C$7,Lists!$N$2:$O$6,2,FALSE)),$H29&amp;" Task","")</f>
        <v/>
      </c>
      <c r="U29" s="150">
        <f>IF($G29=Home!$E$7,"Fits Current Energy","")</f>
        <v/>
      </c>
      <c r="V29" s="150">
        <f>IF($Q29&lt;&gt;""," • "&amp;$Q29,"")&amp;IF($R29&lt;&gt;""," • "&amp;$R29,"")&amp;IF($S29&lt;&gt;""," • "&amp;$S29,"")&amp;IF($T29&lt;&gt;""," • "&amp;$T29,"")&amp;IF($U29&lt;&gt;""," • "&amp;$U29,"")&amp;" • No Blockers"</f>
        <v/>
      </c>
    </row>
    <row r="30">
      <c r="A30" s="19" t="n"/>
      <c r="B30" s="19" t="n"/>
      <c r="C30" s="19" t="n"/>
      <c r="D30" s="19" t="n"/>
      <c r="E30" s="19" t="n"/>
      <c r="F30" s="19" t="n"/>
      <c r="G30" s="19" t="n"/>
      <c r="H30" s="19" t="n"/>
      <c r="I30" s="19" t="n"/>
      <c r="J30" s="19" t="n"/>
      <c r="K30" s="19" t="n"/>
      <c r="L30" s="35" t="n"/>
      <c r="M30" s="5">
        <f>IF($D30="","",IFERROR(VLOOKUP($H30,Lists!$N$2:$O$6,2,FALSE),0))</f>
        <v/>
      </c>
      <c r="N30" s="5">
        <f>IF($D30="","",IF(OR($E30="Blocked",$E30="Done",$E30="Archive"),-9999,IF(AND($E30="Waiting",SUMPRODUCT((($E$5:$E$500="Next")+($E$5:$E$500="In Progress")+($E$5:$E$500="Captured"))*($D$5:$D$500&lt;&gt;""))&gt;0),-500,VLOOKUP($F30,Lists!$L$2:$M$4,2,FALSE)+IF($E30="In Progress",10,0)+IF(AND($I30&lt;&gt;"",$I30&lt;TODAY()),25,0)+IF(AND($I30&lt;&gt;"",$I30&gt;=TODAY(),$I30&lt;=TODAY()+7),15,0)+IF($H30="",0,IF($M30&lt;=VLOOKUP(Home!$C$7,Lists!$N$2:$O$6,2,FALSE),20,-10))+IF($G30=Home!$E$7,15,IF(Home!$E$7="",0,-5))-ROW()/100000)))</f>
        <v/>
      </c>
      <c r="O30" s="5">
        <f>IF($D30="","",IF($N30&lt;=-500,"Not recommended right now",IF($E30="Waiting","Nothing else actionable right now — Waiting on: "&amp;IF($K30="","this item",$K30),MID($V30,4,9999))))</f>
        <v/>
      </c>
      <c r="P30" s="5">
        <f>IF($D30="","",IF('Task Finder'!$C$6="High Priority",AND($F30="High",$E30&lt;&gt;"Done",$E30&lt;&gt;"Archive"),IF('Task Finder'!$C$6="Due This Week",AND($I30&lt;&gt;"",$I30&gt;=TODAY(),$I30&lt;=TODAY()+7,$E30&lt;&gt;"Done"),IF('Task Finder'!$C$6="Quick Wins (15 mins or less)",AND($M30&lt;=15,$E30&lt;&gt;"Done",$E30&lt;&gt;"Blocked"),IF('Task Finder'!$C$6="Deep Thinking",AND($G30="Deep Thinking",$E30&lt;&gt;"Done"),IF('Task Finder'!$C$6="Processing",AND($G30="Processing",$E30&lt;&gt;"Done"),IF('Task Finder'!$C$6="Blocked",$E30="Blocked",IF('Task Finder'!$C$6="Waiting",$E30="Waiting",IF('Task Finder'!$C$6="Recently Updated",AND($L30&lt;&gt;"",$L30&gt;=TODAY()-7),IF('Task Finder'!$C$6="Keyword",AND('Task Finder'!$C$7&lt;&gt;"",OR(ISNUMBER(SEARCH('Task Finder'!$C$7,$A30)),ISNUMBER(SEARCH('Task Finder'!$C$7,$B30)),ISNUMBER(SEARCH('Task Finder'!$C$7,$C30)),ISNUMBER(SEARCH('Task Finder'!$C$7,$D30)),ISNUMBER(SEARCH('Task Finder'!$C$7,$K30)))),TRUE))))))))))</f>
        <v/>
      </c>
      <c r="Q30" s="150">
        <f>IF($F30="High","High Priority","")</f>
        <v/>
      </c>
      <c r="R30" s="150">
        <f>IF(AND($I30&lt;&gt;"",$I30&lt;TODAY()),"Overdue","")</f>
        <v/>
      </c>
      <c r="S30" s="150">
        <f>IF(AND($I30&lt;&gt;"",$I30&gt;=TODAY(),$I30&lt;=TODAY()+7),"Due This Week","")</f>
        <v/>
      </c>
      <c r="T30" s="150">
        <f>IF(AND($H30&lt;&gt;"",$M30&lt;=VLOOKUP(Home!$C$7,Lists!$N$2:$O$6,2,FALSE)),$H30&amp;" Task","")</f>
        <v/>
      </c>
      <c r="U30" s="150">
        <f>IF($G30=Home!$E$7,"Fits Current Energy","")</f>
        <v/>
      </c>
      <c r="V30" s="150">
        <f>IF($Q30&lt;&gt;""," • "&amp;$Q30,"")&amp;IF($R30&lt;&gt;""," • "&amp;$R30,"")&amp;IF($S30&lt;&gt;""," • "&amp;$S30,"")&amp;IF($T30&lt;&gt;""," • "&amp;$T30,"")&amp;IF($U30&lt;&gt;""," • "&amp;$U30,"")&amp;" • No Blockers"</f>
        <v/>
      </c>
    </row>
    <row r="31">
      <c r="A31" s="19" t="n"/>
      <c r="B31" s="19" t="n"/>
      <c r="C31" s="19" t="n"/>
      <c r="D31" s="19" t="n"/>
      <c r="E31" s="19" t="n"/>
      <c r="F31" s="19" t="n"/>
      <c r="G31" s="19" t="n"/>
      <c r="H31" s="19" t="n"/>
      <c r="I31" s="19" t="n"/>
      <c r="J31" s="19" t="n"/>
      <c r="K31" s="19" t="n"/>
      <c r="L31" s="35" t="n"/>
      <c r="M31" s="5">
        <f>IF($D31="","",IFERROR(VLOOKUP($H31,Lists!$N$2:$O$6,2,FALSE),0))</f>
        <v/>
      </c>
      <c r="N31" s="5">
        <f>IF($D31="","",IF(OR($E31="Blocked",$E31="Done",$E31="Archive"),-9999,IF(AND($E31="Waiting",SUMPRODUCT((($E$5:$E$500="Next")+($E$5:$E$500="In Progress")+($E$5:$E$500="Captured"))*($D$5:$D$500&lt;&gt;""))&gt;0),-500,VLOOKUP($F31,Lists!$L$2:$M$4,2,FALSE)+IF($E31="In Progress",10,0)+IF(AND($I31&lt;&gt;"",$I31&lt;TODAY()),25,0)+IF(AND($I31&lt;&gt;"",$I31&gt;=TODAY(),$I31&lt;=TODAY()+7),15,0)+IF($H31="",0,IF($M31&lt;=VLOOKUP(Home!$C$7,Lists!$N$2:$O$6,2,FALSE),20,-10))+IF($G31=Home!$E$7,15,IF(Home!$E$7="",0,-5))-ROW()/100000)))</f>
        <v/>
      </c>
      <c r="O31" s="5">
        <f>IF($D31="","",IF($N31&lt;=-500,"Not recommended right now",IF($E31="Waiting","Nothing else actionable right now — Waiting on: "&amp;IF($K31="","this item",$K31),MID($V31,4,9999))))</f>
        <v/>
      </c>
      <c r="P31" s="5">
        <f>IF($D31="","",IF('Task Finder'!$C$6="High Priority",AND($F31="High",$E31&lt;&gt;"Done",$E31&lt;&gt;"Archive"),IF('Task Finder'!$C$6="Due This Week",AND($I31&lt;&gt;"",$I31&gt;=TODAY(),$I31&lt;=TODAY()+7,$E31&lt;&gt;"Done"),IF('Task Finder'!$C$6="Quick Wins (15 mins or less)",AND($M31&lt;=15,$E31&lt;&gt;"Done",$E31&lt;&gt;"Blocked"),IF('Task Finder'!$C$6="Deep Thinking",AND($G31="Deep Thinking",$E31&lt;&gt;"Done"),IF('Task Finder'!$C$6="Processing",AND($G31="Processing",$E31&lt;&gt;"Done"),IF('Task Finder'!$C$6="Blocked",$E31="Blocked",IF('Task Finder'!$C$6="Waiting",$E31="Waiting",IF('Task Finder'!$C$6="Recently Updated",AND($L31&lt;&gt;"",$L31&gt;=TODAY()-7),IF('Task Finder'!$C$6="Keyword",AND('Task Finder'!$C$7&lt;&gt;"",OR(ISNUMBER(SEARCH('Task Finder'!$C$7,$A31)),ISNUMBER(SEARCH('Task Finder'!$C$7,$B31)),ISNUMBER(SEARCH('Task Finder'!$C$7,$C31)),ISNUMBER(SEARCH('Task Finder'!$C$7,$D31)),ISNUMBER(SEARCH('Task Finder'!$C$7,$K31)))),TRUE))))))))))</f>
        <v/>
      </c>
      <c r="Q31" s="150">
        <f>IF($F31="High","High Priority","")</f>
        <v/>
      </c>
      <c r="R31" s="150">
        <f>IF(AND($I31&lt;&gt;"",$I31&lt;TODAY()),"Overdue","")</f>
        <v/>
      </c>
      <c r="S31" s="150">
        <f>IF(AND($I31&lt;&gt;"",$I31&gt;=TODAY(),$I31&lt;=TODAY()+7),"Due This Week","")</f>
        <v/>
      </c>
      <c r="T31" s="150">
        <f>IF(AND($H31&lt;&gt;"",$M31&lt;=VLOOKUP(Home!$C$7,Lists!$N$2:$O$6,2,FALSE)),$H31&amp;" Task","")</f>
        <v/>
      </c>
      <c r="U31" s="150">
        <f>IF($G31=Home!$E$7,"Fits Current Energy","")</f>
        <v/>
      </c>
      <c r="V31" s="150">
        <f>IF($Q31&lt;&gt;""," • "&amp;$Q31,"")&amp;IF($R31&lt;&gt;""," • "&amp;$R31,"")&amp;IF($S31&lt;&gt;""," • "&amp;$S31,"")&amp;IF($T31&lt;&gt;""," • "&amp;$T31,"")&amp;IF($U31&lt;&gt;""," • "&amp;$U31,"")&amp;" • No Blockers"</f>
        <v/>
      </c>
    </row>
    <row r="32">
      <c r="A32" s="19" t="n"/>
      <c r="B32" s="19" t="n"/>
      <c r="C32" s="19" t="n"/>
      <c r="D32" s="19" t="n"/>
      <c r="E32" s="19" t="n"/>
      <c r="F32" s="19" t="n"/>
      <c r="G32" s="19" t="n"/>
      <c r="H32" s="19" t="n"/>
      <c r="I32" s="19" t="n"/>
      <c r="J32" s="19" t="n"/>
      <c r="K32" s="19" t="n"/>
      <c r="L32" s="35" t="n"/>
      <c r="M32" s="5">
        <f>IF($D32="","",IFERROR(VLOOKUP($H32,Lists!$N$2:$O$6,2,FALSE),0))</f>
        <v/>
      </c>
      <c r="N32" s="5">
        <f>IF($D32="","",IF(OR($E32="Blocked",$E32="Done",$E32="Archive"),-9999,IF(AND($E32="Waiting",SUMPRODUCT((($E$5:$E$500="Next")+($E$5:$E$500="In Progress")+($E$5:$E$500="Captured"))*($D$5:$D$500&lt;&gt;""))&gt;0),-500,VLOOKUP($F32,Lists!$L$2:$M$4,2,FALSE)+IF($E32="In Progress",10,0)+IF(AND($I32&lt;&gt;"",$I32&lt;TODAY()),25,0)+IF(AND($I32&lt;&gt;"",$I32&gt;=TODAY(),$I32&lt;=TODAY()+7),15,0)+IF($H32="",0,IF($M32&lt;=VLOOKUP(Home!$C$7,Lists!$N$2:$O$6,2,FALSE),20,-10))+IF($G32=Home!$E$7,15,IF(Home!$E$7="",0,-5))-ROW()/100000)))</f>
        <v/>
      </c>
      <c r="O32" s="5">
        <f>IF($D32="","",IF($N32&lt;=-500,"Not recommended right now",IF($E32="Waiting","Nothing else actionable right now — Waiting on: "&amp;IF($K32="","this item",$K32),MID($V32,4,9999))))</f>
        <v/>
      </c>
      <c r="P32" s="5">
        <f>IF($D32="","",IF('Task Finder'!$C$6="High Priority",AND($F32="High",$E32&lt;&gt;"Done",$E32&lt;&gt;"Archive"),IF('Task Finder'!$C$6="Due This Week",AND($I32&lt;&gt;"",$I32&gt;=TODAY(),$I32&lt;=TODAY()+7,$E32&lt;&gt;"Done"),IF('Task Finder'!$C$6="Quick Wins (15 mins or less)",AND($M32&lt;=15,$E32&lt;&gt;"Done",$E32&lt;&gt;"Blocked"),IF('Task Finder'!$C$6="Deep Thinking",AND($G32="Deep Thinking",$E32&lt;&gt;"Done"),IF('Task Finder'!$C$6="Processing",AND($G32="Processing",$E32&lt;&gt;"Done"),IF('Task Finder'!$C$6="Blocked",$E32="Blocked",IF('Task Finder'!$C$6="Waiting",$E32="Waiting",IF('Task Finder'!$C$6="Recently Updated",AND($L32&lt;&gt;"",$L32&gt;=TODAY()-7),IF('Task Finder'!$C$6="Keyword",AND('Task Finder'!$C$7&lt;&gt;"",OR(ISNUMBER(SEARCH('Task Finder'!$C$7,$A32)),ISNUMBER(SEARCH('Task Finder'!$C$7,$B32)),ISNUMBER(SEARCH('Task Finder'!$C$7,$C32)),ISNUMBER(SEARCH('Task Finder'!$C$7,$D32)),ISNUMBER(SEARCH('Task Finder'!$C$7,$K32)))),TRUE))))))))))</f>
        <v/>
      </c>
      <c r="Q32" s="150">
        <f>IF($F32="High","High Priority","")</f>
        <v/>
      </c>
      <c r="R32" s="150">
        <f>IF(AND($I32&lt;&gt;"",$I32&lt;TODAY()),"Overdue","")</f>
        <v/>
      </c>
      <c r="S32" s="150">
        <f>IF(AND($I32&lt;&gt;"",$I32&gt;=TODAY(),$I32&lt;=TODAY()+7),"Due This Week","")</f>
        <v/>
      </c>
      <c r="T32" s="150">
        <f>IF(AND($H32&lt;&gt;"",$M32&lt;=VLOOKUP(Home!$C$7,Lists!$N$2:$O$6,2,FALSE)),$H32&amp;" Task","")</f>
        <v/>
      </c>
      <c r="U32" s="150">
        <f>IF($G32=Home!$E$7,"Fits Current Energy","")</f>
        <v/>
      </c>
      <c r="V32" s="150">
        <f>IF($Q32&lt;&gt;""," • "&amp;$Q32,"")&amp;IF($R32&lt;&gt;""," • "&amp;$R32,"")&amp;IF($S32&lt;&gt;""," • "&amp;$S32,"")&amp;IF($T32&lt;&gt;""," • "&amp;$T32,"")&amp;IF($U32&lt;&gt;""," • "&amp;$U32,"")&amp;" • No Blockers"</f>
        <v/>
      </c>
    </row>
    <row r="33">
      <c r="A33" s="19" t="n"/>
      <c r="B33" s="19" t="n"/>
      <c r="C33" s="19" t="n"/>
      <c r="D33" s="19" t="n"/>
      <c r="E33" s="19" t="n"/>
      <c r="F33" s="19" t="n"/>
      <c r="G33" s="19" t="n"/>
      <c r="H33" s="19" t="n"/>
      <c r="I33" s="19" t="n"/>
      <c r="J33" s="19" t="n"/>
      <c r="K33" s="19" t="n"/>
      <c r="L33" s="35" t="n"/>
      <c r="M33" s="5">
        <f>IF($D33="","",IFERROR(VLOOKUP($H33,Lists!$N$2:$O$6,2,FALSE),0))</f>
        <v/>
      </c>
      <c r="N33" s="5">
        <f>IF($D33="","",IF(OR($E33="Blocked",$E33="Done",$E33="Archive"),-9999,IF(AND($E33="Waiting",SUMPRODUCT((($E$5:$E$500="Next")+($E$5:$E$500="In Progress")+($E$5:$E$500="Captured"))*($D$5:$D$500&lt;&gt;""))&gt;0),-500,VLOOKUP($F33,Lists!$L$2:$M$4,2,FALSE)+IF($E33="In Progress",10,0)+IF(AND($I33&lt;&gt;"",$I33&lt;TODAY()),25,0)+IF(AND($I33&lt;&gt;"",$I33&gt;=TODAY(),$I33&lt;=TODAY()+7),15,0)+IF($H33="",0,IF($M33&lt;=VLOOKUP(Home!$C$7,Lists!$N$2:$O$6,2,FALSE),20,-10))+IF($G33=Home!$E$7,15,IF(Home!$E$7="",0,-5))-ROW()/100000)))</f>
        <v/>
      </c>
      <c r="O33" s="5">
        <f>IF($D33="","",IF($N33&lt;=-500,"Not recommended right now",IF($E33="Waiting","Nothing else actionable right now — Waiting on: "&amp;IF($K33="","this item",$K33),MID($V33,4,9999))))</f>
        <v/>
      </c>
      <c r="P33" s="5">
        <f>IF($D33="","",IF('Task Finder'!$C$6="High Priority",AND($F33="High",$E33&lt;&gt;"Done",$E33&lt;&gt;"Archive"),IF('Task Finder'!$C$6="Due This Week",AND($I33&lt;&gt;"",$I33&gt;=TODAY(),$I33&lt;=TODAY()+7,$E33&lt;&gt;"Done"),IF('Task Finder'!$C$6="Quick Wins (15 mins or less)",AND($M33&lt;=15,$E33&lt;&gt;"Done",$E33&lt;&gt;"Blocked"),IF('Task Finder'!$C$6="Deep Thinking",AND($G33="Deep Thinking",$E33&lt;&gt;"Done"),IF('Task Finder'!$C$6="Processing",AND($G33="Processing",$E33&lt;&gt;"Done"),IF('Task Finder'!$C$6="Blocked",$E33="Blocked",IF('Task Finder'!$C$6="Waiting",$E33="Waiting",IF('Task Finder'!$C$6="Recently Updated",AND($L33&lt;&gt;"",$L33&gt;=TODAY()-7),IF('Task Finder'!$C$6="Keyword",AND('Task Finder'!$C$7&lt;&gt;"",OR(ISNUMBER(SEARCH('Task Finder'!$C$7,$A33)),ISNUMBER(SEARCH('Task Finder'!$C$7,$B33)),ISNUMBER(SEARCH('Task Finder'!$C$7,$C33)),ISNUMBER(SEARCH('Task Finder'!$C$7,$D33)),ISNUMBER(SEARCH('Task Finder'!$C$7,$K33)))),TRUE))))))))))</f>
        <v/>
      </c>
      <c r="Q33" s="150">
        <f>IF($F33="High","High Priority","")</f>
        <v/>
      </c>
      <c r="R33" s="150">
        <f>IF(AND($I33&lt;&gt;"",$I33&lt;TODAY()),"Overdue","")</f>
        <v/>
      </c>
      <c r="S33" s="150">
        <f>IF(AND($I33&lt;&gt;"",$I33&gt;=TODAY(),$I33&lt;=TODAY()+7),"Due This Week","")</f>
        <v/>
      </c>
      <c r="T33" s="150">
        <f>IF(AND($H33&lt;&gt;"",$M33&lt;=VLOOKUP(Home!$C$7,Lists!$N$2:$O$6,2,FALSE)),$H33&amp;" Task","")</f>
        <v/>
      </c>
      <c r="U33" s="150">
        <f>IF($G33=Home!$E$7,"Fits Current Energy","")</f>
        <v/>
      </c>
      <c r="V33" s="150">
        <f>IF($Q33&lt;&gt;""," • "&amp;$Q33,"")&amp;IF($R33&lt;&gt;""," • "&amp;$R33,"")&amp;IF($S33&lt;&gt;""," • "&amp;$S33,"")&amp;IF($T33&lt;&gt;""," • "&amp;$T33,"")&amp;IF($U33&lt;&gt;""," • "&amp;$U33,"")&amp;" • No Blockers"</f>
        <v/>
      </c>
    </row>
    <row r="34">
      <c r="A34" s="19" t="n"/>
      <c r="B34" s="19" t="n"/>
      <c r="C34" s="19" t="n"/>
      <c r="D34" s="19" t="n"/>
      <c r="E34" s="19" t="n"/>
      <c r="F34" s="19" t="n"/>
      <c r="G34" s="19" t="n"/>
      <c r="H34" s="19" t="n"/>
      <c r="I34" s="19" t="n"/>
      <c r="J34" s="19" t="n"/>
      <c r="K34" s="19" t="n"/>
      <c r="L34" s="35" t="n"/>
      <c r="M34" s="5">
        <f>IF($D34="","",IFERROR(VLOOKUP($H34,Lists!$N$2:$O$6,2,FALSE),0))</f>
        <v/>
      </c>
      <c r="N34" s="5">
        <f>IF($D34="","",IF(OR($E34="Blocked",$E34="Done",$E34="Archive"),-9999,IF(AND($E34="Waiting",SUMPRODUCT((($E$5:$E$500="Next")+($E$5:$E$500="In Progress")+($E$5:$E$500="Captured"))*($D$5:$D$500&lt;&gt;""))&gt;0),-500,VLOOKUP($F34,Lists!$L$2:$M$4,2,FALSE)+IF($E34="In Progress",10,0)+IF(AND($I34&lt;&gt;"",$I34&lt;TODAY()),25,0)+IF(AND($I34&lt;&gt;"",$I34&gt;=TODAY(),$I34&lt;=TODAY()+7),15,0)+IF($H34="",0,IF($M34&lt;=VLOOKUP(Home!$C$7,Lists!$N$2:$O$6,2,FALSE),20,-10))+IF($G34=Home!$E$7,15,IF(Home!$E$7="",0,-5))-ROW()/100000)))</f>
        <v/>
      </c>
      <c r="O34" s="5">
        <f>IF($D34="","",IF($N34&lt;=-500,"Not recommended right now",IF($E34="Waiting","Nothing else actionable right now — Waiting on: "&amp;IF($K34="","this item",$K34),MID($V34,4,9999))))</f>
        <v/>
      </c>
      <c r="P34" s="5">
        <f>IF($D34="","",IF('Task Finder'!$C$6="High Priority",AND($F34="High",$E34&lt;&gt;"Done",$E34&lt;&gt;"Archive"),IF('Task Finder'!$C$6="Due This Week",AND($I34&lt;&gt;"",$I34&gt;=TODAY(),$I34&lt;=TODAY()+7,$E34&lt;&gt;"Done"),IF('Task Finder'!$C$6="Quick Wins (15 mins or less)",AND($M34&lt;=15,$E34&lt;&gt;"Done",$E34&lt;&gt;"Blocked"),IF('Task Finder'!$C$6="Deep Thinking",AND($G34="Deep Thinking",$E34&lt;&gt;"Done"),IF('Task Finder'!$C$6="Processing",AND($G34="Processing",$E34&lt;&gt;"Done"),IF('Task Finder'!$C$6="Blocked",$E34="Blocked",IF('Task Finder'!$C$6="Waiting",$E34="Waiting",IF('Task Finder'!$C$6="Recently Updated",AND($L34&lt;&gt;"",$L34&gt;=TODAY()-7),IF('Task Finder'!$C$6="Keyword",AND('Task Finder'!$C$7&lt;&gt;"",OR(ISNUMBER(SEARCH('Task Finder'!$C$7,$A34)),ISNUMBER(SEARCH('Task Finder'!$C$7,$B34)),ISNUMBER(SEARCH('Task Finder'!$C$7,$C34)),ISNUMBER(SEARCH('Task Finder'!$C$7,$D34)),ISNUMBER(SEARCH('Task Finder'!$C$7,$K34)))),TRUE))))))))))</f>
        <v/>
      </c>
      <c r="Q34" s="150">
        <f>IF($F34="High","High Priority","")</f>
        <v/>
      </c>
      <c r="R34" s="150">
        <f>IF(AND($I34&lt;&gt;"",$I34&lt;TODAY()),"Overdue","")</f>
        <v/>
      </c>
      <c r="S34" s="150">
        <f>IF(AND($I34&lt;&gt;"",$I34&gt;=TODAY(),$I34&lt;=TODAY()+7),"Due This Week","")</f>
        <v/>
      </c>
      <c r="T34" s="150">
        <f>IF(AND($H34&lt;&gt;"",$M34&lt;=VLOOKUP(Home!$C$7,Lists!$N$2:$O$6,2,FALSE)),$H34&amp;" Task","")</f>
        <v/>
      </c>
      <c r="U34" s="150">
        <f>IF($G34=Home!$E$7,"Fits Current Energy","")</f>
        <v/>
      </c>
      <c r="V34" s="150">
        <f>IF($Q34&lt;&gt;""," • "&amp;$Q34,"")&amp;IF($R34&lt;&gt;""," • "&amp;$R34,"")&amp;IF($S34&lt;&gt;""," • "&amp;$S34,"")&amp;IF($T34&lt;&gt;""," • "&amp;$T34,"")&amp;IF($U34&lt;&gt;""," • "&amp;$U34,"")&amp;" • No Blockers"</f>
        <v/>
      </c>
    </row>
    <row r="35">
      <c r="A35" s="19" t="n"/>
      <c r="B35" s="19" t="n"/>
      <c r="C35" s="19" t="n"/>
      <c r="D35" s="19" t="n"/>
      <c r="E35" s="19" t="n"/>
      <c r="F35" s="19" t="n"/>
      <c r="G35" s="19" t="n"/>
      <c r="H35" s="19" t="n"/>
      <c r="I35" s="19" t="n"/>
      <c r="J35" s="19" t="n"/>
      <c r="K35" s="19" t="n"/>
      <c r="L35" s="35" t="n"/>
      <c r="M35" s="5">
        <f>IF($D35="","",IFERROR(VLOOKUP($H35,Lists!$N$2:$O$6,2,FALSE),0))</f>
        <v/>
      </c>
      <c r="N35" s="5">
        <f>IF($D35="","",IF(OR($E35="Blocked",$E35="Done",$E35="Archive"),-9999,IF(AND($E35="Waiting",SUMPRODUCT((($E$5:$E$500="Next")+($E$5:$E$500="In Progress")+($E$5:$E$500="Captured"))*($D$5:$D$500&lt;&gt;""))&gt;0),-500,VLOOKUP($F35,Lists!$L$2:$M$4,2,FALSE)+IF($E35="In Progress",10,0)+IF(AND($I35&lt;&gt;"",$I35&lt;TODAY()),25,0)+IF(AND($I35&lt;&gt;"",$I35&gt;=TODAY(),$I35&lt;=TODAY()+7),15,0)+IF($H35="",0,IF($M35&lt;=VLOOKUP(Home!$C$7,Lists!$N$2:$O$6,2,FALSE),20,-10))+IF($G35=Home!$E$7,15,IF(Home!$E$7="",0,-5))-ROW()/100000)))</f>
        <v/>
      </c>
      <c r="O35" s="5">
        <f>IF($D35="","",IF($N35&lt;=-500,"Not recommended right now",IF($E35="Waiting","Nothing else actionable right now — Waiting on: "&amp;IF($K35="","this item",$K35),MID($V35,4,9999))))</f>
        <v/>
      </c>
      <c r="P35" s="5">
        <f>IF($D35="","",IF('Task Finder'!$C$6="High Priority",AND($F35="High",$E35&lt;&gt;"Done",$E35&lt;&gt;"Archive"),IF('Task Finder'!$C$6="Due This Week",AND($I35&lt;&gt;"",$I35&gt;=TODAY(),$I35&lt;=TODAY()+7,$E35&lt;&gt;"Done"),IF('Task Finder'!$C$6="Quick Wins (15 mins or less)",AND($M35&lt;=15,$E35&lt;&gt;"Done",$E35&lt;&gt;"Blocked"),IF('Task Finder'!$C$6="Deep Thinking",AND($G35="Deep Thinking",$E35&lt;&gt;"Done"),IF('Task Finder'!$C$6="Processing",AND($G35="Processing",$E35&lt;&gt;"Done"),IF('Task Finder'!$C$6="Blocked",$E35="Blocked",IF('Task Finder'!$C$6="Waiting",$E35="Waiting",IF('Task Finder'!$C$6="Recently Updated",AND($L35&lt;&gt;"",$L35&gt;=TODAY()-7),IF('Task Finder'!$C$6="Keyword",AND('Task Finder'!$C$7&lt;&gt;"",OR(ISNUMBER(SEARCH('Task Finder'!$C$7,$A35)),ISNUMBER(SEARCH('Task Finder'!$C$7,$B35)),ISNUMBER(SEARCH('Task Finder'!$C$7,$C35)),ISNUMBER(SEARCH('Task Finder'!$C$7,$D35)),ISNUMBER(SEARCH('Task Finder'!$C$7,$K35)))),TRUE))))))))))</f>
        <v/>
      </c>
      <c r="Q35" s="150">
        <f>IF($F35="High","High Priority","")</f>
        <v/>
      </c>
      <c r="R35" s="150">
        <f>IF(AND($I35&lt;&gt;"",$I35&lt;TODAY()),"Overdue","")</f>
        <v/>
      </c>
      <c r="S35" s="150">
        <f>IF(AND($I35&lt;&gt;"",$I35&gt;=TODAY(),$I35&lt;=TODAY()+7),"Due This Week","")</f>
        <v/>
      </c>
      <c r="T35" s="150">
        <f>IF(AND($H35&lt;&gt;"",$M35&lt;=VLOOKUP(Home!$C$7,Lists!$N$2:$O$6,2,FALSE)),$H35&amp;" Task","")</f>
        <v/>
      </c>
      <c r="U35" s="150">
        <f>IF($G35=Home!$E$7,"Fits Current Energy","")</f>
        <v/>
      </c>
      <c r="V35" s="150">
        <f>IF($Q35&lt;&gt;""," • "&amp;$Q35,"")&amp;IF($R35&lt;&gt;""," • "&amp;$R35,"")&amp;IF($S35&lt;&gt;""," • "&amp;$S35,"")&amp;IF($T35&lt;&gt;""," • "&amp;$T35,"")&amp;IF($U35&lt;&gt;""," • "&amp;$U35,"")&amp;" • No Blockers"</f>
        <v/>
      </c>
    </row>
    <row r="36">
      <c r="A36" s="19" t="n"/>
      <c r="B36" s="19" t="n"/>
      <c r="C36" s="19" t="n"/>
      <c r="D36" s="19" t="n"/>
      <c r="E36" s="19" t="n"/>
      <c r="F36" s="19" t="n"/>
      <c r="G36" s="19" t="n"/>
      <c r="H36" s="19" t="n"/>
      <c r="I36" s="19" t="n"/>
      <c r="J36" s="19" t="n"/>
      <c r="K36" s="19" t="n"/>
      <c r="L36" s="35" t="n"/>
      <c r="M36" s="5">
        <f>IF($D36="","",IFERROR(VLOOKUP($H36,Lists!$N$2:$O$6,2,FALSE),0))</f>
        <v/>
      </c>
      <c r="N36" s="5">
        <f>IF($D36="","",IF(OR($E36="Blocked",$E36="Done",$E36="Archive"),-9999,IF(AND($E36="Waiting",SUMPRODUCT((($E$5:$E$500="Next")+($E$5:$E$500="In Progress")+($E$5:$E$500="Captured"))*($D$5:$D$500&lt;&gt;""))&gt;0),-500,VLOOKUP($F36,Lists!$L$2:$M$4,2,FALSE)+IF($E36="In Progress",10,0)+IF(AND($I36&lt;&gt;"",$I36&lt;TODAY()),25,0)+IF(AND($I36&lt;&gt;"",$I36&gt;=TODAY(),$I36&lt;=TODAY()+7),15,0)+IF($H36="",0,IF($M36&lt;=VLOOKUP(Home!$C$7,Lists!$N$2:$O$6,2,FALSE),20,-10))+IF($G36=Home!$E$7,15,IF(Home!$E$7="",0,-5))-ROW()/100000)))</f>
        <v/>
      </c>
      <c r="O36" s="5">
        <f>IF($D36="","",IF($N36&lt;=-500,"Not recommended right now",IF($E36="Waiting","Nothing else actionable right now — Waiting on: "&amp;IF($K36="","this item",$K36),MID($V36,4,9999))))</f>
        <v/>
      </c>
      <c r="P36" s="5">
        <f>IF($D36="","",IF('Task Finder'!$C$6="High Priority",AND($F36="High",$E36&lt;&gt;"Done",$E36&lt;&gt;"Archive"),IF('Task Finder'!$C$6="Due This Week",AND($I36&lt;&gt;"",$I36&gt;=TODAY(),$I36&lt;=TODAY()+7,$E36&lt;&gt;"Done"),IF('Task Finder'!$C$6="Quick Wins (15 mins or less)",AND($M36&lt;=15,$E36&lt;&gt;"Done",$E36&lt;&gt;"Blocked"),IF('Task Finder'!$C$6="Deep Thinking",AND($G36="Deep Thinking",$E36&lt;&gt;"Done"),IF('Task Finder'!$C$6="Processing",AND($G36="Processing",$E36&lt;&gt;"Done"),IF('Task Finder'!$C$6="Blocked",$E36="Blocked",IF('Task Finder'!$C$6="Waiting",$E36="Waiting",IF('Task Finder'!$C$6="Recently Updated",AND($L36&lt;&gt;"",$L36&gt;=TODAY()-7),IF('Task Finder'!$C$6="Keyword",AND('Task Finder'!$C$7&lt;&gt;"",OR(ISNUMBER(SEARCH('Task Finder'!$C$7,$A36)),ISNUMBER(SEARCH('Task Finder'!$C$7,$B36)),ISNUMBER(SEARCH('Task Finder'!$C$7,$C36)),ISNUMBER(SEARCH('Task Finder'!$C$7,$D36)),ISNUMBER(SEARCH('Task Finder'!$C$7,$K36)))),TRUE))))))))))</f>
        <v/>
      </c>
      <c r="Q36" s="150">
        <f>IF($F36="High","High Priority","")</f>
        <v/>
      </c>
      <c r="R36" s="150">
        <f>IF(AND($I36&lt;&gt;"",$I36&lt;TODAY()),"Overdue","")</f>
        <v/>
      </c>
      <c r="S36" s="150">
        <f>IF(AND($I36&lt;&gt;"",$I36&gt;=TODAY(),$I36&lt;=TODAY()+7),"Due This Week","")</f>
        <v/>
      </c>
      <c r="T36" s="150">
        <f>IF(AND($H36&lt;&gt;"",$M36&lt;=VLOOKUP(Home!$C$7,Lists!$N$2:$O$6,2,FALSE)),$H36&amp;" Task","")</f>
        <v/>
      </c>
      <c r="U36" s="150">
        <f>IF($G36=Home!$E$7,"Fits Current Energy","")</f>
        <v/>
      </c>
      <c r="V36" s="150">
        <f>IF($Q36&lt;&gt;""," • "&amp;$Q36,"")&amp;IF($R36&lt;&gt;""," • "&amp;$R36,"")&amp;IF($S36&lt;&gt;""," • "&amp;$S36,"")&amp;IF($T36&lt;&gt;""," • "&amp;$T36,"")&amp;IF($U36&lt;&gt;""," • "&amp;$U36,"")&amp;" • No Blockers"</f>
        <v/>
      </c>
    </row>
    <row r="37">
      <c r="A37" s="19" t="n"/>
      <c r="B37" s="19" t="n"/>
      <c r="C37" s="19" t="n"/>
      <c r="D37" s="19" t="n"/>
      <c r="E37" s="19" t="n"/>
      <c r="F37" s="19" t="n"/>
      <c r="G37" s="19" t="n"/>
      <c r="H37" s="19" t="n"/>
      <c r="I37" s="19" t="n"/>
      <c r="J37" s="19" t="n"/>
      <c r="K37" s="19" t="n"/>
      <c r="L37" s="35" t="n"/>
      <c r="M37" s="5">
        <f>IF($D37="","",IFERROR(VLOOKUP($H37,Lists!$N$2:$O$6,2,FALSE),0))</f>
        <v/>
      </c>
      <c r="N37" s="5">
        <f>IF($D37="","",IF(OR($E37="Blocked",$E37="Done",$E37="Archive"),-9999,IF(AND($E37="Waiting",SUMPRODUCT((($E$5:$E$500="Next")+($E$5:$E$500="In Progress")+($E$5:$E$500="Captured"))*($D$5:$D$500&lt;&gt;""))&gt;0),-500,VLOOKUP($F37,Lists!$L$2:$M$4,2,FALSE)+IF($E37="In Progress",10,0)+IF(AND($I37&lt;&gt;"",$I37&lt;TODAY()),25,0)+IF(AND($I37&lt;&gt;"",$I37&gt;=TODAY(),$I37&lt;=TODAY()+7),15,0)+IF($H37="",0,IF($M37&lt;=VLOOKUP(Home!$C$7,Lists!$N$2:$O$6,2,FALSE),20,-10))+IF($G37=Home!$E$7,15,IF(Home!$E$7="",0,-5))-ROW()/100000)))</f>
        <v/>
      </c>
      <c r="O37" s="5">
        <f>IF($D37="","",IF($N37&lt;=-500,"Not recommended right now",IF($E37="Waiting","Nothing else actionable right now — Waiting on: "&amp;IF($K37="","this item",$K37),MID($V37,4,9999))))</f>
        <v/>
      </c>
      <c r="P37" s="5">
        <f>IF($D37="","",IF('Task Finder'!$C$6="High Priority",AND($F37="High",$E37&lt;&gt;"Done",$E37&lt;&gt;"Archive"),IF('Task Finder'!$C$6="Due This Week",AND($I37&lt;&gt;"",$I37&gt;=TODAY(),$I37&lt;=TODAY()+7,$E37&lt;&gt;"Done"),IF('Task Finder'!$C$6="Quick Wins (15 mins or less)",AND($M37&lt;=15,$E37&lt;&gt;"Done",$E37&lt;&gt;"Blocked"),IF('Task Finder'!$C$6="Deep Thinking",AND($G37="Deep Thinking",$E37&lt;&gt;"Done"),IF('Task Finder'!$C$6="Processing",AND($G37="Processing",$E37&lt;&gt;"Done"),IF('Task Finder'!$C$6="Blocked",$E37="Blocked",IF('Task Finder'!$C$6="Waiting",$E37="Waiting",IF('Task Finder'!$C$6="Recently Updated",AND($L37&lt;&gt;"",$L37&gt;=TODAY()-7),IF('Task Finder'!$C$6="Keyword",AND('Task Finder'!$C$7&lt;&gt;"",OR(ISNUMBER(SEARCH('Task Finder'!$C$7,$A37)),ISNUMBER(SEARCH('Task Finder'!$C$7,$B37)),ISNUMBER(SEARCH('Task Finder'!$C$7,$C37)),ISNUMBER(SEARCH('Task Finder'!$C$7,$D37)),ISNUMBER(SEARCH('Task Finder'!$C$7,$K37)))),TRUE))))))))))</f>
        <v/>
      </c>
      <c r="Q37" s="150">
        <f>IF($F37="High","High Priority","")</f>
        <v/>
      </c>
      <c r="R37" s="150">
        <f>IF(AND($I37&lt;&gt;"",$I37&lt;TODAY()),"Overdue","")</f>
        <v/>
      </c>
      <c r="S37" s="150">
        <f>IF(AND($I37&lt;&gt;"",$I37&gt;=TODAY(),$I37&lt;=TODAY()+7),"Due This Week","")</f>
        <v/>
      </c>
      <c r="T37" s="150">
        <f>IF(AND($H37&lt;&gt;"",$M37&lt;=VLOOKUP(Home!$C$7,Lists!$N$2:$O$6,2,FALSE)),$H37&amp;" Task","")</f>
        <v/>
      </c>
      <c r="U37" s="150">
        <f>IF($G37=Home!$E$7,"Fits Current Energy","")</f>
        <v/>
      </c>
      <c r="V37" s="150">
        <f>IF($Q37&lt;&gt;""," • "&amp;$Q37,"")&amp;IF($R37&lt;&gt;""," • "&amp;$R37,"")&amp;IF($S37&lt;&gt;""," • "&amp;$S37,"")&amp;IF($T37&lt;&gt;""," • "&amp;$T37,"")&amp;IF($U37&lt;&gt;""," • "&amp;$U37,"")&amp;" • No Blockers"</f>
        <v/>
      </c>
    </row>
    <row r="38">
      <c r="A38" s="19" t="n"/>
      <c r="B38" s="19" t="n"/>
      <c r="C38" s="19" t="n"/>
      <c r="D38" s="19" t="n"/>
      <c r="E38" s="19" t="n"/>
      <c r="F38" s="19" t="n"/>
      <c r="G38" s="19" t="n"/>
      <c r="H38" s="19" t="n"/>
      <c r="I38" s="19" t="n"/>
      <c r="J38" s="19" t="n"/>
      <c r="K38" s="19" t="n"/>
      <c r="L38" s="35" t="n"/>
      <c r="M38" s="5">
        <f>IF($D38="","",IFERROR(VLOOKUP($H38,Lists!$N$2:$O$6,2,FALSE),0))</f>
        <v/>
      </c>
      <c r="N38" s="5">
        <f>IF($D38="","",IF(OR($E38="Blocked",$E38="Done",$E38="Archive"),-9999,IF(AND($E38="Waiting",SUMPRODUCT((($E$5:$E$500="Next")+($E$5:$E$500="In Progress")+($E$5:$E$500="Captured"))*($D$5:$D$500&lt;&gt;""))&gt;0),-500,VLOOKUP($F38,Lists!$L$2:$M$4,2,FALSE)+IF($E38="In Progress",10,0)+IF(AND($I38&lt;&gt;"",$I38&lt;TODAY()),25,0)+IF(AND($I38&lt;&gt;"",$I38&gt;=TODAY(),$I38&lt;=TODAY()+7),15,0)+IF($H38="",0,IF($M38&lt;=VLOOKUP(Home!$C$7,Lists!$N$2:$O$6,2,FALSE),20,-10))+IF($G38=Home!$E$7,15,IF(Home!$E$7="",0,-5))-ROW()/100000)))</f>
        <v/>
      </c>
      <c r="O38" s="5">
        <f>IF($D38="","",IF($N38&lt;=-500,"Not recommended right now",IF($E38="Waiting","Nothing else actionable right now — Waiting on: "&amp;IF($K38="","this item",$K38),MID($V38,4,9999))))</f>
        <v/>
      </c>
      <c r="P38" s="5">
        <f>IF($D38="","",IF('Task Finder'!$C$6="High Priority",AND($F38="High",$E38&lt;&gt;"Done",$E38&lt;&gt;"Archive"),IF('Task Finder'!$C$6="Due This Week",AND($I38&lt;&gt;"",$I38&gt;=TODAY(),$I38&lt;=TODAY()+7,$E38&lt;&gt;"Done"),IF('Task Finder'!$C$6="Quick Wins (15 mins or less)",AND($M38&lt;=15,$E38&lt;&gt;"Done",$E38&lt;&gt;"Blocked"),IF('Task Finder'!$C$6="Deep Thinking",AND($G38="Deep Thinking",$E38&lt;&gt;"Done"),IF('Task Finder'!$C$6="Processing",AND($G38="Processing",$E38&lt;&gt;"Done"),IF('Task Finder'!$C$6="Blocked",$E38="Blocked",IF('Task Finder'!$C$6="Waiting",$E38="Waiting",IF('Task Finder'!$C$6="Recently Updated",AND($L38&lt;&gt;"",$L38&gt;=TODAY()-7),IF('Task Finder'!$C$6="Keyword",AND('Task Finder'!$C$7&lt;&gt;"",OR(ISNUMBER(SEARCH('Task Finder'!$C$7,$A38)),ISNUMBER(SEARCH('Task Finder'!$C$7,$B38)),ISNUMBER(SEARCH('Task Finder'!$C$7,$C38)),ISNUMBER(SEARCH('Task Finder'!$C$7,$D38)),ISNUMBER(SEARCH('Task Finder'!$C$7,$K38)))),TRUE))))))))))</f>
        <v/>
      </c>
      <c r="Q38" s="150">
        <f>IF($F38="High","High Priority","")</f>
        <v/>
      </c>
      <c r="R38" s="150">
        <f>IF(AND($I38&lt;&gt;"",$I38&lt;TODAY()),"Overdue","")</f>
        <v/>
      </c>
      <c r="S38" s="150">
        <f>IF(AND($I38&lt;&gt;"",$I38&gt;=TODAY(),$I38&lt;=TODAY()+7),"Due This Week","")</f>
        <v/>
      </c>
      <c r="T38" s="150">
        <f>IF(AND($H38&lt;&gt;"",$M38&lt;=VLOOKUP(Home!$C$7,Lists!$N$2:$O$6,2,FALSE)),$H38&amp;" Task","")</f>
        <v/>
      </c>
      <c r="U38" s="150">
        <f>IF($G38=Home!$E$7,"Fits Current Energy","")</f>
        <v/>
      </c>
      <c r="V38" s="150">
        <f>IF($Q38&lt;&gt;""," • "&amp;$Q38,"")&amp;IF($R38&lt;&gt;""," • "&amp;$R38,"")&amp;IF($S38&lt;&gt;""," • "&amp;$S38,"")&amp;IF($T38&lt;&gt;""," • "&amp;$T38,"")&amp;IF($U38&lt;&gt;""," • "&amp;$U38,"")&amp;" • No Blockers"</f>
        <v/>
      </c>
    </row>
    <row r="39">
      <c r="A39" s="19" t="n"/>
      <c r="B39" s="19" t="n"/>
      <c r="C39" s="19" t="n"/>
      <c r="D39" s="19" t="n"/>
      <c r="E39" s="19" t="n"/>
      <c r="F39" s="19" t="n"/>
      <c r="G39" s="19" t="n"/>
      <c r="H39" s="19" t="n"/>
      <c r="I39" s="19" t="n"/>
      <c r="J39" s="19" t="n"/>
      <c r="K39" s="19" t="n"/>
      <c r="L39" s="35" t="n"/>
      <c r="M39" s="5">
        <f>IF($D39="","",IFERROR(VLOOKUP($H39,Lists!$N$2:$O$6,2,FALSE),0))</f>
        <v/>
      </c>
      <c r="N39" s="5">
        <f>IF($D39="","",IF(OR($E39="Blocked",$E39="Done",$E39="Archive"),-9999,IF(AND($E39="Waiting",SUMPRODUCT((($E$5:$E$500="Next")+($E$5:$E$500="In Progress")+($E$5:$E$500="Captured"))*($D$5:$D$500&lt;&gt;""))&gt;0),-500,VLOOKUP($F39,Lists!$L$2:$M$4,2,FALSE)+IF($E39="In Progress",10,0)+IF(AND($I39&lt;&gt;"",$I39&lt;TODAY()),25,0)+IF(AND($I39&lt;&gt;"",$I39&gt;=TODAY(),$I39&lt;=TODAY()+7),15,0)+IF($H39="",0,IF($M39&lt;=VLOOKUP(Home!$C$7,Lists!$N$2:$O$6,2,FALSE),20,-10))+IF($G39=Home!$E$7,15,IF(Home!$E$7="",0,-5))-ROW()/100000)))</f>
        <v/>
      </c>
      <c r="O39" s="5">
        <f>IF($D39="","",IF($N39&lt;=-500,"Not recommended right now",IF($E39="Waiting","Nothing else actionable right now — Waiting on: "&amp;IF($K39="","this item",$K39),MID($V39,4,9999))))</f>
        <v/>
      </c>
      <c r="P39" s="5">
        <f>IF($D39="","",IF('Task Finder'!$C$6="High Priority",AND($F39="High",$E39&lt;&gt;"Done",$E39&lt;&gt;"Archive"),IF('Task Finder'!$C$6="Due This Week",AND($I39&lt;&gt;"",$I39&gt;=TODAY(),$I39&lt;=TODAY()+7,$E39&lt;&gt;"Done"),IF('Task Finder'!$C$6="Quick Wins (15 mins or less)",AND($M39&lt;=15,$E39&lt;&gt;"Done",$E39&lt;&gt;"Blocked"),IF('Task Finder'!$C$6="Deep Thinking",AND($G39="Deep Thinking",$E39&lt;&gt;"Done"),IF('Task Finder'!$C$6="Processing",AND($G39="Processing",$E39&lt;&gt;"Done"),IF('Task Finder'!$C$6="Blocked",$E39="Blocked",IF('Task Finder'!$C$6="Waiting",$E39="Waiting",IF('Task Finder'!$C$6="Recently Updated",AND($L39&lt;&gt;"",$L39&gt;=TODAY()-7),IF('Task Finder'!$C$6="Keyword",AND('Task Finder'!$C$7&lt;&gt;"",OR(ISNUMBER(SEARCH('Task Finder'!$C$7,$A39)),ISNUMBER(SEARCH('Task Finder'!$C$7,$B39)),ISNUMBER(SEARCH('Task Finder'!$C$7,$C39)),ISNUMBER(SEARCH('Task Finder'!$C$7,$D39)),ISNUMBER(SEARCH('Task Finder'!$C$7,$K39)))),TRUE))))))))))</f>
        <v/>
      </c>
      <c r="Q39" s="150">
        <f>IF($F39="High","High Priority","")</f>
        <v/>
      </c>
      <c r="R39" s="150">
        <f>IF(AND($I39&lt;&gt;"",$I39&lt;TODAY()),"Overdue","")</f>
        <v/>
      </c>
      <c r="S39" s="150">
        <f>IF(AND($I39&lt;&gt;"",$I39&gt;=TODAY(),$I39&lt;=TODAY()+7),"Due This Week","")</f>
        <v/>
      </c>
      <c r="T39" s="150">
        <f>IF(AND($H39&lt;&gt;"",$M39&lt;=VLOOKUP(Home!$C$7,Lists!$N$2:$O$6,2,FALSE)),$H39&amp;" Task","")</f>
        <v/>
      </c>
      <c r="U39" s="150">
        <f>IF($G39=Home!$E$7,"Fits Current Energy","")</f>
        <v/>
      </c>
      <c r="V39" s="150">
        <f>IF($Q39&lt;&gt;""," • "&amp;$Q39,"")&amp;IF($R39&lt;&gt;""," • "&amp;$R39,"")&amp;IF($S39&lt;&gt;""," • "&amp;$S39,"")&amp;IF($T39&lt;&gt;""," • "&amp;$T39,"")&amp;IF($U39&lt;&gt;""," • "&amp;$U39,"")&amp;" • No Blockers"</f>
        <v/>
      </c>
    </row>
    <row r="40">
      <c r="A40" s="19" t="n"/>
      <c r="B40" s="19" t="n"/>
      <c r="C40" s="19" t="n"/>
      <c r="D40" s="19" t="n"/>
      <c r="E40" s="19" t="n"/>
      <c r="F40" s="19" t="n"/>
      <c r="G40" s="19" t="n"/>
      <c r="H40" s="19" t="n"/>
      <c r="I40" s="19" t="n"/>
      <c r="J40" s="19" t="n"/>
      <c r="K40" s="19" t="n"/>
      <c r="L40" s="35" t="n"/>
      <c r="M40" s="5">
        <f>IF($D40="","",IFERROR(VLOOKUP($H40,Lists!$N$2:$O$6,2,FALSE),0))</f>
        <v/>
      </c>
      <c r="N40" s="5">
        <f>IF($D40="","",IF(OR($E40="Blocked",$E40="Done",$E40="Archive"),-9999,IF(AND($E40="Waiting",SUMPRODUCT((($E$5:$E$500="Next")+($E$5:$E$500="In Progress")+($E$5:$E$500="Captured"))*($D$5:$D$500&lt;&gt;""))&gt;0),-500,VLOOKUP($F40,Lists!$L$2:$M$4,2,FALSE)+IF($E40="In Progress",10,0)+IF(AND($I40&lt;&gt;"",$I40&lt;TODAY()),25,0)+IF(AND($I40&lt;&gt;"",$I40&gt;=TODAY(),$I40&lt;=TODAY()+7),15,0)+IF($H40="",0,IF($M40&lt;=VLOOKUP(Home!$C$7,Lists!$N$2:$O$6,2,FALSE),20,-10))+IF($G40=Home!$E$7,15,IF(Home!$E$7="",0,-5))-ROW()/100000)))</f>
        <v/>
      </c>
      <c r="O40" s="5">
        <f>IF($D40="","",IF($N40&lt;=-500,"Not recommended right now",IF($E40="Waiting","Nothing else actionable right now — Waiting on: "&amp;IF($K40="","this item",$K40),MID($V40,4,9999))))</f>
        <v/>
      </c>
      <c r="P40" s="5">
        <f>IF($D40="","",IF('Task Finder'!$C$6="High Priority",AND($F40="High",$E40&lt;&gt;"Done",$E40&lt;&gt;"Archive"),IF('Task Finder'!$C$6="Due This Week",AND($I40&lt;&gt;"",$I40&gt;=TODAY(),$I40&lt;=TODAY()+7,$E40&lt;&gt;"Done"),IF('Task Finder'!$C$6="Quick Wins (15 mins or less)",AND($M40&lt;=15,$E40&lt;&gt;"Done",$E40&lt;&gt;"Blocked"),IF('Task Finder'!$C$6="Deep Thinking",AND($G40="Deep Thinking",$E40&lt;&gt;"Done"),IF('Task Finder'!$C$6="Processing",AND($G40="Processing",$E40&lt;&gt;"Done"),IF('Task Finder'!$C$6="Blocked",$E40="Blocked",IF('Task Finder'!$C$6="Waiting",$E40="Waiting",IF('Task Finder'!$C$6="Recently Updated",AND($L40&lt;&gt;"",$L40&gt;=TODAY()-7),IF('Task Finder'!$C$6="Keyword",AND('Task Finder'!$C$7&lt;&gt;"",OR(ISNUMBER(SEARCH('Task Finder'!$C$7,$A40)),ISNUMBER(SEARCH('Task Finder'!$C$7,$B40)),ISNUMBER(SEARCH('Task Finder'!$C$7,$C40)),ISNUMBER(SEARCH('Task Finder'!$C$7,$D40)),ISNUMBER(SEARCH('Task Finder'!$C$7,$K40)))),TRUE))))))))))</f>
        <v/>
      </c>
      <c r="Q40" s="150">
        <f>IF($F40="High","High Priority","")</f>
        <v/>
      </c>
      <c r="R40" s="150">
        <f>IF(AND($I40&lt;&gt;"",$I40&lt;TODAY()),"Overdue","")</f>
        <v/>
      </c>
      <c r="S40" s="150">
        <f>IF(AND($I40&lt;&gt;"",$I40&gt;=TODAY(),$I40&lt;=TODAY()+7),"Due This Week","")</f>
        <v/>
      </c>
      <c r="T40" s="150">
        <f>IF(AND($H40&lt;&gt;"",$M40&lt;=VLOOKUP(Home!$C$7,Lists!$N$2:$O$6,2,FALSE)),$H40&amp;" Task","")</f>
        <v/>
      </c>
      <c r="U40" s="150">
        <f>IF($G40=Home!$E$7,"Fits Current Energy","")</f>
        <v/>
      </c>
      <c r="V40" s="150">
        <f>IF($Q40&lt;&gt;""," • "&amp;$Q40,"")&amp;IF($R40&lt;&gt;""," • "&amp;$R40,"")&amp;IF($S40&lt;&gt;""," • "&amp;$S40,"")&amp;IF($T40&lt;&gt;""," • "&amp;$T40,"")&amp;IF($U40&lt;&gt;""," • "&amp;$U40,"")&amp;" • No Blockers"</f>
        <v/>
      </c>
    </row>
    <row r="41">
      <c r="A41" s="19" t="n"/>
      <c r="B41" s="19" t="n"/>
      <c r="C41" s="19" t="n"/>
      <c r="D41" s="19" t="n"/>
      <c r="E41" s="19" t="n"/>
      <c r="F41" s="19" t="n"/>
      <c r="G41" s="19" t="n"/>
      <c r="H41" s="19" t="n"/>
      <c r="I41" s="19" t="n"/>
      <c r="J41" s="19" t="n"/>
      <c r="K41" s="19" t="n"/>
      <c r="L41" s="35" t="n"/>
      <c r="M41" s="5">
        <f>IF($D41="","",IFERROR(VLOOKUP($H41,Lists!$N$2:$O$6,2,FALSE),0))</f>
        <v/>
      </c>
      <c r="N41" s="5">
        <f>IF($D41="","",IF(OR($E41="Blocked",$E41="Done",$E41="Archive"),-9999,IF(AND($E41="Waiting",SUMPRODUCT((($E$5:$E$500="Next")+($E$5:$E$500="In Progress")+($E$5:$E$500="Captured"))*($D$5:$D$500&lt;&gt;""))&gt;0),-500,VLOOKUP($F41,Lists!$L$2:$M$4,2,FALSE)+IF($E41="In Progress",10,0)+IF(AND($I41&lt;&gt;"",$I41&lt;TODAY()),25,0)+IF(AND($I41&lt;&gt;"",$I41&gt;=TODAY(),$I41&lt;=TODAY()+7),15,0)+IF($H41="",0,IF($M41&lt;=VLOOKUP(Home!$C$7,Lists!$N$2:$O$6,2,FALSE),20,-10))+IF($G41=Home!$E$7,15,IF(Home!$E$7="",0,-5))-ROW()/100000)))</f>
        <v/>
      </c>
      <c r="O41" s="5">
        <f>IF($D41="","",IF($N41&lt;=-500,"Not recommended right now",IF($E41="Waiting","Nothing else actionable right now — Waiting on: "&amp;IF($K41="","this item",$K41),MID($V41,4,9999))))</f>
        <v/>
      </c>
      <c r="P41" s="5">
        <f>IF($D41="","",IF('Task Finder'!$C$6="High Priority",AND($F41="High",$E41&lt;&gt;"Done",$E41&lt;&gt;"Archive"),IF('Task Finder'!$C$6="Due This Week",AND($I41&lt;&gt;"",$I41&gt;=TODAY(),$I41&lt;=TODAY()+7,$E41&lt;&gt;"Done"),IF('Task Finder'!$C$6="Quick Wins (15 mins or less)",AND($M41&lt;=15,$E41&lt;&gt;"Done",$E41&lt;&gt;"Blocked"),IF('Task Finder'!$C$6="Deep Thinking",AND($G41="Deep Thinking",$E41&lt;&gt;"Done"),IF('Task Finder'!$C$6="Processing",AND($G41="Processing",$E41&lt;&gt;"Done"),IF('Task Finder'!$C$6="Blocked",$E41="Blocked",IF('Task Finder'!$C$6="Waiting",$E41="Waiting",IF('Task Finder'!$C$6="Recently Updated",AND($L41&lt;&gt;"",$L41&gt;=TODAY()-7),IF('Task Finder'!$C$6="Keyword",AND('Task Finder'!$C$7&lt;&gt;"",OR(ISNUMBER(SEARCH('Task Finder'!$C$7,$A41)),ISNUMBER(SEARCH('Task Finder'!$C$7,$B41)),ISNUMBER(SEARCH('Task Finder'!$C$7,$C41)),ISNUMBER(SEARCH('Task Finder'!$C$7,$D41)),ISNUMBER(SEARCH('Task Finder'!$C$7,$K41)))),TRUE))))))))))</f>
        <v/>
      </c>
      <c r="Q41" s="150">
        <f>IF($F41="High","High Priority","")</f>
        <v/>
      </c>
      <c r="R41" s="150">
        <f>IF(AND($I41&lt;&gt;"",$I41&lt;TODAY()),"Overdue","")</f>
        <v/>
      </c>
      <c r="S41" s="150">
        <f>IF(AND($I41&lt;&gt;"",$I41&gt;=TODAY(),$I41&lt;=TODAY()+7),"Due This Week","")</f>
        <v/>
      </c>
      <c r="T41" s="150">
        <f>IF(AND($H41&lt;&gt;"",$M41&lt;=VLOOKUP(Home!$C$7,Lists!$N$2:$O$6,2,FALSE)),$H41&amp;" Task","")</f>
        <v/>
      </c>
      <c r="U41" s="150">
        <f>IF($G41=Home!$E$7,"Fits Current Energy","")</f>
        <v/>
      </c>
      <c r="V41" s="150">
        <f>IF($Q41&lt;&gt;""," • "&amp;$Q41,"")&amp;IF($R41&lt;&gt;""," • "&amp;$R41,"")&amp;IF($S41&lt;&gt;""," • "&amp;$S41,"")&amp;IF($T41&lt;&gt;""," • "&amp;$T41,"")&amp;IF($U41&lt;&gt;""," • "&amp;$U41,"")&amp;" • No Blockers"</f>
        <v/>
      </c>
    </row>
    <row r="42">
      <c r="A42" s="19" t="n"/>
      <c r="B42" s="19" t="n"/>
      <c r="C42" s="19" t="n"/>
      <c r="D42" s="19" t="n"/>
      <c r="E42" s="19" t="n"/>
      <c r="F42" s="19" t="n"/>
      <c r="G42" s="19" t="n"/>
      <c r="H42" s="19" t="n"/>
      <c r="I42" s="19" t="n"/>
      <c r="J42" s="19" t="n"/>
      <c r="K42" s="19" t="n"/>
      <c r="L42" s="35" t="n"/>
      <c r="M42" s="5">
        <f>IF($D42="","",IFERROR(VLOOKUP($H42,Lists!$N$2:$O$6,2,FALSE),0))</f>
        <v/>
      </c>
      <c r="N42" s="5">
        <f>IF($D42="","",IF(OR($E42="Blocked",$E42="Done",$E42="Archive"),-9999,IF(AND($E42="Waiting",SUMPRODUCT((($E$5:$E$500="Next")+($E$5:$E$500="In Progress")+($E$5:$E$500="Captured"))*($D$5:$D$500&lt;&gt;""))&gt;0),-500,VLOOKUP($F42,Lists!$L$2:$M$4,2,FALSE)+IF($E42="In Progress",10,0)+IF(AND($I42&lt;&gt;"",$I42&lt;TODAY()),25,0)+IF(AND($I42&lt;&gt;"",$I42&gt;=TODAY(),$I42&lt;=TODAY()+7),15,0)+IF($H42="",0,IF($M42&lt;=VLOOKUP(Home!$C$7,Lists!$N$2:$O$6,2,FALSE),20,-10))+IF($G42=Home!$E$7,15,IF(Home!$E$7="",0,-5))-ROW()/100000)))</f>
        <v/>
      </c>
      <c r="O42" s="5">
        <f>IF($D42="","",IF($N42&lt;=-500,"Not recommended right now",IF($E42="Waiting","Nothing else actionable right now — Waiting on: "&amp;IF($K42="","this item",$K42),MID($V42,4,9999))))</f>
        <v/>
      </c>
      <c r="P42" s="5">
        <f>IF($D42="","",IF('Task Finder'!$C$6="High Priority",AND($F42="High",$E42&lt;&gt;"Done",$E42&lt;&gt;"Archive"),IF('Task Finder'!$C$6="Due This Week",AND($I42&lt;&gt;"",$I42&gt;=TODAY(),$I42&lt;=TODAY()+7,$E42&lt;&gt;"Done"),IF('Task Finder'!$C$6="Quick Wins (15 mins or less)",AND($M42&lt;=15,$E42&lt;&gt;"Done",$E42&lt;&gt;"Blocked"),IF('Task Finder'!$C$6="Deep Thinking",AND($G42="Deep Thinking",$E42&lt;&gt;"Done"),IF('Task Finder'!$C$6="Processing",AND($G42="Processing",$E42&lt;&gt;"Done"),IF('Task Finder'!$C$6="Blocked",$E42="Blocked",IF('Task Finder'!$C$6="Waiting",$E42="Waiting",IF('Task Finder'!$C$6="Recently Updated",AND($L42&lt;&gt;"",$L42&gt;=TODAY()-7),IF('Task Finder'!$C$6="Keyword",AND('Task Finder'!$C$7&lt;&gt;"",OR(ISNUMBER(SEARCH('Task Finder'!$C$7,$A42)),ISNUMBER(SEARCH('Task Finder'!$C$7,$B42)),ISNUMBER(SEARCH('Task Finder'!$C$7,$C42)),ISNUMBER(SEARCH('Task Finder'!$C$7,$D42)),ISNUMBER(SEARCH('Task Finder'!$C$7,$K42)))),TRUE))))))))))</f>
        <v/>
      </c>
      <c r="Q42" s="150">
        <f>IF($F42="High","High Priority","")</f>
        <v/>
      </c>
      <c r="R42" s="150">
        <f>IF(AND($I42&lt;&gt;"",$I42&lt;TODAY()),"Overdue","")</f>
        <v/>
      </c>
      <c r="S42" s="150">
        <f>IF(AND($I42&lt;&gt;"",$I42&gt;=TODAY(),$I42&lt;=TODAY()+7),"Due This Week","")</f>
        <v/>
      </c>
      <c r="T42" s="150">
        <f>IF(AND($H42&lt;&gt;"",$M42&lt;=VLOOKUP(Home!$C$7,Lists!$N$2:$O$6,2,FALSE)),$H42&amp;" Task","")</f>
        <v/>
      </c>
      <c r="U42" s="150">
        <f>IF($G42=Home!$E$7,"Fits Current Energy","")</f>
        <v/>
      </c>
      <c r="V42" s="150">
        <f>IF($Q42&lt;&gt;""," • "&amp;$Q42,"")&amp;IF($R42&lt;&gt;""," • "&amp;$R42,"")&amp;IF($S42&lt;&gt;""," • "&amp;$S42,"")&amp;IF($T42&lt;&gt;""," • "&amp;$T42,"")&amp;IF($U42&lt;&gt;""," • "&amp;$U42,"")&amp;" • No Blockers"</f>
        <v/>
      </c>
    </row>
    <row r="43">
      <c r="A43" s="19" t="n"/>
      <c r="B43" s="19" t="n"/>
      <c r="C43" s="19" t="n"/>
      <c r="D43" s="19" t="n"/>
      <c r="E43" s="19" t="n"/>
      <c r="F43" s="19" t="n"/>
      <c r="G43" s="19" t="n"/>
      <c r="H43" s="19" t="n"/>
      <c r="I43" s="19" t="n"/>
      <c r="J43" s="19" t="n"/>
      <c r="K43" s="19" t="n"/>
      <c r="L43" s="35" t="n"/>
      <c r="M43" s="5">
        <f>IF($D43="","",IFERROR(VLOOKUP($H43,Lists!$N$2:$O$6,2,FALSE),0))</f>
        <v/>
      </c>
      <c r="N43" s="5">
        <f>IF($D43="","",IF(OR($E43="Blocked",$E43="Done",$E43="Archive"),-9999,IF(AND($E43="Waiting",SUMPRODUCT((($E$5:$E$500="Next")+($E$5:$E$500="In Progress")+($E$5:$E$500="Captured"))*($D$5:$D$500&lt;&gt;""))&gt;0),-500,VLOOKUP($F43,Lists!$L$2:$M$4,2,FALSE)+IF($E43="In Progress",10,0)+IF(AND($I43&lt;&gt;"",$I43&lt;TODAY()),25,0)+IF(AND($I43&lt;&gt;"",$I43&gt;=TODAY(),$I43&lt;=TODAY()+7),15,0)+IF($H43="",0,IF($M43&lt;=VLOOKUP(Home!$C$7,Lists!$N$2:$O$6,2,FALSE),20,-10))+IF($G43=Home!$E$7,15,IF(Home!$E$7="",0,-5))-ROW()/100000)))</f>
        <v/>
      </c>
      <c r="O43" s="5">
        <f>IF($D43="","",IF($N43&lt;=-500,"Not recommended right now",IF($E43="Waiting","Nothing else actionable right now — Waiting on: "&amp;IF($K43="","this item",$K43),MID($V43,4,9999))))</f>
        <v/>
      </c>
      <c r="P43" s="5">
        <f>IF($D43="","",IF('Task Finder'!$C$6="High Priority",AND($F43="High",$E43&lt;&gt;"Done",$E43&lt;&gt;"Archive"),IF('Task Finder'!$C$6="Due This Week",AND($I43&lt;&gt;"",$I43&gt;=TODAY(),$I43&lt;=TODAY()+7,$E43&lt;&gt;"Done"),IF('Task Finder'!$C$6="Quick Wins (15 mins or less)",AND($M43&lt;=15,$E43&lt;&gt;"Done",$E43&lt;&gt;"Blocked"),IF('Task Finder'!$C$6="Deep Thinking",AND($G43="Deep Thinking",$E43&lt;&gt;"Done"),IF('Task Finder'!$C$6="Processing",AND($G43="Processing",$E43&lt;&gt;"Done"),IF('Task Finder'!$C$6="Blocked",$E43="Blocked",IF('Task Finder'!$C$6="Waiting",$E43="Waiting",IF('Task Finder'!$C$6="Recently Updated",AND($L43&lt;&gt;"",$L43&gt;=TODAY()-7),IF('Task Finder'!$C$6="Keyword",AND('Task Finder'!$C$7&lt;&gt;"",OR(ISNUMBER(SEARCH('Task Finder'!$C$7,$A43)),ISNUMBER(SEARCH('Task Finder'!$C$7,$B43)),ISNUMBER(SEARCH('Task Finder'!$C$7,$C43)),ISNUMBER(SEARCH('Task Finder'!$C$7,$D43)),ISNUMBER(SEARCH('Task Finder'!$C$7,$K43)))),TRUE))))))))))</f>
        <v/>
      </c>
      <c r="Q43" s="150">
        <f>IF($F43="High","High Priority","")</f>
        <v/>
      </c>
      <c r="R43" s="150">
        <f>IF(AND($I43&lt;&gt;"",$I43&lt;TODAY()),"Overdue","")</f>
        <v/>
      </c>
      <c r="S43" s="150">
        <f>IF(AND($I43&lt;&gt;"",$I43&gt;=TODAY(),$I43&lt;=TODAY()+7),"Due This Week","")</f>
        <v/>
      </c>
      <c r="T43" s="150">
        <f>IF(AND($H43&lt;&gt;"",$M43&lt;=VLOOKUP(Home!$C$7,Lists!$N$2:$O$6,2,FALSE)),$H43&amp;" Task","")</f>
        <v/>
      </c>
      <c r="U43" s="150">
        <f>IF($G43=Home!$E$7,"Fits Current Energy","")</f>
        <v/>
      </c>
      <c r="V43" s="150">
        <f>IF($Q43&lt;&gt;""," • "&amp;$Q43,"")&amp;IF($R43&lt;&gt;""," • "&amp;$R43,"")&amp;IF($S43&lt;&gt;""," • "&amp;$S43,"")&amp;IF($T43&lt;&gt;""," • "&amp;$T43,"")&amp;IF($U43&lt;&gt;""," • "&amp;$U43,"")&amp;" • No Blockers"</f>
        <v/>
      </c>
    </row>
    <row r="44">
      <c r="A44" s="19" t="n"/>
      <c r="B44" s="19" t="n"/>
      <c r="C44" s="19" t="n"/>
      <c r="D44" s="19" t="n"/>
      <c r="E44" s="19" t="n"/>
      <c r="F44" s="19" t="n"/>
      <c r="G44" s="19" t="n"/>
      <c r="H44" s="19" t="n"/>
      <c r="I44" s="19" t="n"/>
      <c r="J44" s="19" t="n"/>
      <c r="K44" s="19" t="n"/>
      <c r="L44" s="35" t="n"/>
      <c r="M44" s="5">
        <f>IF($D44="","",IFERROR(VLOOKUP($H44,Lists!$N$2:$O$6,2,FALSE),0))</f>
        <v/>
      </c>
      <c r="N44" s="5">
        <f>IF($D44="","",IF(OR($E44="Blocked",$E44="Done",$E44="Archive"),-9999,IF(AND($E44="Waiting",SUMPRODUCT((($E$5:$E$500="Next")+($E$5:$E$500="In Progress")+($E$5:$E$500="Captured"))*($D$5:$D$500&lt;&gt;""))&gt;0),-500,VLOOKUP($F44,Lists!$L$2:$M$4,2,FALSE)+IF($E44="In Progress",10,0)+IF(AND($I44&lt;&gt;"",$I44&lt;TODAY()),25,0)+IF(AND($I44&lt;&gt;"",$I44&gt;=TODAY(),$I44&lt;=TODAY()+7),15,0)+IF($H44="",0,IF($M44&lt;=VLOOKUP(Home!$C$7,Lists!$N$2:$O$6,2,FALSE),20,-10))+IF($G44=Home!$E$7,15,IF(Home!$E$7="",0,-5))-ROW()/100000)))</f>
        <v/>
      </c>
      <c r="O44" s="5">
        <f>IF($D44="","",IF($N44&lt;=-500,"Not recommended right now",IF($E44="Waiting","Nothing else actionable right now — Waiting on: "&amp;IF($K44="","this item",$K44),MID($V44,4,9999))))</f>
        <v/>
      </c>
      <c r="P44" s="5">
        <f>IF($D44="","",IF('Task Finder'!$C$6="High Priority",AND($F44="High",$E44&lt;&gt;"Done",$E44&lt;&gt;"Archive"),IF('Task Finder'!$C$6="Due This Week",AND($I44&lt;&gt;"",$I44&gt;=TODAY(),$I44&lt;=TODAY()+7,$E44&lt;&gt;"Done"),IF('Task Finder'!$C$6="Quick Wins (15 mins or less)",AND($M44&lt;=15,$E44&lt;&gt;"Done",$E44&lt;&gt;"Blocked"),IF('Task Finder'!$C$6="Deep Thinking",AND($G44="Deep Thinking",$E44&lt;&gt;"Done"),IF('Task Finder'!$C$6="Processing",AND($G44="Processing",$E44&lt;&gt;"Done"),IF('Task Finder'!$C$6="Blocked",$E44="Blocked",IF('Task Finder'!$C$6="Waiting",$E44="Waiting",IF('Task Finder'!$C$6="Recently Updated",AND($L44&lt;&gt;"",$L44&gt;=TODAY()-7),IF('Task Finder'!$C$6="Keyword",AND('Task Finder'!$C$7&lt;&gt;"",OR(ISNUMBER(SEARCH('Task Finder'!$C$7,$A44)),ISNUMBER(SEARCH('Task Finder'!$C$7,$B44)),ISNUMBER(SEARCH('Task Finder'!$C$7,$C44)),ISNUMBER(SEARCH('Task Finder'!$C$7,$D44)),ISNUMBER(SEARCH('Task Finder'!$C$7,$K44)))),TRUE))))))))))</f>
        <v/>
      </c>
      <c r="Q44" s="150">
        <f>IF($F44="High","High Priority","")</f>
        <v/>
      </c>
      <c r="R44" s="150">
        <f>IF(AND($I44&lt;&gt;"",$I44&lt;TODAY()),"Overdue","")</f>
        <v/>
      </c>
      <c r="S44" s="150">
        <f>IF(AND($I44&lt;&gt;"",$I44&gt;=TODAY(),$I44&lt;=TODAY()+7),"Due This Week","")</f>
        <v/>
      </c>
      <c r="T44" s="150">
        <f>IF(AND($H44&lt;&gt;"",$M44&lt;=VLOOKUP(Home!$C$7,Lists!$N$2:$O$6,2,FALSE)),$H44&amp;" Task","")</f>
        <v/>
      </c>
      <c r="U44" s="150">
        <f>IF($G44=Home!$E$7,"Fits Current Energy","")</f>
        <v/>
      </c>
      <c r="V44" s="150">
        <f>IF($Q44&lt;&gt;""," • "&amp;$Q44,"")&amp;IF($R44&lt;&gt;""," • "&amp;$R44,"")&amp;IF($S44&lt;&gt;""," • "&amp;$S44,"")&amp;IF($T44&lt;&gt;""," • "&amp;$T44,"")&amp;IF($U44&lt;&gt;""," • "&amp;$U44,"")&amp;" • No Blockers"</f>
        <v/>
      </c>
    </row>
    <row r="45">
      <c r="A45" s="19" t="n"/>
      <c r="B45" s="19" t="n"/>
      <c r="C45" s="19" t="n"/>
      <c r="D45" s="19" t="n"/>
      <c r="E45" s="19" t="n"/>
      <c r="F45" s="19" t="n"/>
      <c r="G45" s="19" t="n"/>
      <c r="H45" s="19" t="n"/>
      <c r="I45" s="19" t="n"/>
      <c r="J45" s="19" t="n"/>
      <c r="K45" s="19" t="n"/>
      <c r="L45" s="35" t="n"/>
      <c r="M45" s="5">
        <f>IF($D45="","",IFERROR(VLOOKUP($H45,Lists!$N$2:$O$6,2,FALSE),0))</f>
        <v/>
      </c>
      <c r="N45" s="5">
        <f>IF($D45="","",IF(OR($E45="Blocked",$E45="Done",$E45="Archive"),-9999,IF(AND($E45="Waiting",SUMPRODUCT((($E$5:$E$500="Next")+($E$5:$E$500="In Progress")+($E$5:$E$500="Captured"))*($D$5:$D$500&lt;&gt;""))&gt;0),-500,VLOOKUP($F45,Lists!$L$2:$M$4,2,FALSE)+IF($E45="In Progress",10,0)+IF(AND($I45&lt;&gt;"",$I45&lt;TODAY()),25,0)+IF(AND($I45&lt;&gt;"",$I45&gt;=TODAY(),$I45&lt;=TODAY()+7),15,0)+IF($H45="",0,IF($M45&lt;=VLOOKUP(Home!$C$7,Lists!$N$2:$O$6,2,FALSE),20,-10))+IF($G45=Home!$E$7,15,IF(Home!$E$7="",0,-5))-ROW()/100000)))</f>
        <v/>
      </c>
      <c r="O45" s="5">
        <f>IF($D45="","",IF($N45&lt;=-500,"Not recommended right now",IF($E45="Waiting","Nothing else actionable right now — Waiting on: "&amp;IF($K45="","this item",$K45),MID($V45,4,9999))))</f>
        <v/>
      </c>
      <c r="P45" s="5">
        <f>IF($D45="","",IF('Task Finder'!$C$6="High Priority",AND($F45="High",$E45&lt;&gt;"Done",$E45&lt;&gt;"Archive"),IF('Task Finder'!$C$6="Due This Week",AND($I45&lt;&gt;"",$I45&gt;=TODAY(),$I45&lt;=TODAY()+7,$E45&lt;&gt;"Done"),IF('Task Finder'!$C$6="Quick Wins (15 mins or less)",AND($M45&lt;=15,$E45&lt;&gt;"Done",$E45&lt;&gt;"Blocked"),IF('Task Finder'!$C$6="Deep Thinking",AND($G45="Deep Thinking",$E45&lt;&gt;"Done"),IF('Task Finder'!$C$6="Processing",AND($G45="Processing",$E45&lt;&gt;"Done"),IF('Task Finder'!$C$6="Blocked",$E45="Blocked",IF('Task Finder'!$C$6="Waiting",$E45="Waiting",IF('Task Finder'!$C$6="Recently Updated",AND($L45&lt;&gt;"",$L45&gt;=TODAY()-7),IF('Task Finder'!$C$6="Keyword",AND('Task Finder'!$C$7&lt;&gt;"",OR(ISNUMBER(SEARCH('Task Finder'!$C$7,$A45)),ISNUMBER(SEARCH('Task Finder'!$C$7,$B45)),ISNUMBER(SEARCH('Task Finder'!$C$7,$C45)),ISNUMBER(SEARCH('Task Finder'!$C$7,$D45)),ISNUMBER(SEARCH('Task Finder'!$C$7,$K45)))),TRUE))))))))))</f>
        <v/>
      </c>
      <c r="Q45" s="150">
        <f>IF($F45="High","High Priority","")</f>
        <v/>
      </c>
      <c r="R45" s="150">
        <f>IF(AND($I45&lt;&gt;"",$I45&lt;TODAY()),"Overdue","")</f>
        <v/>
      </c>
      <c r="S45" s="150">
        <f>IF(AND($I45&lt;&gt;"",$I45&gt;=TODAY(),$I45&lt;=TODAY()+7),"Due This Week","")</f>
        <v/>
      </c>
      <c r="T45" s="150">
        <f>IF(AND($H45&lt;&gt;"",$M45&lt;=VLOOKUP(Home!$C$7,Lists!$N$2:$O$6,2,FALSE)),$H45&amp;" Task","")</f>
        <v/>
      </c>
      <c r="U45" s="150">
        <f>IF($G45=Home!$E$7,"Fits Current Energy","")</f>
        <v/>
      </c>
      <c r="V45" s="150">
        <f>IF($Q45&lt;&gt;""," • "&amp;$Q45,"")&amp;IF($R45&lt;&gt;""," • "&amp;$R45,"")&amp;IF($S45&lt;&gt;""," • "&amp;$S45,"")&amp;IF($T45&lt;&gt;""," • "&amp;$T45,"")&amp;IF($U45&lt;&gt;""," • "&amp;$U45,"")&amp;" • No Blockers"</f>
        <v/>
      </c>
    </row>
    <row r="46">
      <c r="A46" s="19" t="n"/>
      <c r="B46" s="19" t="n"/>
      <c r="C46" s="19" t="n"/>
      <c r="D46" s="19" t="n"/>
      <c r="E46" s="19" t="n"/>
      <c r="F46" s="19" t="n"/>
      <c r="G46" s="19" t="n"/>
      <c r="H46" s="19" t="n"/>
      <c r="I46" s="19" t="n"/>
      <c r="J46" s="19" t="n"/>
      <c r="K46" s="19" t="n"/>
      <c r="L46" s="35" t="n"/>
      <c r="M46" s="5">
        <f>IF($D46="","",IFERROR(VLOOKUP($H46,Lists!$N$2:$O$6,2,FALSE),0))</f>
        <v/>
      </c>
      <c r="N46" s="5">
        <f>IF($D46="","",IF(OR($E46="Blocked",$E46="Done",$E46="Archive"),-9999,IF(AND($E46="Waiting",SUMPRODUCT((($E$5:$E$500="Next")+($E$5:$E$500="In Progress")+($E$5:$E$500="Captured"))*($D$5:$D$500&lt;&gt;""))&gt;0),-500,VLOOKUP($F46,Lists!$L$2:$M$4,2,FALSE)+IF($E46="In Progress",10,0)+IF(AND($I46&lt;&gt;"",$I46&lt;TODAY()),25,0)+IF(AND($I46&lt;&gt;"",$I46&gt;=TODAY(),$I46&lt;=TODAY()+7),15,0)+IF($H46="",0,IF($M46&lt;=VLOOKUP(Home!$C$7,Lists!$N$2:$O$6,2,FALSE),20,-10))+IF($G46=Home!$E$7,15,IF(Home!$E$7="",0,-5))-ROW()/100000)))</f>
        <v/>
      </c>
      <c r="O46" s="5">
        <f>IF($D46="","",IF($N46&lt;=-500,"Not recommended right now",IF($E46="Waiting","Nothing else actionable right now — Waiting on: "&amp;IF($K46="","this item",$K46),MID($V46,4,9999))))</f>
        <v/>
      </c>
      <c r="P46" s="5">
        <f>IF($D46="","",IF('Task Finder'!$C$6="High Priority",AND($F46="High",$E46&lt;&gt;"Done",$E46&lt;&gt;"Archive"),IF('Task Finder'!$C$6="Due This Week",AND($I46&lt;&gt;"",$I46&gt;=TODAY(),$I46&lt;=TODAY()+7,$E46&lt;&gt;"Done"),IF('Task Finder'!$C$6="Quick Wins (15 mins or less)",AND($M46&lt;=15,$E46&lt;&gt;"Done",$E46&lt;&gt;"Blocked"),IF('Task Finder'!$C$6="Deep Thinking",AND($G46="Deep Thinking",$E46&lt;&gt;"Done"),IF('Task Finder'!$C$6="Processing",AND($G46="Processing",$E46&lt;&gt;"Done"),IF('Task Finder'!$C$6="Blocked",$E46="Blocked",IF('Task Finder'!$C$6="Waiting",$E46="Waiting",IF('Task Finder'!$C$6="Recently Updated",AND($L46&lt;&gt;"",$L46&gt;=TODAY()-7),IF('Task Finder'!$C$6="Keyword",AND('Task Finder'!$C$7&lt;&gt;"",OR(ISNUMBER(SEARCH('Task Finder'!$C$7,$A46)),ISNUMBER(SEARCH('Task Finder'!$C$7,$B46)),ISNUMBER(SEARCH('Task Finder'!$C$7,$C46)),ISNUMBER(SEARCH('Task Finder'!$C$7,$D46)),ISNUMBER(SEARCH('Task Finder'!$C$7,$K46)))),TRUE))))))))))</f>
        <v/>
      </c>
      <c r="Q46" s="150">
        <f>IF($F46="High","High Priority","")</f>
        <v/>
      </c>
      <c r="R46" s="150">
        <f>IF(AND($I46&lt;&gt;"",$I46&lt;TODAY()),"Overdue","")</f>
        <v/>
      </c>
      <c r="S46" s="150">
        <f>IF(AND($I46&lt;&gt;"",$I46&gt;=TODAY(),$I46&lt;=TODAY()+7),"Due This Week","")</f>
        <v/>
      </c>
      <c r="T46" s="150">
        <f>IF(AND($H46&lt;&gt;"",$M46&lt;=VLOOKUP(Home!$C$7,Lists!$N$2:$O$6,2,FALSE)),$H46&amp;" Task","")</f>
        <v/>
      </c>
      <c r="U46" s="150">
        <f>IF($G46=Home!$E$7,"Fits Current Energy","")</f>
        <v/>
      </c>
      <c r="V46" s="150">
        <f>IF($Q46&lt;&gt;""," • "&amp;$Q46,"")&amp;IF($R46&lt;&gt;""," • "&amp;$R46,"")&amp;IF($S46&lt;&gt;""," • "&amp;$S46,"")&amp;IF($T46&lt;&gt;""," • "&amp;$T46,"")&amp;IF($U46&lt;&gt;""," • "&amp;$U46,"")&amp;" • No Blockers"</f>
        <v/>
      </c>
    </row>
    <row r="47">
      <c r="A47" s="19" t="n"/>
      <c r="B47" s="19" t="n"/>
      <c r="C47" s="19" t="n"/>
      <c r="D47" s="19" t="n"/>
      <c r="E47" s="19" t="n"/>
      <c r="F47" s="19" t="n"/>
      <c r="G47" s="19" t="n"/>
      <c r="H47" s="19" t="n"/>
      <c r="I47" s="19" t="n"/>
      <c r="J47" s="19" t="n"/>
      <c r="K47" s="19" t="n"/>
      <c r="L47" s="35" t="n"/>
      <c r="M47" s="5">
        <f>IF($D47="","",IFERROR(VLOOKUP($H47,Lists!$N$2:$O$6,2,FALSE),0))</f>
        <v/>
      </c>
      <c r="N47" s="5">
        <f>IF($D47="","",IF(OR($E47="Blocked",$E47="Done",$E47="Archive"),-9999,IF(AND($E47="Waiting",SUMPRODUCT((($E$5:$E$500="Next")+($E$5:$E$500="In Progress")+($E$5:$E$500="Captured"))*($D$5:$D$500&lt;&gt;""))&gt;0),-500,VLOOKUP($F47,Lists!$L$2:$M$4,2,FALSE)+IF($E47="In Progress",10,0)+IF(AND($I47&lt;&gt;"",$I47&lt;TODAY()),25,0)+IF(AND($I47&lt;&gt;"",$I47&gt;=TODAY(),$I47&lt;=TODAY()+7),15,0)+IF($H47="",0,IF($M47&lt;=VLOOKUP(Home!$C$7,Lists!$N$2:$O$6,2,FALSE),20,-10))+IF($G47=Home!$E$7,15,IF(Home!$E$7="",0,-5))-ROW()/100000)))</f>
        <v/>
      </c>
      <c r="O47" s="5">
        <f>IF($D47="","",IF($N47&lt;=-500,"Not recommended right now",IF($E47="Waiting","Nothing else actionable right now — Waiting on: "&amp;IF($K47="","this item",$K47),MID($V47,4,9999))))</f>
        <v/>
      </c>
      <c r="P47" s="5">
        <f>IF($D47="","",IF('Task Finder'!$C$6="High Priority",AND($F47="High",$E47&lt;&gt;"Done",$E47&lt;&gt;"Archive"),IF('Task Finder'!$C$6="Due This Week",AND($I47&lt;&gt;"",$I47&gt;=TODAY(),$I47&lt;=TODAY()+7,$E47&lt;&gt;"Done"),IF('Task Finder'!$C$6="Quick Wins (15 mins or less)",AND($M47&lt;=15,$E47&lt;&gt;"Done",$E47&lt;&gt;"Blocked"),IF('Task Finder'!$C$6="Deep Thinking",AND($G47="Deep Thinking",$E47&lt;&gt;"Done"),IF('Task Finder'!$C$6="Processing",AND($G47="Processing",$E47&lt;&gt;"Done"),IF('Task Finder'!$C$6="Blocked",$E47="Blocked",IF('Task Finder'!$C$6="Waiting",$E47="Waiting",IF('Task Finder'!$C$6="Recently Updated",AND($L47&lt;&gt;"",$L47&gt;=TODAY()-7),IF('Task Finder'!$C$6="Keyword",AND('Task Finder'!$C$7&lt;&gt;"",OR(ISNUMBER(SEARCH('Task Finder'!$C$7,$A47)),ISNUMBER(SEARCH('Task Finder'!$C$7,$B47)),ISNUMBER(SEARCH('Task Finder'!$C$7,$C47)),ISNUMBER(SEARCH('Task Finder'!$C$7,$D47)),ISNUMBER(SEARCH('Task Finder'!$C$7,$K47)))),TRUE))))))))))</f>
        <v/>
      </c>
      <c r="Q47" s="150">
        <f>IF($F47="High","High Priority","")</f>
        <v/>
      </c>
      <c r="R47" s="150">
        <f>IF(AND($I47&lt;&gt;"",$I47&lt;TODAY()),"Overdue","")</f>
        <v/>
      </c>
      <c r="S47" s="150">
        <f>IF(AND($I47&lt;&gt;"",$I47&gt;=TODAY(),$I47&lt;=TODAY()+7),"Due This Week","")</f>
        <v/>
      </c>
      <c r="T47" s="150">
        <f>IF(AND($H47&lt;&gt;"",$M47&lt;=VLOOKUP(Home!$C$7,Lists!$N$2:$O$6,2,FALSE)),$H47&amp;" Task","")</f>
        <v/>
      </c>
      <c r="U47" s="150">
        <f>IF($G47=Home!$E$7,"Fits Current Energy","")</f>
        <v/>
      </c>
      <c r="V47" s="150">
        <f>IF($Q47&lt;&gt;""," • "&amp;$Q47,"")&amp;IF($R47&lt;&gt;""," • "&amp;$R47,"")&amp;IF($S47&lt;&gt;""," • "&amp;$S47,"")&amp;IF($T47&lt;&gt;""," • "&amp;$T47,"")&amp;IF($U47&lt;&gt;""," • "&amp;$U47,"")&amp;" • No Blockers"</f>
        <v/>
      </c>
    </row>
    <row r="48">
      <c r="A48" s="19" t="n"/>
      <c r="B48" s="19" t="n"/>
      <c r="C48" s="19" t="n"/>
      <c r="D48" s="19" t="n"/>
      <c r="E48" s="19" t="n"/>
      <c r="F48" s="19" t="n"/>
      <c r="G48" s="19" t="n"/>
      <c r="H48" s="19" t="n"/>
      <c r="I48" s="19" t="n"/>
      <c r="J48" s="19" t="n"/>
      <c r="K48" s="19" t="n"/>
      <c r="L48" s="35" t="n"/>
      <c r="M48" s="5">
        <f>IF($D48="","",IFERROR(VLOOKUP($H48,Lists!$N$2:$O$6,2,FALSE),0))</f>
        <v/>
      </c>
      <c r="N48" s="5">
        <f>IF($D48="","",IF(OR($E48="Blocked",$E48="Done",$E48="Archive"),-9999,IF(AND($E48="Waiting",SUMPRODUCT((($E$5:$E$500="Next")+($E$5:$E$500="In Progress")+($E$5:$E$500="Captured"))*($D$5:$D$500&lt;&gt;""))&gt;0),-500,VLOOKUP($F48,Lists!$L$2:$M$4,2,FALSE)+IF($E48="In Progress",10,0)+IF(AND($I48&lt;&gt;"",$I48&lt;TODAY()),25,0)+IF(AND($I48&lt;&gt;"",$I48&gt;=TODAY(),$I48&lt;=TODAY()+7),15,0)+IF($H48="",0,IF($M48&lt;=VLOOKUP(Home!$C$7,Lists!$N$2:$O$6,2,FALSE),20,-10))+IF($G48=Home!$E$7,15,IF(Home!$E$7="",0,-5))-ROW()/100000)))</f>
        <v/>
      </c>
      <c r="O48" s="5">
        <f>IF($D48="","",IF($N48&lt;=-500,"Not recommended right now",IF($E48="Waiting","Nothing else actionable right now — Waiting on: "&amp;IF($K48="","this item",$K48),MID($V48,4,9999))))</f>
        <v/>
      </c>
      <c r="P48" s="5">
        <f>IF($D48="","",IF('Task Finder'!$C$6="High Priority",AND($F48="High",$E48&lt;&gt;"Done",$E48&lt;&gt;"Archive"),IF('Task Finder'!$C$6="Due This Week",AND($I48&lt;&gt;"",$I48&gt;=TODAY(),$I48&lt;=TODAY()+7,$E48&lt;&gt;"Done"),IF('Task Finder'!$C$6="Quick Wins (15 mins or less)",AND($M48&lt;=15,$E48&lt;&gt;"Done",$E48&lt;&gt;"Blocked"),IF('Task Finder'!$C$6="Deep Thinking",AND($G48="Deep Thinking",$E48&lt;&gt;"Done"),IF('Task Finder'!$C$6="Processing",AND($G48="Processing",$E48&lt;&gt;"Done"),IF('Task Finder'!$C$6="Blocked",$E48="Blocked",IF('Task Finder'!$C$6="Waiting",$E48="Waiting",IF('Task Finder'!$C$6="Recently Updated",AND($L48&lt;&gt;"",$L48&gt;=TODAY()-7),IF('Task Finder'!$C$6="Keyword",AND('Task Finder'!$C$7&lt;&gt;"",OR(ISNUMBER(SEARCH('Task Finder'!$C$7,$A48)),ISNUMBER(SEARCH('Task Finder'!$C$7,$B48)),ISNUMBER(SEARCH('Task Finder'!$C$7,$C48)),ISNUMBER(SEARCH('Task Finder'!$C$7,$D48)),ISNUMBER(SEARCH('Task Finder'!$C$7,$K48)))),TRUE))))))))))</f>
        <v/>
      </c>
      <c r="Q48" s="150">
        <f>IF($F48="High","High Priority","")</f>
        <v/>
      </c>
      <c r="R48" s="150">
        <f>IF(AND($I48&lt;&gt;"",$I48&lt;TODAY()),"Overdue","")</f>
        <v/>
      </c>
      <c r="S48" s="150">
        <f>IF(AND($I48&lt;&gt;"",$I48&gt;=TODAY(),$I48&lt;=TODAY()+7),"Due This Week","")</f>
        <v/>
      </c>
      <c r="T48" s="150">
        <f>IF(AND($H48&lt;&gt;"",$M48&lt;=VLOOKUP(Home!$C$7,Lists!$N$2:$O$6,2,FALSE)),$H48&amp;" Task","")</f>
        <v/>
      </c>
      <c r="U48" s="150">
        <f>IF($G48=Home!$E$7,"Fits Current Energy","")</f>
        <v/>
      </c>
      <c r="V48" s="150">
        <f>IF($Q48&lt;&gt;""," • "&amp;$Q48,"")&amp;IF($R48&lt;&gt;""," • "&amp;$R48,"")&amp;IF($S48&lt;&gt;""," • "&amp;$S48,"")&amp;IF($T48&lt;&gt;""," • "&amp;$T48,"")&amp;IF($U48&lt;&gt;""," • "&amp;$U48,"")&amp;" • No Blockers"</f>
        <v/>
      </c>
    </row>
    <row r="49">
      <c r="A49" s="19" t="n"/>
      <c r="B49" s="19" t="n"/>
      <c r="C49" s="19" t="n"/>
      <c r="D49" s="19" t="n"/>
      <c r="E49" s="19" t="n"/>
      <c r="F49" s="19" t="n"/>
      <c r="G49" s="19" t="n"/>
      <c r="H49" s="19" t="n"/>
      <c r="I49" s="19" t="n"/>
      <c r="J49" s="19" t="n"/>
      <c r="K49" s="19" t="n"/>
      <c r="L49" s="35" t="n"/>
      <c r="M49" s="5">
        <f>IF($D49="","",IFERROR(VLOOKUP($H49,Lists!$N$2:$O$6,2,FALSE),0))</f>
        <v/>
      </c>
      <c r="N49" s="5">
        <f>IF($D49="","",IF(OR($E49="Blocked",$E49="Done",$E49="Archive"),-9999,IF(AND($E49="Waiting",SUMPRODUCT((($E$5:$E$500="Next")+($E$5:$E$500="In Progress")+($E$5:$E$500="Captured"))*($D$5:$D$500&lt;&gt;""))&gt;0),-500,VLOOKUP($F49,Lists!$L$2:$M$4,2,FALSE)+IF($E49="In Progress",10,0)+IF(AND($I49&lt;&gt;"",$I49&lt;TODAY()),25,0)+IF(AND($I49&lt;&gt;"",$I49&gt;=TODAY(),$I49&lt;=TODAY()+7),15,0)+IF($H49="",0,IF($M49&lt;=VLOOKUP(Home!$C$7,Lists!$N$2:$O$6,2,FALSE),20,-10))+IF($G49=Home!$E$7,15,IF(Home!$E$7="",0,-5))-ROW()/100000)))</f>
        <v/>
      </c>
      <c r="O49" s="5">
        <f>IF($D49="","",IF($N49&lt;=-500,"Not recommended right now",IF($E49="Waiting","Nothing else actionable right now — Waiting on: "&amp;IF($K49="","this item",$K49),MID($V49,4,9999))))</f>
        <v/>
      </c>
      <c r="P49" s="5">
        <f>IF($D49="","",IF('Task Finder'!$C$6="High Priority",AND($F49="High",$E49&lt;&gt;"Done",$E49&lt;&gt;"Archive"),IF('Task Finder'!$C$6="Due This Week",AND($I49&lt;&gt;"",$I49&gt;=TODAY(),$I49&lt;=TODAY()+7,$E49&lt;&gt;"Done"),IF('Task Finder'!$C$6="Quick Wins (15 mins or less)",AND($M49&lt;=15,$E49&lt;&gt;"Done",$E49&lt;&gt;"Blocked"),IF('Task Finder'!$C$6="Deep Thinking",AND($G49="Deep Thinking",$E49&lt;&gt;"Done"),IF('Task Finder'!$C$6="Processing",AND($G49="Processing",$E49&lt;&gt;"Done"),IF('Task Finder'!$C$6="Blocked",$E49="Blocked",IF('Task Finder'!$C$6="Waiting",$E49="Waiting",IF('Task Finder'!$C$6="Recently Updated",AND($L49&lt;&gt;"",$L49&gt;=TODAY()-7),IF('Task Finder'!$C$6="Keyword",AND('Task Finder'!$C$7&lt;&gt;"",OR(ISNUMBER(SEARCH('Task Finder'!$C$7,$A49)),ISNUMBER(SEARCH('Task Finder'!$C$7,$B49)),ISNUMBER(SEARCH('Task Finder'!$C$7,$C49)),ISNUMBER(SEARCH('Task Finder'!$C$7,$D49)),ISNUMBER(SEARCH('Task Finder'!$C$7,$K49)))),TRUE))))))))))</f>
        <v/>
      </c>
      <c r="Q49" s="150">
        <f>IF($F49="High","High Priority","")</f>
        <v/>
      </c>
      <c r="R49" s="150">
        <f>IF(AND($I49&lt;&gt;"",$I49&lt;TODAY()),"Overdue","")</f>
        <v/>
      </c>
      <c r="S49" s="150">
        <f>IF(AND($I49&lt;&gt;"",$I49&gt;=TODAY(),$I49&lt;=TODAY()+7),"Due This Week","")</f>
        <v/>
      </c>
      <c r="T49" s="150">
        <f>IF(AND($H49&lt;&gt;"",$M49&lt;=VLOOKUP(Home!$C$7,Lists!$N$2:$O$6,2,FALSE)),$H49&amp;" Task","")</f>
        <v/>
      </c>
      <c r="U49" s="150">
        <f>IF($G49=Home!$E$7,"Fits Current Energy","")</f>
        <v/>
      </c>
      <c r="V49" s="150">
        <f>IF($Q49&lt;&gt;""," • "&amp;$Q49,"")&amp;IF($R49&lt;&gt;""," • "&amp;$R49,"")&amp;IF($S49&lt;&gt;""," • "&amp;$S49,"")&amp;IF($T49&lt;&gt;""," • "&amp;$T49,"")&amp;IF($U49&lt;&gt;""," • "&amp;$U49,"")&amp;" • No Blockers"</f>
        <v/>
      </c>
    </row>
    <row r="50">
      <c r="A50" s="19" t="n"/>
      <c r="B50" s="19" t="n"/>
      <c r="C50" s="19" t="n"/>
      <c r="D50" s="19" t="n"/>
      <c r="E50" s="19" t="n"/>
      <c r="F50" s="19" t="n"/>
      <c r="G50" s="19" t="n"/>
      <c r="H50" s="19" t="n"/>
      <c r="I50" s="19" t="n"/>
      <c r="J50" s="19" t="n"/>
      <c r="K50" s="19" t="n"/>
      <c r="L50" s="35" t="n"/>
      <c r="M50" s="5">
        <f>IF($D50="","",IFERROR(VLOOKUP($H50,Lists!$N$2:$O$6,2,FALSE),0))</f>
        <v/>
      </c>
      <c r="N50" s="5">
        <f>IF($D50="","",IF(OR($E50="Blocked",$E50="Done",$E50="Archive"),-9999,IF(AND($E50="Waiting",SUMPRODUCT((($E$5:$E$500="Next")+($E$5:$E$500="In Progress")+($E$5:$E$500="Captured"))*($D$5:$D$500&lt;&gt;""))&gt;0),-500,VLOOKUP($F50,Lists!$L$2:$M$4,2,FALSE)+IF($E50="In Progress",10,0)+IF(AND($I50&lt;&gt;"",$I50&lt;TODAY()),25,0)+IF(AND($I50&lt;&gt;"",$I50&gt;=TODAY(),$I50&lt;=TODAY()+7),15,0)+IF($H50="",0,IF($M50&lt;=VLOOKUP(Home!$C$7,Lists!$N$2:$O$6,2,FALSE),20,-10))+IF($G50=Home!$E$7,15,IF(Home!$E$7="",0,-5))-ROW()/100000)))</f>
        <v/>
      </c>
      <c r="O50" s="5">
        <f>IF($D50="","",IF($N50&lt;=-500,"Not recommended right now",IF($E50="Waiting","Nothing else actionable right now — Waiting on: "&amp;IF($K50="","this item",$K50),MID($V50,4,9999))))</f>
        <v/>
      </c>
      <c r="P50" s="5">
        <f>IF($D50="","",IF('Task Finder'!$C$6="High Priority",AND($F50="High",$E50&lt;&gt;"Done",$E50&lt;&gt;"Archive"),IF('Task Finder'!$C$6="Due This Week",AND($I50&lt;&gt;"",$I50&gt;=TODAY(),$I50&lt;=TODAY()+7,$E50&lt;&gt;"Done"),IF('Task Finder'!$C$6="Quick Wins (15 mins or less)",AND($M50&lt;=15,$E50&lt;&gt;"Done",$E50&lt;&gt;"Blocked"),IF('Task Finder'!$C$6="Deep Thinking",AND($G50="Deep Thinking",$E50&lt;&gt;"Done"),IF('Task Finder'!$C$6="Processing",AND($G50="Processing",$E50&lt;&gt;"Done"),IF('Task Finder'!$C$6="Blocked",$E50="Blocked",IF('Task Finder'!$C$6="Waiting",$E50="Waiting",IF('Task Finder'!$C$6="Recently Updated",AND($L50&lt;&gt;"",$L50&gt;=TODAY()-7),IF('Task Finder'!$C$6="Keyword",AND('Task Finder'!$C$7&lt;&gt;"",OR(ISNUMBER(SEARCH('Task Finder'!$C$7,$A50)),ISNUMBER(SEARCH('Task Finder'!$C$7,$B50)),ISNUMBER(SEARCH('Task Finder'!$C$7,$C50)),ISNUMBER(SEARCH('Task Finder'!$C$7,$D50)),ISNUMBER(SEARCH('Task Finder'!$C$7,$K50)))),TRUE))))))))))</f>
        <v/>
      </c>
      <c r="Q50" s="150">
        <f>IF($F50="High","High Priority","")</f>
        <v/>
      </c>
      <c r="R50" s="150">
        <f>IF(AND($I50&lt;&gt;"",$I50&lt;TODAY()),"Overdue","")</f>
        <v/>
      </c>
      <c r="S50" s="150">
        <f>IF(AND($I50&lt;&gt;"",$I50&gt;=TODAY(),$I50&lt;=TODAY()+7),"Due This Week","")</f>
        <v/>
      </c>
      <c r="T50" s="150">
        <f>IF(AND($H50&lt;&gt;"",$M50&lt;=VLOOKUP(Home!$C$7,Lists!$N$2:$O$6,2,FALSE)),$H50&amp;" Task","")</f>
        <v/>
      </c>
      <c r="U50" s="150">
        <f>IF($G50=Home!$E$7,"Fits Current Energy","")</f>
        <v/>
      </c>
      <c r="V50" s="150">
        <f>IF($Q50&lt;&gt;""," • "&amp;$Q50,"")&amp;IF($R50&lt;&gt;""," • "&amp;$R50,"")&amp;IF($S50&lt;&gt;""," • "&amp;$S50,"")&amp;IF($T50&lt;&gt;""," • "&amp;$T50,"")&amp;IF($U50&lt;&gt;""," • "&amp;$U50,"")&amp;" • No Blockers"</f>
        <v/>
      </c>
    </row>
    <row r="51">
      <c r="A51" s="19" t="n"/>
      <c r="B51" s="19" t="n"/>
      <c r="C51" s="19" t="n"/>
      <c r="D51" s="19" t="n"/>
      <c r="E51" s="19" t="n"/>
      <c r="F51" s="19" t="n"/>
      <c r="G51" s="19" t="n"/>
      <c r="H51" s="19" t="n"/>
      <c r="I51" s="19" t="n"/>
      <c r="J51" s="19" t="n"/>
      <c r="K51" s="19" t="n"/>
      <c r="L51" s="35" t="n"/>
      <c r="M51" s="5">
        <f>IF($D51="","",IFERROR(VLOOKUP($H51,Lists!$N$2:$O$6,2,FALSE),0))</f>
        <v/>
      </c>
      <c r="N51" s="5">
        <f>IF($D51="","",IF(OR($E51="Blocked",$E51="Done",$E51="Archive"),-9999,IF(AND($E51="Waiting",SUMPRODUCT((($E$5:$E$500="Next")+($E$5:$E$500="In Progress")+($E$5:$E$500="Captured"))*($D$5:$D$500&lt;&gt;""))&gt;0),-500,VLOOKUP($F51,Lists!$L$2:$M$4,2,FALSE)+IF($E51="In Progress",10,0)+IF(AND($I51&lt;&gt;"",$I51&lt;TODAY()),25,0)+IF(AND($I51&lt;&gt;"",$I51&gt;=TODAY(),$I51&lt;=TODAY()+7),15,0)+IF($H51="",0,IF($M51&lt;=VLOOKUP(Home!$C$7,Lists!$N$2:$O$6,2,FALSE),20,-10))+IF($G51=Home!$E$7,15,IF(Home!$E$7="",0,-5))-ROW()/100000)))</f>
        <v/>
      </c>
      <c r="O51" s="5">
        <f>IF($D51="","",IF($N51&lt;=-500,"Not recommended right now",IF($E51="Waiting","Nothing else actionable right now — Waiting on: "&amp;IF($K51="","this item",$K51),MID($V51,4,9999))))</f>
        <v/>
      </c>
      <c r="P51" s="5">
        <f>IF($D51="","",IF('Task Finder'!$C$6="High Priority",AND($F51="High",$E51&lt;&gt;"Done",$E51&lt;&gt;"Archive"),IF('Task Finder'!$C$6="Due This Week",AND($I51&lt;&gt;"",$I51&gt;=TODAY(),$I51&lt;=TODAY()+7,$E51&lt;&gt;"Done"),IF('Task Finder'!$C$6="Quick Wins (15 mins or less)",AND($M51&lt;=15,$E51&lt;&gt;"Done",$E51&lt;&gt;"Blocked"),IF('Task Finder'!$C$6="Deep Thinking",AND($G51="Deep Thinking",$E51&lt;&gt;"Done"),IF('Task Finder'!$C$6="Processing",AND($G51="Processing",$E51&lt;&gt;"Done"),IF('Task Finder'!$C$6="Blocked",$E51="Blocked",IF('Task Finder'!$C$6="Waiting",$E51="Waiting",IF('Task Finder'!$C$6="Recently Updated",AND($L51&lt;&gt;"",$L51&gt;=TODAY()-7),IF('Task Finder'!$C$6="Keyword",AND('Task Finder'!$C$7&lt;&gt;"",OR(ISNUMBER(SEARCH('Task Finder'!$C$7,$A51)),ISNUMBER(SEARCH('Task Finder'!$C$7,$B51)),ISNUMBER(SEARCH('Task Finder'!$C$7,$C51)),ISNUMBER(SEARCH('Task Finder'!$C$7,$D51)),ISNUMBER(SEARCH('Task Finder'!$C$7,$K51)))),TRUE))))))))))</f>
        <v/>
      </c>
      <c r="Q51" s="150">
        <f>IF($F51="High","High Priority","")</f>
        <v/>
      </c>
      <c r="R51" s="150">
        <f>IF(AND($I51&lt;&gt;"",$I51&lt;TODAY()),"Overdue","")</f>
        <v/>
      </c>
      <c r="S51" s="150">
        <f>IF(AND($I51&lt;&gt;"",$I51&gt;=TODAY(),$I51&lt;=TODAY()+7),"Due This Week","")</f>
        <v/>
      </c>
      <c r="T51" s="150">
        <f>IF(AND($H51&lt;&gt;"",$M51&lt;=VLOOKUP(Home!$C$7,Lists!$N$2:$O$6,2,FALSE)),$H51&amp;" Task","")</f>
        <v/>
      </c>
      <c r="U51" s="150">
        <f>IF($G51=Home!$E$7,"Fits Current Energy","")</f>
        <v/>
      </c>
      <c r="V51" s="150">
        <f>IF($Q51&lt;&gt;""," • "&amp;$Q51,"")&amp;IF($R51&lt;&gt;""," • "&amp;$R51,"")&amp;IF($S51&lt;&gt;""," • "&amp;$S51,"")&amp;IF($T51&lt;&gt;""," • "&amp;$T51,"")&amp;IF($U51&lt;&gt;""," • "&amp;$U51,"")&amp;" • No Blockers"</f>
        <v/>
      </c>
    </row>
    <row r="52">
      <c r="A52" s="19" t="n"/>
      <c r="B52" s="19" t="n"/>
      <c r="C52" s="19" t="n"/>
      <c r="D52" s="19" t="n"/>
      <c r="E52" s="19" t="n"/>
      <c r="F52" s="19" t="n"/>
      <c r="G52" s="19" t="n"/>
      <c r="H52" s="19" t="n"/>
      <c r="I52" s="19" t="n"/>
      <c r="J52" s="19" t="n"/>
      <c r="K52" s="19" t="n"/>
      <c r="L52" s="35" t="n"/>
      <c r="M52" s="5">
        <f>IF($D52="","",IFERROR(VLOOKUP($H52,Lists!$N$2:$O$6,2,FALSE),0))</f>
        <v/>
      </c>
      <c r="N52" s="5">
        <f>IF($D52="","",IF(OR($E52="Blocked",$E52="Done",$E52="Archive"),-9999,IF(AND($E52="Waiting",SUMPRODUCT((($E$5:$E$500="Next")+($E$5:$E$500="In Progress")+($E$5:$E$500="Captured"))*($D$5:$D$500&lt;&gt;""))&gt;0),-500,VLOOKUP($F52,Lists!$L$2:$M$4,2,FALSE)+IF($E52="In Progress",10,0)+IF(AND($I52&lt;&gt;"",$I52&lt;TODAY()),25,0)+IF(AND($I52&lt;&gt;"",$I52&gt;=TODAY(),$I52&lt;=TODAY()+7),15,0)+IF($H52="",0,IF($M52&lt;=VLOOKUP(Home!$C$7,Lists!$N$2:$O$6,2,FALSE),20,-10))+IF($G52=Home!$E$7,15,IF(Home!$E$7="",0,-5))-ROW()/100000)))</f>
        <v/>
      </c>
      <c r="O52" s="5">
        <f>IF($D52="","",IF($N52&lt;=-500,"Not recommended right now",IF($E52="Waiting","Nothing else actionable right now — Waiting on: "&amp;IF($K52="","this item",$K52),MID($V52,4,9999))))</f>
        <v/>
      </c>
      <c r="P52" s="5">
        <f>IF($D52="","",IF('Task Finder'!$C$6="High Priority",AND($F52="High",$E52&lt;&gt;"Done",$E52&lt;&gt;"Archive"),IF('Task Finder'!$C$6="Due This Week",AND($I52&lt;&gt;"",$I52&gt;=TODAY(),$I52&lt;=TODAY()+7,$E52&lt;&gt;"Done"),IF('Task Finder'!$C$6="Quick Wins (15 mins or less)",AND($M52&lt;=15,$E52&lt;&gt;"Done",$E52&lt;&gt;"Blocked"),IF('Task Finder'!$C$6="Deep Thinking",AND($G52="Deep Thinking",$E52&lt;&gt;"Done"),IF('Task Finder'!$C$6="Processing",AND($G52="Processing",$E52&lt;&gt;"Done"),IF('Task Finder'!$C$6="Blocked",$E52="Blocked",IF('Task Finder'!$C$6="Waiting",$E52="Waiting",IF('Task Finder'!$C$6="Recently Updated",AND($L52&lt;&gt;"",$L52&gt;=TODAY()-7),IF('Task Finder'!$C$6="Keyword",AND('Task Finder'!$C$7&lt;&gt;"",OR(ISNUMBER(SEARCH('Task Finder'!$C$7,$A52)),ISNUMBER(SEARCH('Task Finder'!$C$7,$B52)),ISNUMBER(SEARCH('Task Finder'!$C$7,$C52)),ISNUMBER(SEARCH('Task Finder'!$C$7,$D52)),ISNUMBER(SEARCH('Task Finder'!$C$7,$K52)))),TRUE))))))))))</f>
        <v/>
      </c>
      <c r="Q52" s="150">
        <f>IF($F52="High","High Priority","")</f>
        <v/>
      </c>
      <c r="R52" s="150">
        <f>IF(AND($I52&lt;&gt;"",$I52&lt;TODAY()),"Overdue","")</f>
        <v/>
      </c>
      <c r="S52" s="150">
        <f>IF(AND($I52&lt;&gt;"",$I52&gt;=TODAY(),$I52&lt;=TODAY()+7),"Due This Week","")</f>
        <v/>
      </c>
      <c r="T52" s="150">
        <f>IF(AND($H52&lt;&gt;"",$M52&lt;=VLOOKUP(Home!$C$7,Lists!$N$2:$O$6,2,FALSE)),$H52&amp;" Task","")</f>
        <v/>
      </c>
      <c r="U52" s="150">
        <f>IF($G52=Home!$E$7,"Fits Current Energy","")</f>
        <v/>
      </c>
      <c r="V52" s="150">
        <f>IF($Q52&lt;&gt;""," • "&amp;$Q52,"")&amp;IF($R52&lt;&gt;""," • "&amp;$R52,"")&amp;IF($S52&lt;&gt;""," • "&amp;$S52,"")&amp;IF($T52&lt;&gt;""," • "&amp;$T52,"")&amp;IF($U52&lt;&gt;""," • "&amp;$U52,"")&amp;" • No Blockers"</f>
        <v/>
      </c>
    </row>
    <row r="53">
      <c r="A53" s="19" t="n"/>
      <c r="B53" s="19" t="n"/>
      <c r="C53" s="19" t="n"/>
      <c r="D53" s="19" t="n"/>
      <c r="E53" s="19" t="n"/>
      <c r="F53" s="19" t="n"/>
      <c r="G53" s="19" t="n"/>
      <c r="H53" s="19" t="n"/>
      <c r="I53" s="19" t="n"/>
      <c r="J53" s="19" t="n"/>
      <c r="K53" s="19" t="n"/>
      <c r="L53" s="35" t="n"/>
      <c r="M53" s="5">
        <f>IF($D53="","",IFERROR(VLOOKUP($H53,Lists!$N$2:$O$6,2,FALSE),0))</f>
        <v/>
      </c>
      <c r="N53" s="5">
        <f>IF($D53="","",IF(OR($E53="Blocked",$E53="Done",$E53="Archive"),-9999,IF(AND($E53="Waiting",SUMPRODUCT((($E$5:$E$500="Next")+($E$5:$E$500="In Progress")+($E$5:$E$500="Captured"))*($D$5:$D$500&lt;&gt;""))&gt;0),-500,VLOOKUP($F53,Lists!$L$2:$M$4,2,FALSE)+IF($E53="In Progress",10,0)+IF(AND($I53&lt;&gt;"",$I53&lt;TODAY()),25,0)+IF(AND($I53&lt;&gt;"",$I53&gt;=TODAY(),$I53&lt;=TODAY()+7),15,0)+IF($H53="",0,IF($M53&lt;=VLOOKUP(Home!$C$7,Lists!$N$2:$O$6,2,FALSE),20,-10))+IF($G53=Home!$E$7,15,IF(Home!$E$7="",0,-5))-ROW()/100000)))</f>
        <v/>
      </c>
      <c r="O53" s="5">
        <f>IF($D53="","",IF($N53&lt;=-500,"Not recommended right now",IF($E53="Waiting","Nothing else actionable right now — Waiting on: "&amp;IF($K53="","this item",$K53),MID($V53,4,9999))))</f>
        <v/>
      </c>
      <c r="P53" s="5">
        <f>IF($D53="","",IF('Task Finder'!$C$6="High Priority",AND($F53="High",$E53&lt;&gt;"Done",$E53&lt;&gt;"Archive"),IF('Task Finder'!$C$6="Due This Week",AND($I53&lt;&gt;"",$I53&gt;=TODAY(),$I53&lt;=TODAY()+7,$E53&lt;&gt;"Done"),IF('Task Finder'!$C$6="Quick Wins (15 mins or less)",AND($M53&lt;=15,$E53&lt;&gt;"Done",$E53&lt;&gt;"Blocked"),IF('Task Finder'!$C$6="Deep Thinking",AND($G53="Deep Thinking",$E53&lt;&gt;"Done"),IF('Task Finder'!$C$6="Processing",AND($G53="Processing",$E53&lt;&gt;"Done"),IF('Task Finder'!$C$6="Blocked",$E53="Blocked",IF('Task Finder'!$C$6="Waiting",$E53="Waiting",IF('Task Finder'!$C$6="Recently Updated",AND($L53&lt;&gt;"",$L53&gt;=TODAY()-7),IF('Task Finder'!$C$6="Keyword",AND('Task Finder'!$C$7&lt;&gt;"",OR(ISNUMBER(SEARCH('Task Finder'!$C$7,$A53)),ISNUMBER(SEARCH('Task Finder'!$C$7,$B53)),ISNUMBER(SEARCH('Task Finder'!$C$7,$C53)),ISNUMBER(SEARCH('Task Finder'!$C$7,$D53)),ISNUMBER(SEARCH('Task Finder'!$C$7,$K53)))),TRUE))))))))))</f>
        <v/>
      </c>
      <c r="Q53" s="150">
        <f>IF($F53="High","High Priority","")</f>
        <v/>
      </c>
      <c r="R53" s="150">
        <f>IF(AND($I53&lt;&gt;"",$I53&lt;TODAY()),"Overdue","")</f>
        <v/>
      </c>
      <c r="S53" s="150">
        <f>IF(AND($I53&lt;&gt;"",$I53&gt;=TODAY(),$I53&lt;=TODAY()+7),"Due This Week","")</f>
        <v/>
      </c>
      <c r="T53" s="150">
        <f>IF(AND($H53&lt;&gt;"",$M53&lt;=VLOOKUP(Home!$C$7,Lists!$N$2:$O$6,2,FALSE)),$H53&amp;" Task","")</f>
        <v/>
      </c>
      <c r="U53" s="150">
        <f>IF($G53=Home!$E$7,"Fits Current Energy","")</f>
        <v/>
      </c>
      <c r="V53" s="150">
        <f>IF($Q53&lt;&gt;""," • "&amp;$Q53,"")&amp;IF($R53&lt;&gt;""," • "&amp;$R53,"")&amp;IF($S53&lt;&gt;""," • "&amp;$S53,"")&amp;IF($T53&lt;&gt;""," • "&amp;$T53,"")&amp;IF($U53&lt;&gt;""," • "&amp;$U53,"")&amp;" • No Blockers"</f>
        <v/>
      </c>
    </row>
    <row r="54">
      <c r="A54" s="19" t="n"/>
      <c r="B54" s="19" t="n"/>
      <c r="C54" s="19" t="n"/>
      <c r="D54" s="19" t="n"/>
      <c r="E54" s="19" t="n"/>
      <c r="F54" s="19" t="n"/>
      <c r="G54" s="19" t="n"/>
      <c r="H54" s="19" t="n"/>
      <c r="I54" s="19" t="n"/>
      <c r="J54" s="19" t="n"/>
      <c r="K54" s="19" t="n"/>
      <c r="L54" s="35" t="n"/>
      <c r="M54" s="5">
        <f>IF($D54="","",IFERROR(VLOOKUP($H54,Lists!$N$2:$O$6,2,FALSE),0))</f>
        <v/>
      </c>
      <c r="N54" s="5">
        <f>IF($D54="","",IF(OR($E54="Blocked",$E54="Done",$E54="Archive"),-9999,IF(AND($E54="Waiting",SUMPRODUCT((($E$5:$E$500="Next")+($E$5:$E$500="In Progress")+($E$5:$E$500="Captured"))*($D$5:$D$500&lt;&gt;""))&gt;0),-500,VLOOKUP($F54,Lists!$L$2:$M$4,2,FALSE)+IF($E54="In Progress",10,0)+IF(AND($I54&lt;&gt;"",$I54&lt;TODAY()),25,0)+IF(AND($I54&lt;&gt;"",$I54&gt;=TODAY(),$I54&lt;=TODAY()+7),15,0)+IF($H54="",0,IF($M54&lt;=VLOOKUP(Home!$C$7,Lists!$N$2:$O$6,2,FALSE),20,-10))+IF($G54=Home!$E$7,15,IF(Home!$E$7="",0,-5))-ROW()/100000)))</f>
        <v/>
      </c>
      <c r="O54" s="5">
        <f>IF($D54="","",IF($N54&lt;=-500,"Not recommended right now",IF($E54="Waiting","Nothing else actionable right now — Waiting on: "&amp;IF($K54="","this item",$K54),MID($V54,4,9999))))</f>
        <v/>
      </c>
      <c r="P54" s="5">
        <f>IF($D54="","",IF('Task Finder'!$C$6="High Priority",AND($F54="High",$E54&lt;&gt;"Done",$E54&lt;&gt;"Archive"),IF('Task Finder'!$C$6="Due This Week",AND($I54&lt;&gt;"",$I54&gt;=TODAY(),$I54&lt;=TODAY()+7,$E54&lt;&gt;"Done"),IF('Task Finder'!$C$6="Quick Wins (15 mins or less)",AND($M54&lt;=15,$E54&lt;&gt;"Done",$E54&lt;&gt;"Blocked"),IF('Task Finder'!$C$6="Deep Thinking",AND($G54="Deep Thinking",$E54&lt;&gt;"Done"),IF('Task Finder'!$C$6="Processing",AND($G54="Processing",$E54&lt;&gt;"Done"),IF('Task Finder'!$C$6="Blocked",$E54="Blocked",IF('Task Finder'!$C$6="Waiting",$E54="Waiting",IF('Task Finder'!$C$6="Recently Updated",AND($L54&lt;&gt;"",$L54&gt;=TODAY()-7),IF('Task Finder'!$C$6="Keyword",AND('Task Finder'!$C$7&lt;&gt;"",OR(ISNUMBER(SEARCH('Task Finder'!$C$7,$A54)),ISNUMBER(SEARCH('Task Finder'!$C$7,$B54)),ISNUMBER(SEARCH('Task Finder'!$C$7,$C54)),ISNUMBER(SEARCH('Task Finder'!$C$7,$D54)),ISNUMBER(SEARCH('Task Finder'!$C$7,$K54)))),TRUE))))))))))</f>
        <v/>
      </c>
      <c r="Q54" s="150">
        <f>IF($F54="High","High Priority","")</f>
        <v/>
      </c>
      <c r="R54" s="150">
        <f>IF(AND($I54&lt;&gt;"",$I54&lt;TODAY()),"Overdue","")</f>
        <v/>
      </c>
      <c r="S54" s="150">
        <f>IF(AND($I54&lt;&gt;"",$I54&gt;=TODAY(),$I54&lt;=TODAY()+7),"Due This Week","")</f>
        <v/>
      </c>
      <c r="T54" s="150">
        <f>IF(AND($H54&lt;&gt;"",$M54&lt;=VLOOKUP(Home!$C$7,Lists!$N$2:$O$6,2,FALSE)),$H54&amp;" Task","")</f>
        <v/>
      </c>
      <c r="U54" s="150">
        <f>IF($G54=Home!$E$7,"Fits Current Energy","")</f>
        <v/>
      </c>
      <c r="V54" s="150">
        <f>IF($Q54&lt;&gt;""," • "&amp;$Q54,"")&amp;IF($R54&lt;&gt;""," • "&amp;$R54,"")&amp;IF($S54&lt;&gt;""," • "&amp;$S54,"")&amp;IF($T54&lt;&gt;""," • "&amp;$T54,"")&amp;IF($U54&lt;&gt;""," • "&amp;$U54,"")&amp;" • No Blockers"</f>
        <v/>
      </c>
    </row>
    <row r="55">
      <c r="A55" s="19" t="n"/>
      <c r="B55" s="19" t="n"/>
      <c r="C55" s="19" t="n"/>
      <c r="D55" s="19" t="n"/>
      <c r="E55" s="19" t="n"/>
      <c r="F55" s="19" t="n"/>
      <c r="G55" s="19" t="n"/>
      <c r="H55" s="19" t="n"/>
      <c r="I55" s="19" t="n"/>
      <c r="J55" s="19" t="n"/>
      <c r="K55" s="19" t="n"/>
      <c r="L55" s="35" t="n"/>
      <c r="M55" s="5">
        <f>IF($D55="","",IFERROR(VLOOKUP($H55,Lists!$N$2:$O$6,2,FALSE),0))</f>
        <v/>
      </c>
      <c r="N55" s="5">
        <f>IF($D55="","",IF(OR($E55="Blocked",$E55="Done",$E55="Archive"),-9999,IF(AND($E55="Waiting",SUMPRODUCT((($E$5:$E$500="Next")+($E$5:$E$500="In Progress")+($E$5:$E$500="Captured"))*($D$5:$D$500&lt;&gt;""))&gt;0),-500,VLOOKUP($F55,Lists!$L$2:$M$4,2,FALSE)+IF($E55="In Progress",10,0)+IF(AND($I55&lt;&gt;"",$I55&lt;TODAY()),25,0)+IF(AND($I55&lt;&gt;"",$I55&gt;=TODAY(),$I55&lt;=TODAY()+7),15,0)+IF($H55="",0,IF($M55&lt;=VLOOKUP(Home!$C$7,Lists!$N$2:$O$6,2,FALSE),20,-10))+IF($G55=Home!$E$7,15,IF(Home!$E$7="",0,-5))-ROW()/100000)))</f>
        <v/>
      </c>
      <c r="O55" s="5">
        <f>IF($D55="","",IF($N55&lt;=-500,"Not recommended right now",IF($E55="Waiting","Nothing else actionable right now — Waiting on: "&amp;IF($K55="","this item",$K55),MID($V55,4,9999))))</f>
        <v/>
      </c>
      <c r="P55" s="5">
        <f>IF($D55="","",IF('Task Finder'!$C$6="High Priority",AND($F55="High",$E55&lt;&gt;"Done",$E55&lt;&gt;"Archive"),IF('Task Finder'!$C$6="Due This Week",AND($I55&lt;&gt;"",$I55&gt;=TODAY(),$I55&lt;=TODAY()+7,$E55&lt;&gt;"Done"),IF('Task Finder'!$C$6="Quick Wins (15 mins or less)",AND($M55&lt;=15,$E55&lt;&gt;"Done",$E55&lt;&gt;"Blocked"),IF('Task Finder'!$C$6="Deep Thinking",AND($G55="Deep Thinking",$E55&lt;&gt;"Done"),IF('Task Finder'!$C$6="Processing",AND($G55="Processing",$E55&lt;&gt;"Done"),IF('Task Finder'!$C$6="Blocked",$E55="Blocked",IF('Task Finder'!$C$6="Waiting",$E55="Waiting",IF('Task Finder'!$C$6="Recently Updated",AND($L55&lt;&gt;"",$L55&gt;=TODAY()-7),IF('Task Finder'!$C$6="Keyword",AND('Task Finder'!$C$7&lt;&gt;"",OR(ISNUMBER(SEARCH('Task Finder'!$C$7,$A55)),ISNUMBER(SEARCH('Task Finder'!$C$7,$B55)),ISNUMBER(SEARCH('Task Finder'!$C$7,$C55)),ISNUMBER(SEARCH('Task Finder'!$C$7,$D55)),ISNUMBER(SEARCH('Task Finder'!$C$7,$K55)))),TRUE))))))))))</f>
        <v/>
      </c>
      <c r="Q55" s="150">
        <f>IF($F55="High","High Priority","")</f>
        <v/>
      </c>
      <c r="R55" s="150">
        <f>IF(AND($I55&lt;&gt;"",$I55&lt;TODAY()),"Overdue","")</f>
        <v/>
      </c>
      <c r="S55" s="150">
        <f>IF(AND($I55&lt;&gt;"",$I55&gt;=TODAY(),$I55&lt;=TODAY()+7),"Due This Week","")</f>
        <v/>
      </c>
      <c r="T55" s="150">
        <f>IF(AND($H55&lt;&gt;"",$M55&lt;=VLOOKUP(Home!$C$7,Lists!$N$2:$O$6,2,FALSE)),$H55&amp;" Task","")</f>
        <v/>
      </c>
      <c r="U55" s="150">
        <f>IF($G55=Home!$E$7,"Fits Current Energy","")</f>
        <v/>
      </c>
      <c r="V55" s="150">
        <f>IF($Q55&lt;&gt;""," • "&amp;$Q55,"")&amp;IF($R55&lt;&gt;""," • "&amp;$R55,"")&amp;IF($S55&lt;&gt;""," • "&amp;$S55,"")&amp;IF($T55&lt;&gt;""," • "&amp;$T55,"")&amp;IF($U55&lt;&gt;""," • "&amp;$U55,"")&amp;" • No Blockers"</f>
        <v/>
      </c>
    </row>
    <row r="56">
      <c r="A56" s="19" t="n"/>
      <c r="B56" s="19" t="n"/>
      <c r="C56" s="19" t="n"/>
      <c r="D56" s="19" t="n"/>
      <c r="E56" s="19" t="n"/>
      <c r="F56" s="19" t="n"/>
      <c r="G56" s="19" t="n"/>
      <c r="H56" s="19" t="n"/>
      <c r="I56" s="19" t="n"/>
      <c r="J56" s="19" t="n"/>
      <c r="K56" s="19" t="n"/>
      <c r="L56" s="35" t="n"/>
      <c r="M56" s="5">
        <f>IF($D56="","",IFERROR(VLOOKUP($H56,Lists!$N$2:$O$6,2,FALSE),0))</f>
        <v/>
      </c>
      <c r="N56" s="5">
        <f>IF($D56="","",IF(OR($E56="Blocked",$E56="Done",$E56="Archive"),-9999,IF(AND($E56="Waiting",SUMPRODUCT((($E$5:$E$500="Next")+($E$5:$E$500="In Progress")+($E$5:$E$500="Captured"))*($D$5:$D$500&lt;&gt;""))&gt;0),-500,VLOOKUP($F56,Lists!$L$2:$M$4,2,FALSE)+IF($E56="In Progress",10,0)+IF(AND($I56&lt;&gt;"",$I56&lt;TODAY()),25,0)+IF(AND($I56&lt;&gt;"",$I56&gt;=TODAY(),$I56&lt;=TODAY()+7),15,0)+IF($H56="",0,IF($M56&lt;=VLOOKUP(Home!$C$7,Lists!$N$2:$O$6,2,FALSE),20,-10))+IF($G56=Home!$E$7,15,IF(Home!$E$7="",0,-5))-ROW()/100000)))</f>
        <v/>
      </c>
      <c r="O56" s="5">
        <f>IF($D56="","",IF($N56&lt;=-500,"Not recommended right now",IF($E56="Waiting","Nothing else actionable right now — Waiting on: "&amp;IF($K56="","this item",$K56),MID($V56,4,9999))))</f>
        <v/>
      </c>
      <c r="P56" s="5">
        <f>IF($D56="","",IF('Task Finder'!$C$6="High Priority",AND($F56="High",$E56&lt;&gt;"Done",$E56&lt;&gt;"Archive"),IF('Task Finder'!$C$6="Due This Week",AND($I56&lt;&gt;"",$I56&gt;=TODAY(),$I56&lt;=TODAY()+7,$E56&lt;&gt;"Done"),IF('Task Finder'!$C$6="Quick Wins (15 mins or less)",AND($M56&lt;=15,$E56&lt;&gt;"Done",$E56&lt;&gt;"Blocked"),IF('Task Finder'!$C$6="Deep Thinking",AND($G56="Deep Thinking",$E56&lt;&gt;"Done"),IF('Task Finder'!$C$6="Processing",AND($G56="Processing",$E56&lt;&gt;"Done"),IF('Task Finder'!$C$6="Blocked",$E56="Blocked",IF('Task Finder'!$C$6="Waiting",$E56="Waiting",IF('Task Finder'!$C$6="Recently Updated",AND($L56&lt;&gt;"",$L56&gt;=TODAY()-7),IF('Task Finder'!$C$6="Keyword",AND('Task Finder'!$C$7&lt;&gt;"",OR(ISNUMBER(SEARCH('Task Finder'!$C$7,$A56)),ISNUMBER(SEARCH('Task Finder'!$C$7,$B56)),ISNUMBER(SEARCH('Task Finder'!$C$7,$C56)),ISNUMBER(SEARCH('Task Finder'!$C$7,$D56)),ISNUMBER(SEARCH('Task Finder'!$C$7,$K56)))),TRUE))))))))))</f>
        <v/>
      </c>
      <c r="Q56" s="150">
        <f>IF($F56="High","High Priority","")</f>
        <v/>
      </c>
      <c r="R56" s="150">
        <f>IF(AND($I56&lt;&gt;"",$I56&lt;TODAY()),"Overdue","")</f>
        <v/>
      </c>
      <c r="S56" s="150">
        <f>IF(AND($I56&lt;&gt;"",$I56&gt;=TODAY(),$I56&lt;=TODAY()+7),"Due This Week","")</f>
        <v/>
      </c>
      <c r="T56" s="150">
        <f>IF(AND($H56&lt;&gt;"",$M56&lt;=VLOOKUP(Home!$C$7,Lists!$N$2:$O$6,2,FALSE)),$H56&amp;" Task","")</f>
        <v/>
      </c>
      <c r="U56" s="150">
        <f>IF($G56=Home!$E$7,"Fits Current Energy","")</f>
        <v/>
      </c>
      <c r="V56" s="150">
        <f>IF($Q56&lt;&gt;""," • "&amp;$Q56,"")&amp;IF($R56&lt;&gt;""," • "&amp;$R56,"")&amp;IF($S56&lt;&gt;""," • "&amp;$S56,"")&amp;IF($T56&lt;&gt;""," • "&amp;$T56,"")&amp;IF($U56&lt;&gt;""," • "&amp;$U56,"")&amp;" • No Blockers"</f>
        <v/>
      </c>
    </row>
    <row r="57">
      <c r="A57" s="19" t="n"/>
      <c r="B57" s="19" t="n"/>
      <c r="C57" s="19" t="n"/>
      <c r="D57" s="19" t="n"/>
      <c r="E57" s="19" t="n"/>
      <c r="F57" s="19" t="n"/>
      <c r="G57" s="19" t="n"/>
      <c r="H57" s="19" t="n"/>
      <c r="I57" s="19" t="n"/>
      <c r="J57" s="19" t="n"/>
      <c r="K57" s="19" t="n"/>
      <c r="L57" s="35" t="n"/>
      <c r="M57" s="5">
        <f>IF($D57="","",IFERROR(VLOOKUP($H57,Lists!$N$2:$O$6,2,FALSE),0))</f>
        <v/>
      </c>
      <c r="N57" s="5">
        <f>IF($D57="","",IF(OR($E57="Blocked",$E57="Done",$E57="Archive"),-9999,IF(AND($E57="Waiting",SUMPRODUCT((($E$5:$E$500="Next")+($E$5:$E$500="In Progress")+($E$5:$E$500="Captured"))*($D$5:$D$500&lt;&gt;""))&gt;0),-500,VLOOKUP($F57,Lists!$L$2:$M$4,2,FALSE)+IF($E57="In Progress",10,0)+IF(AND($I57&lt;&gt;"",$I57&lt;TODAY()),25,0)+IF(AND($I57&lt;&gt;"",$I57&gt;=TODAY(),$I57&lt;=TODAY()+7),15,0)+IF($H57="",0,IF($M57&lt;=VLOOKUP(Home!$C$7,Lists!$N$2:$O$6,2,FALSE),20,-10))+IF($G57=Home!$E$7,15,IF(Home!$E$7="",0,-5))-ROW()/100000)))</f>
        <v/>
      </c>
      <c r="O57" s="5">
        <f>IF($D57="","",IF($N57&lt;=-500,"Not recommended right now",IF($E57="Waiting","Nothing else actionable right now — Waiting on: "&amp;IF($K57="","this item",$K57),MID($V57,4,9999))))</f>
        <v/>
      </c>
      <c r="P57" s="5">
        <f>IF($D57="","",IF('Task Finder'!$C$6="High Priority",AND($F57="High",$E57&lt;&gt;"Done",$E57&lt;&gt;"Archive"),IF('Task Finder'!$C$6="Due This Week",AND($I57&lt;&gt;"",$I57&gt;=TODAY(),$I57&lt;=TODAY()+7,$E57&lt;&gt;"Done"),IF('Task Finder'!$C$6="Quick Wins (15 mins or less)",AND($M57&lt;=15,$E57&lt;&gt;"Done",$E57&lt;&gt;"Blocked"),IF('Task Finder'!$C$6="Deep Thinking",AND($G57="Deep Thinking",$E57&lt;&gt;"Done"),IF('Task Finder'!$C$6="Processing",AND($G57="Processing",$E57&lt;&gt;"Done"),IF('Task Finder'!$C$6="Blocked",$E57="Blocked",IF('Task Finder'!$C$6="Waiting",$E57="Waiting",IF('Task Finder'!$C$6="Recently Updated",AND($L57&lt;&gt;"",$L57&gt;=TODAY()-7),IF('Task Finder'!$C$6="Keyword",AND('Task Finder'!$C$7&lt;&gt;"",OR(ISNUMBER(SEARCH('Task Finder'!$C$7,$A57)),ISNUMBER(SEARCH('Task Finder'!$C$7,$B57)),ISNUMBER(SEARCH('Task Finder'!$C$7,$C57)),ISNUMBER(SEARCH('Task Finder'!$C$7,$D57)),ISNUMBER(SEARCH('Task Finder'!$C$7,$K57)))),TRUE))))))))))</f>
        <v/>
      </c>
      <c r="Q57" s="150">
        <f>IF($F57="High","High Priority","")</f>
        <v/>
      </c>
      <c r="R57" s="150">
        <f>IF(AND($I57&lt;&gt;"",$I57&lt;TODAY()),"Overdue","")</f>
        <v/>
      </c>
      <c r="S57" s="150">
        <f>IF(AND($I57&lt;&gt;"",$I57&gt;=TODAY(),$I57&lt;=TODAY()+7),"Due This Week","")</f>
        <v/>
      </c>
      <c r="T57" s="150">
        <f>IF(AND($H57&lt;&gt;"",$M57&lt;=VLOOKUP(Home!$C$7,Lists!$N$2:$O$6,2,FALSE)),$H57&amp;" Task","")</f>
        <v/>
      </c>
      <c r="U57" s="150">
        <f>IF($G57=Home!$E$7,"Fits Current Energy","")</f>
        <v/>
      </c>
      <c r="V57" s="150">
        <f>IF($Q57&lt;&gt;""," • "&amp;$Q57,"")&amp;IF($R57&lt;&gt;""," • "&amp;$R57,"")&amp;IF($S57&lt;&gt;""," • "&amp;$S57,"")&amp;IF($T57&lt;&gt;""," • "&amp;$T57,"")&amp;IF($U57&lt;&gt;""," • "&amp;$U57,"")&amp;" • No Blockers"</f>
        <v/>
      </c>
    </row>
    <row r="58">
      <c r="A58" s="19" t="n"/>
      <c r="B58" s="19" t="n"/>
      <c r="C58" s="19" t="n"/>
      <c r="D58" s="19" t="n"/>
      <c r="E58" s="19" t="n"/>
      <c r="F58" s="19" t="n"/>
      <c r="G58" s="19" t="n"/>
      <c r="H58" s="19" t="n"/>
      <c r="I58" s="19" t="n"/>
      <c r="J58" s="19" t="n"/>
      <c r="K58" s="19" t="n"/>
      <c r="L58" s="35" t="n"/>
      <c r="M58" s="5">
        <f>IF($D58="","",IFERROR(VLOOKUP($H58,Lists!$N$2:$O$6,2,FALSE),0))</f>
        <v/>
      </c>
      <c r="N58" s="5">
        <f>IF($D58="","",IF(OR($E58="Blocked",$E58="Done",$E58="Archive"),-9999,IF(AND($E58="Waiting",SUMPRODUCT((($E$5:$E$500="Next")+($E$5:$E$500="In Progress")+($E$5:$E$500="Captured"))*($D$5:$D$500&lt;&gt;""))&gt;0),-500,VLOOKUP($F58,Lists!$L$2:$M$4,2,FALSE)+IF($E58="In Progress",10,0)+IF(AND($I58&lt;&gt;"",$I58&lt;TODAY()),25,0)+IF(AND($I58&lt;&gt;"",$I58&gt;=TODAY(),$I58&lt;=TODAY()+7),15,0)+IF($H58="",0,IF($M58&lt;=VLOOKUP(Home!$C$7,Lists!$N$2:$O$6,2,FALSE),20,-10))+IF($G58=Home!$E$7,15,IF(Home!$E$7="",0,-5))-ROW()/100000)))</f>
        <v/>
      </c>
      <c r="O58" s="5">
        <f>IF($D58="","",IF($N58&lt;=-500,"Not recommended right now",IF($E58="Waiting","Nothing else actionable right now — Waiting on: "&amp;IF($K58="","this item",$K58),MID($V58,4,9999))))</f>
        <v/>
      </c>
      <c r="P58" s="5">
        <f>IF($D58="","",IF('Task Finder'!$C$6="High Priority",AND($F58="High",$E58&lt;&gt;"Done",$E58&lt;&gt;"Archive"),IF('Task Finder'!$C$6="Due This Week",AND($I58&lt;&gt;"",$I58&gt;=TODAY(),$I58&lt;=TODAY()+7,$E58&lt;&gt;"Done"),IF('Task Finder'!$C$6="Quick Wins (15 mins or less)",AND($M58&lt;=15,$E58&lt;&gt;"Done",$E58&lt;&gt;"Blocked"),IF('Task Finder'!$C$6="Deep Thinking",AND($G58="Deep Thinking",$E58&lt;&gt;"Done"),IF('Task Finder'!$C$6="Processing",AND($G58="Processing",$E58&lt;&gt;"Done"),IF('Task Finder'!$C$6="Blocked",$E58="Blocked",IF('Task Finder'!$C$6="Waiting",$E58="Waiting",IF('Task Finder'!$C$6="Recently Updated",AND($L58&lt;&gt;"",$L58&gt;=TODAY()-7),IF('Task Finder'!$C$6="Keyword",AND('Task Finder'!$C$7&lt;&gt;"",OR(ISNUMBER(SEARCH('Task Finder'!$C$7,$A58)),ISNUMBER(SEARCH('Task Finder'!$C$7,$B58)),ISNUMBER(SEARCH('Task Finder'!$C$7,$C58)),ISNUMBER(SEARCH('Task Finder'!$C$7,$D58)),ISNUMBER(SEARCH('Task Finder'!$C$7,$K58)))),TRUE))))))))))</f>
        <v/>
      </c>
      <c r="Q58" s="150">
        <f>IF($F58="High","High Priority","")</f>
        <v/>
      </c>
      <c r="R58" s="150">
        <f>IF(AND($I58&lt;&gt;"",$I58&lt;TODAY()),"Overdue","")</f>
        <v/>
      </c>
      <c r="S58" s="150">
        <f>IF(AND($I58&lt;&gt;"",$I58&gt;=TODAY(),$I58&lt;=TODAY()+7),"Due This Week","")</f>
        <v/>
      </c>
      <c r="T58" s="150">
        <f>IF(AND($H58&lt;&gt;"",$M58&lt;=VLOOKUP(Home!$C$7,Lists!$N$2:$O$6,2,FALSE)),$H58&amp;" Task","")</f>
        <v/>
      </c>
      <c r="U58" s="150">
        <f>IF($G58=Home!$E$7,"Fits Current Energy","")</f>
        <v/>
      </c>
      <c r="V58" s="150">
        <f>IF($Q58&lt;&gt;""," • "&amp;$Q58,"")&amp;IF($R58&lt;&gt;""," • "&amp;$R58,"")&amp;IF($S58&lt;&gt;""," • "&amp;$S58,"")&amp;IF($T58&lt;&gt;""," • "&amp;$T58,"")&amp;IF($U58&lt;&gt;""," • "&amp;$U58,"")&amp;" • No Blockers"</f>
        <v/>
      </c>
    </row>
    <row r="59">
      <c r="A59" s="19" t="n"/>
      <c r="B59" s="19" t="n"/>
      <c r="C59" s="19" t="n"/>
      <c r="D59" s="19" t="n"/>
      <c r="E59" s="19" t="n"/>
      <c r="F59" s="19" t="n"/>
      <c r="G59" s="19" t="n"/>
      <c r="H59" s="19" t="n"/>
      <c r="I59" s="19" t="n"/>
      <c r="J59" s="19" t="n"/>
      <c r="K59" s="19" t="n"/>
      <c r="L59" s="35" t="n"/>
      <c r="M59" s="5">
        <f>IF($D59="","",IFERROR(VLOOKUP($H59,Lists!$N$2:$O$6,2,FALSE),0))</f>
        <v/>
      </c>
      <c r="N59" s="5">
        <f>IF($D59="","",IF(OR($E59="Blocked",$E59="Done",$E59="Archive"),-9999,IF(AND($E59="Waiting",SUMPRODUCT((($E$5:$E$500="Next")+($E$5:$E$500="In Progress")+($E$5:$E$500="Captured"))*($D$5:$D$500&lt;&gt;""))&gt;0),-500,VLOOKUP($F59,Lists!$L$2:$M$4,2,FALSE)+IF($E59="In Progress",10,0)+IF(AND($I59&lt;&gt;"",$I59&lt;TODAY()),25,0)+IF(AND($I59&lt;&gt;"",$I59&gt;=TODAY(),$I59&lt;=TODAY()+7),15,0)+IF($H59="",0,IF($M59&lt;=VLOOKUP(Home!$C$7,Lists!$N$2:$O$6,2,FALSE),20,-10))+IF($G59=Home!$E$7,15,IF(Home!$E$7="",0,-5))-ROW()/100000)))</f>
        <v/>
      </c>
      <c r="O59" s="5">
        <f>IF($D59="","",IF($N59&lt;=-500,"Not recommended right now",IF($E59="Waiting","Nothing else actionable right now — Waiting on: "&amp;IF($K59="","this item",$K59),MID($V59,4,9999))))</f>
        <v/>
      </c>
      <c r="P59" s="5">
        <f>IF($D59="","",IF('Task Finder'!$C$6="High Priority",AND($F59="High",$E59&lt;&gt;"Done",$E59&lt;&gt;"Archive"),IF('Task Finder'!$C$6="Due This Week",AND($I59&lt;&gt;"",$I59&gt;=TODAY(),$I59&lt;=TODAY()+7,$E59&lt;&gt;"Done"),IF('Task Finder'!$C$6="Quick Wins (15 mins or less)",AND($M59&lt;=15,$E59&lt;&gt;"Done",$E59&lt;&gt;"Blocked"),IF('Task Finder'!$C$6="Deep Thinking",AND($G59="Deep Thinking",$E59&lt;&gt;"Done"),IF('Task Finder'!$C$6="Processing",AND($G59="Processing",$E59&lt;&gt;"Done"),IF('Task Finder'!$C$6="Blocked",$E59="Blocked",IF('Task Finder'!$C$6="Waiting",$E59="Waiting",IF('Task Finder'!$C$6="Recently Updated",AND($L59&lt;&gt;"",$L59&gt;=TODAY()-7),IF('Task Finder'!$C$6="Keyword",AND('Task Finder'!$C$7&lt;&gt;"",OR(ISNUMBER(SEARCH('Task Finder'!$C$7,$A59)),ISNUMBER(SEARCH('Task Finder'!$C$7,$B59)),ISNUMBER(SEARCH('Task Finder'!$C$7,$C59)),ISNUMBER(SEARCH('Task Finder'!$C$7,$D59)),ISNUMBER(SEARCH('Task Finder'!$C$7,$K59)))),TRUE))))))))))</f>
        <v/>
      </c>
      <c r="Q59" s="150">
        <f>IF($F59="High","High Priority","")</f>
        <v/>
      </c>
      <c r="R59" s="150">
        <f>IF(AND($I59&lt;&gt;"",$I59&lt;TODAY()),"Overdue","")</f>
        <v/>
      </c>
      <c r="S59" s="150">
        <f>IF(AND($I59&lt;&gt;"",$I59&gt;=TODAY(),$I59&lt;=TODAY()+7),"Due This Week","")</f>
        <v/>
      </c>
      <c r="T59" s="150">
        <f>IF(AND($H59&lt;&gt;"",$M59&lt;=VLOOKUP(Home!$C$7,Lists!$N$2:$O$6,2,FALSE)),$H59&amp;" Task","")</f>
        <v/>
      </c>
      <c r="U59" s="150">
        <f>IF($G59=Home!$E$7,"Fits Current Energy","")</f>
        <v/>
      </c>
      <c r="V59" s="150">
        <f>IF($Q59&lt;&gt;""," • "&amp;$Q59,"")&amp;IF($R59&lt;&gt;""," • "&amp;$R59,"")&amp;IF($S59&lt;&gt;""," • "&amp;$S59,"")&amp;IF($T59&lt;&gt;""," • "&amp;$T59,"")&amp;IF($U59&lt;&gt;""," • "&amp;$U59,"")&amp;" • No Blockers"</f>
        <v/>
      </c>
    </row>
    <row r="60">
      <c r="A60" s="19" t="n"/>
      <c r="B60" s="19" t="n"/>
      <c r="C60" s="19" t="n"/>
      <c r="D60" s="19" t="n"/>
      <c r="E60" s="19" t="n"/>
      <c r="F60" s="19" t="n"/>
      <c r="G60" s="19" t="n"/>
      <c r="H60" s="19" t="n"/>
      <c r="I60" s="19" t="n"/>
      <c r="J60" s="19" t="n"/>
      <c r="K60" s="19" t="n"/>
      <c r="L60" s="35" t="n"/>
      <c r="M60" s="5">
        <f>IF($D60="","",IFERROR(VLOOKUP($H60,Lists!$N$2:$O$6,2,FALSE),0))</f>
        <v/>
      </c>
      <c r="N60" s="5">
        <f>IF($D60="","",IF(OR($E60="Blocked",$E60="Done",$E60="Archive"),-9999,IF(AND($E60="Waiting",SUMPRODUCT((($E$5:$E$500="Next")+($E$5:$E$500="In Progress")+($E$5:$E$500="Captured"))*($D$5:$D$500&lt;&gt;""))&gt;0),-500,VLOOKUP($F60,Lists!$L$2:$M$4,2,FALSE)+IF($E60="In Progress",10,0)+IF(AND($I60&lt;&gt;"",$I60&lt;TODAY()),25,0)+IF(AND($I60&lt;&gt;"",$I60&gt;=TODAY(),$I60&lt;=TODAY()+7),15,0)+IF($H60="",0,IF($M60&lt;=VLOOKUP(Home!$C$7,Lists!$N$2:$O$6,2,FALSE),20,-10))+IF($G60=Home!$E$7,15,IF(Home!$E$7="",0,-5))-ROW()/100000)))</f>
        <v/>
      </c>
      <c r="O60" s="5">
        <f>IF($D60="","",IF($N60&lt;=-500,"Not recommended right now",IF($E60="Waiting","Nothing else actionable right now — Waiting on: "&amp;IF($K60="","this item",$K60),MID($V60,4,9999))))</f>
        <v/>
      </c>
      <c r="P60" s="5">
        <f>IF($D60="","",IF('Task Finder'!$C$6="High Priority",AND($F60="High",$E60&lt;&gt;"Done",$E60&lt;&gt;"Archive"),IF('Task Finder'!$C$6="Due This Week",AND($I60&lt;&gt;"",$I60&gt;=TODAY(),$I60&lt;=TODAY()+7,$E60&lt;&gt;"Done"),IF('Task Finder'!$C$6="Quick Wins (15 mins or less)",AND($M60&lt;=15,$E60&lt;&gt;"Done",$E60&lt;&gt;"Blocked"),IF('Task Finder'!$C$6="Deep Thinking",AND($G60="Deep Thinking",$E60&lt;&gt;"Done"),IF('Task Finder'!$C$6="Processing",AND($G60="Processing",$E60&lt;&gt;"Done"),IF('Task Finder'!$C$6="Blocked",$E60="Blocked",IF('Task Finder'!$C$6="Waiting",$E60="Waiting",IF('Task Finder'!$C$6="Recently Updated",AND($L60&lt;&gt;"",$L60&gt;=TODAY()-7),IF('Task Finder'!$C$6="Keyword",AND('Task Finder'!$C$7&lt;&gt;"",OR(ISNUMBER(SEARCH('Task Finder'!$C$7,$A60)),ISNUMBER(SEARCH('Task Finder'!$C$7,$B60)),ISNUMBER(SEARCH('Task Finder'!$C$7,$C60)),ISNUMBER(SEARCH('Task Finder'!$C$7,$D60)),ISNUMBER(SEARCH('Task Finder'!$C$7,$K60)))),TRUE))))))))))</f>
        <v/>
      </c>
      <c r="Q60" s="150">
        <f>IF($F60="High","High Priority","")</f>
        <v/>
      </c>
      <c r="R60" s="150">
        <f>IF(AND($I60&lt;&gt;"",$I60&lt;TODAY()),"Overdue","")</f>
        <v/>
      </c>
      <c r="S60" s="150">
        <f>IF(AND($I60&lt;&gt;"",$I60&gt;=TODAY(),$I60&lt;=TODAY()+7),"Due This Week","")</f>
        <v/>
      </c>
      <c r="T60" s="150">
        <f>IF(AND($H60&lt;&gt;"",$M60&lt;=VLOOKUP(Home!$C$7,Lists!$N$2:$O$6,2,FALSE)),$H60&amp;" Task","")</f>
        <v/>
      </c>
      <c r="U60" s="150">
        <f>IF($G60=Home!$E$7,"Fits Current Energy","")</f>
        <v/>
      </c>
      <c r="V60" s="150">
        <f>IF($Q60&lt;&gt;""," • "&amp;$Q60,"")&amp;IF($R60&lt;&gt;""," • "&amp;$R60,"")&amp;IF($S60&lt;&gt;""," • "&amp;$S60,"")&amp;IF($T60&lt;&gt;""," • "&amp;$T60,"")&amp;IF($U60&lt;&gt;""," • "&amp;$U60,"")&amp;" • No Blockers"</f>
        <v/>
      </c>
    </row>
    <row r="61">
      <c r="A61" s="19" t="n"/>
      <c r="B61" s="19" t="n"/>
      <c r="C61" s="19" t="n"/>
      <c r="D61" s="19" t="n"/>
      <c r="E61" s="19" t="n"/>
      <c r="F61" s="19" t="n"/>
      <c r="G61" s="19" t="n"/>
      <c r="H61" s="19" t="n"/>
      <c r="I61" s="19" t="n"/>
      <c r="J61" s="19" t="n"/>
      <c r="K61" s="19" t="n"/>
      <c r="L61" s="35" t="n"/>
      <c r="M61" s="5">
        <f>IF($D61="","",IFERROR(VLOOKUP($H61,Lists!$N$2:$O$6,2,FALSE),0))</f>
        <v/>
      </c>
      <c r="N61" s="5">
        <f>IF($D61="","",IF(OR($E61="Blocked",$E61="Done",$E61="Archive"),-9999,IF(AND($E61="Waiting",SUMPRODUCT((($E$5:$E$500="Next")+($E$5:$E$500="In Progress")+($E$5:$E$500="Captured"))*($D$5:$D$500&lt;&gt;""))&gt;0),-500,VLOOKUP($F61,Lists!$L$2:$M$4,2,FALSE)+IF($E61="In Progress",10,0)+IF(AND($I61&lt;&gt;"",$I61&lt;TODAY()),25,0)+IF(AND($I61&lt;&gt;"",$I61&gt;=TODAY(),$I61&lt;=TODAY()+7),15,0)+IF($H61="",0,IF($M61&lt;=VLOOKUP(Home!$C$7,Lists!$N$2:$O$6,2,FALSE),20,-10))+IF($G61=Home!$E$7,15,IF(Home!$E$7="",0,-5))-ROW()/100000)))</f>
        <v/>
      </c>
      <c r="O61" s="5">
        <f>IF($D61="","",IF($N61&lt;=-500,"Not recommended right now",IF($E61="Waiting","Nothing else actionable right now — Waiting on: "&amp;IF($K61="","this item",$K61),MID($V61,4,9999))))</f>
        <v/>
      </c>
      <c r="P61" s="5">
        <f>IF($D61="","",IF('Task Finder'!$C$6="High Priority",AND($F61="High",$E61&lt;&gt;"Done",$E61&lt;&gt;"Archive"),IF('Task Finder'!$C$6="Due This Week",AND($I61&lt;&gt;"",$I61&gt;=TODAY(),$I61&lt;=TODAY()+7,$E61&lt;&gt;"Done"),IF('Task Finder'!$C$6="Quick Wins (15 mins or less)",AND($M61&lt;=15,$E61&lt;&gt;"Done",$E61&lt;&gt;"Blocked"),IF('Task Finder'!$C$6="Deep Thinking",AND($G61="Deep Thinking",$E61&lt;&gt;"Done"),IF('Task Finder'!$C$6="Processing",AND($G61="Processing",$E61&lt;&gt;"Done"),IF('Task Finder'!$C$6="Blocked",$E61="Blocked",IF('Task Finder'!$C$6="Waiting",$E61="Waiting",IF('Task Finder'!$C$6="Recently Updated",AND($L61&lt;&gt;"",$L61&gt;=TODAY()-7),IF('Task Finder'!$C$6="Keyword",AND('Task Finder'!$C$7&lt;&gt;"",OR(ISNUMBER(SEARCH('Task Finder'!$C$7,$A61)),ISNUMBER(SEARCH('Task Finder'!$C$7,$B61)),ISNUMBER(SEARCH('Task Finder'!$C$7,$C61)),ISNUMBER(SEARCH('Task Finder'!$C$7,$D61)),ISNUMBER(SEARCH('Task Finder'!$C$7,$K61)))),TRUE))))))))))</f>
        <v/>
      </c>
      <c r="Q61" s="150">
        <f>IF($F61="High","High Priority","")</f>
        <v/>
      </c>
      <c r="R61" s="150">
        <f>IF(AND($I61&lt;&gt;"",$I61&lt;TODAY()),"Overdue","")</f>
        <v/>
      </c>
      <c r="S61" s="150">
        <f>IF(AND($I61&lt;&gt;"",$I61&gt;=TODAY(),$I61&lt;=TODAY()+7),"Due This Week","")</f>
        <v/>
      </c>
      <c r="T61" s="150">
        <f>IF(AND($H61&lt;&gt;"",$M61&lt;=VLOOKUP(Home!$C$7,Lists!$N$2:$O$6,2,FALSE)),$H61&amp;" Task","")</f>
        <v/>
      </c>
      <c r="U61" s="150">
        <f>IF($G61=Home!$E$7,"Fits Current Energy","")</f>
        <v/>
      </c>
      <c r="V61" s="150">
        <f>IF($Q61&lt;&gt;""," • "&amp;$Q61,"")&amp;IF($R61&lt;&gt;""," • "&amp;$R61,"")&amp;IF($S61&lt;&gt;""," • "&amp;$S61,"")&amp;IF($T61&lt;&gt;""," • "&amp;$T61,"")&amp;IF($U61&lt;&gt;""," • "&amp;$U61,"")&amp;" • No Blockers"</f>
        <v/>
      </c>
    </row>
    <row r="62">
      <c r="A62" s="19" t="n"/>
      <c r="B62" s="19" t="n"/>
      <c r="C62" s="19" t="n"/>
      <c r="D62" s="19" t="n"/>
      <c r="E62" s="19" t="n"/>
      <c r="F62" s="19" t="n"/>
      <c r="G62" s="19" t="n"/>
      <c r="H62" s="19" t="n"/>
      <c r="I62" s="19" t="n"/>
      <c r="J62" s="19" t="n"/>
      <c r="K62" s="19" t="n"/>
      <c r="L62" s="35" t="n"/>
      <c r="M62" s="5">
        <f>IF($D62="","",IFERROR(VLOOKUP($H62,Lists!$N$2:$O$6,2,FALSE),0))</f>
        <v/>
      </c>
      <c r="N62" s="5">
        <f>IF($D62="","",IF(OR($E62="Blocked",$E62="Done",$E62="Archive"),-9999,IF(AND($E62="Waiting",SUMPRODUCT((($E$5:$E$500="Next")+($E$5:$E$500="In Progress")+($E$5:$E$500="Captured"))*($D$5:$D$500&lt;&gt;""))&gt;0),-500,VLOOKUP($F62,Lists!$L$2:$M$4,2,FALSE)+IF($E62="In Progress",10,0)+IF(AND($I62&lt;&gt;"",$I62&lt;TODAY()),25,0)+IF(AND($I62&lt;&gt;"",$I62&gt;=TODAY(),$I62&lt;=TODAY()+7),15,0)+IF($H62="",0,IF($M62&lt;=VLOOKUP(Home!$C$7,Lists!$N$2:$O$6,2,FALSE),20,-10))+IF($G62=Home!$E$7,15,IF(Home!$E$7="",0,-5))-ROW()/100000)))</f>
        <v/>
      </c>
      <c r="O62" s="5">
        <f>IF($D62="","",IF($N62&lt;=-500,"Not recommended right now",IF($E62="Waiting","Nothing else actionable right now — Waiting on: "&amp;IF($K62="","this item",$K62),MID($V62,4,9999))))</f>
        <v/>
      </c>
      <c r="P62" s="5">
        <f>IF($D62="","",IF('Task Finder'!$C$6="High Priority",AND($F62="High",$E62&lt;&gt;"Done",$E62&lt;&gt;"Archive"),IF('Task Finder'!$C$6="Due This Week",AND($I62&lt;&gt;"",$I62&gt;=TODAY(),$I62&lt;=TODAY()+7,$E62&lt;&gt;"Done"),IF('Task Finder'!$C$6="Quick Wins (15 mins or less)",AND($M62&lt;=15,$E62&lt;&gt;"Done",$E62&lt;&gt;"Blocked"),IF('Task Finder'!$C$6="Deep Thinking",AND($G62="Deep Thinking",$E62&lt;&gt;"Done"),IF('Task Finder'!$C$6="Processing",AND($G62="Processing",$E62&lt;&gt;"Done"),IF('Task Finder'!$C$6="Blocked",$E62="Blocked",IF('Task Finder'!$C$6="Waiting",$E62="Waiting",IF('Task Finder'!$C$6="Recently Updated",AND($L62&lt;&gt;"",$L62&gt;=TODAY()-7),IF('Task Finder'!$C$6="Keyword",AND('Task Finder'!$C$7&lt;&gt;"",OR(ISNUMBER(SEARCH('Task Finder'!$C$7,$A62)),ISNUMBER(SEARCH('Task Finder'!$C$7,$B62)),ISNUMBER(SEARCH('Task Finder'!$C$7,$C62)),ISNUMBER(SEARCH('Task Finder'!$C$7,$D62)),ISNUMBER(SEARCH('Task Finder'!$C$7,$K62)))),TRUE))))))))))</f>
        <v/>
      </c>
      <c r="Q62" s="150">
        <f>IF($F62="High","High Priority","")</f>
        <v/>
      </c>
      <c r="R62" s="150">
        <f>IF(AND($I62&lt;&gt;"",$I62&lt;TODAY()),"Overdue","")</f>
        <v/>
      </c>
      <c r="S62" s="150">
        <f>IF(AND($I62&lt;&gt;"",$I62&gt;=TODAY(),$I62&lt;=TODAY()+7),"Due This Week","")</f>
        <v/>
      </c>
      <c r="T62" s="150">
        <f>IF(AND($H62&lt;&gt;"",$M62&lt;=VLOOKUP(Home!$C$7,Lists!$N$2:$O$6,2,FALSE)),$H62&amp;" Task","")</f>
        <v/>
      </c>
      <c r="U62" s="150">
        <f>IF($G62=Home!$E$7,"Fits Current Energy","")</f>
        <v/>
      </c>
      <c r="V62" s="150">
        <f>IF($Q62&lt;&gt;""," • "&amp;$Q62,"")&amp;IF($R62&lt;&gt;""," • "&amp;$R62,"")&amp;IF($S62&lt;&gt;""," • "&amp;$S62,"")&amp;IF($T62&lt;&gt;""," • "&amp;$T62,"")&amp;IF($U62&lt;&gt;""," • "&amp;$U62,"")&amp;" • No Blockers"</f>
        <v/>
      </c>
    </row>
    <row r="63">
      <c r="A63" s="19" t="n"/>
      <c r="B63" s="19" t="n"/>
      <c r="C63" s="19" t="n"/>
      <c r="D63" s="19" t="n"/>
      <c r="E63" s="19" t="n"/>
      <c r="F63" s="19" t="n"/>
      <c r="G63" s="19" t="n"/>
      <c r="H63" s="19" t="n"/>
      <c r="I63" s="19" t="n"/>
      <c r="J63" s="19" t="n"/>
      <c r="K63" s="19" t="n"/>
      <c r="L63" s="35" t="n"/>
      <c r="M63" s="5">
        <f>IF($D63="","",IFERROR(VLOOKUP($H63,Lists!$N$2:$O$6,2,FALSE),0))</f>
        <v/>
      </c>
      <c r="N63" s="5">
        <f>IF($D63="","",IF(OR($E63="Blocked",$E63="Done",$E63="Archive"),-9999,IF(AND($E63="Waiting",SUMPRODUCT((($E$5:$E$500="Next")+($E$5:$E$500="In Progress")+($E$5:$E$500="Captured"))*($D$5:$D$500&lt;&gt;""))&gt;0),-500,VLOOKUP($F63,Lists!$L$2:$M$4,2,FALSE)+IF($E63="In Progress",10,0)+IF(AND($I63&lt;&gt;"",$I63&lt;TODAY()),25,0)+IF(AND($I63&lt;&gt;"",$I63&gt;=TODAY(),$I63&lt;=TODAY()+7),15,0)+IF($H63="",0,IF($M63&lt;=VLOOKUP(Home!$C$7,Lists!$N$2:$O$6,2,FALSE),20,-10))+IF($G63=Home!$E$7,15,IF(Home!$E$7="",0,-5))-ROW()/100000)))</f>
        <v/>
      </c>
      <c r="O63" s="5">
        <f>IF($D63="","",IF($N63&lt;=-500,"Not recommended right now",IF($E63="Waiting","Nothing else actionable right now — Waiting on: "&amp;IF($K63="","this item",$K63),MID($V63,4,9999))))</f>
        <v/>
      </c>
      <c r="P63" s="5">
        <f>IF($D63="","",IF('Task Finder'!$C$6="High Priority",AND($F63="High",$E63&lt;&gt;"Done",$E63&lt;&gt;"Archive"),IF('Task Finder'!$C$6="Due This Week",AND($I63&lt;&gt;"",$I63&gt;=TODAY(),$I63&lt;=TODAY()+7,$E63&lt;&gt;"Done"),IF('Task Finder'!$C$6="Quick Wins (15 mins or less)",AND($M63&lt;=15,$E63&lt;&gt;"Done",$E63&lt;&gt;"Blocked"),IF('Task Finder'!$C$6="Deep Thinking",AND($G63="Deep Thinking",$E63&lt;&gt;"Done"),IF('Task Finder'!$C$6="Processing",AND($G63="Processing",$E63&lt;&gt;"Done"),IF('Task Finder'!$C$6="Blocked",$E63="Blocked",IF('Task Finder'!$C$6="Waiting",$E63="Waiting",IF('Task Finder'!$C$6="Recently Updated",AND($L63&lt;&gt;"",$L63&gt;=TODAY()-7),IF('Task Finder'!$C$6="Keyword",AND('Task Finder'!$C$7&lt;&gt;"",OR(ISNUMBER(SEARCH('Task Finder'!$C$7,$A63)),ISNUMBER(SEARCH('Task Finder'!$C$7,$B63)),ISNUMBER(SEARCH('Task Finder'!$C$7,$C63)),ISNUMBER(SEARCH('Task Finder'!$C$7,$D63)),ISNUMBER(SEARCH('Task Finder'!$C$7,$K63)))),TRUE))))))))))</f>
        <v/>
      </c>
      <c r="Q63" s="150">
        <f>IF($F63="High","High Priority","")</f>
        <v/>
      </c>
      <c r="R63" s="150">
        <f>IF(AND($I63&lt;&gt;"",$I63&lt;TODAY()),"Overdue","")</f>
        <v/>
      </c>
      <c r="S63" s="150">
        <f>IF(AND($I63&lt;&gt;"",$I63&gt;=TODAY(),$I63&lt;=TODAY()+7),"Due This Week","")</f>
        <v/>
      </c>
      <c r="T63" s="150">
        <f>IF(AND($H63&lt;&gt;"",$M63&lt;=VLOOKUP(Home!$C$7,Lists!$N$2:$O$6,2,FALSE)),$H63&amp;" Task","")</f>
        <v/>
      </c>
      <c r="U63" s="150">
        <f>IF($G63=Home!$E$7,"Fits Current Energy","")</f>
        <v/>
      </c>
      <c r="V63" s="150">
        <f>IF($Q63&lt;&gt;""," • "&amp;$Q63,"")&amp;IF($R63&lt;&gt;""," • "&amp;$R63,"")&amp;IF($S63&lt;&gt;""," • "&amp;$S63,"")&amp;IF($T63&lt;&gt;""," • "&amp;$T63,"")&amp;IF($U63&lt;&gt;""," • "&amp;$U63,"")&amp;" • No Blockers"</f>
        <v/>
      </c>
    </row>
    <row r="64">
      <c r="A64" s="19" t="n"/>
      <c r="B64" s="19" t="n"/>
      <c r="C64" s="19" t="n"/>
      <c r="D64" s="19" t="n"/>
      <c r="E64" s="19" t="n"/>
      <c r="F64" s="19" t="n"/>
      <c r="G64" s="19" t="n"/>
      <c r="H64" s="19" t="n"/>
      <c r="I64" s="19" t="n"/>
      <c r="J64" s="19" t="n"/>
      <c r="K64" s="19" t="n"/>
      <c r="L64" s="35" t="n"/>
      <c r="M64" s="5">
        <f>IF($D64="","",IFERROR(VLOOKUP($H64,Lists!$N$2:$O$6,2,FALSE),0))</f>
        <v/>
      </c>
      <c r="N64" s="5">
        <f>IF($D64="","",IF(OR($E64="Blocked",$E64="Done",$E64="Archive"),-9999,IF(AND($E64="Waiting",SUMPRODUCT((($E$5:$E$500="Next")+($E$5:$E$500="In Progress")+($E$5:$E$500="Captured"))*($D$5:$D$500&lt;&gt;""))&gt;0),-500,VLOOKUP($F64,Lists!$L$2:$M$4,2,FALSE)+IF($E64="In Progress",10,0)+IF(AND($I64&lt;&gt;"",$I64&lt;TODAY()),25,0)+IF(AND($I64&lt;&gt;"",$I64&gt;=TODAY(),$I64&lt;=TODAY()+7),15,0)+IF($H64="",0,IF($M64&lt;=VLOOKUP(Home!$C$7,Lists!$N$2:$O$6,2,FALSE),20,-10))+IF($G64=Home!$E$7,15,IF(Home!$E$7="",0,-5))-ROW()/100000)))</f>
        <v/>
      </c>
      <c r="O64" s="5">
        <f>IF($D64="","",IF($N64&lt;=-500,"Not recommended right now",IF($E64="Waiting","Nothing else actionable right now — Waiting on: "&amp;IF($K64="","this item",$K64),MID($V64,4,9999))))</f>
        <v/>
      </c>
      <c r="P64" s="5">
        <f>IF($D64="","",IF('Task Finder'!$C$6="High Priority",AND($F64="High",$E64&lt;&gt;"Done",$E64&lt;&gt;"Archive"),IF('Task Finder'!$C$6="Due This Week",AND($I64&lt;&gt;"",$I64&gt;=TODAY(),$I64&lt;=TODAY()+7,$E64&lt;&gt;"Done"),IF('Task Finder'!$C$6="Quick Wins (15 mins or less)",AND($M64&lt;=15,$E64&lt;&gt;"Done",$E64&lt;&gt;"Blocked"),IF('Task Finder'!$C$6="Deep Thinking",AND($G64="Deep Thinking",$E64&lt;&gt;"Done"),IF('Task Finder'!$C$6="Processing",AND($G64="Processing",$E64&lt;&gt;"Done"),IF('Task Finder'!$C$6="Blocked",$E64="Blocked",IF('Task Finder'!$C$6="Waiting",$E64="Waiting",IF('Task Finder'!$C$6="Recently Updated",AND($L64&lt;&gt;"",$L64&gt;=TODAY()-7),IF('Task Finder'!$C$6="Keyword",AND('Task Finder'!$C$7&lt;&gt;"",OR(ISNUMBER(SEARCH('Task Finder'!$C$7,$A64)),ISNUMBER(SEARCH('Task Finder'!$C$7,$B64)),ISNUMBER(SEARCH('Task Finder'!$C$7,$C64)),ISNUMBER(SEARCH('Task Finder'!$C$7,$D64)),ISNUMBER(SEARCH('Task Finder'!$C$7,$K64)))),TRUE))))))))))</f>
        <v/>
      </c>
      <c r="Q64" s="150">
        <f>IF($F64="High","High Priority","")</f>
        <v/>
      </c>
      <c r="R64" s="150">
        <f>IF(AND($I64&lt;&gt;"",$I64&lt;TODAY()),"Overdue","")</f>
        <v/>
      </c>
      <c r="S64" s="150">
        <f>IF(AND($I64&lt;&gt;"",$I64&gt;=TODAY(),$I64&lt;=TODAY()+7),"Due This Week","")</f>
        <v/>
      </c>
      <c r="T64" s="150">
        <f>IF(AND($H64&lt;&gt;"",$M64&lt;=VLOOKUP(Home!$C$7,Lists!$N$2:$O$6,2,FALSE)),$H64&amp;" Task","")</f>
        <v/>
      </c>
      <c r="U64" s="150">
        <f>IF($G64=Home!$E$7,"Fits Current Energy","")</f>
        <v/>
      </c>
      <c r="V64" s="150">
        <f>IF($Q64&lt;&gt;""," • "&amp;$Q64,"")&amp;IF($R64&lt;&gt;""," • "&amp;$R64,"")&amp;IF($S64&lt;&gt;""," • "&amp;$S64,"")&amp;IF($T64&lt;&gt;""," • "&amp;$T64,"")&amp;IF($U64&lt;&gt;""," • "&amp;$U64,"")&amp;" • No Blockers"</f>
        <v/>
      </c>
    </row>
    <row r="65">
      <c r="A65" s="19" t="n"/>
      <c r="B65" s="19" t="n"/>
      <c r="C65" s="19" t="n"/>
      <c r="D65" s="19" t="n"/>
      <c r="E65" s="19" t="n"/>
      <c r="F65" s="19" t="n"/>
      <c r="G65" s="19" t="n"/>
      <c r="H65" s="19" t="n"/>
      <c r="I65" s="19" t="n"/>
      <c r="J65" s="19" t="n"/>
      <c r="K65" s="19" t="n"/>
      <c r="L65" s="35" t="n"/>
      <c r="M65" s="5">
        <f>IF($D65="","",IFERROR(VLOOKUP($H65,Lists!$N$2:$O$6,2,FALSE),0))</f>
        <v/>
      </c>
      <c r="N65" s="5">
        <f>IF($D65="","",IF(OR($E65="Blocked",$E65="Done",$E65="Archive"),-9999,IF(AND($E65="Waiting",SUMPRODUCT((($E$5:$E$500="Next")+($E$5:$E$500="In Progress")+($E$5:$E$500="Captured"))*($D$5:$D$500&lt;&gt;""))&gt;0),-500,VLOOKUP($F65,Lists!$L$2:$M$4,2,FALSE)+IF($E65="In Progress",10,0)+IF(AND($I65&lt;&gt;"",$I65&lt;TODAY()),25,0)+IF(AND($I65&lt;&gt;"",$I65&gt;=TODAY(),$I65&lt;=TODAY()+7),15,0)+IF($H65="",0,IF($M65&lt;=VLOOKUP(Home!$C$7,Lists!$N$2:$O$6,2,FALSE),20,-10))+IF($G65=Home!$E$7,15,IF(Home!$E$7="",0,-5))-ROW()/100000)))</f>
        <v/>
      </c>
      <c r="O65" s="5">
        <f>IF($D65="","",IF($N65&lt;=-500,"Not recommended right now",IF($E65="Waiting","Nothing else actionable right now — Waiting on: "&amp;IF($K65="","this item",$K65),MID($V65,4,9999))))</f>
        <v/>
      </c>
      <c r="P65" s="5">
        <f>IF($D65="","",IF('Task Finder'!$C$6="High Priority",AND($F65="High",$E65&lt;&gt;"Done",$E65&lt;&gt;"Archive"),IF('Task Finder'!$C$6="Due This Week",AND($I65&lt;&gt;"",$I65&gt;=TODAY(),$I65&lt;=TODAY()+7,$E65&lt;&gt;"Done"),IF('Task Finder'!$C$6="Quick Wins (15 mins or less)",AND($M65&lt;=15,$E65&lt;&gt;"Done",$E65&lt;&gt;"Blocked"),IF('Task Finder'!$C$6="Deep Thinking",AND($G65="Deep Thinking",$E65&lt;&gt;"Done"),IF('Task Finder'!$C$6="Processing",AND($G65="Processing",$E65&lt;&gt;"Done"),IF('Task Finder'!$C$6="Blocked",$E65="Blocked",IF('Task Finder'!$C$6="Waiting",$E65="Waiting",IF('Task Finder'!$C$6="Recently Updated",AND($L65&lt;&gt;"",$L65&gt;=TODAY()-7),IF('Task Finder'!$C$6="Keyword",AND('Task Finder'!$C$7&lt;&gt;"",OR(ISNUMBER(SEARCH('Task Finder'!$C$7,$A65)),ISNUMBER(SEARCH('Task Finder'!$C$7,$B65)),ISNUMBER(SEARCH('Task Finder'!$C$7,$C65)),ISNUMBER(SEARCH('Task Finder'!$C$7,$D65)),ISNUMBER(SEARCH('Task Finder'!$C$7,$K65)))),TRUE))))))))))</f>
        <v/>
      </c>
      <c r="Q65" s="150">
        <f>IF($F65="High","High Priority","")</f>
        <v/>
      </c>
      <c r="R65" s="150">
        <f>IF(AND($I65&lt;&gt;"",$I65&lt;TODAY()),"Overdue","")</f>
        <v/>
      </c>
      <c r="S65" s="150">
        <f>IF(AND($I65&lt;&gt;"",$I65&gt;=TODAY(),$I65&lt;=TODAY()+7),"Due This Week","")</f>
        <v/>
      </c>
      <c r="T65" s="150">
        <f>IF(AND($H65&lt;&gt;"",$M65&lt;=VLOOKUP(Home!$C$7,Lists!$N$2:$O$6,2,FALSE)),$H65&amp;" Task","")</f>
        <v/>
      </c>
      <c r="U65" s="150">
        <f>IF($G65=Home!$E$7,"Fits Current Energy","")</f>
        <v/>
      </c>
      <c r="V65" s="150">
        <f>IF($Q65&lt;&gt;""," • "&amp;$Q65,"")&amp;IF($R65&lt;&gt;""," • "&amp;$R65,"")&amp;IF($S65&lt;&gt;""," • "&amp;$S65,"")&amp;IF($T65&lt;&gt;""," • "&amp;$T65,"")&amp;IF($U65&lt;&gt;""," • "&amp;$U65,"")&amp;" • No Blockers"</f>
        <v/>
      </c>
    </row>
    <row r="66">
      <c r="A66" s="19" t="n"/>
      <c r="B66" s="19" t="n"/>
      <c r="C66" s="19" t="n"/>
      <c r="D66" s="19" t="n"/>
      <c r="E66" s="19" t="n"/>
      <c r="F66" s="19" t="n"/>
      <c r="G66" s="19" t="n"/>
      <c r="H66" s="19" t="n"/>
      <c r="I66" s="19" t="n"/>
      <c r="J66" s="19" t="n"/>
      <c r="K66" s="19" t="n"/>
      <c r="L66" s="35" t="n"/>
      <c r="M66" s="5">
        <f>IF($D66="","",IFERROR(VLOOKUP($H66,Lists!$N$2:$O$6,2,FALSE),0))</f>
        <v/>
      </c>
      <c r="N66" s="5">
        <f>IF($D66="","",IF(OR($E66="Blocked",$E66="Done",$E66="Archive"),-9999,IF(AND($E66="Waiting",SUMPRODUCT((($E$5:$E$500="Next")+($E$5:$E$500="In Progress")+($E$5:$E$500="Captured"))*($D$5:$D$500&lt;&gt;""))&gt;0),-500,VLOOKUP($F66,Lists!$L$2:$M$4,2,FALSE)+IF($E66="In Progress",10,0)+IF(AND($I66&lt;&gt;"",$I66&lt;TODAY()),25,0)+IF(AND($I66&lt;&gt;"",$I66&gt;=TODAY(),$I66&lt;=TODAY()+7),15,0)+IF($H66="",0,IF($M66&lt;=VLOOKUP(Home!$C$7,Lists!$N$2:$O$6,2,FALSE),20,-10))+IF($G66=Home!$E$7,15,IF(Home!$E$7="",0,-5))-ROW()/100000)))</f>
        <v/>
      </c>
      <c r="O66" s="5">
        <f>IF($D66="","",IF($N66&lt;=-500,"Not recommended right now",IF($E66="Waiting","Nothing else actionable right now — Waiting on: "&amp;IF($K66="","this item",$K66),MID($V66,4,9999))))</f>
        <v/>
      </c>
      <c r="P66" s="5">
        <f>IF($D66="","",IF('Task Finder'!$C$6="High Priority",AND($F66="High",$E66&lt;&gt;"Done",$E66&lt;&gt;"Archive"),IF('Task Finder'!$C$6="Due This Week",AND($I66&lt;&gt;"",$I66&gt;=TODAY(),$I66&lt;=TODAY()+7,$E66&lt;&gt;"Done"),IF('Task Finder'!$C$6="Quick Wins (15 mins or less)",AND($M66&lt;=15,$E66&lt;&gt;"Done",$E66&lt;&gt;"Blocked"),IF('Task Finder'!$C$6="Deep Thinking",AND($G66="Deep Thinking",$E66&lt;&gt;"Done"),IF('Task Finder'!$C$6="Processing",AND($G66="Processing",$E66&lt;&gt;"Done"),IF('Task Finder'!$C$6="Blocked",$E66="Blocked",IF('Task Finder'!$C$6="Waiting",$E66="Waiting",IF('Task Finder'!$C$6="Recently Updated",AND($L66&lt;&gt;"",$L66&gt;=TODAY()-7),IF('Task Finder'!$C$6="Keyword",AND('Task Finder'!$C$7&lt;&gt;"",OR(ISNUMBER(SEARCH('Task Finder'!$C$7,$A66)),ISNUMBER(SEARCH('Task Finder'!$C$7,$B66)),ISNUMBER(SEARCH('Task Finder'!$C$7,$C66)),ISNUMBER(SEARCH('Task Finder'!$C$7,$D66)),ISNUMBER(SEARCH('Task Finder'!$C$7,$K66)))),TRUE))))))))))</f>
        <v/>
      </c>
      <c r="Q66" s="150">
        <f>IF($F66="High","High Priority","")</f>
        <v/>
      </c>
      <c r="R66" s="150">
        <f>IF(AND($I66&lt;&gt;"",$I66&lt;TODAY()),"Overdue","")</f>
        <v/>
      </c>
      <c r="S66" s="150">
        <f>IF(AND($I66&lt;&gt;"",$I66&gt;=TODAY(),$I66&lt;=TODAY()+7),"Due This Week","")</f>
        <v/>
      </c>
      <c r="T66" s="150">
        <f>IF(AND($H66&lt;&gt;"",$M66&lt;=VLOOKUP(Home!$C$7,Lists!$N$2:$O$6,2,FALSE)),$H66&amp;" Task","")</f>
        <v/>
      </c>
      <c r="U66" s="150">
        <f>IF($G66=Home!$E$7,"Fits Current Energy","")</f>
        <v/>
      </c>
      <c r="V66" s="150">
        <f>IF($Q66&lt;&gt;""," • "&amp;$Q66,"")&amp;IF($R66&lt;&gt;""," • "&amp;$R66,"")&amp;IF($S66&lt;&gt;""," • "&amp;$S66,"")&amp;IF($T66&lt;&gt;""," • "&amp;$T66,"")&amp;IF($U66&lt;&gt;""," • "&amp;$U66,"")&amp;" • No Blockers"</f>
        <v/>
      </c>
    </row>
    <row r="67">
      <c r="A67" s="19" t="n"/>
      <c r="B67" s="19" t="n"/>
      <c r="C67" s="19" t="n"/>
      <c r="D67" s="19" t="n"/>
      <c r="E67" s="19" t="n"/>
      <c r="F67" s="19" t="n"/>
      <c r="G67" s="19" t="n"/>
      <c r="H67" s="19" t="n"/>
      <c r="I67" s="19" t="n"/>
      <c r="J67" s="19" t="n"/>
      <c r="K67" s="19" t="n"/>
      <c r="L67" s="35" t="n"/>
      <c r="M67" s="5">
        <f>IF($D67="","",IFERROR(VLOOKUP($H67,Lists!$N$2:$O$6,2,FALSE),0))</f>
        <v/>
      </c>
      <c r="N67" s="5">
        <f>IF($D67="","",IF(OR($E67="Blocked",$E67="Done",$E67="Archive"),-9999,IF(AND($E67="Waiting",SUMPRODUCT((($E$5:$E$500="Next")+($E$5:$E$500="In Progress")+($E$5:$E$500="Captured"))*($D$5:$D$500&lt;&gt;""))&gt;0),-500,VLOOKUP($F67,Lists!$L$2:$M$4,2,FALSE)+IF($E67="In Progress",10,0)+IF(AND($I67&lt;&gt;"",$I67&lt;TODAY()),25,0)+IF(AND($I67&lt;&gt;"",$I67&gt;=TODAY(),$I67&lt;=TODAY()+7),15,0)+IF($H67="",0,IF($M67&lt;=VLOOKUP(Home!$C$7,Lists!$N$2:$O$6,2,FALSE),20,-10))+IF($G67=Home!$E$7,15,IF(Home!$E$7="",0,-5))-ROW()/100000)))</f>
        <v/>
      </c>
      <c r="O67" s="5">
        <f>IF($D67="","",IF($N67&lt;=-500,"Not recommended right now",IF($E67="Waiting","Nothing else actionable right now — Waiting on: "&amp;IF($K67="","this item",$K67),MID($V67,4,9999))))</f>
        <v/>
      </c>
      <c r="P67" s="5">
        <f>IF($D67="","",IF('Task Finder'!$C$6="High Priority",AND($F67="High",$E67&lt;&gt;"Done",$E67&lt;&gt;"Archive"),IF('Task Finder'!$C$6="Due This Week",AND($I67&lt;&gt;"",$I67&gt;=TODAY(),$I67&lt;=TODAY()+7,$E67&lt;&gt;"Done"),IF('Task Finder'!$C$6="Quick Wins (15 mins or less)",AND($M67&lt;=15,$E67&lt;&gt;"Done",$E67&lt;&gt;"Blocked"),IF('Task Finder'!$C$6="Deep Thinking",AND($G67="Deep Thinking",$E67&lt;&gt;"Done"),IF('Task Finder'!$C$6="Processing",AND($G67="Processing",$E67&lt;&gt;"Done"),IF('Task Finder'!$C$6="Blocked",$E67="Blocked",IF('Task Finder'!$C$6="Waiting",$E67="Waiting",IF('Task Finder'!$C$6="Recently Updated",AND($L67&lt;&gt;"",$L67&gt;=TODAY()-7),IF('Task Finder'!$C$6="Keyword",AND('Task Finder'!$C$7&lt;&gt;"",OR(ISNUMBER(SEARCH('Task Finder'!$C$7,$A67)),ISNUMBER(SEARCH('Task Finder'!$C$7,$B67)),ISNUMBER(SEARCH('Task Finder'!$C$7,$C67)),ISNUMBER(SEARCH('Task Finder'!$C$7,$D67)),ISNUMBER(SEARCH('Task Finder'!$C$7,$K67)))),TRUE))))))))))</f>
        <v/>
      </c>
      <c r="Q67" s="150">
        <f>IF($F67="High","High Priority","")</f>
        <v/>
      </c>
      <c r="R67" s="150">
        <f>IF(AND($I67&lt;&gt;"",$I67&lt;TODAY()),"Overdue","")</f>
        <v/>
      </c>
      <c r="S67" s="150">
        <f>IF(AND($I67&lt;&gt;"",$I67&gt;=TODAY(),$I67&lt;=TODAY()+7),"Due This Week","")</f>
        <v/>
      </c>
      <c r="T67" s="150">
        <f>IF(AND($H67&lt;&gt;"",$M67&lt;=VLOOKUP(Home!$C$7,Lists!$N$2:$O$6,2,FALSE)),$H67&amp;" Task","")</f>
        <v/>
      </c>
      <c r="U67" s="150">
        <f>IF($G67=Home!$E$7,"Fits Current Energy","")</f>
        <v/>
      </c>
      <c r="V67" s="150">
        <f>IF($Q67&lt;&gt;""," • "&amp;$Q67,"")&amp;IF($R67&lt;&gt;""," • "&amp;$R67,"")&amp;IF($S67&lt;&gt;""," • "&amp;$S67,"")&amp;IF($T67&lt;&gt;""," • "&amp;$T67,"")&amp;IF($U67&lt;&gt;""," • "&amp;$U67,"")&amp;" • No Blockers"</f>
        <v/>
      </c>
    </row>
    <row r="68">
      <c r="A68" s="19" t="n"/>
      <c r="B68" s="19" t="n"/>
      <c r="C68" s="19" t="n"/>
      <c r="D68" s="19" t="n"/>
      <c r="E68" s="19" t="n"/>
      <c r="F68" s="19" t="n"/>
      <c r="G68" s="19" t="n"/>
      <c r="H68" s="19" t="n"/>
      <c r="I68" s="19" t="n"/>
      <c r="J68" s="19" t="n"/>
      <c r="K68" s="19" t="n"/>
      <c r="L68" s="35" t="n"/>
      <c r="M68" s="5">
        <f>IF($D68="","",IFERROR(VLOOKUP($H68,Lists!$N$2:$O$6,2,FALSE),0))</f>
        <v/>
      </c>
      <c r="N68" s="5">
        <f>IF($D68="","",IF(OR($E68="Blocked",$E68="Done",$E68="Archive"),-9999,IF(AND($E68="Waiting",SUMPRODUCT((($E$5:$E$500="Next")+($E$5:$E$500="In Progress")+($E$5:$E$500="Captured"))*($D$5:$D$500&lt;&gt;""))&gt;0),-500,VLOOKUP($F68,Lists!$L$2:$M$4,2,FALSE)+IF($E68="In Progress",10,0)+IF(AND($I68&lt;&gt;"",$I68&lt;TODAY()),25,0)+IF(AND($I68&lt;&gt;"",$I68&gt;=TODAY(),$I68&lt;=TODAY()+7),15,0)+IF($H68="",0,IF($M68&lt;=VLOOKUP(Home!$C$7,Lists!$N$2:$O$6,2,FALSE),20,-10))+IF($G68=Home!$E$7,15,IF(Home!$E$7="",0,-5))-ROW()/100000)))</f>
        <v/>
      </c>
      <c r="O68" s="5">
        <f>IF($D68="","",IF($N68&lt;=-500,"Not recommended right now",IF($E68="Waiting","Nothing else actionable right now — Waiting on: "&amp;IF($K68="","this item",$K68),MID($V68,4,9999))))</f>
        <v/>
      </c>
      <c r="P68" s="5">
        <f>IF($D68="","",IF('Task Finder'!$C$6="High Priority",AND($F68="High",$E68&lt;&gt;"Done",$E68&lt;&gt;"Archive"),IF('Task Finder'!$C$6="Due This Week",AND($I68&lt;&gt;"",$I68&gt;=TODAY(),$I68&lt;=TODAY()+7,$E68&lt;&gt;"Done"),IF('Task Finder'!$C$6="Quick Wins (15 mins or less)",AND($M68&lt;=15,$E68&lt;&gt;"Done",$E68&lt;&gt;"Blocked"),IF('Task Finder'!$C$6="Deep Thinking",AND($G68="Deep Thinking",$E68&lt;&gt;"Done"),IF('Task Finder'!$C$6="Processing",AND($G68="Processing",$E68&lt;&gt;"Done"),IF('Task Finder'!$C$6="Blocked",$E68="Blocked",IF('Task Finder'!$C$6="Waiting",$E68="Waiting",IF('Task Finder'!$C$6="Recently Updated",AND($L68&lt;&gt;"",$L68&gt;=TODAY()-7),IF('Task Finder'!$C$6="Keyword",AND('Task Finder'!$C$7&lt;&gt;"",OR(ISNUMBER(SEARCH('Task Finder'!$C$7,$A68)),ISNUMBER(SEARCH('Task Finder'!$C$7,$B68)),ISNUMBER(SEARCH('Task Finder'!$C$7,$C68)),ISNUMBER(SEARCH('Task Finder'!$C$7,$D68)),ISNUMBER(SEARCH('Task Finder'!$C$7,$K68)))),TRUE))))))))))</f>
        <v/>
      </c>
      <c r="Q68" s="150">
        <f>IF($F68="High","High Priority","")</f>
        <v/>
      </c>
      <c r="R68" s="150">
        <f>IF(AND($I68&lt;&gt;"",$I68&lt;TODAY()),"Overdue","")</f>
        <v/>
      </c>
      <c r="S68" s="150">
        <f>IF(AND($I68&lt;&gt;"",$I68&gt;=TODAY(),$I68&lt;=TODAY()+7),"Due This Week","")</f>
        <v/>
      </c>
      <c r="T68" s="150">
        <f>IF(AND($H68&lt;&gt;"",$M68&lt;=VLOOKUP(Home!$C$7,Lists!$N$2:$O$6,2,FALSE)),$H68&amp;" Task","")</f>
        <v/>
      </c>
      <c r="U68" s="150">
        <f>IF($G68=Home!$E$7,"Fits Current Energy","")</f>
        <v/>
      </c>
      <c r="V68" s="150">
        <f>IF($Q68&lt;&gt;""," • "&amp;$Q68,"")&amp;IF($R68&lt;&gt;""," • "&amp;$R68,"")&amp;IF($S68&lt;&gt;""," • "&amp;$S68,"")&amp;IF($T68&lt;&gt;""," • "&amp;$T68,"")&amp;IF($U68&lt;&gt;""," • "&amp;$U68,"")&amp;" • No Blockers"</f>
        <v/>
      </c>
    </row>
    <row r="69">
      <c r="A69" s="19" t="n"/>
      <c r="B69" s="19" t="n"/>
      <c r="C69" s="19" t="n"/>
      <c r="D69" s="19" t="n"/>
      <c r="E69" s="19" t="n"/>
      <c r="F69" s="19" t="n"/>
      <c r="G69" s="19" t="n"/>
      <c r="H69" s="19" t="n"/>
      <c r="I69" s="19" t="n"/>
      <c r="J69" s="19" t="n"/>
      <c r="K69" s="19" t="n"/>
      <c r="L69" s="35" t="n"/>
      <c r="M69" s="5">
        <f>IF($D69="","",IFERROR(VLOOKUP($H69,Lists!$N$2:$O$6,2,FALSE),0))</f>
        <v/>
      </c>
      <c r="N69" s="5">
        <f>IF($D69="","",IF(OR($E69="Blocked",$E69="Done",$E69="Archive"),-9999,IF(AND($E69="Waiting",SUMPRODUCT((($E$5:$E$500="Next")+($E$5:$E$500="In Progress")+($E$5:$E$500="Captured"))*($D$5:$D$500&lt;&gt;""))&gt;0),-500,VLOOKUP($F69,Lists!$L$2:$M$4,2,FALSE)+IF($E69="In Progress",10,0)+IF(AND($I69&lt;&gt;"",$I69&lt;TODAY()),25,0)+IF(AND($I69&lt;&gt;"",$I69&gt;=TODAY(),$I69&lt;=TODAY()+7),15,0)+IF($H69="",0,IF($M69&lt;=VLOOKUP(Home!$C$7,Lists!$N$2:$O$6,2,FALSE),20,-10))+IF($G69=Home!$E$7,15,IF(Home!$E$7="",0,-5))-ROW()/100000)))</f>
        <v/>
      </c>
      <c r="O69" s="5">
        <f>IF($D69="","",IF($N69&lt;=-500,"Not recommended right now",IF($E69="Waiting","Nothing else actionable right now — Waiting on: "&amp;IF($K69="","this item",$K69),MID($V69,4,9999))))</f>
        <v/>
      </c>
      <c r="P69" s="5">
        <f>IF($D69="","",IF('Task Finder'!$C$6="High Priority",AND($F69="High",$E69&lt;&gt;"Done",$E69&lt;&gt;"Archive"),IF('Task Finder'!$C$6="Due This Week",AND($I69&lt;&gt;"",$I69&gt;=TODAY(),$I69&lt;=TODAY()+7,$E69&lt;&gt;"Done"),IF('Task Finder'!$C$6="Quick Wins (15 mins or less)",AND($M69&lt;=15,$E69&lt;&gt;"Done",$E69&lt;&gt;"Blocked"),IF('Task Finder'!$C$6="Deep Thinking",AND($G69="Deep Thinking",$E69&lt;&gt;"Done"),IF('Task Finder'!$C$6="Processing",AND($G69="Processing",$E69&lt;&gt;"Done"),IF('Task Finder'!$C$6="Blocked",$E69="Blocked",IF('Task Finder'!$C$6="Waiting",$E69="Waiting",IF('Task Finder'!$C$6="Recently Updated",AND($L69&lt;&gt;"",$L69&gt;=TODAY()-7),IF('Task Finder'!$C$6="Keyword",AND('Task Finder'!$C$7&lt;&gt;"",OR(ISNUMBER(SEARCH('Task Finder'!$C$7,$A69)),ISNUMBER(SEARCH('Task Finder'!$C$7,$B69)),ISNUMBER(SEARCH('Task Finder'!$C$7,$C69)),ISNUMBER(SEARCH('Task Finder'!$C$7,$D69)),ISNUMBER(SEARCH('Task Finder'!$C$7,$K69)))),TRUE))))))))))</f>
        <v/>
      </c>
      <c r="Q69" s="150">
        <f>IF($F69="High","High Priority","")</f>
        <v/>
      </c>
      <c r="R69" s="150">
        <f>IF(AND($I69&lt;&gt;"",$I69&lt;TODAY()),"Overdue","")</f>
        <v/>
      </c>
      <c r="S69" s="150">
        <f>IF(AND($I69&lt;&gt;"",$I69&gt;=TODAY(),$I69&lt;=TODAY()+7),"Due This Week","")</f>
        <v/>
      </c>
      <c r="T69" s="150">
        <f>IF(AND($H69&lt;&gt;"",$M69&lt;=VLOOKUP(Home!$C$7,Lists!$N$2:$O$6,2,FALSE)),$H69&amp;" Task","")</f>
        <v/>
      </c>
      <c r="U69" s="150">
        <f>IF($G69=Home!$E$7,"Fits Current Energy","")</f>
        <v/>
      </c>
      <c r="V69" s="150">
        <f>IF($Q69&lt;&gt;""," • "&amp;$Q69,"")&amp;IF($R69&lt;&gt;""," • "&amp;$R69,"")&amp;IF($S69&lt;&gt;""," • "&amp;$S69,"")&amp;IF($T69&lt;&gt;""," • "&amp;$T69,"")&amp;IF($U69&lt;&gt;""," • "&amp;$U69,"")&amp;" • No Blockers"</f>
        <v/>
      </c>
    </row>
    <row r="70">
      <c r="A70" s="19" t="n"/>
      <c r="B70" s="19" t="n"/>
      <c r="C70" s="19" t="n"/>
      <c r="D70" s="19" t="n"/>
      <c r="E70" s="19" t="n"/>
      <c r="F70" s="19" t="n"/>
      <c r="G70" s="19" t="n"/>
      <c r="H70" s="19" t="n"/>
      <c r="I70" s="19" t="n"/>
      <c r="J70" s="19" t="n"/>
      <c r="K70" s="19" t="n"/>
      <c r="L70" s="35" t="n"/>
      <c r="M70" s="5">
        <f>IF($D70="","",IFERROR(VLOOKUP($H70,Lists!$N$2:$O$6,2,FALSE),0))</f>
        <v/>
      </c>
      <c r="N70" s="5">
        <f>IF($D70="","",IF(OR($E70="Blocked",$E70="Done",$E70="Archive"),-9999,IF(AND($E70="Waiting",SUMPRODUCT((($E$5:$E$500="Next")+($E$5:$E$500="In Progress")+($E$5:$E$500="Captured"))*($D$5:$D$500&lt;&gt;""))&gt;0),-500,VLOOKUP($F70,Lists!$L$2:$M$4,2,FALSE)+IF($E70="In Progress",10,0)+IF(AND($I70&lt;&gt;"",$I70&lt;TODAY()),25,0)+IF(AND($I70&lt;&gt;"",$I70&gt;=TODAY(),$I70&lt;=TODAY()+7),15,0)+IF($H70="",0,IF($M70&lt;=VLOOKUP(Home!$C$7,Lists!$N$2:$O$6,2,FALSE),20,-10))+IF($G70=Home!$E$7,15,IF(Home!$E$7="",0,-5))-ROW()/100000)))</f>
        <v/>
      </c>
      <c r="O70" s="5">
        <f>IF($D70="","",IF($N70&lt;=-500,"Not recommended right now",IF($E70="Waiting","Nothing else actionable right now — Waiting on: "&amp;IF($K70="","this item",$K70),MID($V70,4,9999))))</f>
        <v/>
      </c>
      <c r="P70" s="5">
        <f>IF($D70="","",IF('Task Finder'!$C$6="High Priority",AND($F70="High",$E70&lt;&gt;"Done",$E70&lt;&gt;"Archive"),IF('Task Finder'!$C$6="Due This Week",AND($I70&lt;&gt;"",$I70&gt;=TODAY(),$I70&lt;=TODAY()+7,$E70&lt;&gt;"Done"),IF('Task Finder'!$C$6="Quick Wins (15 mins or less)",AND($M70&lt;=15,$E70&lt;&gt;"Done",$E70&lt;&gt;"Blocked"),IF('Task Finder'!$C$6="Deep Thinking",AND($G70="Deep Thinking",$E70&lt;&gt;"Done"),IF('Task Finder'!$C$6="Processing",AND($G70="Processing",$E70&lt;&gt;"Done"),IF('Task Finder'!$C$6="Blocked",$E70="Blocked",IF('Task Finder'!$C$6="Waiting",$E70="Waiting",IF('Task Finder'!$C$6="Recently Updated",AND($L70&lt;&gt;"",$L70&gt;=TODAY()-7),IF('Task Finder'!$C$6="Keyword",AND('Task Finder'!$C$7&lt;&gt;"",OR(ISNUMBER(SEARCH('Task Finder'!$C$7,$A70)),ISNUMBER(SEARCH('Task Finder'!$C$7,$B70)),ISNUMBER(SEARCH('Task Finder'!$C$7,$C70)),ISNUMBER(SEARCH('Task Finder'!$C$7,$D70)),ISNUMBER(SEARCH('Task Finder'!$C$7,$K70)))),TRUE))))))))))</f>
        <v/>
      </c>
      <c r="Q70" s="150">
        <f>IF($F70="High","High Priority","")</f>
        <v/>
      </c>
      <c r="R70" s="150">
        <f>IF(AND($I70&lt;&gt;"",$I70&lt;TODAY()),"Overdue","")</f>
        <v/>
      </c>
      <c r="S70" s="150">
        <f>IF(AND($I70&lt;&gt;"",$I70&gt;=TODAY(),$I70&lt;=TODAY()+7),"Due This Week","")</f>
        <v/>
      </c>
      <c r="T70" s="150">
        <f>IF(AND($H70&lt;&gt;"",$M70&lt;=VLOOKUP(Home!$C$7,Lists!$N$2:$O$6,2,FALSE)),$H70&amp;" Task","")</f>
        <v/>
      </c>
      <c r="U70" s="150">
        <f>IF($G70=Home!$E$7,"Fits Current Energy","")</f>
        <v/>
      </c>
      <c r="V70" s="150">
        <f>IF($Q70&lt;&gt;""," • "&amp;$Q70,"")&amp;IF($R70&lt;&gt;""," • "&amp;$R70,"")&amp;IF($S70&lt;&gt;""," • "&amp;$S70,"")&amp;IF($T70&lt;&gt;""," • "&amp;$T70,"")&amp;IF($U70&lt;&gt;""," • "&amp;$U70,"")&amp;" • No Blockers"</f>
        <v/>
      </c>
    </row>
    <row r="71">
      <c r="A71" s="19" t="n"/>
      <c r="B71" s="19" t="n"/>
      <c r="C71" s="19" t="n"/>
      <c r="D71" s="19" t="n"/>
      <c r="E71" s="19" t="n"/>
      <c r="F71" s="19" t="n"/>
      <c r="G71" s="19" t="n"/>
      <c r="H71" s="19" t="n"/>
      <c r="I71" s="19" t="n"/>
      <c r="J71" s="19" t="n"/>
      <c r="K71" s="19" t="n"/>
      <c r="L71" s="35" t="n"/>
      <c r="M71" s="5">
        <f>IF($D71="","",IFERROR(VLOOKUP($H71,Lists!$N$2:$O$6,2,FALSE),0))</f>
        <v/>
      </c>
      <c r="N71" s="5">
        <f>IF($D71="","",IF(OR($E71="Blocked",$E71="Done",$E71="Archive"),-9999,IF(AND($E71="Waiting",SUMPRODUCT((($E$5:$E$500="Next")+($E$5:$E$500="In Progress")+($E$5:$E$500="Captured"))*($D$5:$D$500&lt;&gt;""))&gt;0),-500,VLOOKUP($F71,Lists!$L$2:$M$4,2,FALSE)+IF($E71="In Progress",10,0)+IF(AND($I71&lt;&gt;"",$I71&lt;TODAY()),25,0)+IF(AND($I71&lt;&gt;"",$I71&gt;=TODAY(),$I71&lt;=TODAY()+7),15,0)+IF($H71="",0,IF($M71&lt;=VLOOKUP(Home!$C$7,Lists!$N$2:$O$6,2,FALSE),20,-10))+IF($G71=Home!$E$7,15,IF(Home!$E$7="",0,-5))-ROW()/100000)))</f>
        <v/>
      </c>
      <c r="O71" s="5">
        <f>IF($D71="","",IF($N71&lt;=-500,"Not recommended right now",IF($E71="Waiting","Nothing else actionable right now — Waiting on: "&amp;IF($K71="","this item",$K71),MID($V71,4,9999))))</f>
        <v/>
      </c>
      <c r="P71" s="5">
        <f>IF($D71="","",IF('Task Finder'!$C$6="High Priority",AND($F71="High",$E71&lt;&gt;"Done",$E71&lt;&gt;"Archive"),IF('Task Finder'!$C$6="Due This Week",AND($I71&lt;&gt;"",$I71&gt;=TODAY(),$I71&lt;=TODAY()+7,$E71&lt;&gt;"Done"),IF('Task Finder'!$C$6="Quick Wins (15 mins or less)",AND($M71&lt;=15,$E71&lt;&gt;"Done",$E71&lt;&gt;"Blocked"),IF('Task Finder'!$C$6="Deep Thinking",AND($G71="Deep Thinking",$E71&lt;&gt;"Done"),IF('Task Finder'!$C$6="Processing",AND($G71="Processing",$E71&lt;&gt;"Done"),IF('Task Finder'!$C$6="Blocked",$E71="Blocked",IF('Task Finder'!$C$6="Waiting",$E71="Waiting",IF('Task Finder'!$C$6="Recently Updated",AND($L71&lt;&gt;"",$L71&gt;=TODAY()-7),IF('Task Finder'!$C$6="Keyword",AND('Task Finder'!$C$7&lt;&gt;"",OR(ISNUMBER(SEARCH('Task Finder'!$C$7,$A71)),ISNUMBER(SEARCH('Task Finder'!$C$7,$B71)),ISNUMBER(SEARCH('Task Finder'!$C$7,$C71)),ISNUMBER(SEARCH('Task Finder'!$C$7,$D71)),ISNUMBER(SEARCH('Task Finder'!$C$7,$K71)))),TRUE))))))))))</f>
        <v/>
      </c>
      <c r="Q71" s="150">
        <f>IF($F71="High","High Priority","")</f>
        <v/>
      </c>
      <c r="R71" s="150">
        <f>IF(AND($I71&lt;&gt;"",$I71&lt;TODAY()),"Overdue","")</f>
        <v/>
      </c>
      <c r="S71" s="150">
        <f>IF(AND($I71&lt;&gt;"",$I71&gt;=TODAY(),$I71&lt;=TODAY()+7),"Due This Week","")</f>
        <v/>
      </c>
      <c r="T71" s="150">
        <f>IF(AND($H71&lt;&gt;"",$M71&lt;=VLOOKUP(Home!$C$7,Lists!$N$2:$O$6,2,FALSE)),$H71&amp;" Task","")</f>
        <v/>
      </c>
      <c r="U71" s="150">
        <f>IF($G71=Home!$E$7,"Fits Current Energy","")</f>
        <v/>
      </c>
      <c r="V71" s="150">
        <f>IF($Q71&lt;&gt;""," • "&amp;$Q71,"")&amp;IF($R71&lt;&gt;""," • "&amp;$R71,"")&amp;IF($S71&lt;&gt;""," • "&amp;$S71,"")&amp;IF($T71&lt;&gt;""," • "&amp;$T71,"")&amp;IF($U71&lt;&gt;""," • "&amp;$U71,"")&amp;" • No Blockers"</f>
        <v/>
      </c>
    </row>
    <row r="72">
      <c r="A72" s="19" t="n"/>
      <c r="B72" s="19" t="n"/>
      <c r="C72" s="19" t="n"/>
      <c r="D72" s="19" t="n"/>
      <c r="E72" s="19" t="n"/>
      <c r="F72" s="19" t="n"/>
      <c r="G72" s="19" t="n"/>
      <c r="H72" s="19" t="n"/>
      <c r="I72" s="19" t="n"/>
      <c r="J72" s="19" t="n"/>
      <c r="K72" s="19" t="n"/>
      <c r="L72" s="35" t="n"/>
      <c r="M72" s="5">
        <f>IF($D72="","",IFERROR(VLOOKUP($H72,Lists!$N$2:$O$6,2,FALSE),0))</f>
        <v/>
      </c>
      <c r="N72" s="5">
        <f>IF($D72="","",IF(OR($E72="Blocked",$E72="Done",$E72="Archive"),-9999,IF(AND($E72="Waiting",SUMPRODUCT((($E$5:$E$500="Next")+($E$5:$E$500="In Progress")+($E$5:$E$500="Captured"))*($D$5:$D$500&lt;&gt;""))&gt;0),-500,VLOOKUP($F72,Lists!$L$2:$M$4,2,FALSE)+IF($E72="In Progress",10,0)+IF(AND($I72&lt;&gt;"",$I72&lt;TODAY()),25,0)+IF(AND($I72&lt;&gt;"",$I72&gt;=TODAY(),$I72&lt;=TODAY()+7),15,0)+IF($H72="",0,IF($M72&lt;=VLOOKUP(Home!$C$7,Lists!$N$2:$O$6,2,FALSE),20,-10))+IF($G72=Home!$E$7,15,IF(Home!$E$7="",0,-5))-ROW()/100000)))</f>
        <v/>
      </c>
      <c r="O72" s="5">
        <f>IF($D72="","",IF($N72&lt;=-500,"Not recommended right now",IF($E72="Waiting","Nothing else actionable right now — Waiting on: "&amp;IF($K72="","this item",$K72),MID($V72,4,9999))))</f>
        <v/>
      </c>
      <c r="P72" s="5">
        <f>IF($D72="","",IF('Task Finder'!$C$6="High Priority",AND($F72="High",$E72&lt;&gt;"Done",$E72&lt;&gt;"Archive"),IF('Task Finder'!$C$6="Due This Week",AND($I72&lt;&gt;"",$I72&gt;=TODAY(),$I72&lt;=TODAY()+7,$E72&lt;&gt;"Done"),IF('Task Finder'!$C$6="Quick Wins (15 mins or less)",AND($M72&lt;=15,$E72&lt;&gt;"Done",$E72&lt;&gt;"Blocked"),IF('Task Finder'!$C$6="Deep Thinking",AND($G72="Deep Thinking",$E72&lt;&gt;"Done"),IF('Task Finder'!$C$6="Processing",AND($G72="Processing",$E72&lt;&gt;"Done"),IF('Task Finder'!$C$6="Blocked",$E72="Blocked",IF('Task Finder'!$C$6="Waiting",$E72="Waiting",IF('Task Finder'!$C$6="Recently Updated",AND($L72&lt;&gt;"",$L72&gt;=TODAY()-7),IF('Task Finder'!$C$6="Keyword",AND('Task Finder'!$C$7&lt;&gt;"",OR(ISNUMBER(SEARCH('Task Finder'!$C$7,$A72)),ISNUMBER(SEARCH('Task Finder'!$C$7,$B72)),ISNUMBER(SEARCH('Task Finder'!$C$7,$C72)),ISNUMBER(SEARCH('Task Finder'!$C$7,$D72)),ISNUMBER(SEARCH('Task Finder'!$C$7,$K72)))),TRUE))))))))))</f>
        <v/>
      </c>
      <c r="Q72" s="150">
        <f>IF($F72="High","High Priority","")</f>
        <v/>
      </c>
      <c r="R72" s="150">
        <f>IF(AND($I72&lt;&gt;"",$I72&lt;TODAY()),"Overdue","")</f>
        <v/>
      </c>
      <c r="S72" s="150">
        <f>IF(AND($I72&lt;&gt;"",$I72&gt;=TODAY(),$I72&lt;=TODAY()+7),"Due This Week","")</f>
        <v/>
      </c>
      <c r="T72" s="150">
        <f>IF(AND($H72&lt;&gt;"",$M72&lt;=VLOOKUP(Home!$C$7,Lists!$N$2:$O$6,2,FALSE)),$H72&amp;" Task","")</f>
        <v/>
      </c>
      <c r="U72" s="150">
        <f>IF($G72=Home!$E$7,"Fits Current Energy","")</f>
        <v/>
      </c>
      <c r="V72" s="150">
        <f>IF($Q72&lt;&gt;""," • "&amp;$Q72,"")&amp;IF($R72&lt;&gt;""," • "&amp;$R72,"")&amp;IF($S72&lt;&gt;""," • "&amp;$S72,"")&amp;IF($T72&lt;&gt;""," • "&amp;$T72,"")&amp;IF($U72&lt;&gt;""," • "&amp;$U72,"")&amp;" • No Blockers"</f>
        <v/>
      </c>
    </row>
    <row r="73">
      <c r="A73" s="19" t="n"/>
      <c r="B73" s="19" t="n"/>
      <c r="C73" s="19" t="n"/>
      <c r="D73" s="19" t="n"/>
      <c r="E73" s="19" t="n"/>
      <c r="F73" s="19" t="n"/>
      <c r="G73" s="19" t="n"/>
      <c r="H73" s="19" t="n"/>
      <c r="I73" s="19" t="n"/>
      <c r="J73" s="19" t="n"/>
      <c r="K73" s="19" t="n"/>
      <c r="L73" s="35" t="n"/>
      <c r="M73" s="5">
        <f>IF($D73="","",IFERROR(VLOOKUP($H73,Lists!$N$2:$O$6,2,FALSE),0))</f>
        <v/>
      </c>
      <c r="N73" s="5">
        <f>IF($D73="","",IF(OR($E73="Blocked",$E73="Done",$E73="Archive"),-9999,IF(AND($E73="Waiting",SUMPRODUCT((($E$5:$E$500="Next")+($E$5:$E$500="In Progress")+($E$5:$E$500="Captured"))*($D$5:$D$500&lt;&gt;""))&gt;0),-500,VLOOKUP($F73,Lists!$L$2:$M$4,2,FALSE)+IF($E73="In Progress",10,0)+IF(AND($I73&lt;&gt;"",$I73&lt;TODAY()),25,0)+IF(AND($I73&lt;&gt;"",$I73&gt;=TODAY(),$I73&lt;=TODAY()+7),15,0)+IF($H73="",0,IF($M73&lt;=VLOOKUP(Home!$C$7,Lists!$N$2:$O$6,2,FALSE),20,-10))+IF($G73=Home!$E$7,15,IF(Home!$E$7="",0,-5))-ROW()/100000)))</f>
        <v/>
      </c>
      <c r="O73" s="5">
        <f>IF($D73="","",IF($N73&lt;=-500,"Not recommended right now",IF($E73="Waiting","Nothing else actionable right now — Waiting on: "&amp;IF($K73="","this item",$K73),MID($V73,4,9999))))</f>
        <v/>
      </c>
      <c r="P73" s="5">
        <f>IF($D73="","",IF('Task Finder'!$C$6="High Priority",AND($F73="High",$E73&lt;&gt;"Done",$E73&lt;&gt;"Archive"),IF('Task Finder'!$C$6="Due This Week",AND($I73&lt;&gt;"",$I73&gt;=TODAY(),$I73&lt;=TODAY()+7,$E73&lt;&gt;"Done"),IF('Task Finder'!$C$6="Quick Wins (15 mins or less)",AND($M73&lt;=15,$E73&lt;&gt;"Done",$E73&lt;&gt;"Blocked"),IF('Task Finder'!$C$6="Deep Thinking",AND($G73="Deep Thinking",$E73&lt;&gt;"Done"),IF('Task Finder'!$C$6="Processing",AND($G73="Processing",$E73&lt;&gt;"Done"),IF('Task Finder'!$C$6="Blocked",$E73="Blocked",IF('Task Finder'!$C$6="Waiting",$E73="Waiting",IF('Task Finder'!$C$6="Recently Updated",AND($L73&lt;&gt;"",$L73&gt;=TODAY()-7),IF('Task Finder'!$C$6="Keyword",AND('Task Finder'!$C$7&lt;&gt;"",OR(ISNUMBER(SEARCH('Task Finder'!$C$7,$A73)),ISNUMBER(SEARCH('Task Finder'!$C$7,$B73)),ISNUMBER(SEARCH('Task Finder'!$C$7,$C73)),ISNUMBER(SEARCH('Task Finder'!$C$7,$D73)),ISNUMBER(SEARCH('Task Finder'!$C$7,$K73)))),TRUE))))))))))</f>
        <v/>
      </c>
      <c r="Q73" s="150">
        <f>IF($F73="High","High Priority","")</f>
        <v/>
      </c>
      <c r="R73" s="150">
        <f>IF(AND($I73&lt;&gt;"",$I73&lt;TODAY()),"Overdue","")</f>
        <v/>
      </c>
      <c r="S73" s="150">
        <f>IF(AND($I73&lt;&gt;"",$I73&gt;=TODAY(),$I73&lt;=TODAY()+7),"Due This Week","")</f>
        <v/>
      </c>
      <c r="T73" s="150">
        <f>IF(AND($H73&lt;&gt;"",$M73&lt;=VLOOKUP(Home!$C$7,Lists!$N$2:$O$6,2,FALSE)),$H73&amp;" Task","")</f>
        <v/>
      </c>
      <c r="U73" s="150">
        <f>IF($G73=Home!$E$7,"Fits Current Energy","")</f>
        <v/>
      </c>
      <c r="V73" s="150">
        <f>IF($Q73&lt;&gt;""," • "&amp;$Q73,"")&amp;IF($R73&lt;&gt;""," • "&amp;$R73,"")&amp;IF($S73&lt;&gt;""," • "&amp;$S73,"")&amp;IF($T73&lt;&gt;""," • "&amp;$T73,"")&amp;IF($U73&lt;&gt;""," • "&amp;$U73,"")&amp;" • No Blockers"</f>
        <v/>
      </c>
    </row>
    <row r="74">
      <c r="A74" s="19" t="n"/>
      <c r="B74" s="19" t="n"/>
      <c r="C74" s="19" t="n"/>
      <c r="D74" s="19" t="n"/>
      <c r="E74" s="19" t="n"/>
      <c r="F74" s="19" t="n"/>
      <c r="G74" s="19" t="n"/>
      <c r="H74" s="19" t="n"/>
      <c r="I74" s="19" t="n"/>
      <c r="J74" s="19" t="n"/>
      <c r="K74" s="19" t="n"/>
      <c r="L74" s="35" t="n"/>
      <c r="M74" s="5">
        <f>IF($D74="","",IFERROR(VLOOKUP($H74,Lists!$N$2:$O$6,2,FALSE),0))</f>
        <v/>
      </c>
      <c r="N74" s="5">
        <f>IF($D74="","",IF(OR($E74="Blocked",$E74="Done",$E74="Archive"),-9999,IF(AND($E74="Waiting",SUMPRODUCT((($E$5:$E$500="Next")+($E$5:$E$500="In Progress")+($E$5:$E$500="Captured"))*($D$5:$D$500&lt;&gt;""))&gt;0),-500,VLOOKUP($F74,Lists!$L$2:$M$4,2,FALSE)+IF($E74="In Progress",10,0)+IF(AND($I74&lt;&gt;"",$I74&lt;TODAY()),25,0)+IF(AND($I74&lt;&gt;"",$I74&gt;=TODAY(),$I74&lt;=TODAY()+7),15,0)+IF($H74="",0,IF($M74&lt;=VLOOKUP(Home!$C$7,Lists!$N$2:$O$6,2,FALSE),20,-10))+IF($G74=Home!$E$7,15,IF(Home!$E$7="",0,-5))-ROW()/100000)))</f>
        <v/>
      </c>
      <c r="O74" s="5">
        <f>IF($D74="","",IF($N74&lt;=-500,"Not recommended right now",IF($E74="Waiting","Nothing else actionable right now — Waiting on: "&amp;IF($K74="","this item",$K74),MID($V74,4,9999))))</f>
        <v/>
      </c>
      <c r="P74" s="5">
        <f>IF($D74="","",IF('Task Finder'!$C$6="High Priority",AND($F74="High",$E74&lt;&gt;"Done",$E74&lt;&gt;"Archive"),IF('Task Finder'!$C$6="Due This Week",AND($I74&lt;&gt;"",$I74&gt;=TODAY(),$I74&lt;=TODAY()+7,$E74&lt;&gt;"Done"),IF('Task Finder'!$C$6="Quick Wins (15 mins or less)",AND($M74&lt;=15,$E74&lt;&gt;"Done",$E74&lt;&gt;"Blocked"),IF('Task Finder'!$C$6="Deep Thinking",AND($G74="Deep Thinking",$E74&lt;&gt;"Done"),IF('Task Finder'!$C$6="Processing",AND($G74="Processing",$E74&lt;&gt;"Done"),IF('Task Finder'!$C$6="Blocked",$E74="Blocked",IF('Task Finder'!$C$6="Waiting",$E74="Waiting",IF('Task Finder'!$C$6="Recently Updated",AND($L74&lt;&gt;"",$L74&gt;=TODAY()-7),IF('Task Finder'!$C$6="Keyword",AND('Task Finder'!$C$7&lt;&gt;"",OR(ISNUMBER(SEARCH('Task Finder'!$C$7,$A74)),ISNUMBER(SEARCH('Task Finder'!$C$7,$B74)),ISNUMBER(SEARCH('Task Finder'!$C$7,$C74)),ISNUMBER(SEARCH('Task Finder'!$C$7,$D74)),ISNUMBER(SEARCH('Task Finder'!$C$7,$K74)))),TRUE))))))))))</f>
        <v/>
      </c>
      <c r="Q74" s="150">
        <f>IF($F74="High","High Priority","")</f>
        <v/>
      </c>
      <c r="R74" s="150">
        <f>IF(AND($I74&lt;&gt;"",$I74&lt;TODAY()),"Overdue","")</f>
        <v/>
      </c>
      <c r="S74" s="150">
        <f>IF(AND($I74&lt;&gt;"",$I74&gt;=TODAY(),$I74&lt;=TODAY()+7),"Due This Week","")</f>
        <v/>
      </c>
      <c r="T74" s="150">
        <f>IF(AND($H74&lt;&gt;"",$M74&lt;=VLOOKUP(Home!$C$7,Lists!$N$2:$O$6,2,FALSE)),$H74&amp;" Task","")</f>
        <v/>
      </c>
      <c r="U74" s="150">
        <f>IF($G74=Home!$E$7,"Fits Current Energy","")</f>
        <v/>
      </c>
      <c r="V74" s="150">
        <f>IF($Q74&lt;&gt;""," • "&amp;$Q74,"")&amp;IF($R74&lt;&gt;""," • "&amp;$R74,"")&amp;IF($S74&lt;&gt;""," • "&amp;$S74,"")&amp;IF($T74&lt;&gt;""," • "&amp;$T74,"")&amp;IF($U74&lt;&gt;""," • "&amp;$U74,"")&amp;" • No Blockers"</f>
        <v/>
      </c>
    </row>
    <row r="75">
      <c r="A75" s="19" t="n"/>
      <c r="B75" s="19" t="n"/>
      <c r="C75" s="19" t="n"/>
      <c r="D75" s="19" t="n"/>
      <c r="E75" s="19" t="n"/>
      <c r="F75" s="19" t="n"/>
      <c r="G75" s="19" t="n"/>
      <c r="H75" s="19" t="n"/>
      <c r="I75" s="19" t="n"/>
      <c r="J75" s="19" t="n"/>
      <c r="K75" s="19" t="n"/>
      <c r="L75" s="35" t="n"/>
      <c r="M75" s="5">
        <f>IF($D75="","",IFERROR(VLOOKUP($H75,Lists!$N$2:$O$6,2,FALSE),0))</f>
        <v/>
      </c>
      <c r="N75" s="5">
        <f>IF($D75="","",IF(OR($E75="Blocked",$E75="Done",$E75="Archive"),-9999,IF(AND($E75="Waiting",SUMPRODUCT((($E$5:$E$500="Next")+($E$5:$E$500="In Progress")+($E$5:$E$500="Captured"))*($D$5:$D$500&lt;&gt;""))&gt;0),-500,VLOOKUP($F75,Lists!$L$2:$M$4,2,FALSE)+IF($E75="In Progress",10,0)+IF(AND($I75&lt;&gt;"",$I75&lt;TODAY()),25,0)+IF(AND($I75&lt;&gt;"",$I75&gt;=TODAY(),$I75&lt;=TODAY()+7),15,0)+IF($H75="",0,IF($M75&lt;=VLOOKUP(Home!$C$7,Lists!$N$2:$O$6,2,FALSE),20,-10))+IF($G75=Home!$E$7,15,IF(Home!$E$7="",0,-5))-ROW()/100000)))</f>
        <v/>
      </c>
      <c r="O75" s="5">
        <f>IF($D75="","",IF($N75&lt;=-500,"Not recommended right now",IF($E75="Waiting","Nothing else actionable right now — Waiting on: "&amp;IF($K75="","this item",$K75),MID($V75,4,9999))))</f>
        <v/>
      </c>
      <c r="P75" s="5">
        <f>IF($D75="","",IF('Task Finder'!$C$6="High Priority",AND($F75="High",$E75&lt;&gt;"Done",$E75&lt;&gt;"Archive"),IF('Task Finder'!$C$6="Due This Week",AND($I75&lt;&gt;"",$I75&gt;=TODAY(),$I75&lt;=TODAY()+7,$E75&lt;&gt;"Done"),IF('Task Finder'!$C$6="Quick Wins (15 mins or less)",AND($M75&lt;=15,$E75&lt;&gt;"Done",$E75&lt;&gt;"Blocked"),IF('Task Finder'!$C$6="Deep Thinking",AND($G75="Deep Thinking",$E75&lt;&gt;"Done"),IF('Task Finder'!$C$6="Processing",AND($G75="Processing",$E75&lt;&gt;"Done"),IF('Task Finder'!$C$6="Blocked",$E75="Blocked",IF('Task Finder'!$C$6="Waiting",$E75="Waiting",IF('Task Finder'!$C$6="Recently Updated",AND($L75&lt;&gt;"",$L75&gt;=TODAY()-7),IF('Task Finder'!$C$6="Keyword",AND('Task Finder'!$C$7&lt;&gt;"",OR(ISNUMBER(SEARCH('Task Finder'!$C$7,$A75)),ISNUMBER(SEARCH('Task Finder'!$C$7,$B75)),ISNUMBER(SEARCH('Task Finder'!$C$7,$C75)),ISNUMBER(SEARCH('Task Finder'!$C$7,$D75)),ISNUMBER(SEARCH('Task Finder'!$C$7,$K75)))),TRUE))))))))))</f>
        <v/>
      </c>
      <c r="Q75" s="150">
        <f>IF($F75="High","High Priority","")</f>
        <v/>
      </c>
      <c r="R75" s="150">
        <f>IF(AND($I75&lt;&gt;"",$I75&lt;TODAY()),"Overdue","")</f>
        <v/>
      </c>
      <c r="S75" s="150">
        <f>IF(AND($I75&lt;&gt;"",$I75&gt;=TODAY(),$I75&lt;=TODAY()+7),"Due This Week","")</f>
        <v/>
      </c>
      <c r="T75" s="150">
        <f>IF(AND($H75&lt;&gt;"",$M75&lt;=VLOOKUP(Home!$C$7,Lists!$N$2:$O$6,2,FALSE)),$H75&amp;" Task","")</f>
        <v/>
      </c>
      <c r="U75" s="150">
        <f>IF($G75=Home!$E$7,"Fits Current Energy","")</f>
        <v/>
      </c>
      <c r="V75" s="150">
        <f>IF($Q75&lt;&gt;""," • "&amp;$Q75,"")&amp;IF($R75&lt;&gt;""," • "&amp;$R75,"")&amp;IF($S75&lt;&gt;""," • "&amp;$S75,"")&amp;IF($T75&lt;&gt;""," • "&amp;$T75,"")&amp;IF($U75&lt;&gt;""," • "&amp;$U75,"")&amp;" • No Blockers"</f>
        <v/>
      </c>
    </row>
    <row r="76">
      <c r="A76" s="19" t="n"/>
      <c r="B76" s="19" t="n"/>
      <c r="C76" s="19" t="n"/>
      <c r="D76" s="19" t="n"/>
      <c r="E76" s="19" t="n"/>
      <c r="F76" s="19" t="n"/>
      <c r="G76" s="19" t="n"/>
      <c r="H76" s="19" t="n"/>
      <c r="I76" s="19" t="n"/>
      <c r="J76" s="19" t="n"/>
      <c r="K76" s="19" t="n"/>
      <c r="L76" s="35" t="n"/>
      <c r="M76" s="5">
        <f>IF($D76="","",IFERROR(VLOOKUP($H76,Lists!$N$2:$O$6,2,FALSE),0))</f>
        <v/>
      </c>
      <c r="N76" s="5">
        <f>IF($D76="","",IF(OR($E76="Blocked",$E76="Done",$E76="Archive"),-9999,IF(AND($E76="Waiting",SUMPRODUCT((($E$5:$E$500="Next")+($E$5:$E$500="In Progress")+($E$5:$E$500="Captured"))*($D$5:$D$500&lt;&gt;""))&gt;0),-500,VLOOKUP($F76,Lists!$L$2:$M$4,2,FALSE)+IF($E76="In Progress",10,0)+IF(AND($I76&lt;&gt;"",$I76&lt;TODAY()),25,0)+IF(AND($I76&lt;&gt;"",$I76&gt;=TODAY(),$I76&lt;=TODAY()+7),15,0)+IF($H76="",0,IF($M76&lt;=VLOOKUP(Home!$C$7,Lists!$N$2:$O$6,2,FALSE),20,-10))+IF($G76=Home!$E$7,15,IF(Home!$E$7="",0,-5))-ROW()/100000)))</f>
        <v/>
      </c>
      <c r="O76" s="5">
        <f>IF($D76="","",IF($N76&lt;=-500,"Not recommended right now",IF($E76="Waiting","Nothing else actionable right now — Waiting on: "&amp;IF($K76="","this item",$K76),MID($V76,4,9999))))</f>
        <v/>
      </c>
      <c r="P76" s="5">
        <f>IF($D76="","",IF('Task Finder'!$C$6="High Priority",AND($F76="High",$E76&lt;&gt;"Done",$E76&lt;&gt;"Archive"),IF('Task Finder'!$C$6="Due This Week",AND($I76&lt;&gt;"",$I76&gt;=TODAY(),$I76&lt;=TODAY()+7,$E76&lt;&gt;"Done"),IF('Task Finder'!$C$6="Quick Wins (15 mins or less)",AND($M76&lt;=15,$E76&lt;&gt;"Done",$E76&lt;&gt;"Blocked"),IF('Task Finder'!$C$6="Deep Thinking",AND($G76="Deep Thinking",$E76&lt;&gt;"Done"),IF('Task Finder'!$C$6="Processing",AND($G76="Processing",$E76&lt;&gt;"Done"),IF('Task Finder'!$C$6="Blocked",$E76="Blocked",IF('Task Finder'!$C$6="Waiting",$E76="Waiting",IF('Task Finder'!$C$6="Recently Updated",AND($L76&lt;&gt;"",$L76&gt;=TODAY()-7),IF('Task Finder'!$C$6="Keyword",AND('Task Finder'!$C$7&lt;&gt;"",OR(ISNUMBER(SEARCH('Task Finder'!$C$7,$A76)),ISNUMBER(SEARCH('Task Finder'!$C$7,$B76)),ISNUMBER(SEARCH('Task Finder'!$C$7,$C76)),ISNUMBER(SEARCH('Task Finder'!$C$7,$D76)),ISNUMBER(SEARCH('Task Finder'!$C$7,$K76)))),TRUE))))))))))</f>
        <v/>
      </c>
      <c r="Q76" s="150">
        <f>IF($F76="High","High Priority","")</f>
        <v/>
      </c>
      <c r="R76" s="150">
        <f>IF(AND($I76&lt;&gt;"",$I76&lt;TODAY()),"Overdue","")</f>
        <v/>
      </c>
      <c r="S76" s="150">
        <f>IF(AND($I76&lt;&gt;"",$I76&gt;=TODAY(),$I76&lt;=TODAY()+7),"Due This Week","")</f>
        <v/>
      </c>
      <c r="T76" s="150">
        <f>IF(AND($H76&lt;&gt;"",$M76&lt;=VLOOKUP(Home!$C$7,Lists!$N$2:$O$6,2,FALSE)),$H76&amp;" Task","")</f>
        <v/>
      </c>
      <c r="U76" s="150">
        <f>IF($G76=Home!$E$7,"Fits Current Energy","")</f>
        <v/>
      </c>
      <c r="V76" s="150">
        <f>IF($Q76&lt;&gt;""," • "&amp;$Q76,"")&amp;IF($R76&lt;&gt;""," • "&amp;$R76,"")&amp;IF($S76&lt;&gt;""," • "&amp;$S76,"")&amp;IF($T76&lt;&gt;""," • "&amp;$T76,"")&amp;IF($U76&lt;&gt;""," • "&amp;$U76,"")&amp;" • No Blockers"</f>
        <v/>
      </c>
    </row>
    <row r="77">
      <c r="A77" s="19" t="n"/>
      <c r="B77" s="19" t="n"/>
      <c r="C77" s="19" t="n"/>
      <c r="D77" s="19" t="n"/>
      <c r="E77" s="19" t="n"/>
      <c r="F77" s="19" t="n"/>
      <c r="G77" s="19" t="n"/>
      <c r="H77" s="19" t="n"/>
      <c r="I77" s="19" t="n"/>
      <c r="J77" s="19" t="n"/>
      <c r="K77" s="19" t="n"/>
      <c r="L77" s="35" t="n"/>
      <c r="M77" s="5">
        <f>IF($D77="","",IFERROR(VLOOKUP($H77,Lists!$N$2:$O$6,2,FALSE),0))</f>
        <v/>
      </c>
      <c r="N77" s="5">
        <f>IF($D77="","",IF(OR($E77="Blocked",$E77="Done",$E77="Archive"),-9999,IF(AND($E77="Waiting",SUMPRODUCT((($E$5:$E$500="Next")+($E$5:$E$500="In Progress")+($E$5:$E$500="Captured"))*($D$5:$D$500&lt;&gt;""))&gt;0),-500,VLOOKUP($F77,Lists!$L$2:$M$4,2,FALSE)+IF($E77="In Progress",10,0)+IF(AND($I77&lt;&gt;"",$I77&lt;TODAY()),25,0)+IF(AND($I77&lt;&gt;"",$I77&gt;=TODAY(),$I77&lt;=TODAY()+7),15,0)+IF($H77="",0,IF($M77&lt;=VLOOKUP(Home!$C$7,Lists!$N$2:$O$6,2,FALSE),20,-10))+IF($G77=Home!$E$7,15,IF(Home!$E$7="",0,-5))-ROW()/100000)))</f>
        <v/>
      </c>
      <c r="O77" s="5">
        <f>IF($D77="","",IF($N77&lt;=-500,"Not recommended right now",IF($E77="Waiting","Nothing else actionable right now — Waiting on: "&amp;IF($K77="","this item",$K77),MID($V77,4,9999))))</f>
        <v/>
      </c>
      <c r="P77" s="5">
        <f>IF($D77="","",IF('Task Finder'!$C$6="High Priority",AND($F77="High",$E77&lt;&gt;"Done",$E77&lt;&gt;"Archive"),IF('Task Finder'!$C$6="Due This Week",AND($I77&lt;&gt;"",$I77&gt;=TODAY(),$I77&lt;=TODAY()+7,$E77&lt;&gt;"Done"),IF('Task Finder'!$C$6="Quick Wins (15 mins or less)",AND($M77&lt;=15,$E77&lt;&gt;"Done",$E77&lt;&gt;"Blocked"),IF('Task Finder'!$C$6="Deep Thinking",AND($G77="Deep Thinking",$E77&lt;&gt;"Done"),IF('Task Finder'!$C$6="Processing",AND($G77="Processing",$E77&lt;&gt;"Done"),IF('Task Finder'!$C$6="Blocked",$E77="Blocked",IF('Task Finder'!$C$6="Waiting",$E77="Waiting",IF('Task Finder'!$C$6="Recently Updated",AND($L77&lt;&gt;"",$L77&gt;=TODAY()-7),IF('Task Finder'!$C$6="Keyword",AND('Task Finder'!$C$7&lt;&gt;"",OR(ISNUMBER(SEARCH('Task Finder'!$C$7,$A77)),ISNUMBER(SEARCH('Task Finder'!$C$7,$B77)),ISNUMBER(SEARCH('Task Finder'!$C$7,$C77)),ISNUMBER(SEARCH('Task Finder'!$C$7,$D77)),ISNUMBER(SEARCH('Task Finder'!$C$7,$K77)))),TRUE))))))))))</f>
        <v/>
      </c>
      <c r="Q77" s="150">
        <f>IF($F77="High","High Priority","")</f>
        <v/>
      </c>
      <c r="R77" s="150">
        <f>IF(AND($I77&lt;&gt;"",$I77&lt;TODAY()),"Overdue","")</f>
        <v/>
      </c>
      <c r="S77" s="150">
        <f>IF(AND($I77&lt;&gt;"",$I77&gt;=TODAY(),$I77&lt;=TODAY()+7),"Due This Week","")</f>
        <v/>
      </c>
      <c r="T77" s="150">
        <f>IF(AND($H77&lt;&gt;"",$M77&lt;=VLOOKUP(Home!$C$7,Lists!$N$2:$O$6,2,FALSE)),$H77&amp;" Task","")</f>
        <v/>
      </c>
      <c r="U77" s="150">
        <f>IF($G77=Home!$E$7,"Fits Current Energy","")</f>
        <v/>
      </c>
      <c r="V77" s="150">
        <f>IF($Q77&lt;&gt;""," • "&amp;$Q77,"")&amp;IF($R77&lt;&gt;""," • "&amp;$R77,"")&amp;IF($S77&lt;&gt;""," • "&amp;$S77,"")&amp;IF($T77&lt;&gt;""," • "&amp;$T77,"")&amp;IF($U77&lt;&gt;""," • "&amp;$U77,"")&amp;" • No Blockers"</f>
        <v/>
      </c>
    </row>
    <row r="78">
      <c r="A78" s="19" t="n"/>
      <c r="B78" s="19" t="n"/>
      <c r="C78" s="19" t="n"/>
      <c r="D78" s="19" t="n"/>
      <c r="E78" s="19" t="n"/>
      <c r="F78" s="19" t="n"/>
      <c r="G78" s="19" t="n"/>
      <c r="H78" s="19" t="n"/>
      <c r="I78" s="19" t="n"/>
      <c r="J78" s="19" t="n"/>
      <c r="K78" s="19" t="n"/>
      <c r="L78" s="35" t="n"/>
      <c r="M78" s="5">
        <f>IF($D78="","",IFERROR(VLOOKUP($H78,Lists!$N$2:$O$6,2,FALSE),0))</f>
        <v/>
      </c>
      <c r="N78" s="5">
        <f>IF($D78="","",IF(OR($E78="Blocked",$E78="Done",$E78="Archive"),-9999,IF(AND($E78="Waiting",SUMPRODUCT((($E$5:$E$500="Next")+($E$5:$E$500="In Progress")+($E$5:$E$500="Captured"))*($D$5:$D$500&lt;&gt;""))&gt;0),-500,VLOOKUP($F78,Lists!$L$2:$M$4,2,FALSE)+IF($E78="In Progress",10,0)+IF(AND($I78&lt;&gt;"",$I78&lt;TODAY()),25,0)+IF(AND($I78&lt;&gt;"",$I78&gt;=TODAY(),$I78&lt;=TODAY()+7),15,0)+IF($H78="",0,IF($M78&lt;=VLOOKUP(Home!$C$7,Lists!$N$2:$O$6,2,FALSE),20,-10))+IF($G78=Home!$E$7,15,IF(Home!$E$7="",0,-5))-ROW()/100000)))</f>
        <v/>
      </c>
      <c r="O78" s="5">
        <f>IF($D78="","",IF($N78&lt;=-500,"Not recommended right now",IF($E78="Waiting","Nothing else actionable right now — Waiting on: "&amp;IF($K78="","this item",$K78),MID($V78,4,9999))))</f>
        <v/>
      </c>
      <c r="P78" s="5">
        <f>IF($D78="","",IF('Task Finder'!$C$6="High Priority",AND($F78="High",$E78&lt;&gt;"Done",$E78&lt;&gt;"Archive"),IF('Task Finder'!$C$6="Due This Week",AND($I78&lt;&gt;"",$I78&gt;=TODAY(),$I78&lt;=TODAY()+7,$E78&lt;&gt;"Done"),IF('Task Finder'!$C$6="Quick Wins (15 mins or less)",AND($M78&lt;=15,$E78&lt;&gt;"Done",$E78&lt;&gt;"Blocked"),IF('Task Finder'!$C$6="Deep Thinking",AND($G78="Deep Thinking",$E78&lt;&gt;"Done"),IF('Task Finder'!$C$6="Processing",AND($G78="Processing",$E78&lt;&gt;"Done"),IF('Task Finder'!$C$6="Blocked",$E78="Blocked",IF('Task Finder'!$C$6="Waiting",$E78="Waiting",IF('Task Finder'!$C$6="Recently Updated",AND($L78&lt;&gt;"",$L78&gt;=TODAY()-7),IF('Task Finder'!$C$6="Keyword",AND('Task Finder'!$C$7&lt;&gt;"",OR(ISNUMBER(SEARCH('Task Finder'!$C$7,$A78)),ISNUMBER(SEARCH('Task Finder'!$C$7,$B78)),ISNUMBER(SEARCH('Task Finder'!$C$7,$C78)),ISNUMBER(SEARCH('Task Finder'!$C$7,$D78)),ISNUMBER(SEARCH('Task Finder'!$C$7,$K78)))),TRUE))))))))))</f>
        <v/>
      </c>
      <c r="Q78" s="150">
        <f>IF($F78="High","High Priority","")</f>
        <v/>
      </c>
      <c r="R78" s="150">
        <f>IF(AND($I78&lt;&gt;"",$I78&lt;TODAY()),"Overdue","")</f>
        <v/>
      </c>
      <c r="S78" s="150">
        <f>IF(AND($I78&lt;&gt;"",$I78&gt;=TODAY(),$I78&lt;=TODAY()+7),"Due This Week","")</f>
        <v/>
      </c>
      <c r="T78" s="150">
        <f>IF(AND($H78&lt;&gt;"",$M78&lt;=VLOOKUP(Home!$C$7,Lists!$N$2:$O$6,2,FALSE)),$H78&amp;" Task","")</f>
        <v/>
      </c>
      <c r="U78" s="150">
        <f>IF($G78=Home!$E$7,"Fits Current Energy","")</f>
        <v/>
      </c>
      <c r="V78" s="150">
        <f>IF($Q78&lt;&gt;""," • "&amp;$Q78,"")&amp;IF($R78&lt;&gt;""," • "&amp;$R78,"")&amp;IF($S78&lt;&gt;""," • "&amp;$S78,"")&amp;IF($T78&lt;&gt;""," • "&amp;$T78,"")&amp;IF($U78&lt;&gt;""," • "&amp;$U78,"")&amp;" • No Blockers"</f>
        <v/>
      </c>
    </row>
    <row r="79">
      <c r="A79" s="19" t="n"/>
      <c r="B79" s="19" t="n"/>
      <c r="C79" s="19" t="n"/>
      <c r="D79" s="19" t="n"/>
      <c r="E79" s="19" t="n"/>
      <c r="F79" s="19" t="n"/>
      <c r="G79" s="19" t="n"/>
      <c r="H79" s="19" t="n"/>
      <c r="I79" s="19" t="n"/>
      <c r="J79" s="19" t="n"/>
      <c r="K79" s="19" t="n"/>
      <c r="L79" s="35" t="n"/>
      <c r="M79" s="5">
        <f>IF($D79="","",IFERROR(VLOOKUP($H79,Lists!$N$2:$O$6,2,FALSE),0))</f>
        <v/>
      </c>
      <c r="N79" s="5">
        <f>IF($D79="","",IF(OR($E79="Blocked",$E79="Done",$E79="Archive"),-9999,IF(AND($E79="Waiting",SUMPRODUCT((($E$5:$E$500="Next")+($E$5:$E$500="In Progress")+($E$5:$E$500="Captured"))*($D$5:$D$500&lt;&gt;""))&gt;0),-500,VLOOKUP($F79,Lists!$L$2:$M$4,2,FALSE)+IF($E79="In Progress",10,0)+IF(AND($I79&lt;&gt;"",$I79&lt;TODAY()),25,0)+IF(AND($I79&lt;&gt;"",$I79&gt;=TODAY(),$I79&lt;=TODAY()+7),15,0)+IF($H79="",0,IF($M79&lt;=VLOOKUP(Home!$C$7,Lists!$N$2:$O$6,2,FALSE),20,-10))+IF($G79=Home!$E$7,15,IF(Home!$E$7="",0,-5))-ROW()/100000)))</f>
        <v/>
      </c>
      <c r="O79" s="5">
        <f>IF($D79="","",IF($N79&lt;=-500,"Not recommended right now",IF($E79="Waiting","Nothing else actionable right now — Waiting on: "&amp;IF($K79="","this item",$K79),MID($V79,4,9999))))</f>
        <v/>
      </c>
      <c r="P79" s="5">
        <f>IF($D79="","",IF('Task Finder'!$C$6="High Priority",AND($F79="High",$E79&lt;&gt;"Done",$E79&lt;&gt;"Archive"),IF('Task Finder'!$C$6="Due This Week",AND($I79&lt;&gt;"",$I79&gt;=TODAY(),$I79&lt;=TODAY()+7,$E79&lt;&gt;"Done"),IF('Task Finder'!$C$6="Quick Wins (15 mins or less)",AND($M79&lt;=15,$E79&lt;&gt;"Done",$E79&lt;&gt;"Blocked"),IF('Task Finder'!$C$6="Deep Thinking",AND($G79="Deep Thinking",$E79&lt;&gt;"Done"),IF('Task Finder'!$C$6="Processing",AND($G79="Processing",$E79&lt;&gt;"Done"),IF('Task Finder'!$C$6="Blocked",$E79="Blocked",IF('Task Finder'!$C$6="Waiting",$E79="Waiting",IF('Task Finder'!$C$6="Recently Updated",AND($L79&lt;&gt;"",$L79&gt;=TODAY()-7),IF('Task Finder'!$C$6="Keyword",AND('Task Finder'!$C$7&lt;&gt;"",OR(ISNUMBER(SEARCH('Task Finder'!$C$7,$A79)),ISNUMBER(SEARCH('Task Finder'!$C$7,$B79)),ISNUMBER(SEARCH('Task Finder'!$C$7,$C79)),ISNUMBER(SEARCH('Task Finder'!$C$7,$D79)),ISNUMBER(SEARCH('Task Finder'!$C$7,$K79)))),TRUE))))))))))</f>
        <v/>
      </c>
      <c r="Q79" s="150">
        <f>IF($F79="High","High Priority","")</f>
        <v/>
      </c>
      <c r="R79" s="150">
        <f>IF(AND($I79&lt;&gt;"",$I79&lt;TODAY()),"Overdue","")</f>
        <v/>
      </c>
      <c r="S79" s="150">
        <f>IF(AND($I79&lt;&gt;"",$I79&gt;=TODAY(),$I79&lt;=TODAY()+7),"Due This Week","")</f>
        <v/>
      </c>
      <c r="T79" s="150">
        <f>IF(AND($H79&lt;&gt;"",$M79&lt;=VLOOKUP(Home!$C$7,Lists!$N$2:$O$6,2,FALSE)),$H79&amp;" Task","")</f>
        <v/>
      </c>
      <c r="U79" s="150">
        <f>IF($G79=Home!$E$7,"Fits Current Energy","")</f>
        <v/>
      </c>
      <c r="V79" s="150">
        <f>IF($Q79&lt;&gt;""," • "&amp;$Q79,"")&amp;IF($R79&lt;&gt;""," • "&amp;$R79,"")&amp;IF($S79&lt;&gt;""," • "&amp;$S79,"")&amp;IF($T79&lt;&gt;""," • "&amp;$T79,"")&amp;IF($U79&lt;&gt;""," • "&amp;$U79,"")&amp;" • No Blockers"</f>
        <v/>
      </c>
    </row>
    <row r="80">
      <c r="A80" s="19" t="n"/>
      <c r="B80" s="19" t="n"/>
      <c r="C80" s="19" t="n"/>
      <c r="D80" s="19" t="n"/>
      <c r="E80" s="19" t="n"/>
      <c r="F80" s="19" t="n"/>
      <c r="G80" s="19" t="n"/>
      <c r="H80" s="19" t="n"/>
      <c r="I80" s="19" t="n"/>
      <c r="J80" s="19" t="n"/>
      <c r="K80" s="19" t="n"/>
      <c r="L80" s="35" t="n"/>
      <c r="M80" s="5">
        <f>IF($D80="","",IFERROR(VLOOKUP($H80,Lists!$N$2:$O$6,2,FALSE),0))</f>
        <v/>
      </c>
      <c r="N80" s="5">
        <f>IF($D80="","",IF(OR($E80="Blocked",$E80="Done",$E80="Archive"),-9999,IF(AND($E80="Waiting",SUMPRODUCT((($E$5:$E$500="Next")+($E$5:$E$500="In Progress")+($E$5:$E$500="Captured"))*($D$5:$D$500&lt;&gt;""))&gt;0),-500,VLOOKUP($F80,Lists!$L$2:$M$4,2,FALSE)+IF($E80="In Progress",10,0)+IF(AND($I80&lt;&gt;"",$I80&lt;TODAY()),25,0)+IF(AND($I80&lt;&gt;"",$I80&gt;=TODAY(),$I80&lt;=TODAY()+7),15,0)+IF($H80="",0,IF($M80&lt;=VLOOKUP(Home!$C$7,Lists!$N$2:$O$6,2,FALSE),20,-10))+IF($G80=Home!$E$7,15,IF(Home!$E$7="",0,-5))-ROW()/100000)))</f>
        <v/>
      </c>
      <c r="O80" s="5">
        <f>IF($D80="","",IF($N80&lt;=-500,"Not recommended right now",IF($E80="Waiting","Nothing else actionable right now — Waiting on: "&amp;IF($K80="","this item",$K80),MID($V80,4,9999))))</f>
        <v/>
      </c>
      <c r="P80" s="5">
        <f>IF($D80="","",IF('Task Finder'!$C$6="High Priority",AND($F80="High",$E80&lt;&gt;"Done",$E80&lt;&gt;"Archive"),IF('Task Finder'!$C$6="Due This Week",AND($I80&lt;&gt;"",$I80&gt;=TODAY(),$I80&lt;=TODAY()+7,$E80&lt;&gt;"Done"),IF('Task Finder'!$C$6="Quick Wins (15 mins or less)",AND($M80&lt;=15,$E80&lt;&gt;"Done",$E80&lt;&gt;"Blocked"),IF('Task Finder'!$C$6="Deep Thinking",AND($G80="Deep Thinking",$E80&lt;&gt;"Done"),IF('Task Finder'!$C$6="Processing",AND($G80="Processing",$E80&lt;&gt;"Done"),IF('Task Finder'!$C$6="Blocked",$E80="Blocked",IF('Task Finder'!$C$6="Waiting",$E80="Waiting",IF('Task Finder'!$C$6="Recently Updated",AND($L80&lt;&gt;"",$L80&gt;=TODAY()-7),IF('Task Finder'!$C$6="Keyword",AND('Task Finder'!$C$7&lt;&gt;"",OR(ISNUMBER(SEARCH('Task Finder'!$C$7,$A80)),ISNUMBER(SEARCH('Task Finder'!$C$7,$B80)),ISNUMBER(SEARCH('Task Finder'!$C$7,$C80)),ISNUMBER(SEARCH('Task Finder'!$C$7,$D80)),ISNUMBER(SEARCH('Task Finder'!$C$7,$K80)))),TRUE))))))))))</f>
        <v/>
      </c>
      <c r="Q80" s="150">
        <f>IF($F80="High","High Priority","")</f>
        <v/>
      </c>
      <c r="R80" s="150">
        <f>IF(AND($I80&lt;&gt;"",$I80&lt;TODAY()),"Overdue","")</f>
        <v/>
      </c>
      <c r="S80" s="150">
        <f>IF(AND($I80&lt;&gt;"",$I80&gt;=TODAY(),$I80&lt;=TODAY()+7),"Due This Week","")</f>
        <v/>
      </c>
      <c r="T80" s="150">
        <f>IF(AND($H80&lt;&gt;"",$M80&lt;=VLOOKUP(Home!$C$7,Lists!$N$2:$O$6,2,FALSE)),$H80&amp;" Task","")</f>
        <v/>
      </c>
      <c r="U80" s="150">
        <f>IF($G80=Home!$E$7,"Fits Current Energy","")</f>
        <v/>
      </c>
      <c r="V80" s="150">
        <f>IF($Q80&lt;&gt;""," • "&amp;$Q80,"")&amp;IF($R80&lt;&gt;""," • "&amp;$R80,"")&amp;IF($S80&lt;&gt;""," • "&amp;$S80,"")&amp;IF($T80&lt;&gt;""," • "&amp;$T80,"")&amp;IF($U80&lt;&gt;""," • "&amp;$U80,"")&amp;" • No Blockers"</f>
        <v/>
      </c>
    </row>
    <row r="81">
      <c r="A81" s="19" t="n"/>
      <c r="B81" s="19" t="n"/>
      <c r="C81" s="19" t="n"/>
      <c r="D81" s="19" t="n"/>
      <c r="E81" s="19" t="n"/>
      <c r="F81" s="19" t="n"/>
      <c r="G81" s="19" t="n"/>
      <c r="H81" s="19" t="n"/>
      <c r="I81" s="19" t="n"/>
      <c r="J81" s="19" t="n"/>
      <c r="K81" s="19" t="n"/>
      <c r="L81" s="35" t="n"/>
      <c r="M81" s="5">
        <f>IF($D81="","",IFERROR(VLOOKUP($H81,Lists!$N$2:$O$6,2,FALSE),0))</f>
        <v/>
      </c>
      <c r="N81" s="5">
        <f>IF($D81="","",IF(OR($E81="Blocked",$E81="Done",$E81="Archive"),-9999,IF(AND($E81="Waiting",SUMPRODUCT((($E$5:$E$500="Next")+($E$5:$E$500="In Progress")+($E$5:$E$500="Captured"))*($D$5:$D$500&lt;&gt;""))&gt;0),-500,VLOOKUP($F81,Lists!$L$2:$M$4,2,FALSE)+IF($E81="In Progress",10,0)+IF(AND($I81&lt;&gt;"",$I81&lt;TODAY()),25,0)+IF(AND($I81&lt;&gt;"",$I81&gt;=TODAY(),$I81&lt;=TODAY()+7),15,0)+IF($H81="",0,IF($M81&lt;=VLOOKUP(Home!$C$7,Lists!$N$2:$O$6,2,FALSE),20,-10))+IF($G81=Home!$E$7,15,IF(Home!$E$7="",0,-5))-ROW()/100000)))</f>
        <v/>
      </c>
      <c r="O81" s="5">
        <f>IF($D81="","",IF($N81&lt;=-500,"Not recommended right now",IF($E81="Waiting","Nothing else actionable right now — Waiting on: "&amp;IF($K81="","this item",$K81),MID($V81,4,9999))))</f>
        <v/>
      </c>
      <c r="P81" s="5">
        <f>IF($D81="","",IF('Task Finder'!$C$6="High Priority",AND($F81="High",$E81&lt;&gt;"Done",$E81&lt;&gt;"Archive"),IF('Task Finder'!$C$6="Due This Week",AND($I81&lt;&gt;"",$I81&gt;=TODAY(),$I81&lt;=TODAY()+7,$E81&lt;&gt;"Done"),IF('Task Finder'!$C$6="Quick Wins (15 mins or less)",AND($M81&lt;=15,$E81&lt;&gt;"Done",$E81&lt;&gt;"Blocked"),IF('Task Finder'!$C$6="Deep Thinking",AND($G81="Deep Thinking",$E81&lt;&gt;"Done"),IF('Task Finder'!$C$6="Processing",AND($G81="Processing",$E81&lt;&gt;"Done"),IF('Task Finder'!$C$6="Blocked",$E81="Blocked",IF('Task Finder'!$C$6="Waiting",$E81="Waiting",IF('Task Finder'!$C$6="Recently Updated",AND($L81&lt;&gt;"",$L81&gt;=TODAY()-7),IF('Task Finder'!$C$6="Keyword",AND('Task Finder'!$C$7&lt;&gt;"",OR(ISNUMBER(SEARCH('Task Finder'!$C$7,$A81)),ISNUMBER(SEARCH('Task Finder'!$C$7,$B81)),ISNUMBER(SEARCH('Task Finder'!$C$7,$C81)),ISNUMBER(SEARCH('Task Finder'!$C$7,$D81)),ISNUMBER(SEARCH('Task Finder'!$C$7,$K81)))),TRUE))))))))))</f>
        <v/>
      </c>
      <c r="Q81" s="150">
        <f>IF($F81="High","High Priority","")</f>
        <v/>
      </c>
      <c r="R81" s="150">
        <f>IF(AND($I81&lt;&gt;"",$I81&lt;TODAY()),"Overdue","")</f>
        <v/>
      </c>
      <c r="S81" s="150">
        <f>IF(AND($I81&lt;&gt;"",$I81&gt;=TODAY(),$I81&lt;=TODAY()+7),"Due This Week","")</f>
        <v/>
      </c>
      <c r="T81" s="150">
        <f>IF(AND($H81&lt;&gt;"",$M81&lt;=VLOOKUP(Home!$C$7,Lists!$N$2:$O$6,2,FALSE)),$H81&amp;" Task","")</f>
        <v/>
      </c>
      <c r="U81" s="150">
        <f>IF($G81=Home!$E$7,"Fits Current Energy","")</f>
        <v/>
      </c>
      <c r="V81" s="150">
        <f>IF($Q81&lt;&gt;""," • "&amp;$Q81,"")&amp;IF($R81&lt;&gt;""," • "&amp;$R81,"")&amp;IF($S81&lt;&gt;""," • "&amp;$S81,"")&amp;IF($T81&lt;&gt;""," • "&amp;$T81,"")&amp;IF($U81&lt;&gt;""," • "&amp;$U81,"")&amp;" • No Blockers"</f>
        <v/>
      </c>
    </row>
    <row r="82">
      <c r="A82" s="19" t="n"/>
      <c r="B82" s="19" t="n"/>
      <c r="C82" s="19" t="n"/>
      <c r="D82" s="19" t="n"/>
      <c r="E82" s="19" t="n"/>
      <c r="F82" s="19" t="n"/>
      <c r="G82" s="19" t="n"/>
      <c r="H82" s="19" t="n"/>
      <c r="I82" s="19" t="n"/>
      <c r="J82" s="19" t="n"/>
      <c r="K82" s="19" t="n"/>
      <c r="L82" s="35" t="n"/>
      <c r="M82" s="5">
        <f>IF($D82="","",IFERROR(VLOOKUP($H82,Lists!$N$2:$O$6,2,FALSE),0))</f>
        <v/>
      </c>
      <c r="N82" s="5">
        <f>IF($D82="","",IF(OR($E82="Blocked",$E82="Done",$E82="Archive"),-9999,IF(AND($E82="Waiting",SUMPRODUCT((($E$5:$E$500="Next")+($E$5:$E$500="In Progress")+($E$5:$E$500="Captured"))*($D$5:$D$500&lt;&gt;""))&gt;0),-500,VLOOKUP($F82,Lists!$L$2:$M$4,2,FALSE)+IF($E82="In Progress",10,0)+IF(AND($I82&lt;&gt;"",$I82&lt;TODAY()),25,0)+IF(AND($I82&lt;&gt;"",$I82&gt;=TODAY(),$I82&lt;=TODAY()+7),15,0)+IF($H82="",0,IF($M82&lt;=VLOOKUP(Home!$C$7,Lists!$N$2:$O$6,2,FALSE),20,-10))+IF($G82=Home!$E$7,15,IF(Home!$E$7="",0,-5))-ROW()/100000)))</f>
        <v/>
      </c>
      <c r="O82" s="5">
        <f>IF($D82="","",IF($N82&lt;=-500,"Not recommended right now",IF($E82="Waiting","Nothing else actionable right now — Waiting on: "&amp;IF($K82="","this item",$K82),MID($V82,4,9999))))</f>
        <v/>
      </c>
      <c r="P82" s="5">
        <f>IF($D82="","",IF('Task Finder'!$C$6="High Priority",AND($F82="High",$E82&lt;&gt;"Done",$E82&lt;&gt;"Archive"),IF('Task Finder'!$C$6="Due This Week",AND($I82&lt;&gt;"",$I82&gt;=TODAY(),$I82&lt;=TODAY()+7,$E82&lt;&gt;"Done"),IF('Task Finder'!$C$6="Quick Wins (15 mins or less)",AND($M82&lt;=15,$E82&lt;&gt;"Done",$E82&lt;&gt;"Blocked"),IF('Task Finder'!$C$6="Deep Thinking",AND($G82="Deep Thinking",$E82&lt;&gt;"Done"),IF('Task Finder'!$C$6="Processing",AND($G82="Processing",$E82&lt;&gt;"Done"),IF('Task Finder'!$C$6="Blocked",$E82="Blocked",IF('Task Finder'!$C$6="Waiting",$E82="Waiting",IF('Task Finder'!$C$6="Recently Updated",AND($L82&lt;&gt;"",$L82&gt;=TODAY()-7),IF('Task Finder'!$C$6="Keyword",AND('Task Finder'!$C$7&lt;&gt;"",OR(ISNUMBER(SEARCH('Task Finder'!$C$7,$A82)),ISNUMBER(SEARCH('Task Finder'!$C$7,$B82)),ISNUMBER(SEARCH('Task Finder'!$C$7,$C82)),ISNUMBER(SEARCH('Task Finder'!$C$7,$D82)),ISNUMBER(SEARCH('Task Finder'!$C$7,$K82)))),TRUE))))))))))</f>
        <v/>
      </c>
      <c r="Q82" s="150">
        <f>IF($F82="High","High Priority","")</f>
        <v/>
      </c>
      <c r="R82" s="150">
        <f>IF(AND($I82&lt;&gt;"",$I82&lt;TODAY()),"Overdue","")</f>
        <v/>
      </c>
      <c r="S82" s="150">
        <f>IF(AND($I82&lt;&gt;"",$I82&gt;=TODAY(),$I82&lt;=TODAY()+7),"Due This Week","")</f>
        <v/>
      </c>
      <c r="T82" s="150">
        <f>IF(AND($H82&lt;&gt;"",$M82&lt;=VLOOKUP(Home!$C$7,Lists!$N$2:$O$6,2,FALSE)),$H82&amp;" Task","")</f>
        <v/>
      </c>
      <c r="U82" s="150">
        <f>IF($G82=Home!$E$7,"Fits Current Energy","")</f>
        <v/>
      </c>
      <c r="V82" s="150">
        <f>IF($Q82&lt;&gt;""," • "&amp;$Q82,"")&amp;IF($R82&lt;&gt;""," • "&amp;$R82,"")&amp;IF($S82&lt;&gt;""," • "&amp;$S82,"")&amp;IF($T82&lt;&gt;""," • "&amp;$T82,"")&amp;IF($U82&lt;&gt;""," • "&amp;$U82,"")&amp;" • No Blockers"</f>
        <v/>
      </c>
    </row>
    <row r="83">
      <c r="A83" s="19" t="n"/>
      <c r="B83" s="19" t="n"/>
      <c r="C83" s="19" t="n"/>
      <c r="D83" s="19" t="n"/>
      <c r="E83" s="19" t="n"/>
      <c r="F83" s="19" t="n"/>
      <c r="G83" s="19" t="n"/>
      <c r="H83" s="19" t="n"/>
      <c r="I83" s="19" t="n"/>
      <c r="J83" s="19" t="n"/>
      <c r="K83" s="19" t="n"/>
      <c r="L83" s="35" t="n"/>
      <c r="M83" s="5">
        <f>IF($D83="","",IFERROR(VLOOKUP($H83,Lists!$N$2:$O$6,2,FALSE),0))</f>
        <v/>
      </c>
      <c r="N83" s="5">
        <f>IF($D83="","",IF(OR($E83="Blocked",$E83="Done",$E83="Archive"),-9999,IF(AND($E83="Waiting",SUMPRODUCT((($E$5:$E$500="Next")+($E$5:$E$500="In Progress")+($E$5:$E$500="Captured"))*($D$5:$D$500&lt;&gt;""))&gt;0),-500,VLOOKUP($F83,Lists!$L$2:$M$4,2,FALSE)+IF($E83="In Progress",10,0)+IF(AND($I83&lt;&gt;"",$I83&lt;TODAY()),25,0)+IF(AND($I83&lt;&gt;"",$I83&gt;=TODAY(),$I83&lt;=TODAY()+7),15,0)+IF($H83="",0,IF($M83&lt;=VLOOKUP(Home!$C$7,Lists!$N$2:$O$6,2,FALSE),20,-10))+IF($G83=Home!$E$7,15,IF(Home!$E$7="",0,-5))-ROW()/100000)))</f>
        <v/>
      </c>
      <c r="O83" s="5">
        <f>IF($D83="","",IF($N83&lt;=-500,"Not recommended right now",IF($E83="Waiting","Nothing else actionable right now — Waiting on: "&amp;IF($K83="","this item",$K83),MID($V83,4,9999))))</f>
        <v/>
      </c>
      <c r="P83" s="5">
        <f>IF($D83="","",IF('Task Finder'!$C$6="High Priority",AND($F83="High",$E83&lt;&gt;"Done",$E83&lt;&gt;"Archive"),IF('Task Finder'!$C$6="Due This Week",AND($I83&lt;&gt;"",$I83&gt;=TODAY(),$I83&lt;=TODAY()+7,$E83&lt;&gt;"Done"),IF('Task Finder'!$C$6="Quick Wins (15 mins or less)",AND($M83&lt;=15,$E83&lt;&gt;"Done",$E83&lt;&gt;"Blocked"),IF('Task Finder'!$C$6="Deep Thinking",AND($G83="Deep Thinking",$E83&lt;&gt;"Done"),IF('Task Finder'!$C$6="Processing",AND($G83="Processing",$E83&lt;&gt;"Done"),IF('Task Finder'!$C$6="Blocked",$E83="Blocked",IF('Task Finder'!$C$6="Waiting",$E83="Waiting",IF('Task Finder'!$C$6="Recently Updated",AND($L83&lt;&gt;"",$L83&gt;=TODAY()-7),IF('Task Finder'!$C$6="Keyword",AND('Task Finder'!$C$7&lt;&gt;"",OR(ISNUMBER(SEARCH('Task Finder'!$C$7,$A83)),ISNUMBER(SEARCH('Task Finder'!$C$7,$B83)),ISNUMBER(SEARCH('Task Finder'!$C$7,$C83)),ISNUMBER(SEARCH('Task Finder'!$C$7,$D83)),ISNUMBER(SEARCH('Task Finder'!$C$7,$K83)))),TRUE))))))))))</f>
        <v/>
      </c>
      <c r="Q83" s="150">
        <f>IF($F83="High","High Priority","")</f>
        <v/>
      </c>
      <c r="R83" s="150">
        <f>IF(AND($I83&lt;&gt;"",$I83&lt;TODAY()),"Overdue","")</f>
        <v/>
      </c>
      <c r="S83" s="150">
        <f>IF(AND($I83&lt;&gt;"",$I83&gt;=TODAY(),$I83&lt;=TODAY()+7),"Due This Week","")</f>
        <v/>
      </c>
      <c r="T83" s="150">
        <f>IF(AND($H83&lt;&gt;"",$M83&lt;=VLOOKUP(Home!$C$7,Lists!$N$2:$O$6,2,FALSE)),$H83&amp;" Task","")</f>
        <v/>
      </c>
      <c r="U83" s="150">
        <f>IF($G83=Home!$E$7,"Fits Current Energy","")</f>
        <v/>
      </c>
      <c r="V83" s="150">
        <f>IF($Q83&lt;&gt;""," • "&amp;$Q83,"")&amp;IF($R83&lt;&gt;""," • "&amp;$R83,"")&amp;IF($S83&lt;&gt;""," • "&amp;$S83,"")&amp;IF($T83&lt;&gt;""," • "&amp;$T83,"")&amp;IF($U83&lt;&gt;""," • "&amp;$U83,"")&amp;" • No Blockers"</f>
        <v/>
      </c>
    </row>
    <row r="84">
      <c r="A84" s="19" t="n"/>
      <c r="B84" s="19" t="n"/>
      <c r="C84" s="19" t="n"/>
      <c r="D84" s="19" t="n"/>
      <c r="E84" s="19" t="n"/>
      <c r="F84" s="19" t="n"/>
      <c r="G84" s="19" t="n"/>
      <c r="H84" s="19" t="n"/>
      <c r="I84" s="19" t="n"/>
      <c r="J84" s="19" t="n"/>
      <c r="K84" s="19" t="n"/>
      <c r="L84" s="35" t="n"/>
      <c r="M84" s="5">
        <f>IF($D84="","",IFERROR(VLOOKUP($H84,Lists!$N$2:$O$6,2,FALSE),0))</f>
        <v/>
      </c>
      <c r="N84" s="5">
        <f>IF($D84="","",IF(OR($E84="Blocked",$E84="Done",$E84="Archive"),-9999,IF(AND($E84="Waiting",SUMPRODUCT((($E$5:$E$500="Next")+($E$5:$E$500="In Progress")+($E$5:$E$500="Captured"))*($D$5:$D$500&lt;&gt;""))&gt;0),-500,VLOOKUP($F84,Lists!$L$2:$M$4,2,FALSE)+IF($E84="In Progress",10,0)+IF(AND($I84&lt;&gt;"",$I84&lt;TODAY()),25,0)+IF(AND($I84&lt;&gt;"",$I84&gt;=TODAY(),$I84&lt;=TODAY()+7),15,0)+IF($H84="",0,IF($M84&lt;=VLOOKUP(Home!$C$7,Lists!$N$2:$O$6,2,FALSE),20,-10))+IF($G84=Home!$E$7,15,IF(Home!$E$7="",0,-5))-ROW()/100000)))</f>
        <v/>
      </c>
      <c r="O84" s="5">
        <f>IF($D84="","",IF($N84&lt;=-500,"Not recommended right now",IF($E84="Waiting","Nothing else actionable right now — Waiting on: "&amp;IF($K84="","this item",$K84),MID($V84,4,9999))))</f>
        <v/>
      </c>
      <c r="P84" s="5">
        <f>IF($D84="","",IF('Task Finder'!$C$6="High Priority",AND($F84="High",$E84&lt;&gt;"Done",$E84&lt;&gt;"Archive"),IF('Task Finder'!$C$6="Due This Week",AND($I84&lt;&gt;"",$I84&gt;=TODAY(),$I84&lt;=TODAY()+7,$E84&lt;&gt;"Done"),IF('Task Finder'!$C$6="Quick Wins (15 mins or less)",AND($M84&lt;=15,$E84&lt;&gt;"Done",$E84&lt;&gt;"Blocked"),IF('Task Finder'!$C$6="Deep Thinking",AND($G84="Deep Thinking",$E84&lt;&gt;"Done"),IF('Task Finder'!$C$6="Processing",AND($G84="Processing",$E84&lt;&gt;"Done"),IF('Task Finder'!$C$6="Blocked",$E84="Blocked",IF('Task Finder'!$C$6="Waiting",$E84="Waiting",IF('Task Finder'!$C$6="Recently Updated",AND($L84&lt;&gt;"",$L84&gt;=TODAY()-7),IF('Task Finder'!$C$6="Keyword",AND('Task Finder'!$C$7&lt;&gt;"",OR(ISNUMBER(SEARCH('Task Finder'!$C$7,$A84)),ISNUMBER(SEARCH('Task Finder'!$C$7,$B84)),ISNUMBER(SEARCH('Task Finder'!$C$7,$C84)),ISNUMBER(SEARCH('Task Finder'!$C$7,$D84)),ISNUMBER(SEARCH('Task Finder'!$C$7,$K84)))),TRUE))))))))))</f>
        <v/>
      </c>
      <c r="Q84" s="150">
        <f>IF($F84="High","High Priority","")</f>
        <v/>
      </c>
      <c r="R84" s="150">
        <f>IF(AND($I84&lt;&gt;"",$I84&lt;TODAY()),"Overdue","")</f>
        <v/>
      </c>
      <c r="S84" s="150">
        <f>IF(AND($I84&lt;&gt;"",$I84&gt;=TODAY(),$I84&lt;=TODAY()+7),"Due This Week","")</f>
        <v/>
      </c>
      <c r="T84" s="150">
        <f>IF(AND($H84&lt;&gt;"",$M84&lt;=VLOOKUP(Home!$C$7,Lists!$N$2:$O$6,2,FALSE)),$H84&amp;" Task","")</f>
        <v/>
      </c>
      <c r="U84" s="150">
        <f>IF($G84=Home!$E$7,"Fits Current Energy","")</f>
        <v/>
      </c>
      <c r="V84" s="150">
        <f>IF($Q84&lt;&gt;""," • "&amp;$Q84,"")&amp;IF($R84&lt;&gt;""," • "&amp;$R84,"")&amp;IF($S84&lt;&gt;""," • "&amp;$S84,"")&amp;IF($T84&lt;&gt;""," • "&amp;$T84,"")&amp;IF($U84&lt;&gt;""," • "&amp;$U84,"")&amp;" • No Blockers"</f>
        <v/>
      </c>
    </row>
    <row r="85">
      <c r="A85" s="19" t="n"/>
      <c r="B85" s="19" t="n"/>
      <c r="C85" s="19" t="n"/>
      <c r="D85" s="19" t="n"/>
      <c r="E85" s="19" t="n"/>
      <c r="F85" s="19" t="n"/>
      <c r="G85" s="19" t="n"/>
      <c r="H85" s="19" t="n"/>
      <c r="I85" s="19" t="n"/>
      <c r="J85" s="19" t="n"/>
      <c r="K85" s="19" t="n"/>
      <c r="L85" s="35" t="n"/>
      <c r="M85" s="5">
        <f>IF($D85="","",IFERROR(VLOOKUP($H85,Lists!$N$2:$O$6,2,FALSE),0))</f>
        <v/>
      </c>
      <c r="N85" s="5">
        <f>IF($D85="","",IF(OR($E85="Blocked",$E85="Done",$E85="Archive"),-9999,IF(AND($E85="Waiting",SUMPRODUCT((($E$5:$E$500="Next")+($E$5:$E$500="In Progress")+($E$5:$E$500="Captured"))*($D$5:$D$500&lt;&gt;""))&gt;0),-500,VLOOKUP($F85,Lists!$L$2:$M$4,2,FALSE)+IF($E85="In Progress",10,0)+IF(AND($I85&lt;&gt;"",$I85&lt;TODAY()),25,0)+IF(AND($I85&lt;&gt;"",$I85&gt;=TODAY(),$I85&lt;=TODAY()+7),15,0)+IF($H85="",0,IF($M85&lt;=VLOOKUP(Home!$C$7,Lists!$N$2:$O$6,2,FALSE),20,-10))+IF($G85=Home!$E$7,15,IF(Home!$E$7="",0,-5))-ROW()/100000)))</f>
        <v/>
      </c>
      <c r="O85" s="5">
        <f>IF($D85="","",IF($N85&lt;=-500,"Not recommended right now",IF($E85="Waiting","Nothing else actionable right now — Waiting on: "&amp;IF($K85="","this item",$K85),MID($V85,4,9999))))</f>
        <v/>
      </c>
      <c r="P85" s="5">
        <f>IF($D85="","",IF('Task Finder'!$C$6="High Priority",AND($F85="High",$E85&lt;&gt;"Done",$E85&lt;&gt;"Archive"),IF('Task Finder'!$C$6="Due This Week",AND($I85&lt;&gt;"",$I85&gt;=TODAY(),$I85&lt;=TODAY()+7,$E85&lt;&gt;"Done"),IF('Task Finder'!$C$6="Quick Wins (15 mins or less)",AND($M85&lt;=15,$E85&lt;&gt;"Done",$E85&lt;&gt;"Blocked"),IF('Task Finder'!$C$6="Deep Thinking",AND($G85="Deep Thinking",$E85&lt;&gt;"Done"),IF('Task Finder'!$C$6="Processing",AND($G85="Processing",$E85&lt;&gt;"Done"),IF('Task Finder'!$C$6="Blocked",$E85="Blocked",IF('Task Finder'!$C$6="Waiting",$E85="Waiting",IF('Task Finder'!$C$6="Recently Updated",AND($L85&lt;&gt;"",$L85&gt;=TODAY()-7),IF('Task Finder'!$C$6="Keyword",AND('Task Finder'!$C$7&lt;&gt;"",OR(ISNUMBER(SEARCH('Task Finder'!$C$7,$A85)),ISNUMBER(SEARCH('Task Finder'!$C$7,$B85)),ISNUMBER(SEARCH('Task Finder'!$C$7,$C85)),ISNUMBER(SEARCH('Task Finder'!$C$7,$D85)),ISNUMBER(SEARCH('Task Finder'!$C$7,$K85)))),TRUE))))))))))</f>
        <v/>
      </c>
      <c r="Q85" s="150">
        <f>IF($F85="High","High Priority","")</f>
        <v/>
      </c>
      <c r="R85" s="150">
        <f>IF(AND($I85&lt;&gt;"",$I85&lt;TODAY()),"Overdue","")</f>
        <v/>
      </c>
      <c r="S85" s="150">
        <f>IF(AND($I85&lt;&gt;"",$I85&gt;=TODAY(),$I85&lt;=TODAY()+7),"Due This Week","")</f>
        <v/>
      </c>
      <c r="T85" s="150">
        <f>IF(AND($H85&lt;&gt;"",$M85&lt;=VLOOKUP(Home!$C$7,Lists!$N$2:$O$6,2,FALSE)),$H85&amp;" Task","")</f>
        <v/>
      </c>
      <c r="U85" s="150">
        <f>IF($G85=Home!$E$7,"Fits Current Energy","")</f>
        <v/>
      </c>
      <c r="V85" s="150">
        <f>IF($Q85&lt;&gt;""," • "&amp;$Q85,"")&amp;IF($R85&lt;&gt;""," • "&amp;$R85,"")&amp;IF($S85&lt;&gt;""," • "&amp;$S85,"")&amp;IF($T85&lt;&gt;""," • "&amp;$T85,"")&amp;IF($U85&lt;&gt;""," • "&amp;$U85,"")&amp;" • No Blockers"</f>
        <v/>
      </c>
    </row>
    <row r="86">
      <c r="A86" s="19" t="n"/>
      <c r="B86" s="19" t="n"/>
      <c r="C86" s="19" t="n"/>
      <c r="D86" s="19" t="n"/>
      <c r="E86" s="19" t="n"/>
      <c r="F86" s="19" t="n"/>
      <c r="G86" s="19" t="n"/>
      <c r="H86" s="19" t="n"/>
      <c r="I86" s="19" t="n"/>
      <c r="J86" s="19" t="n"/>
      <c r="K86" s="19" t="n"/>
      <c r="L86" s="35" t="n"/>
      <c r="M86" s="5">
        <f>IF($D86="","",IFERROR(VLOOKUP($H86,Lists!$N$2:$O$6,2,FALSE),0))</f>
        <v/>
      </c>
      <c r="N86" s="5">
        <f>IF($D86="","",IF(OR($E86="Blocked",$E86="Done",$E86="Archive"),-9999,IF(AND($E86="Waiting",SUMPRODUCT((($E$5:$E$500="Next")+($E$5:$E$500="In Progress")+($E$5:$E$500="Captured"))*($D$5:$D$500&lt;&gt;""))&gt;0),-500,VLOOKUP($F86,Lists!$L$2:$M$4,2,FALSE)+IF($E86="In Progress",10,0)+IF(AND($I86&lt;&gt;"",$I86&lt;TODAY()),25,0)+IF(AND($I86&lt;&gt;"",$I86&gt;=TODAY(),$I86&lt;=TODAY()+7),15,0)+IF($H86="",0,IF($M86&lt;=VLOOKUP(Home!$C$7,Lists!$N$2:$O$6,2,FALSE),20,-10))+IF($G86=Home!$E$7,15,IF(Home!$E$7="",0,-5))-ROW()/100000)))</f>
        <v/>
      </c>
      <c r="O86" s="5">
        <f>IF($D86="","",IF($N86&lt;=-500,"Not recommended right now",IF($E86="Waiting","Nothing else actionable right now — Waiting on: "&amp;IF($K86="","this item",$K86),MID($V86,4,9999))))</f>
        <v/>
      </c>
      <c r="P86" s="5">
        <f>IF($D86="","",IF('Task Finder'!$C$6="High Priority",AND($F86="High",$E86&lt;&gt;"Done",$E86&lt;&gt;"Archive"),IF('Task Finder'!$C$6="Due This Week",AND($I86&lt;&gt;"",$I86&gt;=TODAY(),$I86&lt;=TODAY()+7,$E86&lt;&gt;"Done"),IF('Task Finder'!$C$6="Quick Wins (15 mins or less)",AND($M86&lt;=15,$E86&lt;&gt;"Done",$E86&lt;&gt;"Blocked"),IF('Task Finder'!$C$6="Deep Thinking",AND($G86="Deep Thinking",$E86&lt;&gt;"Done"),IF('Task Finder'!$C$6="Processing",AND($G86="Processing",$E86&lt;&gt;"Done"),IF('Task Finder'!$C$6="Blocked",$E86="Blocked",IF('Task Finder'!$C$6="Waiting",$E86="Waiting",IF('Task Finder'!$C$6="Recently Updated",AND($L86&lt;&gt;"",$L86&gt;=TODAY()-7),IF('Task Finder'!$C$6="Keyword",AND('Task Finder'!$C$7&lt;&gt;"",OR(ISNUMBER(SEARCH('Task Finder'!$C$7,$A86)),ISNUMBER(SEARCH('Task Finder'!$C$7,$B86)),ISNUMBER(SEARCH('Task Finder'!$C$7,$C86)),ISNUMBER(SEARCH('Task Finder'!$C$7,$D86)),ISNUMBER(SEARCH('Task Finder'!$C$7,$K86)))),TRUE))))))))))</f>
        <v/>
      </c>
      <c r="Q86" s="150">
        <f>IF($F86="High","High Priority","")</f>
        <v/>
      </c>
      <c r="R86" s="150">
        <f>IF(AND($I86&lt;&gt;"",$I86&lt;TODAY()),"Overdue","")</f>
        <v/>
      </c>
      <c r="S86" s="150">
        <f>IF(AND($I86&lt;&gt;"",$I86&gt;=TODAY(),$I86&lt;=TODAY()+7),"Due This Week","")</f>
        <v/>
      </c>
      <c r="T86" s="150">
        <f>IF(AND($H86&lt;&gt;"",$M86&lt;=VLOOKUP(Home!$C$7,Lists!$N$2:$O$6,2,FALSE)),$H86&amp;" Task","")</f>
        <v/>
      </c>
      <c r="U86" s="150">
        <f>IF($G86=Home!$E$7,"Fits Current Energy","")</f>
        <v/>
      </c>
      <c r="V86" s="150">
        <f>IF($Q86&lt;&gt;""," • "&amp;$Q86,"")&amp;IF($R86&lt;&gt;""," • "&amp;$R86,"")&amp;IF($S86&lt;&gt;""," • "&amp;$S86,"")&amp;IF($T86&lt;&gt;""," • "&amp;$T86,"")&amp;IF($U86&lt;&gt;""," • "&amp;$U86,"")&amp;" • No Blockers"</f>
        <v/>
      </c>
    </row>
    <row r="87">
      <c r="A87" s="19" t="n"/>
      <c r="B87" s="19" t="n"/>
      <c r="C87" s="19" t="n"/>
      <c r="D87" s="19" t="n"/>
      <c r="E87" s="19" t="n"/>
      <c r="F87" s="19" t="n"/>
      <c r="G87" s="19" t="n"/>
      <c r="H87" s="19" t="n"/>
      <c r="I87" s="19" t="n"/>
      <c r="J87" s="19" t="n"/>
      <c r="K87" s="19" t="n"/>
      <c r="L87" s="35" t="n"/>
      <c r="M87" s="5">
        <f>IF($D87="","",IFERROR(VLOOKUP($H87,Lists!$N$2:$O$6,2,FALSE),0))</f>
        <v/>
      </c>
      <c r="N87" s="5">
        <f>IF($D87="","",IF(OR($E87="Blocked",$E87="Done",$E87="Archive"),-9999,IF(AND($E87="Waiting",SUMPRODUCT((($E$5:$E$500="Next")+($E$5:$E$500="In Progress")+($E$5:$E$500="Captured"))*($D$5:$D$500&lt;&gt;""))&gt;0),-500,VLOOKUP($F87,Lists!$L$2:$M$4,2,FALSE)+IF($E87="In Progress",10,0)+IF(AND($I87&lt;&gt;"",$I87&lt;TODAY()),25,0)+IF(AND($I87&lt;&gt;"",$I87&gt;=TODAY(),$I87&lt;=TODAY()+7),15,0)+IF($H87="",0,IF($M87&lt;=VLOOKUP(Home!$C$7,Lists!$N$2:$O$6,2,FALSE),20,-10))+IF($G87=Home!$E$7,15,IF(Home!$E$7="",0,-5))-ROW()/100000)))</f>
        <v/>
      </c>
      <c r="O87" s="5">
        <f>IF($D87="","",IF($N87&lt;=-500,"Not recommended right now",IF($E87="Waiting","Nothing else actionable right now — Waiting on: "&amp;IF($K87="","this item",$K87),MID($V87,4,9999))))</f>
        <v/>
      </c>
      <c r="P87" s="5">
        <f>IF($D87="","",IF('Task Finder'!$C$6="High Priority",AND($F87="High",$E87&lt;&gt;"Done",$E87&lt;&gt;"Archive"),IF('Task Finder'!$C$6="Due This Week",AND($I87&lt;&gt;"",$I87&gt;=TODAY(),$I87&lt;=TODAY()+7,$E87&lt;&gt;"Done"),IF('Task Finder'!$C$6="Quick Wins (15 mins or less)",AND($M87&lt;=15,$E87&lt;&gt;"Done",$E87&lt;&gt;"Blocked"),IF('Task Finder'!$C$6="Deep Thinking",AND($G87="Deep Thinking",$E87&lt;&gt;"Done"),IF('Task Finder'!$C$6="Processing",AND($G87="Processing",$E87&lt;&gt;"Done"),IF('Task Finder'!$C$6="Blocked",$E87="Blocked",IF('Task Finder'!$C$6="Waiting",$E87="Waiting",IF('Task Finder'!$C$6="Recently Updated",AND($L87&lt;&gt;"",$L87&gt;=TODAY()-7),IF('Task Finder'!$C$6="Keyword",AND('Task Finder'!$C$7&lt;&gt;"",OR(ISNUMBER(SEARCH('Task Finder'!$C$7,$A87)),ISNUMBER(SEARCH('Task Finder'!$C$7,$B87)),ISNUMBER(SEARCH('Task Finder'!$C$7,$C87)),ISNUMBER(SEARCH('Task Finder'!$C$7,$D87)),ISNUMBER(SEARCH('Task Finder'!$C$7,$K87)))),TRUE))))))))))</f>
        <v/>
      </c>
      <c r="Q87" s="150">
        <f>IF($F87="High","High Priority","")</f>
        <v/>
      </c>
      <c r="R87" s="150">
        <f>IF(AND($I87&lt;&gt;"",$I87&lt;TODAY()),"Overdue","")</f>
        <v/>
      </c>
      <c r="S87" s="150">
        <f>IF(AND($I87&lt;&gt;"",$I87&gt;=TODAY(),$I87&lt;=TODAY()+7),"Due This Week","")</f>
        <v/>
      </c>
      <c r="T87" s="150">
        <f>IF(AND($H87&lt;&gt;"",$M87&lt;=VLOOKUP(Home!$C$7,Lists!$N$2:$O$6,2,FALSE)),$H87&amp;" Task","")</f>
        <v/>
      </c>
      <c r="U87" s="150">
        <f>IF($G87=Home!$E$7,"Fits Current Energy","")</f>
        <v/>
      </c>
      <c r="V87" s="150">
        <f>IF($Q87&lt;&gt;""," • "&amp;$Q87,"")&amp;IF($R87&lt;&gt;""," • "&amp;$R87,"")&amp;IF($S87&lt;&gt;""," • "&amp;$S87,"")&amp;IF($T87&lt;&gt;""," • "&amp;$T87,"")&amp;IF($U87&lt;&gt;""," • "&amp;$U87,"")&amp;" • No Blockers"</f>
        <v/>
      </c>
    </row>
    <row r="88">
      <c r="A88" s="19" t="n"/>
      <c r="B88" s="19" t="n"/>
      <c r="C88" s="19" t="n"/>
      <c r="D88" s="19" t="n"/>
      <c r="E88" s="19" t="n"/>
      <c r="F88" s="19" t="n"/>
      <c r="G88" s="19" t="n"/>
      <c r="H88" s="19" t="n"/>
      <c r="I88" s="19" t="n"/>
      <c r="J88" s="19" t="n"/>
      <c r="K88" s="19" t="n"/>
      <c r="L88" s="35" t="n"/>
      <c r="M88" s="5">
        <f>IF($D88="","",IFERROR(VLOOKUP($H88,Lists!$N$2:$O$6,2,FALSE),0))</f>
        <v/>
      </c>
      <c r="N88" s="5">
        <f>IF($D88="","",IF(OR($E88="Blocked",$E88="Done",$E88="Archive"),-9999,IF(AND($E88="Waiting",SUMPRODUCT((($E$5:$E$500="Next")+($E$5:$E$500="In Progress")+($E$5:$E$500="Captured"))*($D$5:$D$500&lt;&gt;""))&gt;0),-500,VLOOKUP($F88,Lists!$L$2:$M$4,2,FALSE)+IF($E88="In Progress",10,0)+IF(AND($I88&lt;&gt;"",$I88&lt;TODAY()),25,0)+IF(AND($I88&lt;&gt;"",$I88&gt;=TODAY(),$I88&lt;=TODAY()+7),15,0)+IF($H88="",0,IF($M88&lt;=VLOOKUP(Home!$C$7,Lists!$N$2:$O$6,2,FALSE),20,-10))+IF($G88=Home!$E$7,15,IF(Home!$E$7="",0,-5))-ROW()/100000)))</f>
        <v/>
      </c>
      <c r="O88" s="5">
        <f>IF($D88="","",IF($N88&lt;=-500,"Not recommended right now",IF($E88="Waiting","Nothing else actionable right now — Waiting on: "&amp;IF($K88="","this item",$K88),MID($V88,4,9999))))</f>
        <v/>
      </c>
      <c r="P88" s="5">
        <f>IF($D88="","",IF('Task Finder'!$C$6="High Priority",AND($F88="High",$E88&lt;&gt;"Done",$E88&lt;&gt;"Archive"),IF('Task Finder'!$C$6="Due This Week",AND($I88&lt;&gt;"",$I88&gt;=TODAY(),$I88&lt;=TODAY()+7,$E88&lt;&gt;"Done"),IF('Task Finder'!$C$6="Quick Wins (15 mins or less)",AND($M88&lt;=15,$E88&lt;&gt;"Done",$E88&lt;&gt;"Blocked"),IF('Task Finder'!$C$6="Deep Thinking",AND($G88="Deep Thinking",$E88&lt;&gt;"Done"),IF('Task Finder'!$C$6="Processing",AND($G88="Processing",$E88&lt;&gt;"Done"),IF('Task Finder'!$C$6="Blocked",$E88="Blocked",IF('Task Finder'!$C$6="Waiting",$E88="Waiting",IF('Task Finder'!$C$6="Recently Updated",AND($L88&lt;&gt;"",$L88&gt;=TODAY()-7),IF('Task Finder'!$C$6="Keyword",AND('Task Finder'!$C$7&lt;&gt;"",OR(ISNUMBER(SEARCH('Task Finder'!$C$7,$A88)),ISNUMBER(SEARCH('Task Finder'!$C$7,$B88)),ISNUMBER(SEARCH('Task Finder'!$C$7,$C88)),ISNUMBER(SEARCH('Task Finder'!$C$7,$D88)),ISNUMBER(SEARCH('Task Finder'!$C$7,$K88)))),TRUE))))))))))</f>
        <v/>
      </c>
      <c r="Q88" s="150">
        <f>IF($F88="High","High Priority","")</f>
        <v/>
      </c>
      <c r="R88" s="150">
        <f>IF(AND($I88&lt;&gt;"",$I88&lt;TODAY()),"Overdue","")</f>
        <v/>
      </c>
      <c r="S88" s="150">
        <f>IF(AND($I88&lt;&gt;"",$I88&gt;=TODAY(),$I88&lt;=TODAY()+7),"Due This Week","")</f>
        <v/>
      </c>
      <c r="T88" s="150">
        <f>IF(AND($H88&lt;&gt;"",$M88&lt;=VLOOKUP(Home!$C$7,Lists!$N$2:$O$6,2,FALSE)),$H88&amp;" Task","")</f>
        <v/>
      </c>
      <c r="U88" s="150">
        <f>IF($G88=Home!$E$7,"Fits Current Energy","")</f>
        <v/>
      </c>
      <c r="V88" s="150">
        <f>IF($Q88&lt;&gt;""," • "&amp;$Q88,"")&amp;IF($R88&lt;&gt;""," • "&amp;$R88,"")&amp;IF($S88&lt;&gt;""," • "&amp;$S88,"")&amp;IF($T88&lt;&gt;""," • "&amp;$T88,"")&amp;IF($U88&lt;&gt;""," • "&amp;$U88,"")&amp;" • No Blockers"</f>
        <v/>
      </c>
    </row>
    <row r="89">
      <c r="A89" s="19" t="n"/>
      <c r="B89" s="19" t="n"/>
      <c r="C89" s="19" t="n"/>
      <c r="D89" s="19" t="n"/>
      <c r="E89" s="19" t="n"/>
      <c r="F89" s="19" t="n"/>
      <c r="G89" s="19" t="n"/>
      <c r="H89" s="19" t="n"/>
      <c r="I89" s="19" t="n"/>
      <c r="J89" s="19" t="n"/>
      <c r="K89" s="19" t="n"/>
      <c r="L89" s="35" t="n"/>
      <c r="M89" s="5">
        <f>IF($D89="","",IFERROR(VLOOKUP($H89,Lists!$N$2:$O$6,2,FALSE),0))</f>
        <v/>
      </c>
      <c r="N89" s="5">
        <f>IF($D89="","",IF(OR($E89="Blocked",$E89="Done",$E89="Archive"),-9999,IF(AND($E89="Waiting",SUMPRODUCT((($E$5:$E$500="Next")+($E$5:$E$500="In Progress")+($E$5:$E$500="Captured"))*($D$5:$D$500&lt;&gt;""))&gt;0),-500,VLOOKUP($F89,Lists!$L$2:$M$4,2,FALSE)+IF($E89="In Progress",10,0)+IF(AND($I89&lt;&gt;"",$I89&lt;TODAY()),25,0)+IF(AND($I89&lt;&gt;"",$I89&gt;=TODAY(),$I89&lt;=TODAY()+7),15,0)+IF($H89="",0,IF($M89&lt;=VLOOKUP(Home!$C$7,Lists!$N$2:$O$6,2,FALSE),20,-10))+IF($G89=Home!$E$7,15,IF(Home!$E$7="",0,-5))-ROW()/100000)))</f>
        <v/>
      </c>
      <c r="O89" s="5">
        <f>IF($D89="","",IF($N89&lt;=-500,"Not recommended right now",IF($E89="Waiting","Nothing else actionable right now — Waiting on: "&amp;IF($K89="","this item",$K89),MID($V89,4,9999))))</f>
        <v/>
      </c>
      <c r="P89" s="5">
        <f>IF($D89="","",IF('Task Finder'!$C$6="High Priority",AND($F89="High",$E89&lt;&gt;"Done",$E89&lt;&gt;"Archive"),IF('Task Finder'!$C$6="Due This Week",AND($I89&lt;&gt;"",$I89&gt;=TODAY(),$I89&lt;=TODAY()+7,$E89&lt;&gt;"Done"),IF('Task Finder'!$C$6="Quick Wins (15 mins or less)",AND($M89&lt;=15,$E89&lt;&gt;"Done",$E89&lt;&gt;"Blocked"),IF('Task Finder'!$C$6="Deep Thinking",AND($G89="Deep Thinking",$E89&lt;&gt;"Done"),IF('Task Finder'!$C$6="Processing",AND($G89="Processing",$E89&lt;&gt;"Done"),IF('Task Finder'!$C$6="Blocked",$E89="Blocked",IF('Task Finder'!$C$6="Waiting",$E89="Waiting",IF('Task Finder'!$C$6="Recently Updated",AND($L89&lt;&gt;"",$L89&gt;=TODAY()-7),IF('Task Finder'!$C$6="Keyword",AND('Task Finder'!$C$7&lt;&gt;"",OR(ISNUMBER(SEARCH('Task Finder'!$C$7,$A89)),ISNUMBER(SEARCH('Task Finder'!$C$7,$B89)),ISNUMBER(SEARCH('Task Finder'!$C$7,$C89)),ISNUMBER(SEARCH('Task Finder'!$C$7,$D89)),ISNUMBER(SEARCH('Task Finder'!$C$7,$K89)))),TRUE))))))))))</f>
        <v/>
      </c>
      <c r="Q89" s="150">
        <f>IF($F89="High","High Priority","")</f>
        <v/>
      </c>
      <c r="R89" s="150">
        <f>IF(AND($I89&lt;&gt;"",$I89&lt;TODAY()),"Overdue","")</f>
        <v/>
      </c>
      <c r="S89" s="150">
        <f>IF(AND($I89&lt;&gt;"",$I89&gt;=TODAY(),$I89&lt;=TODAY()+7),"Due This Week","")</f>
        <v/>
      </c>
      <c r="T89" s="150">
        <f>IF(AND($H89&lt;&gt;"",$M89&lt;=VLOOKUP(Home!$C$7,Lists!$N$2:$O$6,2,FALSE)),$H89&amp;" Task","")</f>
        <v/>
      </c>
      <c r="U89" s="150">
        <f>IF($G89=Home!$E$7,"Fits Current Energy","")</f>
        <v/>
      </c>
      <c r="V89" s="150">
        <f>IF($Q89&lt;&gt;""," • "&amp;$Q89,"")&amp;IF($R89&lt;&gt;""," • "&amp;$R89,"")&amp;IF($S89&lt;&gt;""," • "&amp;$S89,"")&amp;IF($T89&lt;&gt;""," • "&amp;$T89,"")&amp;IF($U89&lt;&gt;""," • "&amp;$U89,"")&amp;" • No Blockers"</f>
        <v/>
      </c>
    </row>
    <row r="90">
      <c r="A90" s="19" t="n"/>
      <c r="B90" s="19" t="n"/>
      <c r="C90" s="19" t="n"/>
      <c r="D90" s="19" t="n"/>
      <c r="E90" s="19" t="n"/>
      <c r="F90" s="19" t="n"/>
      <c r="G90" s="19" t="n"/>
      <c r="H90" s="19" t="n"/>
      <c r="I90" s="19" t="n"/>
      <c r="J90" s="19" t="n"/>
      <c r="K90" s="19" t="n"/>
      <c r="L90" s="35" t="n"/>
      <c r="M90" s="5">
        <f>IF($D90="","",IFERROR(VLOOKUP($H90,Lists!$N$2:$O$6,2,FALSE),0))</f>
        <v/>
      </c>
      <c r="N90" s="5">
        <f>IF($D90="","",IF(OR($E90="Blocked",$E90="Done",$E90="Archive"),-9999,IF(AND($E90="Waiting",SUMPRODUCT((($E$5:$E$500="Next")+($E$5:$E$500="In Progress")+($E$5:$E$500="Captured"))*($D$5:$D$500&lt;&gt;""))&gt;0),-500,VLOOKUP($F90,Lists!$L$2:$M$4,2,FALSE)+IF($E90="In Progress",10,0)+IF(AND($I90&lt;&gt;"",$I90&lt;TODAY()),25,0)+IF(AND($I90&lt;&gt;"",$I90&gt;=TODAY(),$I90&lt;=TODAY()+7),15,0)+IF($H90="",0,IF($M90&lt;=VLOOKUP(Home!$C$7,Lists!$N$2:$O$6,2,FALSE),20,-10))+IF($G90=Home!$E$7,15,IF(Home!$E$7="",0,-5))-ROW()/100000)))</f>
        <v/>
      </c>
      <c r="O90" s="5">
        <f>IF($D90="","",IF($N90&lt;=-500,"Not recommended right now",IF($E90="Waiting","Nothing else actionable right now — Waiting on: "&amp;IF($K90="","this item",$K90),MID($V90,4,9999))))</f>
        <v/>
      </c>
      <c r="P90" s="5">
        <f>IF($D90="","",IF('Task Finder'!$C$6="High Priority",AND($F90="High",$E90&lt;&gt;"Done",$E90&lt;&gt;"Archive"),IF('Task Finder'!$C$6="Due This Week",AND($I90&lt;&gt;"",$I90&gt;=TODAY(),$I90&lt;=TODAY()+7,$E90&lt;&gt;"Done"),IF('Task Finder'!$C$6="Quick Wins (15 mins or less)",AND($M90&lt;=15,$E90&lt;&gt;"Done",$E90&lt;&gt;"Blocked"),IF('Task Finder'!$C$6="Deep Thinking",AND($G90="Deep Thinking",$E90&lt;&gt;"Done"),IF('Task Finder'!$C$6="Processing",AND($G90="Processing",$E90&lt;&gt;"Done"),IF('Task Finder'!$C$6="Blocked",$E90="Blocked",IF('Task Finder'!$C$6="Waiting",$E90="Waiting",IF('Task Finder'!$C$6="Recently Updated",AND($L90&lt;&gt;"",$L90&gt;=TODAY()-7),IF('Task Finder'!$C$6="Keyword",AND('Task Finder'!$C$7&lt;&gt;"",OR(ISNUMBER(SEARCH('Task Finder'!$C$7,$A90)),ISNUMBER(SEARCH('Task Finder'!$C$7,$B90)),ISNUMBER(SEARCH('Task Finder'!$C$7,$C90)),ISNUMBER(SEARCH('Task Finder'!$C$7,$D90)),ISNUMBER(SEARCH('Task Finder'!$C$7,$K90)))),TRUE))))))))))</f>
        <v/>
      </c>
      <c r="Q90" s="150">
        <f>IF($F90="High","High Priority","")</f>
        <v/>
      </c>
      <c r="R90" s="150">
        <f>IF(AND($I90&lt;&gt;"",$I90&lt;TODAY()),"Overdue","")</f>
        <v/>
      </c>
      <c r="S90" s="150">
        <f>IF(AND($I90&lt;&gt;"",$I90&gt;=TODAY(),$I90&lt;=TODAY()+7),"Due This Week","")</f>
        <v/>
      </c>
      <c r="T90" s="150">
        <f>IF(AND($H90&lt;&gt;"",$M90&lt;=VLOOKUP(Home!$C$7,Lists!$N$2:$O$6,2,FALSE)),$H90&amp;" Task","")</f>
        <v/>
      </c>
      <c r="U90" s="150">
        <f>IF($G90=Home!$E$7,"Fits Current Energy","")</f>
        <v/>
      </c>
      <c r="V90" s="150">
        <f>IF($Q90&lt;&gt;""," • "&amp;$Q90,"")&amp;IF($R90&lt;&gt;""," • "&amp;$R90,"")&amp;IF($S90&lt;&gt;""," • "&amp;$S90,"")&amp;IF($T90&lt;&gt;""," • "&amp;$T90,"")&amp;IF($U90&lt;&gt;""," • "&amp;$U90,"")&amp;" • No Blockers"</f>
        <v/>
      </c>
    </row>
    <row r="91">
      <c r="A91" s="19" t="n"/>
      <c r="B91" s="19" t="n"/>
      <c r="C91" s="19" t="n"/>
      <c r="D91" s="19" t="n"/>
      <c r="E91" s="19" t="n"/>
      <c r="F91" s="19" t="n"/>
      <c r="G91" s="19" t="n"/>
      <c r="H91" s="19" t="n"/>
      <c r="I91" s="19" t="n"/>
      <c r="J91" s="19" t="n"/>
      <c r="K91" s="19" t="n"/>
      <c r="L91" s="35" t="n"/>
      <c r="M91" s="5">
        <f>IF($D91="","",IFERROR(VLOOKUP($H91,Lists!$N$2:$O$6,2,FALSE),0))</f>
        <v/>
      </c>
      <c r="N91" s="5">
        <f>IF($D91="","",IF(OR($E91="Blocked",$E91="Done",$E91="Archive"),-9999,IF(AND($E91="Waiting",SUMPRODUCT((($E$5:$E$500="Next")+($E$5:$E$500="In Progress")+($E$5:$E$500="Captured"))*($D$5:$D$500&lt;&gt;""))&gt;0),-500,VLOOKUP($F91,Lists!$L$2:$M$4,2,FALSE)+IF($E91="In Progress",10,0)+IF(AND($I91&lt;&gt;"",$I91&lt;TODAY()),25,0)+IF(AND($I91&lt;&gt;"",$I91&gt;=TODAY(),$I91&lt;=TODAY()+7),15,0)+IF($H91="",0,IF($M91&lt;=VLOOKUP(Home!$C$7,Lists!$N$2:$O$6,2,FALSE),20,-10))+IF($G91=Home!$E$7,15,IF(Home!$E$7="",0,-5))-ROW()/100000)))</f>
        <v/>
      </c>
      <c r="O91" s="5">
        <f>IF($D91="","",IF($N91&lt;=-500,"Not recommended right now",IF($E91="Waiting","Nothing else actionable right now — Waiting on: "&amp;IF($K91="","this item",$K91),MID($V91,4,9999))))</f>
        <v/>
      </c>
      <c r="P91" s="5">
        <f>IF($D91="","",IF('Task Finder'!$C$6="High Priority",AND($F91="High",$E91&lt;&gt;"Done",$E91&lt;&gt;"Archive"),IF('Task Finder'!$C$6="Due This Week",AND($I91&lt;&gt;"",$I91&gt;=TODAY(),$I91&lt;=TODAY()+7,$E91&lt;&gt;"Done"),IF('Task Finder'!$C$6="Quick Wins (15 mins or less)",AND($M91&lt;=15,$E91&lt;&gt;"Done",$E91&lt;&gt;"Blocked"),IF('Task Finder'!$C$6="Deep Thinking",AND($G91="Deep Thinking",$E91&lt;&gt;"Done"),IF('Task Finder'!$C$6="Processing",AND($G91="Processing",$E91&lt;&gt;"Done"),IF('Task Finder'!$C$6="Blocked",$E91="Blocked",IF('Task Finder'!$C$6="Waiting",$E91="Waiting",IF('Task Finder'!$C$6="Recently Updated",AND($L91&lt;&gt;"",$L91&gt;=TODAY()-7),IF('Task Finder'!$C$6="Keyword",AND('Task Finder'!$C$7&lt;&gt;"",OR(ISNUMBER(SEARCH('Task Finder'!$C$7,$A91)),ISNUMBER(SEARCH('Task Finder'!$C$7,$B91)),ISNUMBER(SEARCH('Task Finder'!$C$7,$C91)),ISNUMBER(SEARCH('Task Finder'!$C$7,$D91)),ISNUMBER(SEARCH('Task Finder'!$C$7,$K91)))),TRUE))))))))))</f>
        <v/>
      </c>
      <c r="Q91" s="150">
        <f>IF($F91="High","High Priority","")</f>
        <v/>
      </c>
      <c r="R91" s="150">
        <f>IF(AND($I91&lt;&gt;"",$I91&lt;TODAY()),"Overdue","")</f>
        <v/>
      </c>
      <c r="S91" s="150">
        <f>IF(AND($I91&lt;&gt;"",$I91&gt;=TODAY(),$I91&lt;=TODAY()+7),"Due This Week","")</f>
        <v/>
      </c>
      <c r="T91" s="150">
        <f>IF(AND($H91&lt;&gt;"",$M91&lt;=VLOOKUP(Home!$C$7,Lists!$N$2:$O$6,2,FALSE)),$H91&amp;" Task","")</f>
        <v/>
      </c>
      <c r="U91" s="150">
        <f>IF($G91=Home!$E$7,"Fits Current Energy","")</f>
        <v/>
      </c>
      <c r="V91" s="150">
        <f>IF($Q91&lt;&gt;""," • "&amp;$Q91,"")&amp;IF($R91&lt;&gt;""," • "&amp;$R91,"")&amp;IF($S91&lt;&gt;""," • "&amp;$S91,"")&amp;IF($T91&lt;&gt;""," • "&amp;$T91,"")&amp;IF($U91&lt;&gt;""," • "&amp;$U91,"")&amp;" • No Blockers"</f>
        <v/>
      </c>
    </row>
    <row r="92">
      <c r="A92" s="19" t="n"/>
      <c r="B92" s="19" t="n"/>
      <c r="C92" s="19" t="n"/>
      <c r="D92" s="19" t="n"/>
      <c r="E92" s="19" t="n"/>
      <c r="F92" s="19" t="n"/>
      <c r="G92" s="19" t="n"/>
      <c r="H92" s="19" t="n"/>
      <c r="I92" s="19" t="n"/>
      <c r="J92" s="19" t="n"/>
      <c r="K92" s="19" t="n"/>
      <c r="L92" s="35" t="n"/>
      <c r="M92" s="5">
        <f>IF($D92="","",IFERROR(VLOOKUP($H92,Lists!$N$2:$O$6,2,FALSE),0))</f>
        <v/>
      </c>
      <c r="N92" s="5">
        <f>IF($D92="","",IF(OR($E92="Blocked",$E92="Done",$E92="Archive"),-9999,IF(AND($E92="Waiting",SUMPRODUCT((($E$5:$E$500="Next")+($E$5:$E$500="In Progress")+($E$5:$E$500="Captured"))*($D$5:$D$500&lt;&gt;""))&gt;0),-500,VLOOKUP($F92,Lists!$L$2:$M$4,2,FALSE)+IF($E92="In Progress",10,0)+IF(AND($I92&lt;&gt;"",$I92&lt;TODAY()),25,0)+IF(AND($I92&lt;&gt;"",$I92&gt;=TODAY(),$I92&lt;=TODAY()+7),15,0)+IF($H92="",0,IF($M92&lt;=VLOOKUP(Home!$C$7,Lists!$N$2:$O$6,2,FALSE),20,-10))+IF($G92=Home!$E$7,15,IF(Home!$E$7="",0,-5))-ROW()/100000)))</f>
        <v/>
      </c>
      <c r="O92" s="5">
        <f>IF($D92="","",IF($N92&lt;=-500,"Not recommended right now",IF($E92="Waiting","Nothing else actionable right now — Waiting on: "&amp;IF($K92="","this item",$K92),MID($V92,4,9999))))</f>
        <v/>
      </c>
      <c r="P92" s="5">
        <f>IF($D92="","",IF('Task Finder'!$C$6="High Priority",AND($F92="High",$E92&lt;&gt;"Done",$E92&lt;&gt;"Archive"),IF('Task Finder'!$C$6="Due This Week",AND($I92&lt;&gt;"",$I92&gt;=TODAY(),$I92&lt;=TODAY()+7,$E92&lt;&gt;"Done"),IF('Task Finder'!$C$6="Quick Wins (15 mins or less)",AND($M92&lt;=15,$E92&lt;&gt;"Done",$E92&lt;&gt;"Blocked"),IF('Task Finder'!$C$6="Deep Thinking",AND($G92="Deep Thinking",$E92&lt;&gt;"Done"),IF('Task Finder'!$C$6="Processing",AND($G92="Processing",$E92&lt;&gt;"Done"),IF('Task Finder'!$C$6="Blocked",$E92="Blocked",IF('Task Finder'!$C$6="Waiting",$E92="Waiting",IF('Task Finder'!$C$6="Recently Updated",AND($L92&lt;&gt;"",$L92&gt;=TODAY()-7),IF('Task Finder'!$C$6="Keyword",AND('Task Finder'!$C$7&lt;&gt;"",OR(ISNUMBER(SEARCH('Task Finder'!$C$7,$A92)),ISNUMBER(SEARCH('Task Finder'!$C$7,$B92)),ISNUMBER(SEARCH('Task Finder'!$C$7,$C92)),ISNUMBER(SEARCH('Task Finder'!$C$7,$D92)),ISNUMBER(SEARCH('Task Finder'!$C$7,$K92)))),TRUE))))))))))</f>
        <v/>
      </c>
      <c r="Q92" s="150">
        <f>IF($F92="High","High Priority","")</f>
        <v/>
      </c>
      <c r="R92" s="150">
        <f>IF(AND($I92&lt;&gt;"",$I92&lt;TODAY()),"Overdue","")</f>
        <v/>
      </c>
      <c r="S92" s="150">
        <f>IF(AND($I92&lt;&gt;"",$I92&gt;=TODAY(),$I92&lt;=TODAY()+7),"Due This Week","")</f>
        <v/>
      </c>
      <c r="T92" s="150">
        <f>IF(AND($H92&lt;&gt;"",$M92&lt;=VLOOKUP(Home!$C$7,Lists!$N$2:$O$6,2,FALSE)),$H92&amp;" Task","")</f>
        <v/>
      </c>
      <c r="U92" s="150">
        <f>IF($G92=Home!$E$7,"Fits Current Energy","")</f>
        <v/>
      </c>
      <c r="V92" s="150">
        <f>IF($Q92&lt;&gt;""," • "&amp;$Q92,"")&amp;IF($R92&lt;&gt;""," • "&amp;$R92,"")&amp;IF($S92&lt;&gt;""," • "&amp;$S92,"")&amp;IF($T92&lt;&gt;""," • "&amp;$T92,"")&amp;IF($U92&lt;&gt;""," • "&amp;$U92,"")&amp;" • No Blockers"</f>
        <v/>
      </c>
    </row>
    <row r="93">
      <c r="A93" s="19" t="n"/>
      <c r="B93" s="19" t="n"/>
      <c r="C93" s="19" t="n"/>
      <c r="D93" s="19" t="n"/>
      <c r="E93" s="19" t="n"/>
      <c r="F93" s="19" t="n"/>
      <c r="G93" s="19" t="n"/>
      <c r="H93" s="19" t="n"/>
      <c r="I93" s="19" t="n"/>
      <c r="J93" s="19" t="n"/>
      <c r="K93" s="19" t="n"/>
      <c r="L93" s="35" t="n"/>
      <c r="M93" s="5">
        <f>IF($D93="","",IFERROR(VLOOKUP($H93,Lists!$N$2:$O$6,2,FALSE),0))</f>
        <v/>
      </c>
      <c r="N93" s="5">
        <f>IF($D93="","",IF(OR($E93="Blocked",$E93="Done",$E93="Archive"),-9999,IF(AND($E93="Waiting",SUMPRODUCT((($E$5:$E$500="Next")+($E$5:$E$500="In Progress")+($E$5:$E$500="Captured"))*($D$5:$D$500&lt;&gt;""))&gt;0),-500,VLOOKUP($F93,Lists!$L$2:$M$4,2,FALSE)+IF($E93="In Progress",10,0)+IF(AND($I93&lt;&gt;"",$I93&lt;TODAY()),25,0)+IF(AND($I93&lt;&gt;"",$I93&gt;=TODAY(),$I93&lt;=TODAY()+7),15,0)+IF($H93="",0,IF($M93&lt;=VLOOKUP(Home!$C$7,Lists!$N$2:$O$6,2,FALSE),20,-10))+IF($G93=Home!$E$7,15,IF(Home!$E$7="",0,-5))-ROW()/100000)))</f>
        <v/>
      </c>
      <c r="O93" s="5">
        <f>IF($D93="","",IF($N93&lt;=-500,"Not recommended right now",IF($E93="Waiting","Nothing else actionable right now — Waiting on: "&amp;IF($K93="","this item",$K93),MID($V93,4,9999))))</f>
        <v/>
      </c>
      <c r="P93" s="5">
        <f>IF($D93="","",IF('Task Finder'!$C$6="High Priority",AND($F93="High",$E93&lt;&gt;"Done",$E93&lt;&gt;"Archive"),IF('Task Finder'!$C$6="Due This Week",AND($I93&lt;&gt;"",$I93&gt;=TODAY(),$I93&lt;=TODAY()+7,$E93&lt;&gt;"Done"),IF('Task Finder'!$C$6="Quick Wins (15 mins or less)",AND($M93&lt;=15,$E93&lt;&gt;"Done",$E93&lt;&gt;"Blocked"),IF('Task Finder'!$C$6="Deep Thinking",AND($G93="Deep Thinking",$E93&lt;&gt;"Done"),IF('Task Finder'!$C$6="Processing",AND($G93="Processing",$E93&lt;&gt;"Done"),IF('Task Finder'!$C$6="Blocked",$E93="Blocked",IF('Task Finder'!$C$6="Waiting",$E93="Waiting",IF('Task Finder'!$C$6="Recently Updated",AND($L93&lt;&gt;"",$L93&gt;=TODAY()-7),IF('Task Finder'!$C$6="Keyword",AND('Task Finder'!$C$7&lt;&gt;"",OR(ISNUMBER(SEARCH('Task Finder'!$C$7,$A93)),ISNUMBER(SEARCH('Task Finder'!$C$7,$B93)),ISNUMBER(SEARCH('Task Finder'!$C$7,$C93)),ISNUMBER(SEARCH('Task Finder'!$C$7,$D93)),ISNUMBER(SEARCH('Task Finder'!$C$7,$K93)))),TRUE))))))))))</f>
        <v/>
      </c>
      <c r="Q93" s="150">
        <f>IF($F93="High","High Priority","")</f>
        <v/>
      </c>
      <c r="R93" s="150">
        <f>IF(AND($I93&lt;&gt;"",$I93&lt;TODAY()),"Overdue","")</f>
        <v/>
      </c>
      <c r="S93" s="150">
        <f>IF(AND($I93&lt;&gt;"",$I93&gt;=TODAY(),$I93&lt;=TODAY()+7),"Due This Week","")</f>
        <v/>
      </c>
      <c r="T93" s="150">
        <f>IF(AND($H93&lt;&gt;"",$M93&lt;=VLOOKUP(Home!$C$7,Lists!$N$2:$O$6,2,FALSE)),$H93&amp;" Task","")</f>
        <v/>
      </c>
      <c r="U93" s="150">
        <f>IF($G93=Home!$E$7,"Fits Current Energy","")</f>
        <v/>
      </c>
      <c r="V93" s="150">
        <f>IF($Q93&lt;&gt;""," • "&amp;$Q93,"")&amp;IF($R93&lt;&gt;""," • "&amp;$R93,"")&amp;IF($S93&lt;&gt;""," • "&amp;$S93,"")&amp;IF($T93&lt;&gt;""," • "&amp;$T93,"")&amp;IF($U93&lt;&gt;""," • "&amp;$U93,"")&amp;" • No Blockers"</f>
        <v/>
      </c>
    </row>
    <row r="94">
      <c r="A94" s="19" t="n"/>
      <c r="B94" s="19" t="n"/>
      <c r="C94" s="19" t="n"/>
      <c r="D94" s="19" t="n"/>
      <c r="E94" s="19" t="n"/>
      <c r="F94" s="19" t="n"/>
      <c r="G94" s="19" t="n"/>
      <c r="H94" s="19" t="n"/>
      <c r="I94" s="19" t="n"/>
      <c r="J94" s="19" t="n"/>
      <c r="K94" s="19" t="n"/>
      <c r="L94" s="35" t="n"/>
      <c r="M94" s="5">
        <f>IF($D94="","",IFERROR(VLOOKUP($H94,Lists!$N$2:$O$6,2,FALSE),0))</f>
        <v/>
      </c>
      <c r="N94" s="5">
        <f>IF($D94="","",IF(OR($E94="Blocked",$E94="Done",$E94="Archive"),-9999,IF(AND($E94="Waiting",SUMPRODUCT((($E$5:$E$500="Next")+($E$5:$E$500="In Progress")+($E$5:$E$500="Captured"))*($D$5:$D$500&lt;&gt;""))&gt;0),-500,VLOOKUP($F94,Lists!$L$2:$M$4,2,FALSE)+IF($E94="In Progress",10,0)+IF(AND($I94&lt;&gt;"",$I94&lt;TODAY()),25,0)+IF(AND($I94&lt;&gt;"",$I94&gt;=TODAY(),$I94&lt;=TODAY()+7),15,0)+IF($H94="",0,IF($M94&lt;=VLOOKUP(Home!$C$7,Lists!$N$2:$O$6,2,FALSE),20,-10))+IF($G94=Home!$E$7,15,IF(Home!$E$7="",0,-5))-ROW()/100000)))</f>
        <v/>
      </c>
      <c r="O94" s="5">
        <f>IF($D94="","",IF($N94&lt;=-500,"Not recommended right now",IF($E94="Waiting","Nothing else actionable right now — Waiting on: "&amp;IF($K94="","this item",$K94),MID($V94,4,9999))))</f>
        <v/>
      </c>
      <c r="P94" s="5">
        <f>IF($D94="","",IF('Task Finder'!$C$6="High Priority",AND($F94="High",$E94&lt;&gt;"Done",$E94&lt;&gt;"Archive"),IF('Task Finder'!$C$6="Due This Week",AND($I94&lt;&gt;"",$I94&gt;=TODAY(),$I94&lt;=TODAY()+7,$E94&lt;&gt;"Done"),IF('Task Finder'!$C$6="Quick Wins (15 mins or less)",AND($M94&lt;=15,$E94&lt;&gt;"Done",$E94&lt;&gt;"Blocked"),IF('Task Finder'!$C$6="Deep Thinking",AND($G94="Deep Thinking",$E94&lt;&gt;"Done"),IF('Task Finder'!$C$6="Processing",AND($G94="Processing",$E94&lt;&gt;"Done"),IF('Task Finder'!$C$6="Blocked",$E94="Blocked",IF('Task Finder'!$C$6="Waiting",$E94="Waiting",IF('Task Finder'!$C$6="Recently Updated",AND($L94&lt;&gt;"",$L94&gt;=TODAY()-7),IF('Task Finder'!$C$6="Keyword",AND('Task Finder'!$C$7&lt;&gt;"",OR(ISNUMBER(SEARCH('Task Finder'!$C$7,$A94)),ISNUMBER(SEARCH('Task Finder'!$C$7,$B94)),ISNUMBER(SEARCH('Task Finder'!$C$7,$C94)),ISNUMBER(SEARCH('Task Finder'!$C$7,$D94)),ISNUMBER(SEARCH('Task Finder'!$C$7,$K94)))),TRUE))))))))))</f>
        <v/>
      </c>
      <c r="Q94" s="150">
        <f>IF($F94="High","High Priority","")</f>
        <v/>
      </c>
      <c r="R94" s="150">
        <f>IF(AND($I94&lt;&gt;"",$I94&lt;TODAY()),"Overdue","")</f>
        <v/>
      </c>
      <c r="S94" s="150">
        <f>IF(AND($I94&lt;&gt;"",$I94&gt;=TODAY(),$I94&lt;=TODAY()+7),"Due This Week","")</f>
        <v/>
      </c>
      <c r="T94" s="150">
        <f>IF(AND($H94&lt;&gt;"",$M94&lt;=VLOOKUP(Home!$C$7,Lists!$N$2:$O$6,2,FALSE)),$H94&amp;" Task","")</f>
        <v/>
      </c>
      <c r="U94" s="150">
        <f>IF($G94=Home!$E$7,"Fits Current Energy","")</f>
        <v/>
      </c>
      <c r="V94" s="150">
        <f>IF($Q94&lt;&gt;""," • "&amp;$Q94,"")&amp;IF($R94&lt;&gt;""," • "&amp;$R94,"")&amp;IF($S94&lt;&gt;""," • "&amp;$S94,"")&amp;IF($T94&lt;&gt;""," • "&amp;$T94,"")&amp;IF($U94&lt;&gt;""," • "&amp;$U94,"")&amp;" • No Blockers"</f>
        <v/>
      </c>
    </row>
    <row r="95">
      <c r="A95" s="19" t="n"/>
      <c r="B95" s="19" t="n"/>
      <c r="C95" s="19" t="n"/>
      <c r="D95" s="19" t="n"/>
      <c r="E95" s="19" t="n"/>
      <c r="F95" s="19" t="n"/>
      <c r="G95" s="19" t="n"/>
      <c r="H95" s="19" t="n"/>
      <c r="I95" s="19" t="n"/>
      <c r="J95" s="19" t="n"/>
      <c r="K95" s="19" t="n"/>
      <c r="L95" s="35" t="n"/>
      <c r="M95" s="5">
        <f>IF($D95="","",IFERROR(VLOOKUP($H95,Lists!$N$2:$O$6,2,FALSE),0))</f>
        <v/>
      </c>
      <c r="N95" s="5">
        <f>IF($D95="","",IF(OR($E95="Blocked",$E95="Done",$E95="Archive"),-9999,IF(AND($E95="Waiting",SUMPRODUCT((($E$5:$E$500="Next")+($E$5:$E$500="In Progress")+($E$5:$E$500="Captured"))*($D$5:$D$500&lt;&gt;""))&gt;0),-500,VLOOKUP($F95,Lists!$L$2:$M$4,2,FALSE)+IF($E95="In Progress",10,0)+IF(AND($I95&lt;&gt;"",$I95&lt;TODAY()),25,0)+IF(AND($I95&lt;&gt;"",$I95&gt;=TODAY(),$I95&lt;=TODAY()+7),15,0)+IF($H95="",0,IF($M95&lt;=VLOOKUP(Home!$C$7,Lists!$N$2:$O$6,2,FALSE),20,-10))+IF($G95=Home!$E$7,15,IF(Home!$E$7="",0,-5))-ROW()/100000)))</f>
        <v/>
      </c>
      <c r="O95" s="5">
        <f>IF($D95="","",IF($N95&lt;=-500,"Not recommended right now",IF($E95="Waiting","Nothing else actionable right now — Waiting on: "&amp;IF($K95="","this item",$K95),MID($V95,4,9999))))</f>
        <v/>
      </c>
      <c r="P95" s="5">
        <f>IF($D95="","",IF('Task Finder'!$C$6="High Priority",AND($F95="High",$E95&lt;&gt;"Done",$E95&lt;&gt;"Archive"),IF('Task Finder'!$C$6="Due This Week",AND($I95&lt;&gt;"",$I95&gt;=TODAY(),$I95&lt;=TODAY()+7,$E95&lt;&gt;"Done"),IF('Task Finder'!$C$6="Quick Wins (15 mins or less)",AND($M95&lt;=15,$E95&lt;&gt;"Done",$E95&lt;&gt;"Blocked"),IF('Task Finder'!$C$6="Deep Thinking",AND($G95="Deep Thinking",$E95&lt;&gt;"Done"),IF('Task Finder'!$C$6="Processing",AND($G95="Processing",$E95&lt;&gt;"Done"),IF('Task Finder'!$C$6="Blocked",$E95="Blocked",IF('Task Finder'!$C$6="Waiting",$E95="Waiting",IF('Task Finder'!$C$6="Recently Updated",AND($L95&lt;&gt;"",$L95&gt;=TODAY()-7),IF('Task Finder'!$C$6="Keyword",AND('Task Finder'!$C$7&lt;&gt;"",OR(ISNUMBER(SEARCH('Task Finder'!$C$7,$A95)),ISNUMBER(SEARCH('Task Finder'!$C$7,$B95)),ISNUMBER(SEARCH('Task Finder'!$C$7,$C95)),ISNUMBER(SEARCH('Task Finder'!$C$7,$D95)),ISNUMBER(SEARCH('Task Finder'!$C$7,$K95)))),TRUE))))))))))</f>
        <v/>
      </c>
      <c r="Q95" s="150">
        <f>IF($F95="High","High Priority","")</f>
        <v/>
      </c>
      <c r="R95" s="150">
        <f>IF(AND($I95&lt;&gt;"",$I95&lt;TODAY()),"Overdue","")</f>
        <v/>
      </c>
      <c r="S95" s="150">
        <f>IF(AND($I95&lt;&gt;"",$I95&gt;=TODAY(),$I95&lt;=TODAY()+7),"Due This Week","")</f>
        <v/>
      </c>
      <c r="T95" s="150">
        <f>IF(AND($H95&lt;&gt;"",$M95&lt;=VLOOKUP(Home!$C$7,Lists!$N$2:$O$6,2,FALSE)),$H95&amp;" Task","")</f>
        <v/>
      </c>
      <c r="U95" s="150">
        <f>IF($G95=Home!$E$7,"Fits Current Energy","")</f>
        <v/>
      </c>
      <c r="V95" s="150">
        <f>IF($Q95&lt;&gt;""," • "&amp;$Q95,"")&amp;IF($R95&lt;&gt;""," • "&amp;$R95,"")&amp;IF($S95&lt;&gt;""," • "&amp;$S95,"")&amp;IF($T95&lt;&gt;""," • "&amp;$T95,"")&amp;IF($U95&lt;&gt;""," • "&amp;$U95,"")&amp;" • No Blockers"</f>
        <v/>
      </c>
    </row>
    <row r="96">
      <c r="A96" s="19" t="n"/>
      <c r="B96" s="19" t="n"/>
      <c r="C96" s="19" t="n"/>
      <c r="D96" s="19" t="n"/>
      <c r="E96" s="19" t="n"/>
      <c r="F96" s="19" t="n"/>
      <c r="G96" s="19" t="n"/>
      <c r="H96" s="19" t="n"/>
      <c r="I96" s="19" t="n"/>
      <c r="J96" s="19" t="n"/>
      <c r="K96" s="19" t="n"/>
      <c r="L96" s="35" t="n"/>
      <c r="M96" s="5">
        <f>IF($D96="","",IFERROR(VLOOKUP($H96,Lists!$N$2:$O$6,2,FALSE),0))</f>
        <v/>
      </c>
      <c r="N96" s="5">
        <f>IF($D96="","",IF(OR($E96="Blocked",$E96="Done",$E96="Archive"),-9999,IF(AND($E96="Waiting",SUMPRODUCT((($E$5:$E$500="Next")+($E$5:$E$500="In Progress")+($E$5:$E$500="Captured"))*($D$5:$D$500&lt;&gt;""))&gt;0),-500,VLOOKUP($F96,Lists!$L$2:$M$4,2,FALSE)+IF($E96="In Progress",10,0)+IF(AND($I96&lt;&gt;"",$I96&lt;TODAY()),25,0)+IF(AND($I96&lt;&gt;"",$I96&gt;=TODAY(),$I96&lt;=TODAY()+7),15,0)+IF($H96="",0,IF($M96&lt;=VLOOKUP(Home!$C$7,Lists!$N$2:$O$6,2,FALSE),20,-10))+IF($G96=Home!$E$7,15,IF(Home!$E$7="",0,-5))-ROW()/100000)))</f>
        <v/>
      </c>
      <c r="O96" s="5">
        <f>IF($D96="","",IF($N96&lt;=-500,"Not recommended right now",IF($E96="Waiting","Nothing else actionable right now — Waiting on: "&amp;IF($K96="","this item",$K96),MID($V96,4,9999))))</f>
        <v/>
      </c>
      <c r="P96" s="5">
        <f>IF($D96="","",IF('Task Finder'!$C$6="High Priority",AND($F96="High",$E96&lt;&gt;"Done",$E96&lt;&gt;"Archive"),IF('Task Finder'!$C$6="Due This Week",AND($I96&lt;&gt;"",$I96&gt;=TODAY(),$I96&lt;=TODAY()+7,$E96&lt;&gt;"Done"),IF('Task Finder'!$C$6="Quick Wins (15 mins or less)",AND($M96&lt;=15,$E96&lt;&gt;"Done",$E96&lt;&gt;"Blocked"),IF('Task Finder'!$C$6="Deep Thinking",AND($G96="Deep Thinking",$E96&lt;&gt;"Done"),IF('Task Finder'!$C$6="Processing",AND($G96="Processing",$E96&lt;&gt;"Done"),IF('Task Finder'!$C$6="Blocked",$E96="Blocked",IF('Task Finder'!$C$6="Waiting",$E96="Waiting",IF('Task Finder'!$C$6="Recently Updated",AND($L96&lt;&gt;"",$L96&gt;=TODAY()-7),IF('Task Finder'!$C$6="Keyword",AND('Task Finder'!$C$7&lt;&gt;"",OR(ISNUMBER(SEARCH('Task Finder'!$C$7,$A96)),ISNUMBER(SEARCH('Task Finder'!$C$7,$B96)),ISNUMBER(SEARCH('Task Finder'!$C$7,$C96)),ISNUMBER(SEARCH('Task Finder'!$C$7,$D96)),ISNUMBER(SEARCH('Task Finder'!$C$7,$K96)))),TRUE))))))))))</f>
        <v/>
      </c>
      <c r="Q96" s="150">
        <f>IF($F96="High","High Priority","")</f>
        <v/>
      </c>
      <c r="R96" s="150">
        <f>IF(AND($I96&lt;&gt;"",$I96&lt;TODAY()),"Overdue","")</f>
        <v/>
      </c>
      <c r="S96" s="150">
        <f>IF(AND($I96&lt;&gt;"",$I96&gt;=TODAY(),$I96&lt;=TODAY()+7),"Due This Week","")</f>
        <v/>
      </c>
      <c r="T96" s="150">
        <f>IF(AND($H96&lt;&gt;"",$M96&lt;=VLOOKUP(Home!$C$7,Lists!$N$2:$O$6,2,FALSE)),$H96&amp;" Task","")</f>
        <v/>
      </c>
      <c r="U96" s="150">
        <f>IF($G96=Home!$E$7,"Fits Current Energy","")</f>
        <v/>
      </c>
      <c r="V96" s="150">
        <f>IF($Q96&lt;&gt;""," • "&amp;$Q96,"")&amp;IF($R96&lt;&gt;""," • "&amp;$R96,"")&amp;IF($S96&lt;&gt;""," • "&amp;$S96,"")&amp;IF($T96&lt;&gt;""," • "&amp;$T96,"")&amp;IF($U96&lt;&gt;""," • "&amp;$U96,"")&amp;" • No Blockers"</f>
        <v/>
      </c>
    </row>
    <row r="97">
      <c r="A97" s="19" t="n"/>
      <c r="B97" s="19" t="n"/>
      <c r="C97" s="19" t="n"/>
      <c r="D97" s="19" t="n"/>
      <c r="E97" s="19" t="n"/>
      <c r="F97" s="19" t="n"/>
      <c r="G97" s="19" t="n"/>
      <c r="H97" s="19" t="n"/>
      <c r="I97" s="19" t="n"/>
      <c r="J97" s="19" t="n"/>
      <c r="K97" s="19" t="n"/>
      <c r="L97" s="35" t="n"/>
      <c r="M97" s="5">
        <f>IF($D97="","",IFERROR(VLOOKUP($H97,Lists!$N$2:$O$6,2,FALSE),0))</f>
        <v/>
      </c>
      <c r="N97" s="5">
        <f>IF($D97="","",IF(OR($E97="Blocked",$E97="Done",$E97="Archive"),-9999,IF(AND($E97="Waiting",SUMPRODUCT((($E$5:$E$500="Next")+($E$5:$E$500="In Progress")+($E$5:$E$500="Captured"))*($D$5:$D$500&lt;&gt;""))&gt;0),-500,VLOOKUP($F97,Lists!$L$2:$M$4,2,FALSE)+IF($E97="In Progress",10,0)+IF(AND($I97&lt;&gt;"",$I97&lt;TODAY()),25,0)+IF(AND($I97&lt;&gt;"",$I97&gt;=TODAY(),$I97&lt;=TODAY()+7),15,0)+IF($H97="",0,IF($M97&lt;=VLOOKUP(Home!$C$7,Lists!$N$2:$O$6,2,FALSE),20,-10))+IF($G97=Home!$E$7,15,IF(Home!$E$7="",0,-5))-ROW()/100000)))</f>
        <v/>
      </c>
      <c r="O97" s="5">
        <f>IF($D97="","",IF($N97&lt;=-500,"Not recommended right now",IF($E97="Waiting","Nothing else actionable right now — Waiting on: "&amp;IF($K97="","this item",$K97),MID($V97,4,9999))))</f>
        <v/>
      </c>
      <c r="P97" s="5">
        <f>IF($D97="","",IF('Task Finder'!$C$6="High Priority",AND($F97="High",$E97&lt;&gt;"Done",$E97&lt;&gt;"Archive"),IF('Task Finder'!$C$6="Due This Week",AND($I97&lt;&gt;"",$I97&gt;=TODAY(),$I97&lt;=TODAY()+7,$E97&lt;&gt;"Done"),IF('Task Finder'!$C$6="Quick Wins (15 mins or less)",AND($M97&lt;=15,$E97&lt;&gt;"Done",$E97&lt;&gt;"Blocked"),IF('Task Finder'!$C$6="Deep Thinking",AND($G97="Deep Thinking",$E97&lt;&gt;"Done"),IF('Task Finder'!$C$6="Processing",AND($G97="Processing",$E97&lt;&gt;"Done"),IF('Task Finder'!$C$6="Blocked",$E97="Blocked",IF('Task Finder'!$C$6="Waiting",$E97="Waiting",IF('Task Finder'!$C$6="Recently Updated",AND($L97&lt;&gt;"",$L97&gt;=TODAY()-7),IF('Task Finder'!$C$6="Keyword",AND('Task Finder'!$C$7&lt;&gt;"",OR(ISNUMBER(SEARCH('Task Finder'!$C$7,$A97)),ISNUMBER(SEARCH('Task Finder'!$C$7,$B97)),ISNUMBER(SEARCH('Task Finder'!$C$7,$C97)),ISNUMBER(SEARCH('Task Finder'!$C$7,$D97)),ISNUMBER(SEARCH('Task Finder'!$C$7,$K97)))),TRUE))))))))))</f>
        <v/>
      </c>
      <c r="Q97" s="150">
        <f>IF($F97="High","High Priority","")</f>
        <v/>
      </c>
      <c r="R97" s="150">
        <f>IF(AND($I97&lt;&gt;"",$I97&lt;TODAY()),"Overdue","")</f>
        <v/>
      </c>
      <c r="S97" s="150">
        <f>IF(AND($I97&lt;&gt;"",$I97&gt;=TODAY(),$I97&lt;=TODAY()+7),"Due This Week","")</f>
        <v/>
      </c>
      <c r="T97" s="150">
        <f>IF(AND($H97&lt;&gt;"",$M97&lt;=VLOOKUP(Home!$C$7,Lists!$N$2:$O$6,2,FALSE)),$H97&amp;" Task","")</f>
        <v/>
      </c>
      <c r="U97" s="150">
        <f>IF($G97=Home!$E$7,"Fits Current Energy","")</f>
        <v/>
      </c>
      <c r="V97" s="150">
        <f>IF($Q97&lt;&gt;""," • "&amp;$Q97,"")&amp;IF($R97&lt;&gt;""," • "&amp;$R97,"")&amp;IF($S97&lt;&gt;""," • "&amp;$S97,"")&amp;IF($T97&lt;&gt;""," • "&amp;$T97,"")&amp;IF($U97&lt;&gt;""," • "&amp;$U97,"")&amp;" • No Blockers"</f>
        <v/>
      </c>
    </row>
    <row r="98">
      <c r="A98" s="19" t="n"/>
      <c r="B98" s="19" t="n"/>
      <c r="C98" s="19" t="n"/>
      <c r="D98" s="19" t="n"/>
      <c r="E98" s="19" t="n"/>
      <c r="F98" s="19" t="n"/>
      <c r="G98" s="19" t="n"/>
      <c r="H98" s="19" t="n"/>
      <c r="I98" s="19" t="n"/>
      <c r="J98" s="19" t="n"/>
      <c r="K98" s="19" t="n"/>
      <c r="L98" s="35" t="n"/>
      <c r="M98" s="5">
        <f>IF($D98="","",IFERROR(VLOOKUP($H98,Lists!$N$2:$O$6,2,FALSE),0))</f>
        <v/>
      </c>
      <c r="N98" s="5">
        <f>IF($D98="","",IF(OR($E98="Blocked",$E98="Done",$E98="Archive"),-9999,IF(AND($E98="Waiting",SUMPRODUCT((($E$5:$E$500="Next")+($E$5:$E$500="In Progress")+($E$5:$E$500="Captured"))*($D$5:$D$500&lt;&gt;""))&gt;0),-500,VLOOKUP($F98,Lists!$L$2:$M$4,2,FALSE)+IF($E98="In Progress",10,0)+IF(AND($I98&lt;&gt;"",$I98&lt;TODAY()),25,0)+IF(AND($I98&lt;&gt;"",$I98&gt;=TODAY(),$I98&lt;=TODAY()+7),15,0)+IF($H98="",0,IF($M98&lt;=VLOOKUP(Home!$C$7,Lists!$N$2:$O$6,2,FALSE),20,-10))+IF($G98=Home!$E$7,15,IF(Home!$E$7="",0,-5))-ROW()/100000)))</f>
        <v/>
      </c>
      <c r="O98" s="5">
        <f>IF($D98="","",IF($N98&lt;=-500,"Not recommended right now",IF($E98="Waiting","Nothing else actionable right now — Waiting on: "&amp;IF($K98="","this item",$K98),MID($V98,4,9999))))</f>
        <v/>
      </c>
      <c r="P98" s="5">
        <f>IF($D98="","",IF('Task Finder'!$C$6="High Priority",AND($F98="High",$E98&lt;&gt;"Done",$E98&lt;&gt;"Archive"),IF('Task Finder'!$C$6="Due This Week",AND($I98&lt;&gt;"",$I98&gt;=TODAY(),$I98&lt;=TODAY()+7,$E98&lt;&gt;"Done"),IF('Task Finder'!$C$6="Quick Wins (15 mins or less)",AND($M98&lt;=15,$E98&lt;&gt;"Done",$E98&lt;&gt;"Blocked"),IF('Task Finder'!$C$6="Deep Thinking",AND($G98="Deep Thinking",$E98&lt;&gt;"Done"),IF('Task Finder'!$C$6="Processing",AND($G98="Processing",$E98&lt;&gt;"Done"),IF('Task Finder'!$C$6="Blocked",$E98="Blocked",IF('Task Finder'!$C$6="Waiting",$E98="Waiting",IF('Task Finder'!$C$6="Recently Updated",AND($L98&lt;&gt;"",$L98&gt;=TODAY()-7),IF('Task Finder'!$C$6="Keyword",AND('Task Finder'!$C$7&lt;&gt;"",OR(ISNUMBER(SEARCH('Task Finder'!$C$7,$A98)),ISNUMBER(SEARCH('Task Finder'!$C$7,$B98)),ISNUMBER(SEARCH('Task Finder'!$C$7,$C98)),ISNUMBER(SEARCH('Task Finder'!$C$7,$D98)),ISNUMBER(SEARCH('Task Finder'!$C$7,$K98)))),TRUE))))))))))</f>
        <v/>
      </c>
      <c r="Q98" s="150">
        <f>IF($F98="High","High Priority","")</f>
        <v/>
      </c>
      <c r="R98" s="150">
        <f>IF(AND($I98&lt;&gt;"",$I98&lt;TODAY()),"Overdue","")</f>
        <v/>
      </c>
      <c r="S98" s="150">
        <f>IF(AND($I98&lt;&gt;"",$I98&gt;=TODAY(),$I98&lt;=TODAY()+7),"Due This Week","")</f>
        <v/>
      </c>
      <c r="T98" s="150">
        <f>IF(AND($H98&lt;&gt;"",$M98&lt;=VLOOKUP(Home!$C$7,Lists!$N$2:$O$6,2,FALSE)),$H98&amp;" Task","")</f>
        <v/>
      </c>
      <c r="U98" s="150">
        <f>IF($G98=Home!$E$7,"Fits Current Energy","")</f>
        <v/>
      </c>
      <c r="V98" s="150">
        <f>IF($Q98&lt;&gt;""," • "&amp;$Q98,"")&amp;IF($R98&lt;&gt;""," • "&amp;$R98,"")&amp;IF($S98&lt;&gt;""," • "&amp;$S98,"")&amp;IF($T98&lt;&gt;""," • "&amp;$T98,"")&amp;IF($U98&lt;&gt;""," • "&amp;$U98,"")&amp;" • No Blockers"</f>
        <v/>
      </c>
    </row>
    <row r="99">
      <c r="A99" s="19" t="n"/>
      <c r="B99" s="19" t="n"/>
      <c r="C99" s="19" t="n"/>
      <c r="D99" s="19" t="n"/>
      <c r="E99" s="19" t="n"/>
      <c r="F99" s="19" t="n"/>
      <c r="G99" s="19" t="n"/>
      <c r="H99" s="19" t="n"/>
      <c r="I99" s="19" t="n"/>
      <c r="J99" s="19" t="n"/>
      <c r="K99" s="19" t="n"/>
      <c r="L99" s="35" t="n"/>
      <c r="M99" s="5">
        <f>IF($D99="","",IFERROR(VLOOKUP($H99,Lists!$N$2:$O$6,2,FALSE),0))</f>
        <v/>
      </c>
      <c r="N99" s="5">
        <f>IF($D99="","",IF(OR($E99="Blocked",$E99="Done",$E99="Archive"),-9999,IF(AND($E99="Waiting",SUMPRODUCT((($E$5:$E$500="Next")+($E$5:$E$500="In Progress")+($E$5:$E$500="Captured"))*($D$5:$D$500&lt;&gt;""))&gt;0),-500,VLOOKUP($F99,Lists!$L$2:$M$4,2,FALSE)+IF($E99="In Progress",10,0)+IF(AND($I99&lt;&gt;"",$I99&lt;TODAY()),25,0)+IF(AND($I99&lt;&gt;"",$I99&gt;=TODAY(),$I99&lt;=TODAY()+7),15,0)+IF($H99="",0,IF($M99&lt;=VLOOKUP(Home!$C$7,Lists!$N$2:$O$6,2,FALSE),20,-10))+IF($G99=Home!$E$7,15,IF(Home!$E$7="",0,-5))-ROW()/100000)))</f>
        <v/>
      </c>
      <c r="O99" s="5">
        <f>IF($D99="","",IF($N99&lt;=-500,"Not recommended right now",IF($E99="Waiting","Nothing else actionable right now — Waiting on: "&amp;IF($K99="","this item",$K99),MID($V99,4,9999))))</f>
        <v/>
      </c>
      <c r="P99" s="5">
        <f>IF($D99="","",IF('Task Finder'!$C$6="High Priority",AND($F99="High",$E99&lt;&gt;"Done",$E99&lt;&gt;"Archive"),IF('Task Finder'!$C$6="Due This Week",AND($I99&lt;&gt;"",$I99&gt;=TODAY(),$I99&lt;=TODAY()+7,$E99&lt;&gt;"Done"),IF('Task Finder'!$C$6="Quick Wins (15 mins or less)",AND($M99&lt;=15,$E99&lt;&gt;"Done",$E99&lt;&gt;"Blocked"),IF('Task Finder'!$C$6="Deep Thinking",AND($G99="Deep Thinking",$E99&lt;&gt;"Done"),IF('Task Finder'!$C$6="Processing",AND($G99="Processing",$E99&lt;&gt;"Done"),IF('Task Finder'!$C$6="Blocked",$E99="Blocked",IF('Task Finder'!$C$6="Waiting",$E99="Waiting",IF('Task Finder'!$C$6="Recently Updated",AND($L99&lt;&gt;"",$L99&gt;=TODAY()-7),IF('Task Finder'!$C$6="Keyword",AND('Task Finder'!$C$7&lt;&gt;"",OR(ISNUMBER(SEARCH('Task Finder'!$C$7,$A99)),ISNUMBER(SEARCH('Task Finder'!$C$7,$B99)),ISNUMBER(SEARCH('Task Finder'!$C$7,$C99)),ISNUMBER(SEARCH('Task Finder'!$C$7,$D99)),ISNUMBER(SEARCH('Task Finder'!$C$7,$K99)))),TRUE))))))))))</f>
        <v/>
      </c>
      <c r="Q99" s="150">
        <f>IF($F99="High","High Priority","")</f>
        <v/>
      </c>
      <c r="R99" s="150">
        <f>IF(AND($I99&lt;&gt;"",$I99&lt;TODAY()),"Overdue","")</f>
        <v/>
      </c>
      <c r="S99" s="150">
        <f>IF(AND($I99&lt;&gt;"",$I99&gt;=TODAY(),$I99&lt;=TODAY()+7),"Due This Week","")</f>
        <v/>
      </c>
      <c r="T99" s="150">
        <f>IF(AND($H99&lt;&gt;"",$M99&lt;=VLOOKUP(Home!$C$7,Lists!$N$2:$O$6,2,FALSE)),$H99&amp;" Task","")</f>
        <v/>
      </c>
      <c r="U99" s="150">
        <f>IF($G99=Home!$E$7,"Fits Current Energy","")</f>
        <v/>
      </c>
      <c r="V99" s="150">
        <f>IF($Q99&lt;&gt;""," • "&amp;$Q99,"")&amp;IF($R99&lt;&gt;""," • "&amp;$R99,"")&amp;IF($S99&lt;&gt;""," • "&amp;$S99,"")&amp;IF($T99&lt;&gt;""," • "&amp;$T99,"")&amp;IF($U99&lt;&gt;""," • "&amp;$U99,"")&amp;" • No Blockers"</f>
        <v/>
      </c>
    </row>
    <row r="100">
      <c r="A100" s="19" t="n"/>
      <c r="B100" s="19" t="n"/>
      <c r="C100" s="19" t="n"/>
      <c r="D100" s="19" t="n"/>
      <c r="E100" s="19" t="n"/>
      <c r="F100" s="19" t="n"/>
      <c r="G100" s="19" t="n"/>
      <c r="H100" s="19" t="n"/>
      <c r="I100" s="19" t="n"/>
      <c r="J100" s="19" t="n"/>
      <c r="K100" s="19" t="n"/>
      <c r="L100" s="35" t="n"/>
      <c r="M100" s="5">
        <f>IF($D100="","",IFERROR(VLOOKUP($H100,Lists!$N$2:$O$6,2,FALSE),0))</f>
        <v/>
      </c>
      <c r="N100" s="5">
        <f>IF($D100="","",IF(OR($E100="Blocked",$E100="Done",$E100="Archive"),-9999,IF(AND($E100="Waiting",SUMPRODUCT((($E$5:$E$500="Next")+($E$5:$E$500="In Progress")+($E$5:$E$500="Captured"))*($D$5:$D$500&lt;&gt;""))&gt;0),-500,VLOOKUP($F100,Lists!$L$2:$M$4,2,FALSE)+IF($E100="In Progress",10,0)+IF(AND($I100&lt;&gt;"",$I100&lt;TODAY()),25,0)+IF(AND($I100&lt;&gt;"",$I100&gt;=TODAY(),$I100&lt;=TODAY()+7),15,0)+IF($H100="",0,IF($M100&lt;=VLOOKUP(Home!$C$7,Lists!$N$2:$O$6,2,FALSE),20,-10))+IF($G100=Home!$E$7,15,IF(Home!$E$7="",0,-5))-ROW()/100000)))</f>
        <v/>
      </c>
      <c r="O100" s="5">
        <f>IF($D100="","",IF($N100&lt;=-500,"Not recommended right now",IF($E100="Waiting","Nothing else actionable right now — Waiting on: "&amp;IF($K100="","this item",$K100),MID($V100,4,9999))))</f>
        <v/>
      </c>
      <c r="P100" s="5">
        <f>IF($D100="","",IF('Task Finder'!$C$6="High Priority",AND($F100="High",$E100&lt;&gt;"Done",$E100&lt;&gt;"Archive"),IF('Task Finder'!$C$6="Due This Week",AND($I100&lt;&gt;"",$I100&gt;=TODAY(),$I100&lt;=TODAY()+7,$E100&lt;&gt;"Done"),IF('Task Finder'!$C$6="Quick Wins (15 mins or less)",AND($M100&lt;=15,$E100&lt;&gt;"Done",$E100&lt;&gt;"Blocked"),IF('Task Finder'!$C$6="Deep Thinking",AND($G100="Deep Thinking",$E100&lt;&gt;"Done"),IF('Task Finder'!$C$6="Processing",AND($G100="Processing",$E100&lt;&gt;"Done"),IF('Task Finder'!$C$6="Blocked",$E100="Blocked",IF('Task Finder'!$C$6="Waiting",$E100="Waiting",IF('Task Finder'!$C$6="Recently Updated",AND($L100&lt;&gt;"",$L100&gt;=TODAY()-7),IF('Task Finder'!$C$6="Keyword",AND('Task Finder'!$C$7&lt;&gt;"",OR(ISNUMBER(SEARCH('Task Finder'!$C$7,$A100)),ISNUMBER(SEARCH('Task Finder'!$C$7,$B100)),ISNUMBER(SEARCH('Task Finder'!$C$7,$C100)),ISNUMBER(SEARCH('Task Finder'!$C$7,$D100)),ISNUMBER(SEARCH('Task Finder'!$C$7,$K100)))),TRUE))))))))))</f>
        <v/>
      </c>
      <c r="Q100" s="150">
        <f>IF($F100="High","High Priority","")</f>
        <v/>
      </c>
      <c r="R100" s="150">
        <f>IF(AND($I100&lt;&gt;"",$I100&lt;TODAY()),"Overdue","")</f>
        <v/>
      </c>
      <c r="S100" s="150">
        <f>IF(AND($I100&lt;&gt;"",$I100&gt;=TODAY(),$I100&lt;=TODAY()+7),"Due This Week","")</f>
        <v/>
      </c>
      <c r="T100" s="150">
        <f>IF(AND($H100&lt;&gt;"",$M100&lt;=VLOOKUP(Home!$C$7,Lists!$N$2:$O$6,2,FALSE)),$H100&amp;" Task","")</f>
        <v/>
      </c>
      <c r="U100" s="150">
        <f>IF($G100=Home!$E$7,"Fits Current Energy","")</f>
        <v/>
      </c>
      <c r="V100" s="150">
        <f>IF($Q100&lt;&gt;""," • "&amp;$Q100,"")&amp;IF($R100&lt;&gt;""," • "&amp;$R100,"")&amp;IF($S100&lt;&gt;""," • "&amp;$S100,"")&amp;IF($T100&lt;&gt;""," • "&amp;$T100,"")&amp;IF($U100&lt;&gt;""," • "&amp;$U100,"")&amp;" • No Blockers"</f>
        <v/>
      </c>
    </row>
    <row r="101">
      <c r="A101" s="19" t="n"/>
      <c r="B101" s="19" t="n"/>
      <c r="C101" s="19" t="n"/>
      <c r="D101" s="19" t="n"/>
      <c r="E101" s="19" t="n"/>
      <c r="F101" s="19" t="n"/>
      <c r="G101" s="19" t="n"/>
      <c r="H101" s="19" t="n"/>
      <c r="I101" s="19" t="n"/>
      <c r="J101" s="19" t="n"/>
      <c r="K101" s="19" t="n"/>
      <c r="L101" s="35" t="n"/>
      <c r="M101" s="5">
        <f>IF($D101="","",IFERROR(VLOOKUP($H101,Lists!$N$2:$O$6,2,FALSE),0))</f>
        <v/>
      </c>
      <c r="N101" s="5">
        <f>IF($D101="","",IF(OR($E101="Blocked",$E101="Done",$E101="Archive"),-9999,IF(AND($E101="Waiting",SUMPRODUCT((($E$5:$E$500="Next")+($E$5:$E$500="In Progress")+($E$5:$E$500="Captured"))*($D$5:$D$500&lt;&gt;""))&gt;0),-500,VLOOKUP($F101,Lists!$L$2:$M$4,2,FALSE)+IF($E101="In Progress",10,0)+IF(AND($I101&lt;&gt;"",$I101&lt;TODAY()),25,0)+IF(AND($I101&lt;&gt;"",$I101&gt;=TODAY(),$I101&lt;=TODAY()+7),15,0)+IF($H101="",0,IF($M101&lt;=VLOOKUP(Home!$C$7,Lists!$N$2:$O$6,2,FALSE),20,-10))+IF($G101=Home!$E$7,15,IF(Home!$E$7="",0,-5))-ROW()/100000)))</f>
        <v/>
      </c>
      <c r="O101" s="5">
        <f>IF($D101="","",IF($N101&lt;=-500,"Not recommended right now",IF($E101="Waiting","Nothing else actionable right now — Waiting on: "&amp;IF($K101="","this item",$K101),MID($V101,4,9999))))</f>
        <v/>
      </c>
      <c r="P101" s="5">
        <f>IF($D101="","",IF('Task Finder'!$C$6="High Priority",AND($F101="High",$E101&lt;&gt;"Done",$E101&lt;&gt;"Archive"),IF('Task Finder'!$C$6="Due This Week",AND($I101&lt;&gt;"",$I101&gt;=TODAY(),$I101&lt;=TODAY()+7,$E101&lt;&gt;"Done"),IF('Task Finder'!$C$6="Quick Wins (15 mins or less)",AND($M101&lt;=15,$E101&lt;&gt;"Done",$E101&lt;&gt;"Blocked"),IF('Task Finder'!$C$6="Deep Thinking",AND($G101="Deep Thinking",$E101&lt;&gt;"Done"),IF('Task Finder'!$C$6="Processing",AND($G101="Processing",$E101&lt;&gt;"Done"),IF('Task Finder'!$C$6="Blocked",$E101="Blocked",IF('Task Finder'!$C$6="Waiting",$E101="Waiting",IF('Task Finder'!$C$6="Recently Updated",AND($L101&lt;&gt;"",$L101&gt;=TODAY()-7),IF('Task Finder'!$C$6="Keyword",AND('Task Finder'!$C$7&lt;&gt;"",OR(ISNUMBER(SEARCH('Task Finder'!$C$7,$A101)),ISNUMBER(SEARCH('Task Finder'!$C$7,$B101)),ISNUMBER(SEARCH('Task Finder'!$C$7,$C101)),ISNUMBER(SEARCH('Task Finder'!$C$7,$D101)),ISNUMBER(SEARCH('Task Finder'!$C$7,$K101)))),TRUE))))))))))</f>
        <v/>
      </c>
      <c r="Q101" s="150">
        <f>IF($F101="High","High Priority","")</f>
        <v/>
      </c>
      <c r="R101" s="150">
        <f>IF(AND($I101&lt;&gt;"",$I101&lt;TODAY()),"Overdue","")</f>
        <v/>
      </c>
      <c r="S101" s="150">
        <f>IF(AND($I101&lt;&gt;"",$I101&gt;=TODAY(),$I101&lt;=TODAY()+7),"Due This Week","")</f>
        <v/>
      </c>
      <c r="T101" s="150">
        <f>IF(AND($H101&lt;&gt;"",$M101&lt;=VLOOKUP(Home!$C$7,Lists!$N$2:$O$6,2,FALSE)),$H101&amp;" Task","")</f>
        <v/>
      </c>
      <c r="U101" s="150">
        <f>IF($G101=Home!$E$7,"Fits Current Energy","")</f>
        <v/>
      </c>
      <c r="V101" s="150">
        <f>IF($Q101&lt;&gt;""," • "&amp;$Q101,"")&amp;IF($R101&lt;&gt;""," • "&amp;$R101,"")&amp;IF($S101&lt;&gt;""," • "&amp;$S101,"")&amp;IF($T101&lt;&gt;""," • "&amp;$T101,"")&amp;IF($U101&lt;&gt;""," • "&amp;$U101,"")&amp;" • No Blockers"</f>
        <v/>
      </c>
    </row>
    <row r="102">
      <c r="A102" s="19" t="n"/>
      <c r="B102" s="19" t="n"/>
      <c r="C102" s="19" t="n"/>
      <c r="D102" s="19" t="n"/>
      <c r="E102" s="19" t="n"/>
      <c r="F102" s="19" t="n"/>
      <c r="G102" s="19" t="n"/>
      <c r="H102" s="19" t="n"/>
      <c r="I102" s="19" t="n"/>
      <c r="J102" s="19" t="n"/>
      <c r="K102" s="19" t="n"/>
      <c r="L102" s="35" t="n"/>
      <c r="M102" s="5">
        <f>IF($D102="","",IFERROR(VLOOKUP($H102,Lists!$N$2:$O$6,2,FALSE),0))</f>
        <v/>
      </c>
      <c r="N102" s="5">
        <f>IF($D102="","",IF(OR($E102="Blocked",$E102="Done",$E102="Archive"),-9999,IF(AND($E102="Waiting",SUMPRODUCT((($E$5:$E$500="Next")+($E$5:$E$500="In Progress")+($E$5:$E$500="Captured"))*($D$5:$D$500&lt;&gt;""))&gt;0),-500,VLOOKUP($F102,Lists!$L$2:$M$4,2,FALSE)+IF($E102="In Progress",10,0)+IF(AND($I102&lt;&gt;"",$I102&lt;TODAY()),25,0)+IF(AND($I102&lt;&gt;"",$I102&gt;=TODAY(),$I102&lt;=TODAY()+7),15,0)+IF($H102="",0,IF($M102&lt;=VLOOKUP(Home!$C$7,Lists!$N$2:$O$6,2,FALSE),20,-10))+IF($G102=Home!$E$7,15,IF(Home!$E$7="",0,-5))-ROW()/100000)))</f>
        <v/>
      </c>
      <c r="O102" s="5">
        <f>IF($D102="","",IF($N102&lt;=-500,"Not recommended right now",IF($E102="Waiting","Nothing else actionable right now — Waiting on: "&amp;IF($K102="","this item",$K102),MID($V102,4,9999))))</f>
        <v/>
      </c>
      <c r="P102" s="5">
        <f>IF($D102="","",IF('Task Finder'!$C$6="High Priority",AND($F102="High",$E102&lt;&gt;"Done",$E102&lt;&gt;"Archive"),IF('Task Finder'!$C$6="Due This Week",AND($I102&lt;&gt;"",$I102&gt;=TODAY(),$I102&lt;=TODAY()+7,$E102&lt;&gt;"Done"),IF('Task Finder'!$C$6="Quick Wins (15 mins or less)",AND($M102&lt;=15,$E102&lt;&gt;"Done",$E102&lt;&gt;"Blocked"),IF('Task Finder'!$C$6="Deep Thinking",AND($G102="Deep Thinking",$E102&lt;&gt;"Done"),IF('Task Finder'!$C$6="Processing",AND($G102="Processing",$E102&lt;&gt;"Done"),IF('Task Finder'!$C$6="Blocked",$E102="Blocked",IF('Task Finder'!$C$6="Waiting",$E102="Waiting",IF('Task Finder'!$C$6="Recently Updated",AND($L102&lt;&gt;"",$L102&gt;=TODAY()-7),IF('Task Finder'!$C$6="Keyword",AND('Task Finder'!$C$7&lt;&gt;"",OR(ISNUMBER(SEARCH('Task Finder'!$C$7,$A102)),ISNUMBER(SEARCH('Task Finder'!$C$7,$B102)),ISNUMBER(SEARCH('Task Finder'!$C$7,$C102)),ISNUMBER(SEARCH('Task Finder'!$C$7,$D102)),ISNUMBER(SEARCH('Task Finder'!$C$7,$K102)))),TRUE))))))))))</f>
        <v/>
      </c>
      <c r="Q102" s="150">
        <f>IF($F102="High","High Priority","")</f>
        <v/>
      </c>
      <c r="R102" s="150">
        <f>IF(AND($I102&lt;&gt;"",$I102&lt;TODAY()),"Overdue","")</f>
        <v/>
      </c>
      <c r="S102" s="150">
        <f>IF(AND($I102&lt;&gt;"",$I102&gt;=TODAY(),$I102&lt;=TODAY()+7),"Due This Week","")</f>
        <v/>
      </c>
      <c r="T102" s="150">
        <f>IF(AND($H102&lt;&gt;"",$M102&lt;=VLOOKUP(Home!$C$7,Lists!$N$2:$O$6,2,FALSE)),$H102&amp;" Task","")</f>
        <v/>
      </c>
      <c r="U102" s="150">
        <f>IF($G102=Home!$E$7,"Fits Current Energy","")</f>
        <v/>
      </c>
      <c r="V102" s="150">
        <f>IF($Q102&lt;&gt;""," • "&amp;$Q102,"")&amp;IF($R102&lt;&gt;""," • "&amp;$R102,"")&amp;IF($S102&lt;&gt;""," • "&amp;$S102,"")&amp;IF($T102&lt;&gt;""," • "&amp;$T102,"")&amp;IF($U102&lt;&gt;""," • "&amp;$U102,"")&amp;" • No Blockers"</f>
        <v/>
      </c>
    </row>
    <row r="103">
      <c r="A103" s="19" t="n"/>
      <c r="B103" s="19" t="n"/>
      <c r="C103" s="19" t="n"/>
      <c r="D103" s="19" t="n"/>
      <c r="E103" s="19" t="n"/>
      <c r="F103" s="19" t="n"/>
      <c r="G103" s="19" t="n"/>
      <c r="H103" s="19" t="n"/>
      <c r="I103" s="19" t="n"/>
      <c r="J103" s="19" t="n"/>
      <c r="K103" s="19" t="n"/>
      <c r="L103" s="35" t="n"/>
      <c r="M103" s="5">
        <f>IF($D103="","",IFERROR(VLOOKUP($H103,Lists!$N$2:$O$6,2,FALSE),0))</f>
        <v/>
      </c>
      <c r="N103" s="5">
        <f>IF($D103="","",IF(OR($E103="Blocked",$E103="Done",$E103="Archive"),-9999,IF(AND($E103="Waiting",SUMPRODUCT((($E$5:$E$500="Next")+($E$5:$E$500="In Progress")+($E$5:$E$500="Captured"))*($D$5:$D$500&lt;&gt;""))&gt;0),-500,VLOOKUP($F103,Lists!$L$2:$M$4,2,FALSE)+IF($E103="In Progress",10,0)+IF(AND($I103&lt;&gt;"",$I103&lt;TODAY()),25,0)+IF(AND($I103&lt;&gt;"",$I103&gt;=TODAY(),$I103&lt;=TODAY()+7),15,0)+IF($H103="",0,IF($M103&lt;=VLOOKUP(Home!$C$7,Lists!$N$2:$O$6,2,FALSE),20,-10))+IF($G103=Home!$E$7,15,IF(Home!$E$7="",0,-5))-ROW()/100000)))</f>
        <v/>
      </c>
      <c r="O103" s="5">
        <f>IF($D103="","",IF($N103&lt;=-500,"Not recommended right now",IF($E103="Waiting","Nothing else actionable right now — Waiting on: "&amp;IF($K103="","this item",$K103),MID($V103,4,9999))))</f>
        <v/>
      </c>
      <c r="P103" s="5">
        <f>IF($D103="","",IF('Task Finder'!$C$6="High Priority",AND($F103="High",$E103&lt;&gt;"Done",$E103&lt;&gt;"Archive"),IF('Task Finder'!$C$6="Due This Week",AND($I103&lt;&gt;"",$I103&gt;=TODAY(),$I103&lt;=TODAY()+7,$E103&lt;&gt;"Done"),IF('Task Finder'!$C$6="Quick Wins (15 mins or less)",AND($M103&lt;=15,$E103&lt;&gt;"Done",$E103&lt;&gt;"Blocked"),IF('Task Finder'!$C$6="Deep Thinking",AND($G103="Deep Thinking",$E103&lt;&gt;"Done"),IF('Task Finder'!$C$6="Processing",AND($G103="Processing",$E103&lt;&gt;"Done"),IF('Task Finder'!$C$6="Blocked",$E103="Blocked",IF('Task Finder'!$C$6="Waiting",$E103="Waiting",IF('Task Finder'!$C$6="Recently Updated",AND($L103&lt;&gt;"",$L103&gt;=TODAY()-7),IF('Task Finder'!$C$6="Keyword",AND('Task Finder'!$C$7&lt;&gt;"",OR(ISNUMBER(SEARCH('Task Finder'!$C$7,$A103)),ISNUMBER(SEARCH('Task Finder'!$C$7,$B103)),ISNUMBER(SEARCH('Task Finder'!$C$7,$C103)),ISNUMBER(SEARCH('Task Finder'!$C$7,$D103)),ISNUMBER(SEARCH('Task Finder'!$C$7,$K103)))),TRUE))))))))))</f>
        <v/>
      </c>
      <c r="Q103" s="150">
        <f>IF($F103="High","High Priority","")</f>
        <v/>
      </c>
      <c r="R103" s="150">
        <f>IF(AND($I103&lt;&gt;"",$I103&lt;TODAY()),"Overdue","")</f>
        <v/>
      </c>
      <c r="S103" s="150">
        <f>IF(AND($I103&lt;&gt;"",$I103&gt;=TODAY(),$I103&lt;=TODAY()+7),"Due This Week","")</f>
        <v/>
      </c>
      <c r="T103" s="150">
        <f>IF(AND($H103&lt;&gt;"",$M103&lt;=VLOOKUP(Home!$C$7,Lists!$N$2:$O$6,2,FALSE)),$H103&amp;" Task","")</f>
        <v/>
      </c>
      <c r="U103" s="150">
        <f>IF($G103=Home!$E$7,"Fits Current Energy","")</f>
        <v/>
      </c>
      <c r="V103" s="150">
        <f>IF($Q103&lt;&gt;""," • "&amp;$Q103,"")&amp;IF($R103&lt;&gt;""," • "&amp;$R103,"")&amp;IF($S103&lt;&gt;""," • "&amp;$S103,"")&amp;IF($T103&lt;&gt;""," • "&amp;$T103,"")&amp;IF($U103&lt;&gt;""," • "&amp;$U103,"")&amp;" • No Blockers"</f>
        <v/>
      </c>
    </row>
    <row r="104">
      <c r="A104" s="19" t="n"/>
      <c r="B104" s="19" t="n"/>
      <c r="C104" s="19" t="n"/>
      <c r="D104" s="19" t="n"/>
      <c r="E104" s="19" t="n"/>
      <c r="F104" s="19" t="n"/>
      <c r="G104" s="19" t="n"/>
      <c r="H104" s="19" t="n"/>
      <c r="I104" s="19" t="n"/>
      <c r="J104" s="19" t="n"/>
      <c r="K104" s="19" t="n"/>
      <c r="L104" s="35" t="n"/>
      <c r="M104" s="5">
        <f>IF($D104="","",IFERROR(VLOOKUP($H104,Lists!$N$2:$O$6,2,FALSE),0))</f>
        <v/>
      </c>
      <c r="N104" s="5">
        <f>IF($D104="","",IF(OR($E104="Blocked",$E104="Done",$E104="Archive"),-9999,IF(AND($E104="Waiting",SUMPRODUCT((($E$5:$E$500="Next")+($E$5:$E$500="In Progress")+($E$5:$E$500="Captured"))*($D$5:$D$500&lt;&gt;""))&gt;0),-500,VLOOKUP($F104,Lists!$L$2:$M$4,2,FALSE)+IF($E104="In Progress",10,0)+IF(AND($I104&lt;&gt;"",$I104&lt;TODAY()),25,0)+IF(AND($I104&lt;&gt;"",$I104&gt;=TODAY(),$I104&lt;=TODAY()+7),15,0)+IF($H104="",0,IF($M104&lt;=VLOOKUP(Home!$C$7,Lists!$N$2:$O$6,2,FALSE),20,-10))+IF($G104=Home!$E$7,15,IF(Home!$E$7="",0,-5))-ROW()/100000)))</f>
        <v/>
      </c>
      <c r="O104" s="5">
        <f>IF($D104="","",IF($N104&lt;=-500,"Not recommended right now",IF($E104="Waiting","Nothing else actionable right now — Waiting on: "&amp;IF($K104="","this item",$K104),MID($V104,4,9999))))</f>
        <v/>
      </c>
      <c r="P104" s="5">
        <f>IF($D104="","",IF('Task Finder'!$C$6="High Priority",AND($F104="High",$E104&lt;&gt;"Done",$E104&lt;&gt;"Archive"),IF('Task Finder'!$C$6="Due This Week",AND($I104&lt;&gt;"",$I104&gt;=TODAY(),$I104&lt;=TODAY()+7,$E104&lt;&gt;"Done"),IF('Task Finder'!$C$6="Quick Wins (15 mins or less)",AND($M104&lt;=15,$E104&lt;&gt;"Done",$E104&lt;&gt;"Blocked"),IF('Task Finder'!$C$6="Deep Thinking",AND($G104="Deep Thinking",$E104&lt;&gt;"Done"),IF('Task Finder'!$C$6="Processing",AND($G104="Processing",$E104&lt;&gt;"Done"),IF('Task Finder'!$C$6="Blocked",$E104="Blocked",IF('Task Finder'!$C$6="Waiting",$E104="Waiting",IF('Task Finder'!$C$6="Recently Updated",AND($L104&lt;&gt;"",$L104&gt;=TODAY()-7),IF('Task Finder'!$C$6="Keyword",AND('Task Finder'!$C$7&lt;&gt;"",OR(ISNUMBER(SEARCH('Task Finder'!$C$7,$A104)),ISNUMBER(SEARCH('Task Finder'!$C$7,$B104)),ISNUMBER(SEARCH('Task Finder'!$C$7,$C104)),ISNUMBER(SEARCH('Task Finder'!$C$7,$D104)),ISNUMBER(SEARCH('Task Finder'!$C$7,$K104)))),TRUE))))))))))</f>
        <v/>
      </c>
      <c r="Q104" s="150">
        <f>IF($F104="High","High Priority","")</f>
        <v/>
      </c>
      <c r="R104" s="150">
        <f>IF(AND($I104&lt;&gt;"",$I104&lt;TODAY()),"Overdue","")</f>
        <v/>
      </c>
      <c r="S104" s="150">
        <f>IF(AND($I104&lt;&gt;"",$I104&gt;=TODAY(),$I104&lt;=TODAY()+7),"Due This Week","")</f>
        <v/>
      </c>
      <c r="T104" s="150">
        <f>IF(AND($H104&lt;&gt;"",$M104&lt;=VLOOKUP(Home!$C$7,Lists!$N$2:$O$6,2,FALSE)),$H104&amp;" Task","")</f>
        <v/>
      </c>
      <c r="U104" s="150">
        <f>IF($G104=Home!$E$7,"Fits Current Energy","")</f>
        <v/>
      </c>
      <c r="V104" s="150">
        <f>IF($Q104&lt;&gt;""," • "&amp;$Q104,"")&amp;IF($R104&lt;&gt;""," • "&amp;$R104,"")&amp;IF($S104&lt;&gt;""," • "&amp;$S104,"")&amp;IF($T104&lt;&gt;""," • "&amp;$T104,"")&amp;IF($U104&lt;&gt;""," • "&amp;$U104,"")&amp;" • No Blockers"</f>
        <v/>
      </c>
    </row>
    <row r="105">
      <c r="A105" s="19" t="n"/>
      <c r="B105" s="19" t="n"/>
      <c r="C105" s="19" t="n"/>
      <c r="D105" s="19" t="n"/>
      <c r="E105" s="19" t="n"/>
      <c r="F105" s="19" t="n"/>
      <c r="G105" s="19" t="n"/>
      <c r="H105" s="19" t="n"/>
      <c r="I105" s="19" t="n"/>
      <c r="J105" s="19" t="n"/>
      <c r="K105" s="19" t="n"/>
      <c r="L105" s="35" t="n"/>
      <c r="M105" s="5">
        <f>IF($D105="","",IFERROR(VLOOKUP($H105,Lists!$N$2:$O$6,2,FALSE),0))</f>
        <v/>
      </c>
      <c r="N105" s="5">
        <f>IF($D105="","",IF(OR($E105="Blocked",$E105="Done",$E105="Archive"),-9999,IF(AND($E105="Waiting",SUMPRODUCT((($E$5:$E$500="Next")+($E$5:$E$500="In Progress")+($E$5:$E$500="Captured"))*($D$5:$D$500&lt;&gt;""))&gt;0),-500,VLOOKUP($F105,Lists!$L$2:$M$4,2,FALSE)+IF($E105="In Progress",10,0)+IF(AND($I105&lt;&gt;"",$I105&lt;TODAY()),25,0)+IF(AND($I105&lt;&gt;"",$I105&gt;=TODAY(),$I105&lt;=TODAY()+7),15,0)+IF($H105="",0,IF($M105&lt;=VLOOKUP(Home!$C$7,Lists!$N$2:$O$6,2,FALSE),20,-10))+IF($G105=Home!$E$7,15,IF(Home!$E$7="",0,-5))-ROW()/100000)))</f>
        <v/>
      </c>
      <c r="O105" s="5">
        <f>IF($D105="","",IF($N105&lt;=-500,"Not recommended right now",IF($E105="Waiting","Nothing else actionable right now — Waiting on: "&amp;IF($K105="","this item",$K105),MID($V105,4,9999))))</f>
        <v/>
      </c>
      <c r="P105" s="5">
        <f>IF($D105="","",IF('Task Finder'!$C$6="High Priority",AND($F105="High",$E105&lt;&gt;"Done",$E105&lt;&gt;"Archive"),IF('Task Finder'!$C$6="Due This Week",AND($I105&lt;&gt;"",$I105&gt;=TODAY(),$I105&lt;=TODAY()+7,$E105&lt;&gt;"Done"),IF('Task Finder'!$C$6="Quick Wins (15 mins or less)",AND($M105&lt;=15,$E105&lt;&gt;"Done",$E105&lt;&gt;"Blocked"),IF('Task Finder'!$C$6="Deep Thinking",AND($G105="Deep Thinking",$E105&lt;&gt;"Done"),IF('Task Finder'!$C$6="Processing",AND($G105="Processing",$E105&lt;&gt;"Done"),IF('Task Finder'!$C$6="Blocked",$E105="Blocked",IF('Task Finder'!$C$6="Waiting",$E105="Waiting",IF('Task Finder'!$C$6="Recently Updated",AND($L105&lt;&gt;"",$L105&gt;=TODAY()-7),IF('Task Finder'!$C$6="Keyword",AND('Task Finder'!$C$7&lt;&gt;"",OR(ISNUMBER(SEARCH('Task Finder'!$C$7,$A105)),ISNUMBER(SEARCH('Task Finder'!$C$7,$B105)),ISNUMBER(SEARCH('Task Finder'!$C$7,$C105)),ISNUMBER(SEARCH('Task Finder'!$C$7,$D105)),ISNUMBER(SEARCH('Task Finder'!$C$7,$K105)))),TRUE))))))))))</f>
        <v/>
      </c>
      <c r="Q105" s="150">
        <f>IF($F105="High","High Priority","")</f>
        <v/>
      </c>
      <c r="R105" s="150">
        <f>IF(AND($I105&lt;&gt;"",$I105&lt;TODAY()),"Overdue","")</f>
        <v/>
      </c>
      <c r="S105" s="150">
        <f>IF(AND($I105&lt;&gt;"",$I105&gt;=TODAY(),$I105&lt;=TODAY()+7),"Due This Week","")</f>
        <v/>
      </c>
      <c r="T105" s="150">
        <f>IF(AND($H105&lt;&gt;"",$M105&lt;=VLOOKUP(Home!$C$7,Lists!$N$2:$O$6,2,FALSE)),$H105&amp;" Task","")</f>
        <v/>
      </c>
      <c r="U105" s="150">
        <f>IF($G105=Home!$E$7,"Fits Current Energy","")</f>
        <v/>
      </c>
      <c r="V105" s="150">
        <f>IF($Q105&lt;&gt;""," • "&amp;$Q105,"")&amp;IF($R105&lt;&gt;""," • "&amp;$R105,"")&amp;IF($S105&lt;&gt;""," • "&amp;$S105,"")&amp;IF($T105&lt;&gt;""," • "&amp;$T105,"")&amp;IF($U105&lt;&gt;""," • "&amp;$U105,"")&amp;" • No Blockers"</f>
        <v/>
      </c>
    </row>
    <row r="106">
      <c r="A106" s="19" t="n"/>
      <c r="B106" s="19" t="n"/>
      <c r="C106" s="19" t="n"/>
      <c r="D106" s="19" t="n"/>
      <c r="E106" s="19" t="n"/>
      <c r="F106" s="19" t="n"/>
      <c r="G106" s="19" t="n"/>
      <c r="H106" s="19" t="n"/>
      <c r="I106" s="19" t="n"/>
      <c r="J106" s="19" t="n"/>
      <c r="K106" s="19" t="n"/>
      <c r="L106" s="35" t="n"/>
      <c r="M106" s="5">
        <f>IF($D106="","",IFERROR(VLOOKUP($H106,Lists!$N$2:$O$6,2,FALSE),0))</f>
        <v/>
      </c>
      <c r="N106" s="5">
        <f>IF($D106="","",IF(OR($E106="Blocked",$E106="Done",$E106="Archive"),-9999,IF(AND($E106="Waiting",SUMPRODUCT((($E$5:$E$500="Next")+($E$5:$E$500="In Progress")+($E$5:$E$500="Captured"))*($D$5:$D$500&lt;&gt;""))&gt;0),-500,VLOOKUP($F106,Lists!$L$2:$M$4,2,FALSE)+IF($E106="In Progress",10,0)+IF(AND($I106&lt;&gt;"",$I106&lt;TODAY()),25,0)+IF(AND($I106&lt;&gt;"",$I106&gt;=TODAY(),$I106&lt;=TODAY()+7),15,0)+IF($H106="",0,IF($M106&lt;=VLOOKUP(Home!$C$7,Lists!$N$2:$O$6,2,FALSE),20,-10))+IF($G106=Home!$E$7,15,IF(Home!$E$7="",0,-5))-ROW()/100000)))</f>
        <v/>
      </c>
      <c r="O106" s="5">
        <f>IF($D106="","",IF($N106&lt;=-500,"Not recommended right now",IF($E106="Waiting","Nothing else actionable right now — Waiting on: "&amp;IF($K106="","this item",$K106),MID($V106,4,9999))))</f>
        <v/>
      </c>
      <c r="P106" s="5">
        <f>IF($D106="","",IF('Task Finder'!$C$6="High Priority",AND($F106="High",$E106&lt;&gt;"Done",$E106&lt;&gt;"Archive"),IF('Task Finder'!$C$6="Due This Week",AND($I106&lt;&gt;"",$I106&gt;=TODAY(),$I106&lt;=TODAY()+7,$E106&lt;&gt;"Done"),IF('Task Finder'!$C$6="Quick Wins (15 mins or less)",AND($M106&lt;=15,$E106&lt;&gt;"Done",$E106&lt;&gt;"Blocked"),IF('Task Finder'!$C$6="Deep Thinking",AND($G106="Deep Thinking",$E106&lt;&gt;"Done"),IF('Task Finder'!$C$6="Processing",AND($G106="Processing",$E106&lt;&gt;"Done"),IF('Task Finder'!$C$6="Blocked",$E106="Blocked",IF('Task Finder'!$C$6="Waiting",$E106="Waiting",IF('Task Finder'!$C$6="Recently Updated",AND($L106&lt;&gt;"",$L106&gt;=TODAY()-7),IF('Task Finder'!$C$6="Keyword",AND('Task Finder'!$C$7&lt;&gt;"",OR(ISNUMBER(SEARCH('Task Finder'!$C$7,$A106)),ISNUMBER(SEARCH('Task Finder'!$C$7,$B106)),ISNUMBER(SEARCH('Task Finder'!$C$7,$C106)),ISNUMBER(SEARCH('Task Finder'!$C$7,$D106)),ISNUMBER(SEARCH('Task Finder'!$C$7,$K106)))),TRUE))))))))))</f>
        <v/>
      </c>
      <c r="Q106" s="150">
        <f>IF($F106="High","High Priority","")</f>
        <v/>
      </c>
      <c r="R106" s="150">
        <f>IF(AND($I106&lt;&gt;"",$I106&lt;TODAY()),"Overdue","")</f>
        <v/>
      </c>
      <c r="S106" s="150">
        <f>IF(AND($I106&lt;&gt;"",$I106&gt;=TODAY(),$I106&lt;=TODAY()+7),"Due This Week","")</f>
        <v/>
      </c>
      <c r="T106" s="150">
        <f>IF(AND($H106&lt;&gt;"",$M106&lt;=VLOOKUP(Home!$C$7,Lists!$N$2:$O$6,2,FALSE)),$H106&amp;" Task","")</f>
        <v/>
      </c>
      <c r="U106" s="150">
        <f>IF($G106=Home!$E$7,"Fits Current Energy","")</f>
        <v/>
      </c>
      <c r="V106" s="150">
        <f>IF($Q106&lt;&gt;""," • "&amp;$Q106,"")&amp;IF($R106&lt;&gt;""," • "&amp;$R106,"")&amp;IF($S106&lt;&gt;""," • "&amp;$S106,"")&amp;IF($T106&lt;&gt;""," • "&amp;$T106,"")&amp;IF($U106&lt;&gt;""," • "&amp;$U106,"")&amp;" • No Blockers"</f>
        <v/>
      </c>
    </row>
    <row r="107">
      <c r="A107" s="19" t="n"/>
      <c r="B107" s="19" t="n"/>
      <c r="C107" s="19" t="n"/>
      <c r="D107" s="19" t="n"/>
      <c r="E107" s="19" t="n"/>
      <c r="F107" s="19" t="n"/>
      <c r="G107" s="19" t="n"/>
      <c r="H107" s="19" t="n"/>
      <c r="I107" s="19" t="n"/>
      <c r="J107" s="19" t="n"/>
      <c r="K107" s="19" t="n"/>
      <c r="L107" s="35" t="n"/>
      <c r="M107" s="5">
        <f>IF($D107="","",IFERROR(VLOOKUP($H107,Lists!$N$2:$O$6,2,FALSE),0))</f>
        <v/>
      </c>
      <c r="N107" s="5">
        <f>IF($D107="","",IF(OR($E107="Blocked",$E107="Done",$E107="Archive"),-9999,IF(AND($E107="Waiting",SUMPRODUCT((($E$5:$E$500="Next")+($E$5:$E$500="In Progress")+($E$5:$E$500="Captured"))*($D$5:$D$500&lt;&gt;""))&gt;0),-500,VLOOKUP($F107,Lists!$L$2:$M$4,2,FALSE)+IF($E107="In Progress",10,0)+IF(AND($I107&lt;&gt;"",$I107&lt;TODAY()),25,0)+IF(AND($I107&lt;&gt;"",$I107&gt;=TODAY(),$I107&lt;=TODAY()+7),15,0)+IF($H107="",0,IF($M107&lt;=VLOOKUP(Home!$C$7,Lists!$N$2:$O$6,2,FALSE),20,-10))+IF($G107=Home!$E$7,15,IF(Home!$E$7="",0,-5))-ROW()/100000)))</f>
        <v/>
      </c>
      <c r="O107" s="5">
        <f>IF($D107="","",IF($N107&lt;=-500,"Not recommended right now",IF($E107="Waiting","Nothing else actionable right now — Waiting on: "&amp;IF($K107="","this item",$K107),MID($V107,4,9999))))</f>
        <v/>
      </c>
      <c r="P107" s="5">
        <f>IF($D107="","",IF('Task Finder'!$C$6="High Priority",AND($F107="High",$E107&lt;&gt;"Done",$E107&lt;&gt;"Archive"),IF('Task Finder'!$C$6="Due This Week",AND($I107&lt;&gt;"",$I107&gt;=TODAY(),$I107&lt;=TODAY()+7,$E107&lt;&gt;"Done"),IF('Task Finder'!$C$6="Quick Wins (15 mins or less)",AND($M107&lt;=15,$E107&lt;&gt;"Done",$E107&lt;&gt;"Blocked"),IF('Task Finder'!$C$6="Deep Thinking",AND($G107="Deep Thinking",$E107&lt;&gt;"Done"),IF('Task Finder'!$C$6="Processing",AND($G107="Processing",$E107&lt;&gt;"Done"),IF('Task Finder'!$C$6="Blocked",$E107="Blocked",IF('Task Finder'!$C$6="Waiting",$E107="Waiting",IF('Task Finder'!$C$6="Recently Updated",AND($L107&lt;&gt;"",$L107&gt;=TODAY()-7),IF('Task Finder'!$C$6="Keyword",AND('Task Finder'!$C$7&lt;&gt;"",OR(ISNUMBER(SEARCH('Task Finder'!$C$7,$A107)),ISNUMBER(SEARCH('Task Finder'!$C$7,$B107)),ISNUMBER(SEARCH('Task Finder'!$C$7,$C107)),ISNUMBER(SEARCH('Task Finder'!$C$7,$D107)),ISNUMBER(SEARCH('Task Finder'!$C$7,$K107)))),TRUE))))))))))</f>
        <v/>
      </c>
      <c r="Q107" s="150">
        <f>IF($F107="High","High Priority","")</f>
        <v/>
      </c>
      <c r="R107" s="150">
        <f>IF(AND($I107&lt;&gt;"",$I107&lt;TODAY()),"Overdue","")</f>
        <v/>
      </c>
      <c r="S107" s="150">
        <f>IF(AND($I107&lt;&gt;"",$I107&gt;=TODAY(),$I107&lt;=TODAY()+7),"Due This Week","")</f>
        <v/>
      </c>
      <c r="T107" s="150">
        <f>IF(AND($H107&lt;&gt;"",$M107&lt;=VLOOKUP(Home!$C$7,Lists!$N$2:$O$6,2,FALSE)),$H107&amp;" Task","")</f>
        <v/>
      </c>
      <c r="U107" s="150">
        <f>IF($G107=Home!$E$7,"Fits Current Energy","")</f>
        <v/>
      </c>
      <c r="V107" s="150">
        <f>IF($Q107&lt;&gt;""," • "&amp;$Q107,"")&amp;IF($R107&lt;&gt;""," • "&amp;$R107,"")&amp;IF($S107&lt;&gt;""," • "&amp;$S107,"")&amp;IF($T107&lt;&gt;""," • "&amp;$T107,"")&amp;IF($U107&lt;&gt;""," • "&amp;$U107,"")&amp;" • No Blockers"</f>
        <v/>
      </c>
    </row>
    <row r="108">
      <c r="A108" s="19" t="n"/>
      <c r="B108" s="19" t="n"/>
      <c r="C108" s="19" t="n"/>
      <c r="D108" s="19" t="n"/>
      <c r="E108" s="19" t="n"/>
      <c r="F108" s="19" t="n"/>
      <c r="G108" s="19" t="n"/>
      <c r="H108" s="19" t="n"/>
      <c r="I108" s="19" t="n"/>
      <c r="J108" s="19" t="n"/>
      <c r="K108" s="19" t="n"/>
      <c r="L108" s="35" t="n"/>
      <c r="M108" s="5">
        <f>IF($D108="","",IFERROR(VLOOKUP($H108,Lists!$N$2:$O$6,2,FALSE),0))</f>
        <v/>
      </c>
      <c r="N108" s="5">
        <f>IF($D108="","",IF(OR($E108="Blocked",$E108="Done",$E108="Archive"),-9999,IF(AND($E108="Waiting",SUMPRODUCT((($E$5:$E$500="Next")+($E$5:$E$500="In Progress")+($E$5:$E$500="Captured"))*($D$5:$D$500&lt;&gt;""))&gt;0),-500,VLOOKUP($F108,Lists!$L$2:$M$4,2,FALSE)+IF($E108="In Progress",10,0)+IF(AND($I108&lt;&gt;"",$I108&lt;TODAY()),25,0)+IF(AND($I108&lt;&gt;"",$I108&gt;=TODAY(),$I108&lt;=TODAY()+7),15,0)+IF($H108="",0,IF($M108&lt;=VLOOKUP(Home!$C$7,Lists!$N$2:$O$6,2,FALSE),20,-10))+IF($G108=Home!$E$7,15,IF(Home!$E$7="",0,-5))-ROW()/100000)))</f>
        <v/>
      </c>
      <c r="O108" s="5">
        <f>IF($D108="","",IF($N108&lt;=-500,"Not recommended right now",IF($E108="Waiting","Nothing else actionable right now — Waiting on: "&amp;IF($K108="","this item",$K108),MID($V108,4,9999))))</f>
        <v/>
      </c>
      <c r="P108" s="5">
        <f>IF($D108="","",IF('Task Finder'!$C$6="High Priority",AND($F108="High",$E108&lt;&gt;"Done",$E108&lt;&gt;"Archive"),IF('Task Finder'!$C$6="Due This Week",AND($I108&lt;&gt;"",$I108&gt;=TODAY(),$I108&lt;=TODAY()+7,$E108&lt;&gt;"Done"),IF('Task Finder'!$C$6="Quick Wins (15 mins or less)",AND($M108&lt;=15,$E108&lt;&gt;"Done",$E108&lt;&gt;"Blocked"),IF('Task Finder'!$C$6="Deep Thinking",AND($G108="Deep Thinking",$E108&lt;&gt;"Done"),IF('Task Finder'!$C$6="Processing",AND($G108="Processing",$E108&lt;&gt;"Done"),IF('Task Finder'!$C$6="Blocked",$E108="Blocked",IF('Task Finder'!$C$6="Waiting",$E108="Waiting",IF('Task Finder'!$C$6="Recently Updated",AND($L108&lt;&gt;"",$L108&gt;=TODAY()-7),IF('Task Finder'!$C$6="Keyword",AND('Task Finder'!$C$7&lt;&gt;"",OR(ISNUMBER(SEARCH('Task Finder'!$C$7,$A108)),ISNUMBER(SEARCH('Task Finder'!$C$7,$B108)),ISNUMBER(SEARCH('Task Finder'!$C$7,$C108)),ISNUMBER(SEARCH('Task Finder'!$C$7,$D108)),ISNUMBER(SEARCH('Task Finder'!$C$7,$K108)))),TRUE))))))))))</f>
        <v/>
      </c>
      <c r="Q108" s="150">
        <f>IF($F108="High","High Priority","")</f>
        <v/>
      </c>
      <c r="R108" s="150">
        <f>IF(AND($I108&lt;&gt;"",$I108&lt;TODAY()),"Overdue","")</f>
        <v/>
      </c>
      <c r="S108" s="150">
        <f>IF(AND($I108&lt;&gt;"",$I108&gt;=TODAY(),$I108&lt;=TODAY()+7),"Due This Week","")</f>
        <v/>
      </c>
      <c r="T108" s="150">
        <f>IF(AND($H108&lt;&gt;"",$M108&lt;=VLOOKUP(Home!$C$7,Lists!$N$2:$O$6,2,FALSE)),$H108&amp;" Task","")</f>
        <v/>
      </c>
      <c r="U108" s="150">
        <f>IF($G108=Home!$E$7,"Fits Current Energy","")</f>
        <v/>
      </c>
      <c r="V108" s="150">
        <f>IF($Q108&lt;&gt;""," • "&amp;$Q108,"")&amp;IF($R108&lt;&gt;""," • "&amp;$R108,"")&amp;IF($S108&lt;&gt;""," • "&amp;$S108,"")&amp;IF($T108&lt;&gt;""," • "&amp;$T108,"")&amp;IF($U108&lt;&gt;""," • "&amp;$U108,"")&amp;" • No Blockers"</f>
        <v/>
      </c>
    </row>
    <row r="109">
      <c r="A109" s="19" t="n"/>
      <c r="B109" s="19" t="n"/>
      <c r="C109" s="19" t="n"/>
      <c r="D109" s="19" t="n"/>
      <c r="E109" s="19" t="n"/>
      <c r="F109" s="19" t="n"/>
      <c r="G109" s="19" t="n"/>
      <c r="H109" s="19" t="n"/>
      <c r="I109" s="19" t="n"/>
      <c r="J109" s="19" t="n"/>
      <c r="K109" s="19" t="n"/>
      <c r="L109" s="35" t="n"/>
      <c r="M109" s="5">
        <f>IF($D109="","",IFERROR(VLOOKUP($H109,Lists!$N$2:$O$6,2,FALSE),0))</f>
        <v/>
      </c>
      <c r="N109" s="5">
        <f>IF($D109="","",IF(OR($E109="Blocked",$E109="Done",$E109="Archive"),-9999,IF(AND($E109="Waiting",SUMPRODUCT((($E$5:$E$500="Next")+($E$5:$E$500="In Progress")+($E$5:$E$500="Captured"))*($D$5:$D$500&lt;&gt;""))&gt;0),-500,VLOOKUP($F109,Lists!$L$2:$M$4,2,FALSE)+IF($E109="In Progress",10,0)+IF(AND($I109&lt;&gt;"",$I109&lt;TODAY()),25,0)+IF(AND($I109&lt;&gt;"",$I109&gt;=TODAY(),$I109&lt;=TODAY()+7),15,0)+IF($H109="",0,IF($M109&lt;=VLOOKUP(Home!$C$7,Lists!$N$2:$O$6,2,FALSE),20,-10))+IF($G109=Home!$E$7,15,IF(Home!$E$7="",0,-5))-ROW()/100000)))</f>
        <v/>
      </c>
      <c r="O109" s="5">
        <f>IF($D109="","",IF($N109&lt;=-500,"Not recommended right now",IF($E109="Waiting","Nothing else actionable right now — Waiting on: "&amp;IF($K109="","this item",$K109),MID($V109,4,9999))))</f>
        <v/>
      </c>
      <c r="P109" s="5">
        <f>IF($D109="","",IF('Task Finder'!$C$6="High Priority",AND($F109="High",$E109&lt;&gt;"Done",$E109&lt;&gt;"Archive"),IF('Task Finder'!$C$6="Due This Week",AND($I109&lt;&gt;"",$I109&gt;=TODAY(),$I109&lt;=TODAY()+7,$E109&lt;&gt;"Done"),IF('Task Finder'!$C$6="Quick Wins (15 mins or less)",AND($M109&lt;=15,$E109&lt;&gt;"Done",$E109&lt;&gt;"Blocked"),IF('Task Finder'!$C$6="Deep Thinking",AND($G109="Deep Thinking",$E109&lt;&gt;"Done"),IF('Task Finder'!$C$6="Processing",AND($G109="Processing",$E109&lt;&gt;"Done"),IF('Task Finder'!$C$6="Blocked",$E109="Blocked",IF('Task Finder'!$C$6="Waiting",$E109="Waiting",IF('Task Finder'!$C$6="Recently Updated",AND($L109&lt;&gt;"",$L109&gt;=TODAY()-7),IF('Task Finder'!$C$6="Keyword",AND('Task Finder'!$C$7&lt;&gt;"",OR(ISNUMBER(SEARCH('Task Finder'!$C$7,$A109)),ISNUMBER(SEARCH('Task Finder'!$C$7,$B109)),ISNUMBER(SEARCH('Task Finder'!$C$7,$C109)),ISNUMBER(SEARCH('Task Finder'!$C$7,$D109)),ISNUMBER(SEARCH('Task Finder'!$C$7,$K109)))),TRUE))))))))))</f>
        <v/>
      </c>
      <c r="Q109" s="150">
        <f>IF($F109="High","High Priority","")</f>
        <v/>
      </c>
      <c r="R109" s="150">
        <f>IF(AND($I109&lt;&gt;"",$I109&lt;TODAY()),"Overdue","")</f>
        <v/>
      </c>
      <c r="S109" s="150">
        <f>IF(AND($I109&lt;&gt;"",$I109&gt;=TODAY(),$I109&lt;=TODAY()+7),"Due This Week","")</f>
        <v/>
      </c>
      <c r="T109" s="150">
        <f>IF(AND($H109&lt;&gt;"",$M109&lt;=VLOOKUP(Home!$C$7,Lists!$N$2:$O$6,2,FALSE)),$H109&amp;" Task","")</f>
        <v/>
      </c>
      <c r="U109" s="150">
        <f>IF($G109=Home!$E$7,"Fits Current Energy","")</f>
        <v/>
      </c>
      <c r="V109" s="150">
        <f>IF($Q109&lt;&gt;""," • "&amp;$Q109,"")&amp;IF($R109&lt;&gt;""," • "&amp;$R109,"")&amp;IF($S109&lt;&gt;""," • "&amp;$S109,"")&amp;IF($T109&lt;&gt;""," • "&amp;$T109,"")&amp;IF($U109&lt;&gt;""," • "&amp;$U109,"")&amp;" • No Blockers"</f>
        <v/>
      </c>
    </row>
    <row r="110">
      <c r="A110" s="19" t="n"/>
      <c r="B110" s="19" t="n"/>
      <c r="C110" s="19" t="n"/>
      <c r="D110" s="19" t="n"/>
      <c r="E110" s="19" t="n"/>
      <c r="F110" s="19" t="n"/>
      <c r="G110" s="19" t="n"/>
      <c r="H110" s="19" t="n"/>
      <c r="I110" s="19" t="n"/>
      <c r="J110" s="19" t="n"/>
      <c r="K110" s="19" t="n"/>
      <c r="L110" s="35" t="n"/>
      <c r="M110" s="5">
        <f>IF($D110="","",IFERROR(VLOOKUP($H110,Lists!$N$2:$O$6,2,FALSE),0))</f>
        <v/>
      </c>
      <c r="N110" s="5">
        <f>IF($D110="","",IF(OR($E110="Blocked",$E110="Done",$E110="Archive"),-9999,IF(AND($E110="Waiting",SUMPRODUCT((($E$5:$E$500="Next")+($E$5:$E$500="In Progress")+($E$5:$E$500="Captured"))*($D$5:$D$500&lt;&gt;""))&gt;0),-500,VLOOKUP($F110,Lists!$L$2:$M$4,2,FALSE)+IF($E110="In Progress",10,0)+IF(AND($I110&lt;&gt;"",$I110&lt;TODAY()),25,0)+IF(AND($I110&lt;&gt;"",$I110&gt;=TODAY(),$I110&lt;=TODAY()+7),15,0)+IF($H110="",0,IF($M110&lt;=VLOOKUP(Home!$C$7,Lists!$N$2:$O$6,2,FALSE),20,-10))+IF($G110=Home!$E$7,15,IF(Home!$E$7="",0,-5))-ROW()/100000)))</f>
        <v/>
      </c>
      <c r="O110" s="5">
        <f>IF($D110="","",IF($N110&lt;=-500,"Not recommended right now",IF($E110="Waiting","Nothing else actionable right now — Waiting on: "&amp;IF($K110="","this item",$K110),MID($V110,4,9999))))</f>
        <v/>
      </c>
      <c r="P110" s="5">
        <f>IF($D110="","",IF('Task Finder'!$C$6="High Priority",AND($F110="High",$E110&lt;&gt;"Done",$E110&lt;&gt;"Archive"),IF('Task Finder'!$C$6="Due This Week",AND($I110&lt;&gt;"",$I110&gt;=TODAY(),$I110&lt;=TODAY()+7,$E110&lt;&gt;"Done"),IF('Task Finder'!$C$6="Quick Wins (15 mins or less)",AND($M110&lt;=15,$E110&lt;&gt;"Done",$E110&lt;&gt;"Blocked"),IF('Task Finder'!$C$6="Deep Thinking",AND($G110="Deep Thinking",$E110&lt;&gt;"Done"),IF('Task Finder'!$C$6="Processing",AND($G110="Processing",$E110&lt;&gt;"Done"),IF('Task Finder'!$C$6="Blocked",$E110="Blocked",IF('Task Finder'!$C$6="Waiting",$E110="Waiting",IF('Task Finder'!$C$6="Recently Updated",AND($L110&lt;&gt;"",$L110&gt;=TODAY()-7),IF('Task Finder'!$C$6="Keyword",AND('Task Finder'!$C$7&lt;&gt;"",OR(ISNUMBER(SEARCH('Task Finder'!$C$7,$A110)),ISNUMBER(SEARCH('Task Finder'!$C$7,$B110)),ISNUMBER(SEARCH('Task Finder'!$C$7,$C110)),ISNUMBER(SEARCH('Task Finder'!$C$7,$D110)),ISNUMBER(SEARCH('Task Finder'!$C$7,$K110)))),TRUE))))))))))</f>
        <v/>
      </c>
      <c r="Q110" s="150">
        <f>IF($F110="High","High Priority","")</f>
        <v/>
      </c>
      <c r="R110" s="150">
        <f>IF(AND($I110&lt;&gt;"",$I110&lt;TODAY()),"Overdue","")</f>
        <v/>
      </c>
      <c r="S110" s="150">
        <f>IF(AND($I110&lt;&gt;"",$I110&gt;=TODAY(),$I110&lt;=TODAY()+7),"Due This Week","")</f>
        <v/>
      </c>
      <c r="T110" s="150">
        <f>IF(AND($H110&lt;&gt;"",$M110&lt;=VLOOKUP(Home!$C$7,Lists!$N$2:$O$6,2,FALSE)),$H110&amp;" Task","")</f>
        <v/>
      </c>
      <c r="U110" s="150">
        <f>IF($G110=Home!$E$7,"Fits Current Energy","")</f>
        <v/>
      </c>
      <c r="V110" s="150">
        <f>IF($Q110&lt;&gt;""," • "&amp;$Q110,"")&amp;IF($R110&lt;&gt;""," • "&amp;$R110,"")&amp;IF($S110&lt;&gt;""," • "&amp;$S110,"")&amp;IF($T110&lt;&gt;""," • "&amp;$T110,"")&amp;IF($U110&lt;&gt;""," • "&amp;$U110,"")&amp;" • No Blockers"</f>
        <v/>
      </c>
    </row>
    <row r="111">
      <c r="A111" s="19" t="n"/>
      <c r="B111" s="19" t="n"/>
      <c r="C111" s="19" t="n"/>
      <c r="D111" s="19" t="n"/>
      <c r="E111" s="19" t="n"/>
      <c r="F111" s="19" t="n"/>
      <c r="G111" s="19" t="n"/>
      <c r="H111" s="19" t="n"/>
      <c r="I111" s="19" t="n"/>
      <c r="J111" s="19" t="n"/>
      <c r="K111" s="19" t="n"/>
      <c r="L111" s="35" t="n"/>
      <c r="M111" s="5">
        <f>IF($D111="","",IFERROR(VLOOKUP($H111,Lists!$N$2:$O$6,2,FALSE),0))</f>
        <v/>
      </c>
      <c r="N111" s="5">
        <f>IF($D111="","",IF(OR($E111="Blocked",$E111="Done",$E111="Archive"),-9999,IF(AND($E111="Waiting",SUMPRODUCT((($E$5:$E$500="Next")+($E$5:$E$500="In Progress")+($E$5:$E$500="Captured"))*($D$5:$D$500&lt;&gt;""))&gt;0),-500,VLOOKUP($F111,Lists!$L$2:$M$4,2,FALSE)+IF($E111="In Progress",10,0)+IF(AND($I111&lt;&gt;"",$I111&lt;TODAY()),25,0)+IF(AND($I111&lt;&gt;"",$I111&gt;=TODAY(),$I111&lt;=TODAY()+7),15,0)+IF($H111="",0,IF($M111&lt;=VLOOKUP(Home!$C$7,Lists!$N$2:$O$6,2,FALSE),20,-10))+IF($G111=Home!$E$7,15,IF(Home!$E$7="",0,-5))-ROW()/100000)))</f>
        <v/>
      </c>
      <c r="O111" s="5">
        <f>IF($D111="","",IF($N111&lt;=-500,"Not recommended right now",IF($E111="Waiting","Nothing else actionable right now — Waiting on: "&amp;IF($K111="","this item",$K111),MID($V111,4,9999))))</f>
        <v/>
      </c>
      <c r="P111" s="5">
        <f>IF($D111="","",IF('Task Finder'!$C$6="High Priority",AND($F111="High",$E111&lt;&gt;"Done",$E111&lt;&gt;"Archive"),IF('Task Finder'!$C$6="Due This Week",AND($I111&lt;&gt;"",$I111&gt;=TODAY(),$I111&lt;=TODAY()+7,$E111&lt;&gt;"Done"),IF('Task Finder'!$C$6="Quick Wins (15 mins or less)",AND($M111&lt;=15,$E111&lt;&gt;"Done",$E111&lt;&gt;"Blocked"),IF('Task Finder'!$C$6="Deep Thinking",AND($G111="Deep Thinking",$E111&lt;&gt;"Done"),IF('Task Finder'!$C$6="Processing",AND($G111="Processing",$E111&lt;&gt;"Done"),IF('Task Finder'!$C$6="Blocked",$E111="Blocked",IF('Task Finder'!$C$6="Waiting",$E111="Waiting",IF('Task Finder'!$C$6="Recently Updated",AND($L111&lt;&gt;"",$L111&gt;=TODAY()-7),IF('Task Finder'!$C$6="Keyword",AND('Task Finder'!$C$7&lt;&gt;"",OR(ISNUMBER(SEARCH('Task Finder'!$C$7,$A111)),ISNUMBER(SEARCH('Task Finder'!$C$7,$B111)),ISNUMBER(SEARCH('Task Finder'!$C$7,$C111)),ISNUMBER(SEARCH('Task Finder'!$C$7,$D111)),ISNUMBER(SEARCH('Task Finder'!$C$7,$K111)))),TRUE))))))))))</f>
        <v/>
      </c>
      <c r="Q111" s="150">
        <f>IF($F111="High","High Priority","")</f>
        <v/>
      </c>
      <c r="R111" s="150">
        <f>IF(AND($I111&lt;&gt;"",$I111&lt;TODAY()),"Overdue","")</f>
        <v/>
      </c>
      <c r="S111" s="150">
        <f>IF(AND($I111&lt;&gt;"",$I111&gt;=TODAY(),$I111&lt;=TODAY()+7),"Due This Week","")</f>
        <v/>
      </c>
      <c r="T111" s="150">
        <f>IF(AND($H111&lt;&gt;"",$M111&lt;=VLOOKUP(Home!$C$7,Lists!$N$2:$O$6,2,FALSE)),$H111&amp;" Task","")</f>
        <v/>
      </c>
      <c r="U111" s="150">
        <f>IF($G111=Home!$E$7,"Fits Current Energy","")</f>
        <v/>
      </c>
      <c r="V111" s="150">
        <f>IF($Q111&lt;&gt;""," • "&amp;$Q111,"")&amp;IF($R111&lt;&gt;""," • "&amp;$R111,"")&amp;IF($S111&lt;&gt;""," • "&amp;$S111,"")&amp;IF($T111&lt;&gt;""," • "&amp;$T111,"")&amp;IF($U111&lt;&gt;""," • "&amp;$U111,"")&amp;" • No Blockers"</f>
        <v/>
      </c>
    </row>
    <row r="112">
      <c r="A112" s="19" t="n"/>
      <c r="B112" s="19" t="n"/>
      <c r="C112" s="19" t="n"/>
      <c r="D112" s="19" t="n"/>
      <c r="E112" s="19" t="n"/>
      <c r="F112" s="19" t="n"/>
      <c r="G112" s="19" t="n"/>
      <c r="H112" s="19" t="n"/>
      <c r="I112" s="19" t="n"/>
      <c r="J112" s="19" t="n"/>
      <c r="K112" s="19" t="n"/>
      <c r="L112" s="35" t="n"/>
      <c r="M112" s="5">
        <f>IF($D112="","",IFERROR(VLOOKUP($H112,Lists!$N$2:$O$6,2,FALSE),0))</f>
        <v/>
      </c>
      <c r="N112" s="5">
        <f>IF($D112="","",IF(OR($E112="Blocked",$E112="Done",$E112="Archive"),-9999,IF(AND($E112="Waiting",SUMPRODUCT((($E$5:$E$500="Next")+($E$5:$E$500="In Progress")+($E$5:$E$500="Captured"))*($D$5:$D$500&lt;&gt;""))&gt;0),-500,VLOOKUP($F112,Lists!$L$2:$M$4,2,FALSE)+IF($E112="In Progress",10,0)+IF(AND($I112&lt;&gt;"",$I112&lt;TODAY()),25,0)+IF(AND($I112&lt;&gt;"",$I112&gt;=TODAY(),$I112&lt;=TODAY()+7),15,0)+IF($H112="",0,IF($M112&lt;=VLOOKUP(Home!$C$7,Lists!$N$2:$O$6,2,FALSE),20,-10))+IF($G112=Home!$E$7,15,IF(Home!$E$7="",0,-5))-ROW()/100000)))</f>
        <v/>
      </c>
      <c r="O112" s="5">
        <f>IF($D112="","",IF($N112&lt;=-500,"Not recommended right now",IF($E112="Waiting","Nothing else actionable right now — Waiting on: "&amp;IF($K112="","this item",$K112),MID($V112,4,9999))))</f>
        <v/>
      </c>
      <c r="P112" s="5">
        <f>IF($D112="","",IF('Task Finder'!$C$6="High Priority",AND($F112="High",$E112&lt;&gt;"Done",$E112&lt;&gt;"Archive"),IF('Task Finder'!$C$6="Due This Week",AND($I112&lt;&gt;"",$I112&gt;=TODAY(),$I112&lt;=TODAY()+7,$E112&lt;&gt;"Done"),IF('Task Finder'!$C$6="Quick Wins (15 mins or less)",AND($M112&lt;=15,$E112&lt;&gt;"Done",$E112&lt;&gt;"Blocked"),IF('Task Finder'!$C$6="Deep Thinking",AND($G112="Deep Thinking",$E112&lt;&gt;"Done"),IF('Task Finder'!$C$6="Processing",AND($G112="Processing",$E112&lt;&gt;"Done"),IF('Task Finder'!$C$6="Blocked",$E112="Blocked",IF('Task Finder'!$C$6="Waiting",$E112="Waiting",IF('Task Finder'!$C$6="Recently Updated",AND($L112&lt;&gt;"",$L112&gt;=TODAY()-7),IF('Task Finder'!$C$6="Keyword",AND('Task Finder'!$C$7&lt;&gt;"",OR(ISNUMBER(SEARCH('Task Finder'!$C$7,$A112)),ISNUMBER(SEARCH('Task Finder'!$C$7,$B112)),ISNUMBER(SEARCH('Task Finder'!$C$7,$C112)),ISNUMBER(SEARCH('Task Finder'!$C$7,$D112)),ISNUMBER(SEARCH('Task Finder'!$C$7,$K112)))),TRUE))))))))))</f>
        <v/>
      </c>
      <c r="Q112" s="150">
        <f>IF($F112="High","High Priority","")</f>
        <v/>
      </c>
      <c r="R112" s="150">
        <f>IF(AND($I112&lt;&gt;"",$I112&lt;TODAY()),"Overdue","")</f>
        <v/>
      </c>
      <c r="S112" s="150">
        <f>IF(AND($I112&lt;&gt;"",$I112&gt;=TODAY(),$I112&lt;=TODAY()+7),"Due This Week","")</f>
        <v/>
      </c>
      <c r="T112" s="150">
        <f>IF(AND($H112&lt;&gt;"",$M112&lt;=VLOOKUP(Home!$C$7,Lists!$N$2:$O$6,2,FALSE)),$H112&amp;" Task","")</f>
        <v/>
      </c>
      <c r="U112" s="150">
        <f>IF($G112=Home!$E$7,"Fits Current Energy","")</f>
        <v/>
      </c>
      <c r="V112" s="150">
        <f>IF($Q112&lt;&gt;""," • "&amp;$Q112,"")&amp;IF($R112&lt;&gt;""," • "&amp;$R112,"")&amp;IF($S112&lt;&gt;""," • "&amp;$S112,"")&amp;IF($T112&lt;&gt;""," • "&amp;$T112,"")&amp;IF($U112&lt;&gt;""," • "&amp;$U112,"")&amp;" • No Blockers"</f>
        <v/>
      </c>
    </row>
    <row r="113">
      <c r="A113" s="19" t="n"/>
      <c r="B113" s="19" t="n"/>
      <c r="C113" s="19" t="n"/>
      <c r="D113" s="19" t="n"/>
      <c r="E113" s="19" t="n"/>
      <c r="F113" s="19" t="n"/>
      <c r="G113" s="19" t="n"/>
      <c r="H113" s="19" t="n"/>
      <c r="I113" s="19" t="n"/>
      <c r="J113" s="19" t="n"/>
      <c r="K113" s="19" t="n"/>
      <c r="L113" s="35" t="n"/>
      <c r="M113" s="5">
        <f>IF($D113="","",IFERROR(VLOOKUP($H113,Lists!$N$2:$O$6,2,FALSE),0))</f>
        <v/>
      </c>
      <c r="N113" s="5">
        <f>IF($D113="","",IF(OR($E113="Blocked",$E113="Done",$E113="Archive"),-9999,IF(AND($E113="Waiting",SUMPRODUCT((($E$5:$E$500="Next")+($E$5:$E$500="In Progress")+($E$5:$E$500="Captured"))*($D$5:$D$500&lt;&gt;""))&gt;0),-500,VLOOKUP($F113,Lists!$L$2:$M$4,2,FALSE)+IF($E113="In Progress",10,0)+IF(AND($I113&lt;&gt;"",$I113&lt;TODAY()),25,0)+IF(AND($I113&lt;&gt;"",$I113&gt;=TODAY(),$I113&lt;=TODAY()+7),15,0)+IF($H113="",0,IF($M113&lt;=VLOOKUP(Home!$C$7,Lists!$N$2:$O$6,2,FALSE),20,-10))+IF($G113=Home!$E$7,15,IF(Home!$E$7="",0,-5))-ROW()/100000)))</f>
        <v/>
      </c>
      <c r="O113" s="5">
        <f>IF($D113="","",IF($N113&lt;=-500,"Not recommended right now",IF($E113="Waiting","Nothing else actionable right now — Waiting on: "&amp;IF($K113="","this item",$K113),MID($V113,4,9999))))</f>
        <v/>
      </c>
      <c r="P113" s="5">
        <f>IF($D113="","",IF('Task Finder'!$C$6="High Priority",AND($F113="High",$E113&lt;&gt;"Done",$E113&lt;&gt;"Archive"),IF('Task Finder'!$C$6="Due This Week",AND($I113&lt;&gt;"",$I113&gt;=TODAY(),$I113&lt;=TODAY()+7,$E113&lt;&gt;"Done"),IF('Task Finder'!$C$6="Quick Wins (15 mins or less)",AND($M113&lt;=15,$E113&lt;&gt;"Done",$E113&lt;&gt;"Blocked"),IF('Task Finder'!$C$6="Deep Thinking",AND($G113="Deep Thinking",$E113&lt;&gt;"Done"),IF('Task Finder'!$C$6="Processing",AND($G113="Processing",$E113&lt;&gt;"Done"),IF('Task Finder'!$C$6="Blocked",$E113="Blocked",IF('Task Finder'!$C$6="Waiting",$E113="Waiting",IF('Task Finder'!$C$6="Recently Updated",AND($L113&lt;&gt;"",$L113&gt;=TODAY()-7),IF('Task Finder'!$C$6="Keyword",AND('Task Finder'!$C$7&lt;&gt;"",OR(ISNUMBER(SEARCH('Task Finder'!$C$7,$A113)),ISNUMBER(SEARCH('Task Finder'!$C$7,$B113)),ISNUMBER(SEARCH('Task Finder'!$C$7,$C113)),ISNUMBER(SEARCH('Task Finder'!$C$7,$D113)),ISNUMBER(SEARCH('Task Finder'!$C$7,$K113)))),TRUE))))))))))</f>
        <v/>
      </c>
      <c r="Q113" s="150">
        <f>IF($F113="High","High Priority","")</f>
        <v/>
      </c>
      <c r="R113" s="150">
        <f>IF(AND($I113&lt;&gt;"",$I113&lt;TODAY()),"Overdue","")</f>
        <v/>
      </c>
      <c r="S113" s="150">
        <f>IF(AND($I113&lt;&gt;"",$I113&gt;=TODAY(),$I113&lt;=TODAY()+7),"Due This Week","")</f>
        <v/>
      </c>
      <c r="T113" s="150">
        <f>IF(AND($H113&lt;&gt;"",$M113&lt;=VLOOKUP(Home!$C$7,Lists!$N$2:$O$6,2,FALSE)),$H113&amp;" Task","")</f>
        <v/>
      </c>
      <c r="U113" s="150">
        <f>IF($G113=Home!$E$7,"Fits Current Energy","")</f>
        <v/>
      </c>
      <c r="V113" s="150">
        <f>IF($Q113&lt;&gt;""," • "&amp;$Q113,"")&amp;IF($R113&lt;&gt;""," • "&amp;$R113,"")&amp;IF($S113&lt;&gt;""," • "&amp;$S113,"")&amp;IF($T113&lt;&gt;""," • "&amp;$T113,"")&amp;IF($U113&lt;&gt;""," • "&amp;$U113,"")&amp;" • No Blockers"</f>
        <v/>
      </c>
    </row>
    <row r="114">
      <c r="A114" s="19" t="n"/>
      <c r="B114" s="19" t="n"/>
      <c r="C114" s="19" t="n"/>
      <c r="D114" s="19" t="n"/>
      <c r="E114" s="19" t="n"/>
      <c r="F114" s="19" t="n"/>
      <c r="G114" s="19" t="n"/>
      <c r="H114" s="19" t="n"/>
      <c r="I114" s="19" t="n"/>
      <c r="J114" s="19" t="n"/>
      <c r="K114" s="19" t="n"/>
      <c r="L114" s="35" t="n"/>
      <c r="M114" s="5">
        <f>IF($D114="","",IFERROR(VLOOKUP($H114,Lists!$N$2:$O$6,2,FALSE),0))</f>
        <v/>
      </c>
      <c r="N114" s="5">
        <f>IF($D114="","",IF(OR($E114="Blocked",$E114="Done",$E114="Archive"),-9999,IF(AND($E114="Waiting",SUMPRODUCT((($E$5:$E$500="Next")+($E$5:$E$500="In Progress")+($E$5:$E$500="Captured"))*($D$5:$D$500&lt;&gt;""))&gt;0),-500,VLOOKUP($F114,Lists!$L$2:$M$4,2,FALSE)+IF($E114="In Progress",10,0)+IF(AND($I114&lt;&gt;"",$I114&lt;TODAY()),25,0)+IF(AND($I114&lt;&gt;"",$I114&gt;=TODAY(),$I114&lt;=TODAY()+7),15,0)+IF($H114="",0,IF($M114&lt;=VLOOKUP(Home!$C$7,Lists!$N$2:$O$6,2,FALSE),20,-10))+IF($G114=Home!$E$7,15,IF(Home!$E$7="",0,-5))-ROW()/100000)))</f>
        <v/>
      </c>
      <c r="O114" s="5">
        <f>IF($D114="","",IF($N114&lt;=-500,"Not recommended right now",IF($E114="Waiting","Nothing else actionable right now — Waiting on: "&amp;IF($K114="","this item",$K114),MID($V114,4,9999))))</f>
        <v/>
      </c>
      <c r="P114" s="5">
        <f>IF($D114="","",IF('Task Finder'!$C$6="High Priority",AND($F114="High",$E114&lt;&gt;"Done",$E114&lt;&gt;"Archive"),IF('Task Finder'!$C$6="Due This Week",AND($I114&lt;&gt;"",$I114&gt;=TODAY(),$I114&lt;=TODAY()+7,$E114&lt;&gt;"Done"),IF('Task Finder'!$C$6="Quick Wins (15 mins or less)",AND($M114&lt;=15,$E114&lt;&gt;"Done",$E114&lt;&gt;"Blocked"),IF('Task Finder'!$C$6="Deep Thinking",AND($G114="Deep Thinking",$E114&lt;&gt;"Done"),IF('Task Finder'!$C$6="Processing",AND($G114="Processing",$E114&lt;&gt;"Done"),IF('Task Finder'!$C$6="Blocked",$E114="Blocked",IF('Task Finder'!$C$6="Waiting",$E114="Waiting",IF('Task Finder'!$C$6="Recently Updated",AND($L114&lt;&gt;"",$L114&gt;=TODAY()-7),IF('Task Finder'!$C$6="Keyword",AND('Task Finder'!$C$7&lt;&gt;"",OR(ISNUMBER(SEARCH('Task Finder'!$C$7,$A114)),ISNUMBER(SEARCH('Task Finder'!$C$7,$B114)),ISNUMBER(SEARCH('Task Finder'!$C$7,$C114)),ISNUMBER(SEARCH('Task Finder'!$C$7,$D114)),ISNUMBER(SEARCH('Task Finder'!$C$7,$K114)))),TRUE))))))))))</f>
        <v/>
      </c>
      <c r="Q114" s="150">
        <f>IF($F114="High","High Priority","")</f>
        <v/>
      </c>
      <c r="R114" s="150">
        <f>IF(AND($I114&lt;&gt;"",$I114&lt;TODAY()),"Overdue","")</f>
        <v/>
      </c>
      <c r="S114" s="150">
        <f>IF(AND($I114&lt;&gt;"",$I114&gt;=TODAY(),$I114&lt;=TODAY()+7),"Due This Week","")</f>
        <v/>
      </c>
      <c r="T114" s="150">
        <f>IF(AND($H114&lt;&gt;"",$M114&lt;=VLOOKUP(Home!$C$7,Lists!$N$2:$O$6,2,FALSE)),$H114&amp;" Task","")</f>
        <v/>
      </c>
      <c r="U114" s="150">
        <f>IF($G114=Home!$E$7,"Fits Current Energy","")</f>
        <v/>
      </c>
      <c r="V114" s="150">
        <f>IF($Q114&lt;&gt;""," • "&amp;$Q114,"")&amp;IF($R114&lt;&gt;""," • "&amp;$R114,"")&amp;IF($S114&lt;&gt;""," • "&amp;$S114,"")&amp;IF($T114&lt;&gt;""," • "&amp;$T114,"")&amp;IF($U114&lt;&gt;""," • "&amp;$U114,"")&amp;" • No Blockers"</f>
        <v/>
      </c>
    </row>
    <row r="115">
      <c r="A115" s="19" t="n"/>
      <c r="B115" s="19" t="n"/>
      <c r="C115" s="19" t="n"/>
      <c r="D115" s="19" t="n"/>
      <c r="E115" s="19" t="n"/>
      <c r="F115" s="19" t="n"/>
      <c r="G115" s="19" t="n"/>
      <c r="H115" s="19" t="n"/>
      <c r="I115" s="19" t="n"/>
      <c r="J115" s="19" t="n"/>
      <c r="K115" s="19" t="n"/>
      <c r="L115" s="35" t="n"/>
      <c r="M115" s="5">
        <f>IF($D115="","",IFERROR(VLOOKUP($H115,Lists!$N$2:$O$6,2,FALSE),0))</f>
        <v/>
      </c>
      <c r="N115" s="5">
        <f>IF($D115="","",IF(OR($E115="Blocked",$E115="Done",$E115="Archive"),-9999,IF(AND($E115="Waiting",SUMPRODUCT((($E$5:$E$500="Next")+($E$5:$E$500="In Progress")+($E$5:$E$500="Captured"))*($D$5:$D$500&lt;&gt;""))&gt;0),-500,VLOOKUP($F115,Lists!$L$2:$M$4,2,FALSE)+IF($E115="In Progress",10,0)+IF(AND($I115&lt;&gt;"",$I115&lt;TODAY()),25,0)+IF(AND($I115&lt;&gt;"",$I115&gt;=TODAY(),$I115&lt;=TODAY()+7),15,0)+IF($H115="",0,IF($M115&lt;=VLOOKUP(Home!$C$7,Lists!$N$2:$O$6,2,FALSE),20,-10))+IF($G115=Home!$E$7,15,IF(Home!$E$7="",0,-5))-ROW()/100000)))</f>
        <v/>
      </c>
      <c r="O115" s="5">
        <f>IF($D115="","",IF($N115&lt;=-500,"Not recommended right now",IF($E115="Waiting","Nothing else actionable right now — Waiting on: "&amp;IF($K115="","this item",$K115),MID($V115,4,9999))))</f>
        <v/>
      </c>
      <c r="P115" s="5">
        <f>IF($D115="","",IF('Task Finder'!$C$6="High Priority",AND($F115="High",$E115&lt;&gt;"Done",$E115&lt;&gt;"Archive"),IF('Task Finder'!$C$6="Due This Week",AND($I115&lt;&gt;"",$I115&gt;=TODAY(),$I115&lt;=TODAY()+7,$E115&lt;&gt;"Done"),IF('Task Finder'!$C$6="Quick Wins (15 mins or less)",AND($M115&lt;=15,$E115&lt;&gt;"Done",$E115&lt;&gt;"Blocked"),IF('Task Finder'!$C$6="Deep Thinking",AND($G115="Deep Thinking",$E115&lt;&gt;"Done"),IF('Task Finder'!$C$6="Processing",AND($G115="Processing",$E115&lt;&gt;"Done"),IF('Task Finder'!$C$6="Blocked",$E115="Blocked",IF('Task Finder'!$C$6="Waiting",$E115="Waiting",IF('Task Finder'!$C$6="Recently Updated",AND($L115&lt;&gt;"",$L115&gt;=TODAY()-7),IF('Task Finder'!$C$6="Keyword",AND('Task Finder'!$C$7&lt;&gt;"",OR(ISNUMBER(SEARCH('Task Finder'!$C$7,$A115)),ISNUMBER(SEARCH('Task Finder'!$C$7,$B115)),ISNUMBER(SEARCH('Task Finder'!$C$7,$C115)),ISNUMBER(SEARCH('Task Finder'!$C$7,$D115)),ISNUMBER(SEARCH('Task Finder'!$C$7,$K115)))),TRUE))))))))))</f>
        <v/>
      </c>
      <c r="Q115" s="150">
        <f>IF($F115="High","High Priority","")</f>
        <v/>
      </c>
      <c r="R115" s="150">
        <f>IF(AND($I115&lt;&gt;"",$I115&lt;TODAY()),"Overdue","")</f>
        <v/>
      </c>
      <c r="S115" s="150">
        <f>IF(AND($I115&lt;&gt;"",$I115&gt;=TODAY(),$I115&lt;=TODAY()+7),"Due This Week","")</f>
        <v/>
      </c>
      <c r="T115" s="150">
        <f>IF(AND($H115&lt;&gt;"",$M115&lt;=VLOOKUP(Home!$C$7,Lists!$N$2:$O$6,2,FALSE)),$H115&amp;" Task","")</f>
        <v/>
      </c>
      <c r="U115" s="150">
        <f>IF($G115=Home!$E$7,"Fits Current Energy","")</f>
        <v/>
      </c>
      <c r="V115" s="150">
        <f>IF($Q115&lt;&gt;""," • "&amp;$Q115,"")&amp;IF($R115&lt;&gt;""," • "&amp;$R115,"")&amp;IF($S115&lt;&gt;""," • "&amp;$S115,"")&amp;IF($T115&lt;&gt;""," • "&amp;$T115,"")&amp;IF($U115&lt;&gt;""," • "&amp;$U115,"")&amp;" • No Blockers"</f>
        <v/>
      </c>
    </row>
    <row r="116">
      <c r="A116" s="19" t="n"/>
      <c r="B116" s="19" t="n"/>
      <c r="C116" s="19" t="n"/>
      <c r="D116" s="19" t="n"/>
      <c r="E116" s="19" t="n"/>
      <c r="F116" s="19" t="n"/>
      <c r="G116" s="19" t="n"/>
      <c r="H116" s="19" t="n"/>
      <c r="I116" s="19" t="n"/>
      <c r="J116" s="19" t="n"/>
      <c r="K116" s="19" t="n"/>
      <c r="L116" s="35" t="n"/>
      <c r="M116" s="5">
        <f>IF($D116="","",IFERROR(VLOOKUP($H116,Lists!$N$2:$O$6,2,FALSE),0))</f>
        <v/>
      </c>
      <c r="N116" s="5">
        <f>IF($D116="","",IF(OR($E116="Blocked",$E116="Done",$E116="Archive"),-9999,IF(AND($E116="Waiting",SUMPRODUCT((($E$5:$E$500="Next")+($E$5:$E$500="In Progress")+($E$5:$E$500="Captured"))*($D$5:$D$500&lt;&gt;""))&gt;0),-500,VLOOKUP($F116,Lists!$L$2:$M$4,2,FALSE)+IF($E116="In Progress",10,0)+IF(AND($I116&lt;&gt;"",$I116&lt;TODAY()),25,0)+IF(AND($I116&lt;&gt;"",$I116&gt;=TODAY(),$I116&lt;=TODAY()+7),15,0)+IF($H116="",0,IF($M116&lt;=VLOOKUP(Home!$C$7,Lists!$N$2:$O$6,2,FALSE),20,-10))+IF($G116=Home!$E$7,15,IF(Home!$E$7="",0,-5))-ROW()/100000)))</f>
        <v/>
      </c>
      <c r="O116" s="5">
        <f>IF($D116="","",IF($N116&lt;=-500,"Not recommended right now",IF($E116="Waiting","Nothing else actionable right now — Waiting on: "&amp;IF($K116="","this item",$K116),MID($V116,4,9999))))</f>
        <v/>
      </c>
      <c r="P116" s="5">
        <f>IF($D116="","",IF('Task Finder'!$C$6="High Priority",AND($F116="High",$E116&lt;&gt;"Done",$E116&lt;&gt;"Archive"),IF('Task Finder'!$C$6="Due This Week",AND($I116&lt;&gt;"",$I116&gt;=TODAY(),$I116&lt;=TODAY()+7,$E116&lt;&gt;"Done"),IF('Task Finder'!$C$6="Quick Wins (15 mins or less)",AND($M116&lt;=15,$E116&lt;&gt;"Done",$E116&lt;&gt;"Blocked"),IF('Task Finder'!$C$6="Deep Thinking",AND($G116="Deep Thinking",$E116&lt;&gt;"Done"),IF('Task Finder'!$C$6="Processing",AND($G116="Processing",$E116&lt;&gt;"Done"),IF('Task Finder'!$C$6="Blocked",$E116="Blocked",IF('Task Finder'!$C$6="Waiting",$E116="Waiting",IF('Task Finder'!$C$6="Recently Updated",AND($L116&lt;&gt;"",$L116&gt;=TODAY()-7),IF('Task Finder'!$C$6="Keyword",AND('Task Finder'!$C$7&lt;&gt;"",OR(ISNUMBER(SEARCH('Task Finder'!$C$7,$A116)),ISNUMBER(SEARCH('Task Finder'!$C$7,$B116)),ISNUMBER(SEARCH('Task Finder'!$C$7,$C116)),ISNUMBER(SEARCH('Task Finder'!$C$7,$D116)),ISNUMBER(SEARCH('Task Finder'!$C$7,$K116)))),TRUE))))))))))</f>
        <v/>
      </c>
      <c r="Q116" s="150">
        <f>IF($F116="High","High Priority","")</f>
        <v/>
      </c>
      <c r="R116" s="150">
        <f>IF(AND($I116&lt;&gt;"",$I116&lt;TODAY()),"Overdue","")</f>
        <v/>
      </c>
      <c r="S116" s="150">
        <f>IF(AND($I116&lt;&gt;"",$I116&gt;=TODAY(),$I116&lt;=TODAY()+7),"Due This Week","")</f>
        <v/>
      </c>
      <c r="T116" s="150">
        <f>IF(AND($H116&lt;&gt;"",$M116&lt;=VLOOKUP(Home!$C$7,Lists!$N$2:$O$6,2,FALSE)),$H116&amp;" Task","")</f>
        <v/>
      </c>
      <c r="U116" s="150">
        <f>IF($G116=Home!$E$7,"Fits Current Energy","")</f>
        <v/>
      </c>
      <c r="V116" s="150">
        <f>IF($Q116&lt;&gt;""," • "&amp;$Q116,"")&amp;IF($R116&lt;&gt;""," • "&amp;$R116,"")&amp;IF($S116&lt;&gt;""," • "&amp;$S116,"")&amp;IF($T116&lt;&gt;""," • "&amp;$T116,"")&amp;IF($U116&lt;&gt;""," • "&amp;$U116,"")&amp;" • No Blockers"</f>
        <v/>
      </c>
    </row>
    <row r="117">
      <c r="A117" s="19" t="n"/>
      <c r="B117" s="19" t="n"/>
      <c r="C117" s="19" t="n"/>
      <c r="D117" s="19" t="n"/>
      <c r="E117" s="19" t="n"/>
      <c r="F117" s="19" t="n"/>
      <c r="G117" s="19" t="n"/>
      <c r="H117" s="19" t="n"/>
      <c r="I117" s="19" t="n"/>
      <c r="J117" s="19" t="n"/>
      <c r="K117" s="19" t="n"/>
      <c r="L117" s="35" t="n"/>
      <c r="M117" s="5">
        <f>IF($D117="","",IFERROR(VLOOKUP($H117,Lists!$N$2:$O$6,2,FALSE),0))</f>
        <v/>
      </c>
      <c r="N117" s="5">
        <f>IF($D117="","",IF(OR($E117="Blocked",$E117="Done",$E117="Archive"),-9999,IF(AND($E117="Waiting",SUMPRODUCT((($E$5:$E$500="Next")+($E$5:$E$500="In Progress")+($E$5:$E$500="Captured"))*($D$5:$D$500&lt;&gt;""))&gt;0),-500,VLOOKUP($F117,Lists!$L$2:$M$4,2,FALSE)+IF($E117="In Progress",10,0)+IF(AND($I117&lt;&gt;"",$I117&lt;TODAY()),25,0)+IF(AND($I117&lt;&gt;"",$I117&gt;=TODAY(),$I117&lt;=TODAY()+7),15,0)+IF($H117="",0,IF($M117&lt;=VLOOKUP(Home!$C$7,Lists!$N$2:$O$6,2,FALSE),20,-10))+IF($G117=Home!$E$7,15,IF(Home!$E$7="",0,-5))-ROW()/100000)))</f>
        <v/>
      </c>
      <c r="O117" s="5">
        <f>IF($D117="","",IF($N117&lt;=-500,"Not recommended right now",IF($E117="Waiting","Nothing else actionable right now — Waiting on: "&amp;IF($K117="","this item",$K117),MID($V117,4,9999))))</f>
        <v/>
      </c>
      <c r="P117" s="5">
        <f>IF($D117="","",IF('Task Finder'!$C$6="High Priority",AND($F117="High",$E117&lt;&gt;"Done",$E117&lt;&gt;"Archive"),IF('Task Finder'!$C$6="Due This Week",AND($I117&lt;&gt;"",$I117&gt;=TODAY(),$I117&lt;=TODAY()+7,$E117&lt;&gt;"Done"),IF('Task Finder'!$C$6="Quick Wins (15 mins or less)",AND($M117&lt;=15,$E117&lt;&gt;"Done",$E117&lt;&gt;"Blocked"),IF('Task Finder'!$C$6="Deep Thinking",AND($G117="Deep Thinking",$E117&lt;&gt;"Done"),IF('Task Finder'!$C$6="Processing",AND($G117="Processing",$E117&lt;&gt;"Done"),IF('Task Finder'!$C$6="Blocked",$E117="Blocked",IF('Task Finder'!$C$6="Waiting",$E117="Waiting",IF('Task Finder'!$C$6="Recently Updated",AND($L117&lt;&gt;"",$L117&gt;=TODAY()-7),IF('Task Finder'!$C$6="Keyword",AND('Task Finder'!$C$7&lt;&gt;"",OR(ISNUMBER(SEARCH('Task Finder'!$C$7,$A117)),ISNUMBER(SEARCH('Task Finder'!$C$7,$B117)),ISNUMBER(SEARCH('Task Finder'!$C$7,$C117)),ISNUMBER(SEARCH('Task Finder'!$C$7,$D117)),ISNUMBER(SEARCH('Task Finder'!$C$7,$K117)))),TRUE))))))))))</f>
        <v/>
      </c>
      <c r="Q117" s="150">
        <f>IF($F117="High","High Priority","")</f>
        <v/>
      </c>
      <c r="R117" s="150">
        <f>IF(AND($I117&lt;&gt;"",$I117&lt;TODAY()),"Overdue","")</f>
        <v/>
      </c>
      <c r="S117" s="150">
        <f>IF(AND($I117&lt;&gt;"",$I117&gt;=TODAY(),$I117&lt;=TODAY()+7),"Due This Week","")</f>
        <v/>
      </c>
      <c r="T117" s="150">
        <f>IF(AND($H117&lt;&gt;"",$M117&lt;=VLOOKUP(Home!$C$7,Lists!$N$2:$O$6,2,FALSE)),$H117&amp;" Task","")</f>
        <v/>
      </c>
      <c r="U117" s="150">
        <f>IF($G117=Home!$E$7,"Fits Current Energy","")</f>
        <v/>
      </c>
      <c r="V117" s="150">
        <f>IF($Q117&lt;&gt;""," • "&amp;$Q117,"")&amp;IF($R117&lt;&gt;""," • "&amp;$R117,"")&amp;IF($S117&lt;&gt;""," • "&amp;$S117,"")&amp;IF($T117&lt;&gt;""," • "&amp;$T117,"")&amp;IF($U117&lt;&gt;""," • "&amp;$U117,"")&amp;" • No Blockers"</f>
        <v/>
      </c>
    </row>
    <row r="118">
      <c r="A118" s="19" t="n"/>
      <c r="B118" s="19" t="n"/>
      <c r="C118" s="19" t="n"/>
      <c r="D118" s="19" t="n"/>
      <c r="E118" s="19" t="n"/>
      <c r="F118" s="19" t="n"/>
      <c r="G118" s="19" t="n"/>
      <c r="H118" s="19" t="n"/>
      <c r="I118" s="19" t="n"/>
      <c r="J118" s="19" t="n"/>
      <c r="K118" s="19" t="n"/>
      <c r="L118" s="35" t="n"/>
      <c r="M118" s="5">
        <f>IF($D118="","",IFERROR(VLOOKUP($H118,Lists!$N$2:$O$6,2,FALSE),0))</f>
        <v/>
      </c>
      <c r="N118" s="5">
        <f>IF($D118="","",IF(OR($E118="Blocked",$E118="Done",$E118="Archive"),-9999,IF(AND($E118="Waiting",SUMPRODUCT((($E$5:$E$500="Next")+($E$5:$E$500="In Progress")+($E$5:$E$500="Captured"))*($D$5:$D$500&lt;&gt;""))&gt;0),-500,VLOOKUP($F118,Lists!$L$2:$M$4,2,FALSE)+IF($E118="In Progress",10,0)+IF(AND($I118&lt;&gt;"",$I118&lt;TODAY()),25,0)+IF(AND($I118&lt;&gt;"",$I118&gt;=TODAY(),$I118&lt;=TODAY()+7),15,0)+IF($H118="",0,IF($M118&lt;=VLOOKUP(Home!$C$7,Lists!$N$2:$O$6,2,FALSE),20,-10))+IF($G118=Home!$E$7,15,IF(Home!$E$7="",0,-5))-ROW()/100000)))</f>
        <v/>
      </c>
      <c r="O118" s="5">
        <f>IF($D118="","",IF($N118&lt;=-500,"Not recommended right now",IF($E118="Waiting","Nothing else actionable right now — Waiting on: "&amp;IF($K118="","this item",$K118),MID($V118,4,9999))))</f>
        <v/>
      </c>
      <c r="P118" s="5">
        <f>IF($D118="","",IF('Task Finder'!$C$6="High Priority",AND($F118="High",$E118&lt;&gt;"Done",$E118&lt;&gt;"Archive"),IF('Task Finder'!$C$6="Due This Week",AND($I118&lt;&gt;"",$I118&gt;=TODAY(),$I118&lt;=TODAY()+7,$E118&lt;&gt;"Done"),IF('Task Finder'!$C$6="Quick Wins (15 mins or less)",AND($M118&lt;=15,$E118&lt;&gt;"Done",$E118&lt;&gt;"Blocked"),IF('Task Finder'!$C$6="Deep Thinking",AND($G118="Deep Thinking",$E118&lt;&gt;"Done"),IF('Task Finder'!$C$6="Processing",AND($G118="Processing",$E118&lt;&gt;"Done"),IF('Task Finder'!$C$6="Blocked",$E118="Blocked",IF('Task Finder'!$C$6="Waiting",$E118="Waiting",IF('Task Finder'!$C$6="Recently Updated",AND($L118&lt;&gt;"",$L118&gt;=TODAY()-7),IF('Task Finder'!$C$6="Keyword",AND('Task Finder'!$C$7&lt;&gt;"",OR(ISNUMBER(SEARCH('Task Finder'!$C$7,$A118)),ISNUMBER(SEARCH('Task Finder'!$C$7,$B118)),ISNUMBER(SEARCH('Task Finder'!$C$7,$C118)),ISNUMBER(SEARCH('Task Finder'!$C$7,$D118)),ISNUMBER(SEARCH('Task Finder'!$C$7,$K118)))),TRUE))))))))))</f>
        <v/>
      </c>
      <c r="Q118" s="150">
        <f>IF($F118="High","High Priority","")</f>
        <v/>
      </c>
      <c r="R118" s="150">
        <f>IF(AND($I118&lt;&gt;"",$I118&lt;TODAY()),"Overdue","")</f>
        <v/>
      </c>
      <c r="S118" s="150">
        <f>IF(AND($I118&lt;&gt;"",$I118&gt;=TODAY(),$I118&lt;=TODAY()+7),"Due This Week","")</f>
        <v/>
      </c>
      <c r="T118" s="150">
        <f>IF(AND($H118&lt;&gt;"",$M118&lt;=VLOOKUP(Home!$C$7,Lists!$N$2:$O$6,2,FALSE)),$H118&amp;" Task","")</f>
        <v/>
      </c>
      <c r="U118" s="150">
        <f>IF($G118=Home!$E$7,"Fits Current Energy","")</f>
        <v/>
      </c>
      <c r="V118" s="150">
        <f>IF($Q118&lt;&gt;""," • "&amp;$Q118,"")&amp;IF($R118&lt;&gt;""," • "&amp;$R118,"")&amp;IF($S118&lt;&gt;""," • "&amp;$S118,"")&amp;IF($T118&lt;&gt;""," • "&amp;$T118,"")&amp;IF($U118&lt;&gt;""," • "&amp;$U118,"")&amp;" • No Blockers"</f>
        <v/>
      </c>
    </row>
    <row r="119">
      <c r="A119" s="19" t="n"/>
      <c r="B119" s="19" t="n"/>
      <c r="C119" s="19" t="n"/>
      <c r="D119" s="19" t="n"/>
      <c r="E119" s="19" t="n"/>
      <c r="F119" s="19" t="n"/>
      <c r="G119" s="19" t="n"/>
      <c r="H119" s="19" t="n"/>
      <c r="I119" s="19" t="n"/>
      <c r="J119" s="19" t="n"/>
      <c r="K119" s="19" t="n"/>
      <c r="L119" s="35" t="n"/>
      <c r="M119" s="5">
        <f>IF($D119="","",IFERROR(VLOOKUP($H119,Lists!$N$2:$O$6,2,FALSE),0))</f>
        <v/>
      </c>
      <c r="N119" s="5">
        <f>IF($D119="","",IF(OR($E119="Blocked",$E119="Done",$E119="Archive"),-9999,IF(AND($E119="Waiting",SUMPRODUCT((($E$5:$E$500="Next")+($E$5:$E$500="In Progress")+($E$5:$E$500="Captured"))*($D$5:$D$500&lt;&gt;""))&gt;0),-500,VLOOKUP($F119,Lists!$L$2:$M$4,2,FALSE)+IF($E119="In Progress",10,0)+IF(AND($I119&lt;&gt;"",$I119&lt;TODAY()),25,0)+IF(AND($I119&lt;&gt;"",$I119&gt;=TODAY(),$I119&lt;=TODAY()+7),15,0)+IF($H119="",0,IF($M119&lt;=VLOOKUP(Home!$C$7,Lists!$N$2:$O$6,2,FALSE),20,-10))+IF($G119=Home!$E$7,15,IF(Home!$E$7="",0,-5))-ROW()/100000)))</f>
        <v/>
      </c>
      <c r="O119" s="5">
        <f>IF($D119="","",IF($N119&lt;=-500,"Not recommended right now",IF($E119="Waiting","Nothing else actionable right now — Waiting on: "&amp;IF($K119="","this item",$K119),MID($V119,4,9999))))</f>
        <v/>
      </c>
      <c r="P119" s="5">
        <f>IF($D119="","",IF('Task Finder'!$C$6="High Priority",AND($F119="High",$E119&lt;&gt;"Done",$E119&lt;&gt;"Archive"),IF('Task Finder'!$C$6="Due This Week",AND($I119&lt;&gt;"",$I119&gt;=TODAY(),$I119&lt;=TODAY()+7,$E119&lt;&gt;"Done"),IF('Task Finder'!$C$6="Quick Wins (15 mins or less)",AND($M119&lt;=15,$E119&lt;&gt;"Done",$E119&lt;&gt;"Blocked"),IF('Task Finder'!$C$6="Deep Thinking",AND($G119="Deep Thinking",$E119&lt;&gt;"Done"),IF('Task Finder'!$C$6="Processing",AND($G119="Processing",$E119&lt;&gt;"Done"),IF('Task Finder'!$C$6="Blocked",$E119="Blocked",IF('Task Finder'!$C$6="Waiting",$E119="Waiting",IF('Task Finder'!$C$6="Recently Updated",AND($L119&lt;&gt;"",$L119&gt;=TODAY()-7),IF('Task Finder'!$C$6="Keyword",AND('Task Finder'!$C$7&lt;&gt;"",OR(ISNUMBER(SEARCH('Task Finder'!$C$7,$A119)),ISNUMBER(SEARCH('Task Finder'!$C$7,$B119)),ISNUMBER(SEARCH('Task Finder'!$C$7,$C119)),ISNUMBER(SEARCH('Task Finder'!$C$7,$D119)),ISNUMBER(SEARCH('Task Finder'!$C$7,$K119)))),TRUE))))))))))</f>
        <v/>
      </c>
      <c r="Q119" s="150">
        <f>IF($F119="High","High Priority","")</f>
        <v/>
      </c>
      <c r="R119" s="150">
        <f>IF(AND($I119&lt;&gt;"",$I119&lt;TODAY()),"Overdue","")</f>
        <v/>
      </c>
      <c r="S119" s="150">
        <f>IF(AND($I119&lt;&gt;"",$I119&gt;=TODAY(),$I119&lt;=TODAY()+7),"Due This Week","")</f>
        <v/>
      </c>
      <c r="T119" s="150">
        <f>IF(AND($H119&lt;&gt;"",$M119&lt;=VLOOKUP(Home!$C$7,Lists!$N$2:$O$6,2,FALSE)),$H119&amp;" Task","")</f>
        <v/>
      </c>
      <c r="U119" s="150">
        <f>IF($G119=Home!$E$7,"Fits Current Energy","")</f>
        <v/>
      </c>
      <c r="V119" s="150">
        <f>IF($Q119&lt;&gt;""," • "&amp;$Q119,"")&amp;IF($R119&lt;&gt;""," • "&amp;$R119,"")&amp;IF($S119&lt;&gt;""," • "&amp;$S119,"")&amp;IF($T119&lt;&gt;""," • "&amp;$T119,"")&amp;IF($U119&lt;&gt;""," • "&amp;$U119,"")&amp;" • No Blockers"</f>
        <v/>
      </c>
    </row>
    <row r="120">
      <c r="A120" s="19" t="n"/>
      <c r="B120" s="19" t="n"/>
      <c r="C120" s="19" t="n"/>
      <c r="D120" s="19" t="n"/>
      <c r="E120" s="19" t="n"/>
      <c r="F120" s="19" t="n"/>
      <c r="G120" s="19" t="n"/>
      <c r="H120" s="19" t="n"/>
      <c r="I120" s="19" t="n"/>
      <c r="J120" s="19" t="n"/>
      <c r="K120" s="19" t="n"/>
      <c r="L120" s="35" t="n"/>
      <c r="M120" s="5">
        <f>IF($D120="","",IFERROR(VLOOKUP($H120,Lists!$N$2:$O$6,2,FALSE),0))</f>
        <v/>
      </c>
      <c r="N120" s="5">
        <f>IF($D120="","",IF(OR($E120="Blocked",$E120="Done",$E120="Archive"),-9999,IF(AND($E120="Waiting",SUMPRODUCT((($E$5:$E$500="Next")+($E$5:$E$500="In Progress")+($E$5:$E$500="Captured"))*($D$5:$D$500&lt;&gt;""))&gt;0),-500,VLOOKUP($F120,Lists!$L$2:$M$4,2,FALSE)+IF($E120="In Progress",10,0)+IF(AND($I120&lt;&gt;"",$I120&lt;TODAY()),25,0)+IF(AND($I120&lt;&gt;"",$I120&gt;=TODAY(),$I120&lt;=TODAY()+7),15,0)+IF($H120="",0,IF($M120&lt;=VLOOKUP(Home!$C$7,Lists!$N$2:$O$6,2,FALSE),20,-10))+IF($G120=Home!$E$7,15,IF(Home!$E$7="",0,-5))-ROW()/100000)))</f>
        <v/>
      </c>
      <c r="O120" s="5">
        <f>IF($D120="","",IF($N120&lt;=-500,"Not recommended right now",IF($E120="Waiting","Nothing else actionable right now — Waiting on: "&amp;IF($K120="","this item",$K120),MID($V120,4,9999))))</f>
        <v/>
      </c>
      <c r="P120" s="5">
        <f>IF($D120="","",IF('Task Finder'!$C$6="High Priority",AND($F120="High",$E120&lt;&gt;"Done",$E120&lt;&gt;"Archive"),IF('Task Finder'!$C$6="Due This Week",AND($I120&lt;&gt;"",$I120&gt;=TODAY(),$I120&lt;=TODAY()+7,$E120&lt;&gt;"Done"),IF('Task Finder'!$C$6="Quick Wins (15 mins or less)",AND($M120&lt;=15,$E120&lt;&gt;"Done",$E120&lt;&gt;"Blocked"),IF('Task Finder'!$C$6="Deep Thinking",AND($G120="Deep Thinking",$E120&lt;&gt;"Done"),IF('Task Finder'!$C$6="Processing",AND($G120="Processing",$E120&lt;&gt;"Done"),IF('Task Finder'!$C$6="Blocked",$E120="Blocked",IF('Task Finder'!$C$6="Waiting",$E120="Waiting",IF('Task Finder'!$C$6="Recently Updated",AND($L120&lt;&gt;"",$L120&gt;=TODAY()-7),IF('Task Finder'!$C$6="Keyword",AND('Task Finder'!$C$7&lt;&gt;"",OR(ISNUMBER(SEARCH('Task Finder'!$C$7,$A120)),ISNUMBER(SEARCH('Task Finder'!$C$7,$B120)),ISNUMBER(SEARCH('Task Finder'!$C$7,$C120)),ISNUMBER(SEARCH('Task Finder'!$C$7,$D120)),ISNUMBER(SEARCH('Task Finder'!$C$7,$K120)))),TRUE))))))))))</f>
        <v/>
      </c>
      <c r="Q120" s="150">
        <f>IF($F120="High","High Priority","")</f>
        <v/>
      </c>
      <c r="R120" s="150">
        <f>IF(AND($I120&lt;&gt;"",$I120&lt;TODAY()),"Overdue","")</f>
        <v/>
      </c>
      <c r="S120" s="150">
        <f>IF(AND($I120&lt;&gt;"",$I120&gt;=TODAY(),$I120&lt;=TODAY()+7),"Due This Week","")</f>
        <v/>
      </c>
      <c r="T120" s="150">
        <f>IF(AND($H120&lt;&gt;"",$M120&lt;=VLOOKUP(Home!$C$7,Lists!$N$2:$O$6,2,FALSE)),$H120&amp;" Task","")</f>
        <v/>
      </c>
      <c r="U120" s="150">
        <f>IF($G120=Home!$E$7,"Fits Current Energy","")</f>
        <v/>
      </c>
      <c r="V120" s="150">
        <f>IF($Q120&lt;&gt;""," • "&amp;$Q120,"")&amp;IF($R120&lt;&gt;""," • "&amp;$R120,"")&amp;IF($S120&lt;&gt;""," • "&amp;$S120,"")&amp;IF($T120&lt;&gt;""," • "&amp;$T120,"")&amp;IF($U120&lt;&gt;""," • "&amp;$U120,"")&amp;" • No Blockers"</f>
        <v/>
      </c>
    </row>
    <row r="121">
      <c r="A121" s="19" t="n"/>
      <c r="B121" s="19" t="n"/>
      <c r="C121" s="19" t="n"/>
      <c r="D121" s="19" t="n"/>
      <c r="E121" s="19" t="n"/>
      <c r="F121" s="19" t="n"/>
      <c r="G121" s="19" t="n"/>
      <c r="H121" s="19" t="n"/>
      <c r="I121" s="19" t="n"/>
      <c r="J121" s="19" t="n"/>
      <c r="K121" s="19" t="n"/>
      <c r="L121" s="35" t="n"/>
      <c r="M121" s="5">
        <f>IF($D121="","",IFERROR(VLOOKUP($H121,Lists!$N$2:$O$6,2,FALSE),0))</f>
        <v/>
      </c>
      <c r="N121" s="5">
        <f>IF($D121="","",IF(OR($E121="Blocked",$E121="Done",$E121="Archive"),-9999,IF(AND($E121="Waiting",SUMPRODUCT((($E$5:$E$500="Next")+($E$5:$E$500="In Progress")+($E$5:$E$500="Captured"))*($D$5:$D$500&lt;&gt;""))&gt;0),-500,VLOOKUP($F121,Lists!$L$2:$M$4,2,FALSE)+IF($E121="In Progress",10,0)+IF(AND($I121&lt;&gt;"",$I121&lt;TODAY()),25,0)+IF(AND($I121&lt;&gt;"",$I121&gt;=TODAY(),$I121&lt;=TODAY()+7),15,0)+IF($H121="",0,IF($M121&lt;=VLOOKUP(Home!$C$7,Lists!$N$2:$O$6,2,FALSE),20,-10))+IF($G121=Home!$E$7,15,IF(Home!$E$7="",0,-5))-ROW()/100000)))</f>
        <v/>
      </c>
      <c r="O121" s="5">
        <f>IF($D121="","",IF($N121&lt;=-500,"Not recommended right now",IF($E121="Waiting","Nothing else actionable right now — Waiting on: "&amp;IF($K121="","this item",$K121),MID($V121,4,9999))))</f>
        <v/>
      </c>
      <c r="P121" s="5">
        <f>IF($D121="","",IF('Task Finder'!$C$6="High Priority",AND($F121="High",$E121&lt;&gt;"Done",$E121&lt;&gt;"Archive"),IF('Task Finder'!$C$6="Due This Week",AND($I121&lt;&gt;"",$I121&gt;=TODAY(),$I121&lt;=TODAY()+7,$E121&lt;&gt;"Done"),IF('Task Finder'!$C$6="Quick Wins (15 mins or less)",AND($M121&lt;=15,$E121&lt;&gt;"Done",$E121&lt;&gt;"Blocked"),IF('Task Finder'!$C$6="Deep Thinking",AND($G121="Deep Thinking",$E121&lt;&gt;"Done"),IF('Task Finder'!$C$6="Processing",AND($G121="Processing",$E121&lt;&gt;"Done"),IF('Task Finder'!$C$6="Blocked",$E121="Blocked",IF('Task Finder'!$C$6="Waiting",$E121="Waiting",IF('Task Finder'!$C$6="Recently Updated",AND($L121&lt;&gt;"",$L121&gt;=TODAY()-7),IF('Task Finder'!$C$6="Keyword",AND('Task Finder'!$C$7&lt;&gt;"",OR(ISNUMBER(SEARCH('Task Finder'!$C$7,$A121)),ISNUMBER(SEARCH('Task Finder'!$C$7,$B121)),ISNUMBER(SEARCH('Task Finder'!$C$7,$C121)),ISNUMBER(SEARCH('Task Finder'!$C$7,$D121)),ISNUMBER(SEARCH('Task Finder'!$C$7,$K121)))),TRUE))))))))))</f>
        <v/>
      </c>
      <c r="Q121" s="150">
        <f>IF($F121="High","High Priority","")</f>
        <v/>
      </c>
      <c r="R121" s="150">
        <f>IF(AND($I121&lt;&gt;"",$I121&lt;TODAY()),"Overdue","")</f>
        <v/>
      </c>
      <c r="S121" s="150">
        <f>IF(AND($I121&lt;&gt;"",$I121&gt;=TODAY(),$I121&lt;=TODAY()+7),"Due This Week","")</f>
        <v/>
      </c>
      <c r="T121" s="150">
        <f>IF(AND($H121&lt;&gt;"",$M121&lt;=VLOOKUP(Home!$C$7,Lists!$N$2:$O$6,2,FALSE)),$H121&amp;" Task","")</f>
        <v/>
      </c>
      <c r="U121" s="150">
        <f>IF($G121=Home!$E$7,"Fits Current Energy","")</f>
        <v/>
      </c>
      <c r="V121" s="150">
        <f>IF($Q121&lt;&gt;""," • "&amp;$Q121,"")&amp;IF($R121&lt;&gt;""," • "&amp;$R121,"")&amp;IF($S121&lt;&gt;""," • "&amp;$S121,"")&amp;IF($T121&lt;&gt;""," • "&amp;$T121,"")&amp;IF($U121&lt;&gt;""," • "&amp;$U121,"")&amp;" • No Blockers"</f>
        <v/>
      </c>
    </row>
    <row r="122">
      <c r="A122" s="19" t="n"/>
      <c r="B122" s="19" t="n"/>
      <c r="C122" s="19" t="n"/>
      <c r="D122" s="19" t="n"/>
      <c r="E122" s="19" t="n"/>
      <c r="F122" s="19" t="n"/>
      <c r="G122" s="19" t="n"/>
      <c r="H122" s="19" t="n"/>
      <c r="I122" s="19" t="n"/>
      <c r="J122" s="19" t="n"/>
      <c r="K122" s="19" t="n"/>
      <c r="L122" s="35" t="n"/>
      <c r="M122" s="5">
        <f>IF($D122="","",IFERROR(VLOOKUP($H122,Lists!$N$2:$O$6,2,FALSE),0))</f>
        <v/>
      </c>
      <c r="N122" s="5">
        <f>IF($D122="","",IF(OR($E122="Blocked",$E122="Done",$E122="Archive"),-9999,IF(AND($E122="Waiting",SUMPRODUCT((($E$5:$E$500="Next")+($E$5:$E$500="In Progress")+($E$5:$E$500="Captured"))*($D$5:$D$500&lt;&gt;""))&gt;0),-500,VLOOKUP($F122,Lists!$L$2:$M$4,2,FALSE)+IF($E122="In Progress",10,0)+IF(AND($I122&lt;&gt;"",$I122&lt;TODAY()),25,0)+IF(AND($I122&lt;&gt;"",$I122&gt;=TODAY(),$I122&lt;=TODAY()+7),15,0)+IF($H122="",0,IF($M122&lt;=VLOOKUP(Home!$C$7,Lists!$N$2:$O$6,2,FALSE),20,-10))+IF($G122=Home!$E$7,15,IF(Home!$E$7="",0,-5))-ROW()/100000)))</f>
        <v/>
      </c>
      <c r="O122" s="5">
        <f>IF($D122="","",IF($N122&lt;=-500,"Not recommended right now",IF($E122="Waiting","Nothing else actionable right now — Waiting on: "&amp;IF($K122="","this item",$K122),MID($V122,4,9999))))</f>
        <v/>
      </c>
      <c r="P122" s="5">
        <f>IF($D122="","",IF('Task Finder'!$C$6="High Priority",AND($F122="High",$E122&lt;&gt;"Done",$E122&lt;&gt;"Archive"),IF('Task Finder'!$C$6="Due This Week",AND($I122&lt;&gt;"",$I122&gt;=TODAY(),$I122&lt;=TODAY()+7,$E122&lt;&gt;"Done"),IF('Task Finder'!$C$6="Quick Wins (15 mins or less)",AND($M122&lt;=15,$E122&lt;&gt;"Done",$E122&lt;&gt;"Blocked"),IF('Task Finder'!$C$6="Deep Thinking",AND($G122="Deep Thinking",$E122&lt;&gt;"Done"),IF('Task Finder'!$C$6="Processing",AND($G122="Processing",$E122&lt;&gt;"Done"),IF('Task Finder'!$C$6="Blocked",$E122="Blocked",IF('Task Finder'!$C$6="Waiting",$E122="Waiting",IF('Task Finder'!$C$6="Recently Updated",AND($L122&lt;&gt;"",$L122&gt;=TODAY()-7),IF('Task Finder'!$C$6="Keyword",AND('Task Finder'!$C$7&lt;&gt;"",OR(ISNUMBER(SEARCH('Task Finder'!$C$7,$A122)),ISNUMBER(SEARCH('Task Finder'!$C$7,$B122)),ISNUMBER(SEARCH('Task Finder'!$C$7,$C122)),ISNUMBER(SEARCH('Task Finder'!$C$7,$D122)),ISNUMBER(SEARCH('Task Finder'!$C$7,$K122)))),TRUE))))))))))</f>
        <v/>
      </c>
      <c r="Q122" s="150">
        <f>IF($F122="High","High Priority","")</f>
        <v/>
      </c>
      <c r="R122" s="150">
        <f>IF(AND($I122&lt;&gt;"",$I122&lt;TODAY()),"Overdue","")</f>
        <v/>
      </c>
      <c r="S122" s="150">
        <f>IF(AND($I122&lt;&gt;"",$I122&gt;=TODAY(),$I122&lt;=TODAY()+7),"Due This Week","")</f>
        <v/>
      </c>
      <c r="T122" s="150">
        <f>IF(AND($H122&lt;&gt;"",$M122&lt;=VLOOKUP(Home!$C$7,Lists!$N$2:$O$6,2,FALSE)),$H122&amp;" Task","")</f>
        <v/>
      </c>
      <c r="U122" s="150">
        <f>IF($G122=Home!$E$7,"Fits Current Energy","")</f>
        <v/>
      </c>
      <c r="V122" s="150">
        <f>IF($Q122&lt;&gt;""," • "&amp;$Q122,"")&amp;IF($R122&lt;&gt;""," • "&amp;$R122,"")&amp;IF($S122&lt;&gt;""," • "&amp;$S122,"")&amp;IF($T122&lt;&gt;""," • "&amp;$T122,"")&amp;IF($U122&lt;&gt;""," • "&amp;$U122,"")&amp;" • No Blockers"</f>
        <v/>
      </c>
    </row>
    <row r="123">
      <c r="A123" s="19" t="n"/>
      <c r="B123" s="19" t="n"/>
      <c r="C123" s="19" t="n"/>
      <c r="D123" s="19" t="n"/>
      <c r="E123" s="19" t="n"/>
      <c r="F123" s="19" t="n"/>
      <c r="G123" s="19" t="n"/>
      <c r="H123" s="19" t="n"/>
      <c r="I123" s="19" t="n"/>
      <c r="J123" s="19" t="n"/>
      <c r="K123" s="19" t="n"/>
      <c r="L123" s="35" t="n"/>
      <c r="M123" s="5">
        <f>IF($D123="","",IFERROR(VLOOKUP($H123,Lists!$N$2:$O$6,2,FALSE),0))</f>
        <v/>
      </c>
      <c r="N123" s="5">
        <f>IF($D123="","",IF(OR($E123="Blocked",$E123="Done",$E123="Archive"),-9999,IF(AND($E123="Waiting",SUMPRODUCT((($E$5:$E$500="Next")+($E$5:$E$500="In Progress")+($E$5:$E$500="Captured"))*($D$5:$D$500&lt;&gt;""))&gt;0),-500,VLOOKUP($F123,Lists!$L$2:$M$4,2,FALSE)+IF($E123="In Progress",10,0)+IF(AND($I123&lt;&gt;"",$I123&lt;TODAY()),25,0)+IF(AND($I123&lt;&gt;"",$I123&gt;=TODAY(),$I123&lt;=TODAY()+7),15,0)+IF($H123="",0,IF($M123&lt;=VLOOKUP(Home!$C$7,Lists!$N$2:$O$6,2,FALSE),20,-10))+IF($G123=Home!$E$7,15,IF(Home!$E$7="",0,-5))-ROW()/100000)))</f>
        <v/>
      </c>
      <c r="O123" s="5">
        <f>IF($D123="","",IF($N123&lt;=-500,"Not recommended right now",IF($E123="Waiting","Nothing else actionable right now — Waiting on: "&amp;IF($K123="","this item",$K123),MID($V123,4,9999))))</f>
        <v/>
      </c>
      <c r="P123" s="5">
        <f>IF($D123="","",IF('Task Finder'!$C$6="High Priority",AND($F123="High",$E123&lt;&gt;"Done",$E123&lt;&gt;"Archive"),IF('Task Finder'!$C$6="Due This Week",AND($I123&lt;&gt;"",$I123&gt;=TODAY(),$I123&lt;=TODAY()+7,$E123&lt;&gt;"Done"),IF('Task Finder'!$C$6="Quick Wins (15 mins or less)",AND($M123&lt;=15,$E123&lt;&gt;"Done",$E123&lt;&gt;"Blocked"),IF('Task Finder'!$C$6="Deep Thinking",AND($G123="Deep Thinking",$E123&lt;&gt;"Done"),IF('Task Finder'!$C$6="Processing",AND($G123="Processing",$E123&lt;&gt;"Done"),IF('Task Finder'!$C$6="Blocked",$E123="Blocked",IF('Task Finder'!$C$6="Waiting",$E123="Waiting",IF('Task Finder'!$C$6="Recently Updated",AND($L123&lt;&gt;"",$L123&gt;=TODAY()-7),IF('Task Finder'!$C$6="Keyword",AND('Task Finder'!$C$7&lt;&gt;"",OR(ISNUMBER(SEARCH('Task Finder'!$C$7,$A123)),ISNUMBER(SEARCH('Task Finder'!$C$7,$B123)),ISNUMBER(SEARCH('Task Finder'!$C$7,$C123)),ISNUMBER(SEARCH('Task Finder'!$C$7,$D123)),ISNUMBER(SEARCH('Task Finder'!$C$7,$K123)))),TRUE))))))))))</f>
        <v/>
      </c>
      <c r="Q123" s="150">
        <f>IF($F123="High","High Priority","")</f>
        <v/>
      </c>
      <c r="R123" s="150">
        <f>IF(AND($I123&lt;&gt;"",$I123&lt;TODAY()),"Overdue","")</f>
        <v/>
      </c>
      <c r="S123" s="150">
        <f>IF(AND($I123&lt;&gt;"",$I123&gt;=TODAY(),$I123&lt;=TODAY()+7),"Due This Week","")</f>
        <v/>
      </c>
      <c r="T123" s="150">
        <f>IF(AND($H123&lt;&gt;"",$M123&lt;=VLOOKUP(Home!$C$7,Lists!$N$2:$O$6,2,FALSE)),$H123&amp;" Task","")</f>
        <v/>
      </c>
      <c r="U123" s="150">
        <f>IF($G123=Home!$E$7,"Fits Current Energy","")</f>
        <v/>
      </c>
      <c r="V123" s="150">
        <f>IF($Q123&lt;&gt;""," • "&amp;$Q123,"")&amp;IF($R123&lt;&gt;""," • "&amp;$R123,"")&amp;IF($S123&lt;&gt;""," • "&amp;$S123,"")&amp;IF($T123&lt;&gt;""," • "&amp;$T123,"")&amp;IF($U123&lt;&gt;""," • "&amp;$U123,"")&amp;" • No Blockers"</f>
        <v/>
      </c>
    </row>
    <row r="124">
      <c r="A124" s="19" t="n"/>
      <c r="B124" s="19" t="n"/>
      <c r="C124" s="19" t="n"/>
      <c r="D124" s="19" t="n"/>
      <c r="E124" s="19" t="n"/>
      <c r="F124" s="19" t="n"/>
      <c r="G124" s="19" t="n"/>
      <c r="H124" s="19" t="n"/>
      <c r="I124" s="19" t="n"/>
      <c r="J124" s="19" t="n"/>
      <c r="K124" s="19" t="n"/>
      <c r="L124" s="35" t="n"/>
      <c r="M124" s="5">
        <f>IF($D124="","",IFERROR(VLOOKUP($H124,Lists!$N$2:$O$6,2,FALSE),0))</f>
        <v/>
      </c>
      <c r="N124" s="5">
        <f>IF($D124="","",IF(OR($E124="Blocked",$E124="Done",$E124="Archive"),-9999,IF(AND($E124="Waiting",SUMPRODUCT((($E$5:$E$500="Next")+($E$5:$E$500="In Progress")+($E$5:$E$500="Captured"))*($D$5:$D$500&lt;&gt;""))&gt;0),-500,VLOOKUP($F124,Lists!$L$2:$M$4,2,FALSE)+IF($E124="In Progress",10,0)+IF(AND($I124&lt;&gt;"",$I124&lt;TODAY()),25,0)+IF(AND($I124&lt;&gt;"",$I124&gt;=TODAY(),$I124&lt;=TODAY()+7),15,0)+IF($H124="",0,IF($M124&lt;=VLOOKUP(Home!$C$7,Lists!$N$2:$O$6,2,FALSE),20,-10))+IF($G124=Home!$E$7,15,IF(Home!$E$7="",0,-5))-ROW()/100000)))</f>
        <v/>
      </c>
      <c r="O124" s="5">
        <f>IF($D124="","",IF($N124&lt;=-500,"Not recommended right now",IF($E124="Waiting","Nothing else actionable right now — Waiting on: "&amp;IF($K124="","this item",$K124),MID($V124,4,9999))))</f>
        <v/>
      </c>
      <c r="P124" s="5">
        <f>IF($D124="","",IF('Task Finder'!$C$6="High Priority",AND($F124="High",$E124&lt;&gt;"Done",$E124&lt;&gt;"Archive"),IF('Task Finder'!$C$6="Due This Week",AND($I124&lt;&gt;"",$I124&gt;=TODAY(),$I124&lt;=TODAY()+7,$E124&lt;&gt;"Done"),IF('Task Finder'!$C$6="Quick Wins (15 mins or less)",AND($M124&lt;=15,$E124&lt;&gt;"Done",$E124&lt;&gt;"Blocked"),IF('Task Finder'!$C$6="Deep Thinking",AND($G124="Deep Thinking",$E124&lt;&gt;"Done"),IF('Task Finder'!$C$6="Processing",AND($G124="Processing",$E124&lt;&gt;"Done"),IF('Task Finder'!$C$6="Blocked",$E124="Blocked",IF('Task Finder'!$C$6="Waiting",$E124="Waiting",IF('Task Finder'!$C$6="Recently Updated",AND($L124&lt;&gt;"",$L124&gt;=TODAY()-7),IF('Task Finder'!$C$6="Keyword",AND('Task Finder'!$C$7&lt;&gt;"",OR(ISNUMBER(SEARCH('Task Finder'!$C$7,$A124)),ISNUMBER(SEARCH('Task Finder'!$C$7,$B124)),ISNUMBER(SEARCH('Task Finder'!$C$7,$C124)),ISNUMBER(SEARCH('Task Finder'!$C$7,$D124)),ISNUMBER(SEARCH('Task Finder'!$C$7,$K124)))),TRUE))))))))))</f>
        <v/>
      </c>
      <c r="Q124" s="150">
        <f>IF($F124="High","High Priority","")</f>
        <v/>
      </c>
      <c r="R124" s="150">
        <f>IF(AND($I124&lt;&gt;"",$I124&lt;TODAY()),"Overdue","")</f>
        <v/>
      </c>
      <c r="S124" s="150">
        <f>IF(AND($I124&lt;&gt;"",$I124&gt;=TODAY(),$I124&lt;=TODAY()+7),"Due This Week","")</f>
        <v/>
      </c>
      <c r="T124" s="150">
        <f>IF(AND($H124&lt;&gt;"",$M124&lt;=VLOOKUP(Home!$C$7,Lists!$N$2:$O$6,2,FALSE)),$H124&amp;" Task","")</f>
        <v/>
      </c>
      <c r="U124" s="150">
        <f>IF($G124=Home!$E$7,"Fits Current Energy","")</f>
        <v/>
      </c>
      <c r="V124" s="150">
        <f>IF($Q124&lt;&gt;""," • "&amp;$Q124,"")&amp;IF($R124&lt;&gt;""," • "&amp;$R124,"")&amp;IF($S124&lt;&gt;""," • "&amp;$S124,"")&amp;IF($T124&lt;&gt;""," • "&amp;$T124,"")&amp;IF($U124&lt;&gt;""," • "&amp;$U124,"")&amp;" • No Blockers"</f>
        <v/>
      </c>
    </row>
    <row r="125">
      <c r="A125" s="19" t="n"/>
      <c r="B125" s="19" t="n"/>
      <c r="C125" s="19" t="n"/>
      <c r="D125" s="19" t="n"/>
      <c r="E125" s="19" t="n"/>
      <c r="F125" s="19" t="n"/>
      <c r="G125" s="19" t="n"/>
      <c r="H125" s="19" t="n"/>
      <c r="I125" s="19" t="n"/>
      <c r="J125" s="19" t="n"/>
      <c r="K125" s="19" t="n"/>
      <c r="L125" s="35" t="n"/>
      <c r="M125" s="5">
        <f>IF($D125="","",IFERROR(VLOOKUP($H125,Lists!$N$2:$O$6,2,FALSE),0))</f>
        <v/>
      </c>
      <c r="N125" s="5">
        <f>IF($D125="","",IF(OR($E125="Blocked",$E125="Done",$E125="Archive"),-9999,IF(AND($E125="Waiting",SUMPRODUCT((($E$5:$E$500="Next")+($E$5:$E$500="In Progress")+($E$5:$E$500="Captured"))*($D$5:$D$500&lt;&gt;""))&gt;0),-500,VLOOKUP($F125,Lists!$L$2:$M$4,2,FALSE)+IF($E125="In Progress",10,0)+IF(AND($I125&lt;&gt;"",$I125&lt;TODAY()),25,0)+IF(AND($I125&lt;&gt;"",$I125&gt;=TODAY(),$I125&lt;=TODAY()+7),15,0)+IF($H125="",0,IF($M125&lt;=VLOOKUP(Home!$C$7,Lists!$N$2:$O$6,2,FALSE),20,-10))+IF($G125=Home!$E$7,15,IF(Home!$E$7="",0,-5))-ROW()/100000)))</f>
        <v/>
      </c>
      <c r="O125" s="5">
        <f>IF($D125="","",IF($N125&lt;=-500,"Not recommended right now",IF($E125="Waiting","Nothing else actionable right now — Waiting on: "&amp;IF($K125="","this item",$K125),MID($V125,4,9999))))</f>
        <v/>
      </c>
      <c r="P125" s="5">
        <f>IF($D125="","",IF('Task Finder'!$C$6="High Priority",AND($F125="High",$E125&lt;&gt;"Done",$E125&lt;&gt;"Archive"),IF('Task Finder'!$C$6="Due This Week",AND($I125&lt;&gt;"",$I125&gt;=TODAY(),$I125&lt;=TODAY()+7,$E125&lt;&gt;"Done"),IF('Task Finder'!$C$6="Quick Wins (15 mins or less)",AND($M125&lt;=15,$E125&lt;&gt;"Done",$E125&lt;&gt;"Blocked"),IF('Task Finder'!$C$6="Deep Thinking",AND($G125="Deep Thinking",$E125&lt;&gt;"Done"),IF('Task Finder'!$C$6="Processing",AND($G125="Processing",$E125&lt;&gt;"Done"),IF('Task Finder'!$C$6="Blocked",$E125="Blocked",IF('Task Finder'!$C$6="Waiting",$E125="Waiting",IF('Task Finder'!$C$6="Recently Updated",AND($L125&lt;&gt;"",$L125&gt;=TODAY()-7),IF('Task Finder'!$C$6="Keyword",AND('Task Finder'!$C$7&lt;&gt;"",OR(ISNUMBER(SEARCH('Task Finder'!$C$7,$A125)),ISNUMBER(SEARCH('Task Finder'!$C$7,$B125)),ISNUMBER(SEARCH('Task Finder'!$C$7,$C125)),ISNUMBER(SEARCH('Task Finder'!$C$7,$D125)),ISNUMBER(SEARCH('Task Finder'!$C$7,$K125)))),TRUE))))))))))</f>
        <v/>
      </c>
      <c r="Q125" s="150">
        <f>IF($F125="High","High Priority","")</f>
        <v/>
      </c>
      <c r="R125" s="150">
        <f>IF(AND($I125&lt;&gt;"",$I125&lt;TODAY()),"Overdue","")</f>
        <v/>
      </c>
      <c r="S125" s="150">
        <f>IF(AND($I125&lt;&gt;"",$I125&gt;=TODAY(),$I125&lt;=TODAY()+7),"Due This Week","")</f>
        <v/>
      </c>
      <c r="T125" s="150">
        <f>IF(AND($H125&lt;&gt;"",$M125&lt;=VLOOKUP(Home!$C$7,Lists!$N$2:$O$6,2,FALSE)),$H125&amp;" Task","")</f>
        <v/>
      </c>
      <c r="U125" s="150">
        <f>IF($G125=Home!$E$7,"Fits Current Energy","")</f>
        <v/>
      </c>
      <c r="V125" s="150">
        <f>IF($Q125&lt;&gt;""," • "&amp;$Q125,"")&amp;IF($R125&lt;&gt;""," • "&amp;$R125,"")&amp;IF($S125&lt;&gt;""," • "&amp;$S125,"")&amp;IF($T125&lt;&gt;""," • "&amp;$T125,"")&amp;IF($U125&lt;&gt;""," • "&amp;$U125,"")&amp;" • No Blockers"</f>
        <v/>
      </c>
    </row>
    <row r="126">
      <c r="A126" s="19" t="n"/>
      <c r="B126" s="19" t="n"/>
      <c r="C126" s="19" t="n"/>
      <c r="D126" s="19" t="n"/>
      <c r="E126" s="19" t="n"/>
      <c r="F126" s="19" t="n"/>
      <c r="G126" s="19" t="n"/>
      <c r="H126" s="19" t="n"/>
      <c r="I126" s="19" t="n"/>
      <c r="J126" s="19" t="n"/>
      <c r="K126" s="19" t="n"/>
      <c r="L126" s="35" t="n"/>
      <c r="M126" s="5">
        <f>IF($D126="","",IFERROR(VLOOKUP($H126,Lists!$N$2:$O$6,2,FALSE),0))</f>
        <v/>
      </c>
      <c r="N126" s="5">
        <f>IF($D126="","",IF(OR($E126="Blocked",$E126="Done",$E126="Archive"),-9999,IF(AND($E126="Waiting",SUMPRODUCT((($E$5:$E$500="Next")+($E$5:$E$500="In Progress")+($E$5:$E$500="Captured"))*($D$5:$D$500&lt;&gt;""))&gt;0),-500,VLOOKUP($F126,Lists!$L$2:$M$4,2,FALSE)+IF($E126="In Progress",10,0)+IF(AND($I126&lt;&gt;"",$I126&lt;TODAY()),25,0)+IF(AND($I126&lt;&gt;"",$I126&gt;=TODAY(),$I126&lt;=TODAY()+7),15,0)+IF($H126="",0,IF($M126&lt;=VLOOKUP(Home!$C$7,Lists!$N$2:$O$6,2,FALSE),20,-10))+IF($G126=Home!$E$7,15,IF(Home!$E$7="",0,-5))-ROW()/100000)))</f>
        <v/>
      </c>
      <c r="O126" s="5">
        <f>IF($D126="","",IF($N126&lt;=-500,"Not recommended right now",IF($E126="Waiting","Nothing else actionable right now — Waiting on: "&amp;IF($K126="","this item",$K126),MID($V126,4,9999))))</f>
        <v/>
      </c>
      <c r="P126" s="5">
        <f>IF($D126="","",IF('Task Finder'!$C$6="High Priority",AND($F126="High",$E126&lt;&gt;"Done",$E126&lt;&gt;"Archive"),IF('Task Finder'!$C$6="Due This Week",AND($I126&lt;&gt;"",$I126&gt;=TODAY(),$I126&lt;=TODAY()+7,$E126&lt;&gt;"Done"),IF('Task Finder'!$C$6="Quick Wins (15 mins or less)",AND($M126&lt;=15,$E126&lt;&gt;"Done",$E126&lt;&gt;"Blocked"),IF('Task Finder'!$C$6="Deep Thinking",AND($G126="Deep Thinking",$E126&lt;&gt;"Done"),IF('Task Finder'!$C$6="Processing",AND($G126="Processing",$E126&lt;&gt;"Done"),IF('Task Finder'!$C$6="Blocked",$E126="Blocked",IF('Task Finder'!$C$6="Waiting",$E126="Waiting",IF('Task Finder'!$C$6="Recently Updated",AND($L126&lt;&gt;"",$L126&gt;=TODAY()-7),IF('Task Finder'!$C$6="Keyword",AND('Task Finder'!$C$7&lt;&gt;"",OR(ISNUMBER(SEARCH('Task Finder'!$C$7,$A126)),ISNUMBER(SEARCH('Task Finder'!$C$7,$B126)),ISNUMBER(SEARCH('Task Finder'!$C$7,$C126)),ISNUMBER(SEARCH('Task Finder'!$C$7,$D126)),ISNUMBER(SEARCH('Task Finder'!$C$7,$K126)))),TRUE))))))))))</f>
        <v/>
      </c>
      <c r="Q126" s="150">
        <f>IF($F126="High","High Priority","")</f>
        <v/>
      </c>
      <c r="R126" s="150">
        <f>IF(AND($I126&lt;&gt;"",$I126&lt;TODAY()),"Overdue","")</f>
        <v/>
      </c>
      <c r="S126" s="150">
        <f>IF(AND($I126&lt;&gt;"",$I126&gt;=TODAY(),$I126&lt;=TODAY()+7),"Due This Week","")</f>
        <v/>
      </c>
      <c r="T126" s="150">
        <f>IF(AND($H126&lt;&gt;"",$M126&lt;=VLOOKUP(Home!$C$7,Lists!$N$2:$O$6,2,FALSE)),$H126&amp;" Task","")</f>
        <v/>
      </c>
      <c r="U126" s="150">
        <f>IF($G126=Home!$E$7,"Fits Current Energy","")</f>
        <v/>
      </c>
      <c r="V126" s="150">
        <f>IF($Q126&lt;&gt;""," • "&amp;$Q126,"")&amp;IF($R126&lt;&gt;""," • "&amp;$R126,"")&amp;IF($S126&lt;&gt;""," • "&amp;$S126,"")&amp;IF($T126&lt;&gt;""," • "&amp;$T126,"")&amp;IF($U126&lt;&gt;""," • "&amp;$U126,"")&amp;" • No Blockers"</f>
        <v/>
      </c>
    </row>
    <row r="127">
      <c r="A127" s="19" t="n"/>
      <c r="B127" s="19" t="n"/>
      <c r="C127" s="19" t="n"/>
      <c r="D127" s="19" t="n"/>
      <c r="E127" s="19" t="n"/>
      <c r="F127" s="19" t="n"/>
      <c r="G127" s="19" t="n"/>
      <c r="H127" s="19" t="n"/>
      <c r="I127" s="19" t="n"/>
      <c r="J127" s="19" t="n"/>
      <c r="K127" s="19" t="n"/>
      <c r="L127" s="35" t="n"/>
      <c r="M127" s="5">
        <f>IF($D127="","",IFERROR(VLOOKUP($H127,Lists!$N$2:$O$6,2,FALSE),0))</f>
        <v/>
      </c>
      <c r="N127" s="5">
        <f>IF($D127="","",IF(OR($E127="Blocked",$E127="Done",$E127="Archive"),-9999,IF(AND($E127="Waiting",SUMPRODUCT((($E$5:$E$500="Next")+($E$5:$E$500="In Progress")+($E$5:$E$500="Captured"))*($D$5:$D$500&lt;&gt;""))&gt;0),-500,VLOOKUP($F127,Lists!$L$2:$M$4,2,FALSE)+IF($E127="In Progress",10,0)+IF(AND($I127&lt;&gt;"",$I127&lt;TODAY()),25,0)+IF(AND($I127&lt;&gt;"",$I127&gt;=TODAY(),$I127&lt;=TODAY()+7),15,0)+IF($H127="",0,IF($M127&lt;=VLOOKUP(Home!$C$7,Lists!$N$2:$O$6,2,FALSE),20,-10))+IF($G127=Home!$E$7,15,IF(Home!$E$7="",0,-5))-ROW()/100000)))</f>
        <v/>
      </c>
      <c r="O127" s="5">
        <f>IF($D127="","",IF($N127&lt;=-500,"Not recommended right now",IF($E127="Waiting","Nothing else actionable right now — Waiting on: "&amp;IF($K127="","this item",$K127),MID($V127,4,9999))))</f>
        <v/>
      </c>
      <c r="P127" s="5">
        <f>IF($D127="","",IF('Task Finder'!$C$6="High Priority",AND($F127="High",$E127&lt;&gt;"Done",$E127&lt;&gt;"Archive"),IF('Task Finder'!$C$6="Due This Week",AND($I127&lt;&gt;"",$I127&gt;=TODAY(),$I127&lt;=TODAY()+7,$E127&lt;&gt;"Done"),IF('Task Finder'!$C$6="Quick Wins (15 mins or less)",AND($M127&lt;=15,$E127&lt;&gt;"Done",$E127&lt;&gt;"Blocked"),IF('Task Finder'!$C$6="Deep Thinking",AND($G127="Deep Thinking",$E127&lt;&gt;"Done"),IF('Task Finder'!$C$6="Processing",AND($G127="Processing",$E127&lt;&gt;"Done"),IF('Task Finder'!$C$6="Blocked",$E127="Blocked",IF('Task Finder'!$C$6="Waiting",$E127="Waiting",IF('Task Finder'!$C$6="Recently Updated",AND($L127&lt;&gt;"",$L127&gt;=TODAY()-7),IF('Task Finder'!$C$6="Keyword",AND('Task Finder'!$C$7&lt;&gt;"",OR(ISNUMBER(SEARCH('Task Finder'!$C$7,$A127)),ISNUMBER(SEARCH('Task Finder'!$C$7,$B127)),ISNUMBER(SEARCH('Task Finder'!$C$7,$C127)),ISNUMBER(SEARCH('Task Finder'!$C$7,$D127)),ISNUMBER(SEARCH('Task Finder'!$C$7,$K127)))),TRUE))))))))))</f>
        <v/>
      </c>
      <c r="Q127" s="150">
        <f>IF($F127="High","High Priority","")</f>
        <v/>
      </c>
      <c r="R127" s="150">
        <f>IF(AND($I127&lt;&gt;"",$I127&lt;TODAY()),"Overdue","")</f>
        <v/>
      </c>
      <c r="S127" s="150">
        <f>IF(AND($I127&lt;&gt;"",$I127&gt;=TODAY(),$I127&lt;=TODAY()+7),"Due This Week","")</f>
        <v/>
      </c>
      <c r="T127" s="150">
        <f>IF(AND($H127&lt;&gt;"",$M127&lt;=VLOOKUP(Home!$C$7,Lists!$N$2:$O$6,2,FALSE)),$H127&amp;" Task","")</f>
        <v/>
      </c>
      <c r="U127" s="150">
        <f>IF($G127=Home!$E$7,"Fits Current Energy","")</f>
        <v/>
      </c>
      <c r="V127" s="150">
        <f>IF($Q127&lt;&gt;""," • "&amp;$Q127,"")&amp;IF($R127&lt;&gt;""," • "&amp;$R127,"")&amp;IF($S127&lt;&gt;""," • "&amp;$S127,"")&amp;IF($T127&lt;&gt;""," • "&amp;$T127,"")&amp;IF($U127&lt;&gt;""," • "&amp;$U127,"")&amp;" • No Blockers"</f>
        <v/>
      </c>
    </row>
    <row r="128">
      <c r="A128" s="19" t="n"/>
      <c r="B128" s="19" t="n"/>
      <c r="C128" s="19" t="n"/>
      <c r="D128" s="19" t="n"/>
      <c r="E128" s="19" t="n"/>
      <c r="F128" s="19" t="n"/>
      <c r="G128" s="19" t="n"/>
      <c r="H128" s="19" t="n"/>
      <c r="I128" s="19" t="n"/>
      <c r="J128" s="19" t="n"/>
      <c r="K128" s="19" t="n"/>
      <c r="L128" s="35" t="n"/>
      <c r="M128" s="5">
        <f>IF($D128="","",IFERROR(VLOOKUP($H128,Lists!$N$2:$O$6,2,FALSE),0))</f>
        <v/>
      </c>
      <c r="N128" s="5">
        <f>IF($D128="","",IF(OR($E128="Blocked",$E128="Done",$E128="Archive"),-9999,IF(AND($E128="Waiting",SUMPRODUCT((($E$5:$E$500="Next")+($E$5:$E$500="In Progress")+($E$5:$E$500="Captured"))*($D$5:$D$500&lt;&gt;""))&gt;0),-500,VLOOKUP($F128,Lists!$L$2:$M$4,2,FALSE)+IF($E128="In Progress",10,0)+IF(AND($I128&lt;&gt;"",$I128&lt;TODAY()),25,0)+IF(AND($I128&lt;&gt;"",$I128&gt;=TODAY(),$I128&lt;=TODAY()+7),15,0)+IF($H128="",0,IF($M128&lt;=VLOOKUP(Home!$C$7,Lists!$N$2:$O$6,2,FALSE),20,-10))+IF($G128=Home!$E$7,15,IF(Home!$E$7="",0,-5))-ROW()/100000)))</f>
        <v/>
      </c>
      <c r="O128" s="5">
        <f>IF($D128="","",IF($N128&lt;=-500,"Not recommended right now",IF($E128="Waiting","Nothing else actionable right now — Waiting on: "&amp;IF($K128="","this item",$K128),MID($V128,4,9999))))</f>
        <v/>
      </c>
      <c r="P128" s="5">
        <f>IF($D128="","",IF('Task Finder'!$C$6="High Priority",AND($F128="High",$E128&lt;&gt;"Done",$E128&lt;&gt;"Archive"),IF('Task Finder'!$C$6="Due This Week",AND($I128&lt;&gt;"",$I128&gt;=TODAY(),$I128&lt;=TODAY()+7,$E128&lt;&gt;"Done"),IF('Task Finder'!$C$6="Quick Wins (15 mins or less)",AND($M128&lt;=15,$E128&lt;&gt;"Done",$E128&lt;&gt;"Blocked"),IF('Task Finder'!$C$6="Deep Thinking",AND($G128="Deep Thinking",$E128&lt;&gt;"Done"),IF('Task Finder'!$C$6="Processing",AND($G128="Processing",$E128&lt;&gt;"Done"),IF('Task Finder'!$C$6="Blocked",$E128="Blocked",IF('Task Finder'!$C$6="Waiting",$E128="Waiting",IF('Task Finder'!$C$6="Recently Updated",AND($L128&lt;&gt;"",$L128&gt;=TODAY()-7),IF('Task Finder'!$C$6="Keyword",AND('Task Finder'!$C$7&lt;&gt;"",OR(ISNUMBER(SEARCH('Task Finder'!$C$7,$A128)),ISNUMBER(SEARCH('Task Finder'!$C$7,$B128)),ISNUMBER(SEARCH('Task Finder'!$C$7,$C128)),ISNUMBER(SEARCH('Task Finder'!$C$7,$D128)),ISNUMBER(SEARCH('Task Finder'!$C$7,$K128)))),TRUE))))))))))</f>
        <v/>
      </c>
      <c r="Q128" s="150">
        <f>IF($F128="High","High Priority","")</f>
        <v/>
      </c>
      <c r="R128" s="150">
        <f>IF(AND($I128&lt;&gt;"",$I128&lt;TODAY()),"Overdue","")</f>
        <v/>
      </c>
      <c r="S128" s="150">
        <f>IF(AND($I128&lt;&gt;"",$I128&gt;=TODAY(),$I128&lt;=TODAY()+7),"Due This Week","")</f>
        <v/>
      </c>
      <c r="T128" s="150">
        <f>IF(AND($H128&lt;&gt;"",$M128&lt;=VLOOKUP(Home!$C$7,Lists!$N$2:$O$6,2,FALSE)),$H128&amp;" Task","")</f>
        <v/>
      </c>
      <c r="U128" s="150">
        <f>IF($G128=Home!$E$7,"Fits Current Energy","")</f>
        <v/>
      </c>
      <c r="V128" s="150">
        <f>IF($Q128&lt;&gt;""," • "&amp;$Q128,"")&amp;IF($R128&lt;&gt;""," • "&amp;$R128,"")&amp;IF($S128&lt;&gt;""," • "&amp;$S128,"")&amp;IF($T128&lt;&gt;""," • "&amp;$T128,"")&amp;IF($U128&lt;&gt;""," • "&amp;$U128,"")&amp;" • No Blockers"</f>
        <v/>
      </c>
    </row>
    <row r="129">
      <c r="A129" s="19" t="n"/>
      <c r="B129" s="19" t="n"/>
      <c r="C129" s="19" t="n"/>
      <c r="D129" s="19" t="n"/>
      <c r="E129" s="19" t="n"/>
      <c r="F129" s="19" t="n"/>
      <c r="G129" s="19" t="n"/>
      <c r="H129" s="19" t="n"/>
      <c r="I129" s="19" t="n"/>
      <c r="J129" s="19" t="n"/>
      <c r="K129" s="19" t="n"/>
      <c r="L129" s="35" t="n"/>
      <c r="M129" s="5">
        <f>IF($D129="","",IFERROR(VLOOKUP($H129,Lists!$N$2:$O$6,2,FALSE),0))</f>
        <v/>
      </c>
      <c r="N129" s="5">
        <f>IF($D129="","",IF(OR($E129="Blocked",$E129="Done",$E129="Archive"),-9999,IF(AND($E129="Waiting",SUMPRODUCT((($E$5:$E$500="Next")+($E$5:$E$500="In Progress")+($E$5:$E$500="Captured"))*($D$5:$D$500&lt;&gt;""))&gt;0),-500,VLOOKUP($F129,Lists!$L$2:$M$4,2,FALSE)+IF($E129="In Progress",10,0)+IF(AND($I129&lt;&gt;"",$I129&lt;TODAY()),25,0)+IF(AND($I129&lt;&gt;"",$I129&gt;=TODAY(),$I129&lt;=TODAY()+7),15,0)+IF($H129="",0,IF($M129&lt;=VLOOKUP(Home!$C$7,Lists!$N$2:$O$6,2,FALSE),20,-10))+IF($G129=Home!$E$7,15,IF(Home!$E$7="",0,-5))-ROW()/100000)))</f>
        <v/>
      </c>
      <c r="O129" s="5">
        <f>IF($D129="","",IF($N129&lt;=-500,"Not recommended right now",IF($E129="Waiting","Nothing else actionable right now — Waiting on: "&amp;IF($K129="","this item",$K129),MID($V129,4,9999))))</f>
        <v/>
      </c>
      <c r="P129" s="5">
        <f>IF($D129="","",IF('Task Finder'!$C$6="High Priority",AND($F129="High",$E129&lt;&gt;"Done",$E129&lt;&gt;"Archive"),IF('Task Finder'!$C$6="Due This Week",AND($I129&lt;&gt;"",$I129&gt;=TODAY(),$I129&lt;=TODAY()+7,$E129&lt;&gt;"Done"),IF('Task Finder'!$C$6="Quick Wins (15 mins or less)",AND($M129&lt;=15,$E129&lt;&gt;"Done",$E129&lt;&gt;"Blocked"),IF('Task Finder'!$C$6="Deep Thinking",AND($G129="Deep Thinking",$E129&lt;&gt;"Done"),IF('Task Finder'!$C$6="Processing",AND($G129="Processing",$E129&lt;&gt;"Done"),IF('Task Finder'!$C$6="Blocked",$E129="Blocked",IF('Task Finder'!$C$6="Waiting",$E129="Waiting",IF('Task Finder'!$C$6="Recently Updated",AND($L129&lt;&gt;"",$L129&gt;=TODAY()-7),IF('Task Finder'!$C$6="Keyword",AND('Task Finder'!$C$7&lt;&gt;"",OR(ISNUMBER(SEARCH('Task Finder'!$C$7,$A129)),ISNUMBER(SEARCH('Task Finder'!$C$7,$B129)),ISNUMBER(SEARCH('Task Finder'!$C$7,$C129)),ISNUMBER(SEARCH('Task Finder'!$C$7,$D129)),ISNUMBER(SEARCH('Task Finder'!$C$7,$K129)))),TRUE))))))))))</f>
        <v/>
      </c>
      <c r="Q129" s="150">
        <f>IF($F129="High","High Priority","")</f>
        <v/>
      </c>
      <c r="R129" s="150">
        <f>IF(AND($I129&lt;&gt;"",$I129&lt;TODAY()),"Overdue","")</f>
        <v/>
      </c>
      <c r="S129" s="150">
        <f>IF(AND($I129&lt;&gt;"",$I129&gt;=TODAY(),$I129&lt;=TODAY()+7),"Due This Week","")</f>
        <v/>
      </c>
      <c r="T129" s="150">
        <f>IF(AND($H129&lt;&gt;"",$M129&lt;=VLOOKUP(Home!$C$7,Lists!$N$2:$O$6,2,FALSE)),$H129&amp;" Task","")</f>
        <v/>
      </c>
      <c r="U129" s="150">
        <f>IF($G129=Home!$E$7,"Fits Current Energy","")</f>
        <v/>
      </c>
      <c r="V129" s="150">
        <f>IF($Q129&lt;&gt;""," • "&amp;$Q129,"")&amp;IF($R129&lt;&gt;""," • "&amp;$R129,"")&amp;IF($S129&lt;&gt;""," • "&amp;$S129,"")&amp;IF($T129&lt;&gt;""," • "&amp;$T129,"")&amp;IF($U129&lt;&gt;""," • "&amp;$U129,"")&amp;" • No Blockers"</f>
        <v/>
      </c>
    </row>
    <row r="130">
      <c r="A130" s="19" t="n"/>
      <c r="B130" s="19" t="n"/>
      <c r="C130" s="19" t="n"/>
      <c r="D130" s="19" t="n"/>
      <c r="E130" s="19" t="n"/>
      <c r="F130" s="19" t="n"/>
      <c r="G130" s="19" t="n"/>
      <c r="H130" s="19" t="n"/>
      <c r="I130" s="19" t="n"/>
      <c r="J130" s="19" t="n"/>
      <c r="K130" s="19" t="n"/>
      <c r="L130" s="35" t="n"/>
      <c r="M130" s="5">
        <f>IF($D130="","",IFERROR(VLOOKUP($H130,Lists!$N$2:$O$6,2,FALSE),0))</f>
        <v/>
      </c>
      <c r="N130" s="5">
        <f>IF($D130="","",IF(OR($E130="Blocked",$E130="Done",$E130="Archive"),-9999,IF(AND($E130="Waiting",SUMPRODUCT((($E$5:$E$500="Next")+($E$5:$E$500="In Progress")+($E$5:$E$500="Captured"))*($D$5:$D$500&lt;&gt;""))&gt;0),-500,VLOOKUP($F130,Lists!$L$2:$M$4,2,FALSE)+IF($E130="In Progress",10,0)+IF(AND($I130&lt;&gt;"",$I130&lt;TODAY()),25,0)+IF(AND($I130&lt;&gt;"",$I130&gt;=TODAY(),$I130&lt;=TODAY()+7),15,0)+IF($H130="",0,IF($M130&lt;=VLOOKUP(Home!$C$7,Lists!$N$2:$O$6,2,FALSE),20,-10))+IF($G130=Home!$E$7,15,IF(Home!$E$7="",0,-5))-ROW()/100000)))</f>
        <v/>
      </c>
      <c r="O130" s="5">
        <f>IF($D130="","",IF($N130&lt;=-500,"Not recommended right now",IF($E130="Waiting","Nothing else actionable right now — Waiting on: "&amp;IF($K130="","this item",$K130),MID($V130,4,9999))))</f>
        <v/>
      </c>
      <c r="P130" s="5">
        <f>IF($D130="","",IF('Task Finder'!$C$6="High Priority",AND($F130="High",$E130&lt;&gt;"Done",$E130&lt;&gt;"Archive"),IF('Task Finder'!$C$6="Due This Week",AND($I130&lt;&gt;"",$I130&gt;=TODAY(),$I130&lt;=TODAY()+7,$E130&lt;&gt;"Done"),IF('Task Finder'!$C$6="Quick Wins (15 mins or less)",AND($M130&lt;=15,$E130&lt;&gt;"Done",$E130&lt;&gt;"Blocked"),IF('Task Finder'!$C$6="Deep Thinking",AND($G130="Deep Thinking",$E130&lt;&gt;"Done"),IF('Task Finder'!$C$6="Processing",AND($G130="Processing",$E130&lt;&gt;"Done"),IF('Task Finder'!$C$6="Blocked",$E130="Blocked",IF('Task Finder'!$C$6="Waiting",$E130="Waiting",IF('Task Finder'!$C$6="Recently Updated",AND($L130&lt;&gt;"",$L130&gt;=TODAY()-7),IF('Task Finder'!$C$6="Keyword",AND('Task Finder'!$C$7&lt;&gt;"",OR(ISNUMBER(SEARCH('Task Finder'!$C$7,$A130)),ISNUMBER(SEARCH('Task Finder'!$C$7,$B130)),ISNUMBER(SEARCH('Task Finder'!$C$7,$C130)),ISNUMBER(SEARCH('Task Finder'!$C$7,$D130)),ISNUMBER(SEARCH('Task Finder'!$C$7,$K130)))),TRUE))))))))))</f>
        <v/>
      </c>
      <c r="Q130" s="150">
        <f>IF($F130="High","High Priority","")</f>
        <v/>
      </c>
      <c r="R130" s="150">
        <f>IF(AND($I130&lt;&gt;"",$I130&lt;TODAY()),"Overdue","")</f>
        <v/>
      </c>
      <c r="S130" s="150">
        <f>IF(AND($I130&lt;&gt;"",$I130&gt;=TODAY(),$I130&lt;=TODAY()+7),"Due This Week","")</f>
        <v/>
      </c>
      <c r="T130" s="150">
        <f>IF(AND($H130&lt;&gt;"",$M130&lt;=VLOOKUP(Home!$C$7,Lists!$N$2:$O$6,2,FALSE)),$H130&amp;" Task","")</f>
        <v/>
      </c>
      <c r="U130" s="150">
        <f>IF($G130=Home!$E$7,"Fits Current Energy","")</f>
        <v/>
      </c>
      <c r="V130" s="150">
        <f>IF($Q130&lt;&gt;""," • "&amp;$Q130,"")&amp;IF($R130&lt;&gt;""," • "&amp;$R130,"")&amp;IF($S130&lt;&gt;""," • "&amp;$S130,"")&amp;IF($T130&lt;&gt;""," • "&amp;$T130,"")&amp;IF($U130&lt;&gt;""," • "&amp;$U130,"")&amp;" • No Blockers"</f>
        <v/>
      </c>
    </row>
    <row r="131">
      <c r="A131" s="19" t="n"/>
      <c r="B131" s="19" t="n"/>
      <c r="C131" s="19" t="n"/>
      <c r="D131" s="19" t="n"/>
      <c r="E131" s="19" t="n"/>
      <c r="F131" s="19" t="n"/>
      <c r="G131" s="19" t="n"/>
      <c r="H131" s="19" t="n"/>
      <c r="I131" s="19" t="n"/>
      <c r="J131" s="19" t="n"/>
      <c r="K131" s="19" t="n"/>
      <c r="L131" s="35" t="n"/>
      <c r="M131" s="5">
        <f>IF($D131="","",IFERROR(VLOOKUP($H131,Lists!$N$2:$O$6,2,FALSE),0))</f>
        <v/>
      </c>
      <c r="N131" s="5">
        <f>IF($D131="","",IF(OR($E131="Blocked",$E131="Done",$E131="Archive"),-9999,IF(AND($E131="Waiting",SUMPRODUCT((($E$5:$E$500="Next")+($E$5:$E$500="In Progress")+($E$5:$E$500="Captured"))*($D$5:$D$500&lt;&gt;""))&gt;0),-500,VLOOKUP($F131,Lists!$L$2:$M$4,2,FALSE)+IF($E131="In Progress",10,0)+IF(AND($I131&lt;&gt;"",$I131&lt;TODAY()),25,0)+IF(AND($I131&lt;&gt;"",$I131&gt;=TODAY(),$I131&lt;=TODAY()+7),15,0)+IF($H131="",0,IF($M131&lt;=VLOOKUP(Home!$C$7,Lists!$N$2:$O$6,2,FALSE),20,-10))+IF($G131=Home!$E$7,15,IF(Home!$E$7="",0,-5))-ROW()/100000)))</f>
        <v/>
      </c>
      <c r="O131" s="5">
        <f>IF($D131="","",IF($N131&lt;=-500,"Not recommended right now",IF($E131="Waiting","Nothing else actionable right now — Waiting on: "&amp;IF($K131="","this item",$K131),MID($V131,4,9999))))</f>
        <v/>
      </c>
      <c r="P131" s="5">
        <f>IF($D131="","",IF('Task Finder'!$C$6="High Priority",AND($F131="High",$E131&lt;&gt;"Done",$E131&lt;&gt;"Archive"),IF('Task Finder'!$C$6="Due This Week",AND($I131&lt;&gt;"",$I131&gt;=TODAY(),$I131&lt;=TODAY()+7,$E131&lt;&gt;"Done"),IF('Task Finder'!$C$6="Quick Wins (15 mins or less)",AND($M131&lt;=15,$E131&lt;&gt;"Done",$E131&lt;&gt;"Blocked"),IF('Task Finder'!$C$6="Deep Thinking",AND($G131="Deep Thinking",$E131&lt;&gt;"Done"),IF('Task Finder'!$C$6="Processing",AND($G131="Processing",$E131&lt;&gt;"Done"),IF('Task Finder'!$C$6="Blocked",$E131="Blocked",IF('Task Finder'!$C$6="Waiting",$E131="Waiting",IF('Task Finder'!$C$6="Recently Updated",AND($L131&lt;&gt;"",$L131&gt;=TODAY()-7),IF('Task Finder'!$C$6="Keyword",AND('Task Finder'!$C$7&lt;&gt;"",OR(ISNUMBER(SEARCH('Task Finder'!$C$7,$A131)),ISNUMBER(SEARCH('Task Finder'!$C$7,$B131)),ISNUMBER(SEARCH('Task Finder'!$C$7,$C131)),ISNUMBER(SEARCH('Task Finder'!$C$7,$D131)),ISNUMBER(SEARCH('Task Finder'!$C$7,$K131)))),TRUE))))))))))</f>
        <v/>
      </c>
      <c r="Q131" s="150">
        <f>IF($F131="High","High Priority","")</f>
        <v/>
      </c>
      <c r="R131" s="150">
        <f>IF(AND($I131&lt;&gt;"",$I131&lt;TODAY()),"Overdue","")</f>
        <v/>
      </c>
      <c r="S131" s="150">
        <f>IF(AND($I131&lt;&gt;"",$I131&gt;=TODAY(),$I131&lt;=TODAY()+7),"Due This Week","")</f>
        <v/>
      </c>
      <c r="T131" s="150">
        <f>IF(AND($H131&lt;&gt;"",$M131&lt;=VLOOKUP(Home!$C$7,Lists!$N$2:$O$6,2,FALSE)),$H131&amp;" Task","")</f>
        <v/>
      </c>
      <c r="U131" s="150">
        <f>IF($G131=Home!$E$7,"Fits Current Energy","")</f>
        <v/>
      </c>
      <c r="V131" s="150">
        <f>IF($Q131&lt;&gt;""," • "&amp;$Q131,"")&amp;IF($R131&lt;&gt;""," • "&amp;$R131,"")&amp;IF($S131&lt;&gt;""," • "&amp;$S131,"")&amp;IF($T131&lt;&gt;""," • "&amp;$T131,"")&amp;IF($U131&lt;&gt;""," • "&amp;$U131,"")&amp;" • No Blockers"</f>
        <v/>
      </c>
    </row>
    <row r="132">
      <c r="A132" s="19" t="n"/>
      <c r="B132" s="19" t="n"/>
      <c r="C132" s="19" t="n"/>
      <c r="D132" s="19" t="n"/>
      <c r="E132" s="19" t="n"/>
      <c r="F132" s="19" t="n"/>
      <c r="G132" s="19" t="n"/>
      <c r="H132" s="19" t="n"/>
      <c r="I132" s="19" t="n"/>
      <c r="J132" s="19" t="n"/>
      <c r="K132" s="19" t="n"/>
      <c r="L132" s="35" t="n"/>
      <c r="M132" s="5">
        <f>IF($D132="","",IFERROR(VLOOKUP($H132,Lists!$N$2:$O$6,2,FALSE),0))</f>
        <v/>
      </c>
      <c r="N132" s="5">
        <f>IF($D132="","",IF(OR($E132="Blocked",$E132="Done",$E132="Archive"),-9999,IF(AND($E132="Waiting",SUMPRODUCT((($E$5:$E$500="Next")+($E$5:$E$500="In Progress")+($E$5:$E$500="Captured"))*($D$5:$D$500&lt;&gt;""))&gt;0),-500,VLOOKUP($F132,Lists!$L$2:$M$4,2,FALSE)+IF($E132="In Progress",10,0)+IF(AND($I132&lt;&gt;"",$I132&lt;TODAY()),25,0)+IF(AND($I132&lt;&gt;"",$I132&gt;=TODAY(),$I132&lt;=TODAY()+7),15,0)+IF($H132="",0,IF($M132&lt;=VLOOKUP(Home!$C$7,Lists!$N$2:$O$6,2,FALSE),20,-10))+IF($G132=Home!$E$7,15,IF(Home!$E$7="",0,-5))-ROW()/100000)))</f>
        <v/>
      </c>
      <c r="O132" s="5">
        <f>IF($D132="","",IF($N132&lt;=-500,"Not recommended right now",IF($E132="Waiting","Nothing else actionable right now — Waiting on: "&amp;IF($K132="","this item",$K132),MID($V132,4,9999))))</f>
        <v/>
      </c>
      <c r="P132" s="5">
        <f>IF($D132="","",IF('Task Finder'!$C$6="High Priority",AND($F132="High",$E132&lt;&gt;"Done",$E132&lt;&gt;"Archive"),IF('Task Finder'!$C$6="Due This Week",AND($I132&lt;&gt;"",$I132&gt;=TODAY(),$I132&lt;=TODAY()+7,$E132&lt;&gt;"Done"),IF('Task Finder'!$C$6="Quick Wins (15 mins or less)",AND($M132&lt;=15,$E132&lt;&gt;"Done",$E132&lt;&gt;"Blocked"),IF('Task Finder'!$C$6="Deep Thinking",AND($G132="Deep Thinking",$E132&lt;&gt;"Done"),IF('Task Finder'!$C$6="Processing",AND($G132="Processing",$E132&lt;&gt;"Done"),IF('Task Finder'!$C$6="Blocked",$E132="Blocked",IF('Task Finder'!$C$6="Waiting",$E132="Waiting",IF('Task Finder'!$C$6="Recently Updated",AND($L132&lt;&gt;"",$L132&gt;=TODAY()-7),IF('Task Finder'!$C$6="Keyword",AND('Task Finder'!$C$7&lt;&gt;"",OR(ISNUMBER(SEARCH('Task Finder'!$C$7,$A132)),ISNUMBER(SEARCH('Task Finder'!$C$7,$B132)),ISNUMBER(SEARCH('Task Finder'!$C$7,$C132)),ISNUMBER(SEARCH('Task Finder'!$C$7,$D132)),ISNUMBER(SEARCH('Task Finder'!$C$7,$K132)))),TRUE))))))))))</f>
        <v/>
      </c>
      <c r="Q132" s="150">
        <f>IF($F132="High","High Priority","")</f>
        <v/>
      </c>
      <c r="R132" s="150">
        <f>IF(AND($I132&lt;&gt;"",$I132&lt;TODAY()),"Overdue","")</f>
        <v/>
      </c>
      <c r="S132" s="150">
        <f>IF(AND($I132&lt;&gt;"",$I132&gt;=TODAY(),$I132&lt;=TODAY()+7),"Due This Week","")</f>
        <v/>
      </c>
      <c r="T132" s="150">
        <f>IF(AND($H132&lt;&gt;"",$M132&lt;=VLOOKUP(Home!$C$7,Lists!$N$2:$O$6,2,FALSE)),$H132&amp;" Task","")</f>
        <v/>
      </c>
      <c r="U132" s="150">
        <f>IF($G132=Home!$E$7,"Fits Current Energy","")</f>
        <v/>
      </c>
      <c r="V132" s="150">
        <f>IF($Q132&lt;&gt;""," • "&amp;$Q132,"")&amp;IF($R132&lt;&gt;""," • "&amp;$R132,"")&amp;IF($S132&lt;&gt;""," • "&amp;$S132,"")&amp;IF($T132&lt;&gt;""," • "&amp;$T132,"")&amp;IF($U132&lt;&gt;""," • "&amp;$U132,"")&amp;" • No Blockers"</f>
        <v/>
      </c>
    </row>
    <row r="133">
      <c r="A133" s="19" t="n"/>
      <c r="B133" s="19" t="n"/>
      <c r="C133" s="19" t="n"/>
      <c r="D133" s="19" t="n"/>
      <c r="E133" s="19" t="n"/>
      <c r="F133" s="19" t="n"/>
      <c r="G133" s="19" t="n"/>
      <c r="H133" s="19" t="n"/>
      <c r="I133" s="19" t="n"/>
      <c r="J133" s="19" t="n"/>
      <c r="K133" s="19" t="n"/>
      <c r="L133" s="35" t="n"/>
      <c r="M133" s="5">
        <f>IF($D133="","",IFERROR(VLOOKUP($H133,Lists!$N$2:$O$6,2,FALSE),0))</f>
        <v/>
      </c>
      <c r="N133" s="5">
        <f>IF($D133="","",IF(OR($E133="Blocked",$E133="Done",$E133="Archive"),-9999,IF(AND($E133="Waiting",SUMPRODUCT((($E$5:$E$500="Next")+($E$5:$E$500="In Progress")+($E$5:$E$500="Captured"))*($D$5:$D$500&lt;&gt;""))&gt;0),-500,VLOOKUP($F133,Lists!$L$2:$M$4,2,FALSE)+IF($E133="In Progress",10,0)+IF(AND($I133&lt;&gt;"",$I133&lt;TODAY()),25,0)+IF(AND($I133&lt;&gt;"",$I133&gt;=TODAY(),$I133&lt;=TODAY()+7),15,0)+IF($H133="",0,IF($M133&lt;=VLOOKUP(Home!$C$7,Lists!$N$2:$O$6,2,FALSE),20,-10))+IF($G133=Home!$E$7,15,IF(Home!$E$7="",0,-5))-ROW()/100000)))</f>
        <v/>
      </c>
      <c r="O133" s="5">
        <f>IF($D133="","",IF($N133&lt;=-500,"Not recommended right now",IF($E133="Waiting","Nothing else actionable right now — Waiting on: "&amp;IF($K133="","this item",$K133),MID($V133,4,9999))))</f>
        <v/>
      </c>
      <c r="P133" s="5">
        <f>IF($D133="","",IF('Task Finder'!$C$6="High Priority",AND($F133="High",$E133&lt;&gt;"Done",$E133&lt;&gt;"Archive"),IF('Task Finder'!$C$6="Due This Week",AND($I133&lt;&gt;"",$I133&gt;=TODAY(),$I133&lt;=TODAY()+7,$E133&lt;&gt;"Done"),IF('Task Finder'!$C$6="Quick Wins (15 mins or less)",AND($M133&lt;=15,$E133&lt;&gt;"Done",$E133&lt;&gt;"Blocked"),IF('Task Finder'!$C$6="Deep Thinking",AND($G133="Deep Thinking",$E133&lt;&gt;"Done"),IF('Task Finder'!$C$6="Processing",AND($G133="Processing",$E133&lt;&gt;"Done"),IF('Task Finder'!$C$6="Blocked",$E133="Blocked",IF('Task Finder'!$C$6="Waiting",$E133="Waiting",IF('Task Finder'!$C$6="Recently Updated",AND($L133&lt;&gt;"",$L133&gt;=TODAY()-7),IF('Task Finder'!$C$6="Keyword",AND('Task Finder'!$C$7&lt;&gt;"",OR(ISNUMBER(SEARCH('Task Finder'!$C$7,$A133)),ISNUMBER(SEARCH('Task Finder'!$C$7,$B133)),ISNUMBER(SEARCH('Task Finder'!$C$7,$C133)),ISNUMBER(SEARCH('Task Finder'!$C$7,$D133)),ISNUMBER(SEARCH('Task Finder'!$C$7,$K133)))),TRUE))))))))))</f>
        <v/>
      </c>
      <c r="Q133" s="150">
        <f>IF($F133="High","High Priority","")</f>
        <v/>
      </c>
      <c r="R133" s="150">
        <f>IF(AND($I133&lt;&gt;"",$I133&lt;TODAY()),"Overdue","")</f>
        <v/>
      </c>
      <c r="S133" s="150">
        <f>IF(AND($I133&lt;&gt;"",$I133&gt;=TODAY(),$I133&lt;=TODAY()+7),"Due This Week","")</f>
        <v/>
      </c>
      <c r="T133" s="150">
        <f>IF(AND($H133&lt;&gt;"",$M133&lt;=VLOOKUP(Home!$C$7,Lists!$N$2:$O$6,2,FALSE)),$H133&amp;" Task","")</f>
        <v/>
      </c>
      <c r="U133" s="150">
        <f>IF($G133=Home!$E$7,"Fits Current Energy","")</f>
        <v/>
      </c>
      <c r="V133" s="150">
        <f>IF($Q133&lt;&gt;""," • "&amp;$Q133,"")&amp;IF($R133&lt;&gt;""," • "&amp;$R133,"")&amp;IF($S133&lt;&gt;""," • "&amp;$S133,"")&amp;IF($T133&lt;&gt;""," • "&amp;$T133,"")&amp;IF($U133&lt;&gt;""," • "&amp;$U133,"")&amp;" • No Blockers"</f>
        <v/>
      </c>
    </row>
    <row r="134">
      <c r="A134" s="19" t="n"/>
      <c r="B134" s="19" t="n"/>
      <c r="C134" s="19" t="n"/>
      <c r="D134" s="19" t="n"/>
      <c r="E134" s="19" t="n"/>
      <c r="F134" s="19" t="n"/>
      <c r="G134" s="19" t="n"/>
      <c r="H134" s="19" t="n"/>
      <c r="I134" s="19" t="n"/>
      <c r="J134" s="19" t="n"/>
      <c r="K134" s="19" t="n"/>
      <c r="L134" s="35" t="n"/>
      <c r="M134" s="5">
        <f>IF($D134="","",IFERROR(VLOOKUP($H134,Lists!$N$2:$O$6,2,FALSE),0))</f>
        <v/>
      </c>
      <c r="N134" s="5">
        <f>IF($D134="","",IF(OR($E134="Blocked",$E134="Done",$E134="Archive"),-9999,IF(AND($E134="Waiting",SUMPRODUCT((($E$5:$E$500="Next")+($E$5:$E$500="In Progress")+($E$5:$E$500="Captured"))*($D$5:$D$500&lt;&gt;""))&gt;0),-500,VLOOKUP($F134,Lists!$L$2:$M$4,2,FALSE)+IF($E134="In Progress",10,0)+IF(AND($I134&lt;&gt;"",$I134&lt;TODAY()),25,0)+IF(AND($I134&lt;&gt;"",$I134&gt;=TODAY(),$I134&lt;=TODAY()+7),15,0)+IF($H134="",0,IF($M134&lt;=VLOOKUP(Home!$C$7,Lists!$N$2:$O$6,2,FALSE),20,-10))+IF($G134=Home!$E$7,15,IF(Home!$E$7="",0,-5))-ROW()/100000)))</f>
        <v/>
      </c>
      <c r="O134" s="5">
        <f>IF($D134="","",IF($N134&lt;=-500,"Not recommended right now",IF($E134="Waiting","Nothing else actionable right now — Waiting on: "&amp;IF($K134="","this item",$K134),MID($V134,4,9999))))</f>
        <v/>
      </c>
      <c r="P134" s="5">
        <f>IF($D134="","",IF('Task Finder'!$C$6="High Priority",AND($F134="High",$E134&lt;&gt;"Done",$E134&lt;&gt;"Archive"),IF('Task Finder'!$C$6="Due This Week",AND($I134&lt;&gt;"",$I134&gt;=TODAY(),$I134&lt;=TODAY()+7,$E134&lt;&gt;"Done"),IF('Task Finder'!$C$6="Quick Wins (15 mins or less)",AND($M134&lt;=15,$E134&lt;&gt;"Done",$E134&lt;&gt;"Blocked"),IF('Task Finder'!$C$6="Deep Thinking",AND($G134="Deep Thinking",$E134&lt;&gt;"Done"),IF('Task Finder'!$C$6="Processing",AND($G134="Processing",$E134&lt;&gt;"Done"),IF('Task Finder'!$C$6="Blocked",$E134="Blocked",IF('Task Finder'!$C$6="Waiting",$E134="Waiting",IF('Task Finder'!$C$6="Recently Updated",AND($L134&lt;&gt;"",$L134&gt;=TODAY()-7),IF('Task Finder'!$C$6="Keyword",AND('Task Finder'!$C$7&lt;&gt;"",OR(ISNUMBER(SEARCH('Task Finder'!$C$7,$A134)),ISNUMBER(SEARCH('Task Finder'!$C$7,$B134)),ISNUMBER(SEARCH('Task Finder'!$C$7,$C134)),ISNUMBER(SEARCH('Task Finder'!$C$7,$D134)),ISNUMBER(SEARCH('Task Finder'!$C$7,$K134)))),TRUE))))))))))</f>
        <v/>
      </c>
      <c r="Q134" s="150">
        <f>IF($F134="High","High Priority","")</f>
        <v/>
      </c>
      <c r="R134" s="150">
        <f>IF(AND($I134&lt;&gt;"",$I134&lt;TODAY()),"Overdue","")</f>
        <v/>
      </c>
      <c r="S134" s="150">
        <f>IF(AND($I134&lt;&gt;"",$I134&gt;=TODAY(),$I134&lt;=TODAY()+7),"Due This Week","")</f>
        <v/>
      </c>
      <c r="T134" s="150">
        <f>IF(AND($H134&lt;&gt;"",$M134&lt;=VLOOKUP(Home!$C$7,Lists!$N$2:$O$6,2,FALSE)),$H134&amp;" Task","")</f>
        <v/>
      </c>
      <c r="U134" s="150">
        <f>IF($G134=Home!$E$7,"Fits Current Energy","")</f>
        <v/>
      </c>
      <c r="V134" s="150">
        <f>IF($Q134&lt;&gt;""," • "&amp;$Q134,"")&amp;IF($R134&lt;&gt;""," • "&amp;$R134,"")&amp;IF($S134&lt;&gt;""," • "&amp;$S134,"")&amp;IF($T134&lt;&gt;""," • "&amp;$T134,"")&amp;IF($U134&lt;&gt;""," • "&amp;$U134,"")&amp;" • No Blockers"</f>
        <v/>
      </c>
    </row>
    <row r="135">
      <c r="A135" s="19" t="n"/>
      <c r="B135" s="19" t="n"/>
      <c r="C135" s="19" t="n"/>
      <c r="D135" s="19" t="n"/>
      <c r="E135" s="19" t="n"/>
      <c r="F135" s="19" t="n"/>
      <c r="G135" s="19" t="n"/>
      <c r="H135" s="19" t="n"/>
      <c r="I135" s="19" t="n"/>
      <c r="J135" s="19" t="n"/>
      <c r="K135" s="19" t="n"/>
      <c r="L135" s="35" t="n"/>
      <c r="M135" s="5">
        <f>IF($D135="","",IFERROR(VLOOKUP($H135,Lists!$N$2:$O$6,2,FALSE),0))</f>
        <v/>
      </c>
      <c r="N135" s="5">
        <f>IF($D135="","",IF(OR($E135="Blocked",$E135="Done",$E135="Archive"),-9999,IF(AND($E135="Waiting",SUMPRODUCT((($E$5:$E$500="Next")+($E$5:$E$500="In Progress")+($E$5:$E$500="Captured"))*($D$5:$D$500&lt;&gt;""))&gt;0),-500,VLOOKUP($F135,Lists!$L$2:$M$4,2,FALSE)+IF($E135="In Progress",10,0)+IF(AND($I135&lt;&gt;"",$I135&lt;TODAY()),25,0)+IF(AND($I135&lt;&gt;"",$I135&gt;=TODAY(),$I135&lt;=TODAY()+7),15,0)+IF($H135="",0,IF($M135&lt;=VLOOKUP(Home!$C$7,Lists!$N$2:$O$6,2,FALSE),20,-10))+IF($G135=Home!$E$7,15,IF(Home!$E$7="",0,-5))-ROW()/100000)))</f>
        <v/>
      </c>
      <c r="O135" s="5">
        <f>IF($D135="","",IF($N135&lt;=-500,"Not recommended right now",IF($E135="Waiting","Nothing else actionable right now — Waiting on: "&amp;IF($K135="","this item",$K135),MID($V135,4,9999))))</f>
        <v/>
      </c>
      <c r="P135" s="5">
        <f>IF($D135="","",IF('Task Finder'!$C$6="High Priority",AND($F135="High",$E135&lt;&gt;"Done",$E135&lt;&gt;"Archive"),IF('Task Finder'!$C$6="Due This Week",AND($I135&lt;&gt;"",$I135&gt;=TODAY(),$I135&lt;=TODAY()+7,$E135&lt;&gt;"Done"),IF('Task Finder'!$C$6="Quick Wins (15 mins or less)",AND($M135&lt;=15,$E135&lt;&gt;"Done",$E135&lt;&gt;"Blocked"),IF('Task Finder'!$C$6="Deep Thinking",AND($G135="Deep Thinking",$E135&lt;&gt;"Done"),IF('Task Finder'!$C$6="Processing",AND($G135="Processing",$E135&lt;&gt;"Done"),IF('Task Finder'!$C$6="Blocked",$E135="Blocked",IF('Task Finder'!$C$6="Waiting",$E135="Waiting",IF('Task Finder'!$C$6="Recently Updated",AND($L135&lt;&gt;"",$L135&gt;=TODAY()-7),IF('Task Finder'!$C$6="Keyword",AND('Task Finder'!$C$7&lt;&gt;"",OR(ISNUMBER(SEARCH('Task Finder'!$C$7,$A135)),ISNUMBER(SEARCH('Task Finder'!$C$7,$B135)),ISNUMBER(SEARCH('Task Finder'!$C$7,$C135)),ISNUMBER(SEARCH('Task Finder'!$C$7,$D135)),ISNUMBER(SEARCH('Task Finder'!$C$7,$K135)))),TRUE))))))))))</f>
        <v/>
      </c>
      <c r="Q135" s="150">
        <f>IF($F135="High","High Priority","")</f>
        <v/>
      </c>
      <c r="R135" s="150">
        <f>IF(AND($I135&lt;&gt;"",$I135&lt;TODAY()),"Overdue","")</f>
        <v/>
      </c>
      <c r="S135" s="150">
        <f>IF(AND($I135&lt;&gt;"",$I135&gt;=TODAY(),$I135&lt;=TODAY()+7),"Due This Week","")</f>
        <v/>
      </c>
      <c r="T135" s="150">
        <f>IF(AND($H135&lt;&gt;"",$M135&lt;=VLOOKUP(Home!$C$7,Lists!$N$2:$O$6,2,FALSE)),$H135&amp;" Task","")</f>
        <v/>
      </c>
      <c r="U135" s="150">
        <f>IF($G135=Home!$E$7,"Fits Current Energy","")</f>
        <v/>
      </c>
      <c r="V135" s="150">
        <f>IF($Q135&lt;&gt;""," • "&amp;$Q135,"")&amp;IF($R135&lt;&gt;""," • "&amp;$R135,"")&amp;IF($S135&lt;&gt;""," • "&amp;$S135,"")&amp;IF($T135&lt;&gt;""," • "&amp;$T135,"")&amp;IF($U135&lt;&gt;""," • "&amp;$U135,"")&amp;" • No Blockers"</f>
        <v/>
      </c>
    </row>
    <row r="136">
      <c r="A136" s="19" t="n"/>
      <c r="B136" s="19" t="n"/>
      <c r="C136" s="19" t="n"/>
      <c r="D136" s="19" t="n"/>
      <c r="E136" s="19" t="n"/>
      <c r="F136" s="19" t="n"/>
      <c r="G136" s="19" t="n"/>
      <c r="H136" s="19" t="n"/>
      <c r="I136" s="19" t="n"/>
      <c r="J136" s="19" t="n"/>
      <c r="K136" s="19" t="n"/>
      <c r="L136" s="35" t="n"/>
      <c r="M136" s="5">
        <f>IF($D136="","",IFERROR(VLOOKUP($H136,Lists!$N$2:$O$6,2,FALSE),0))</f>
        <v/>
      </c>
      <c r="N136" s="5">
        <f>IF($D136="","",IF(OR($E136="Blocked",$E136="Done",$E136="Archive"),-9999,IF(AND($E136="Waiting",SUMPRODUCT((($E$5:$E$500="Next")+($E$5:$E$500="In Progress")+($E$5:$E$500="Captured"))*($D$5:$D$500&lt;&gt;""))&gt;0),-500,VLOOKUP($F136,Lists!$L$2:$M$4,2,FALSE)+IF($E136="In Progress",10,0)+IF(AND($I136&lt;&gt;"",$I136&lt;TODAY()),25,0)+IF(AND($I136&lt;&gt;"",$I136&gt;=TODAY(),$I136&lt;=TODAY()+7),15,0)+IF($H136="",0,IF($M136&lt;=VLOOKUP(Home!$C$7,Lists!$N$2:$O$6,2,FALSE),20,-10))+IF($G136=Home!$E$7,15,IF(Home!$E$7="",0,-5))-ROW()/100000)))</f>
        <v/>
      </c>
      <c r="O136" s="5">
        <f>IF($D136="","",IF($N136&lt;=-500,"Not recommended right now",IF($E136="Waiting","Nothing else actionable right now — Waiting on: "&amp;IF($K136="","this item",$K136),MID($V136,4,9999))))</f>
        <v/>
      </c>
      <c r="P136" s="5">
        <f>IF($D136="","",IF('Task Finder'!$C$6="High Priority",AND($F136="High",$E136&lt;&gt;"Done",$E136&lt;&gt;"Archive"),IF('Task Finder'!$C$6="Due This Week",AND($I136&lt;&gt;"",$I136&gt;=TODAY(),$I136&lt;=TODAY()+7,$E136&lt;&gt;"Done"),IF('Task Finder'!$C$6="Quick Wins (15 mins or less)",AND($M136&lt;=15,$E136&lt;&gt;"Done",$E136&lt;&gt;"Blocked"),IF('Task Finder'!$C$6="Deep Thinking",AND($G136="Deep Thinking",$E136&lt;&gt;"Done"),IF('Task Finder'!$C$6="Processing",AND($G136="Processing",$E136&lt;&gt;"Done"),IF('Task Finder'!$C$6="Blocked",$E136="Blocked",IF('Task Finder'!$C$6="Waiting",$E136="Waiting",IF('Task Finder'!$C$6="Recently Updated",AND($L136&lt;&gt;"",$L136&gt;=TODAY()-7),IF('Task Finder'!$C$6="Keyword",AND('Task Finder'!$C$7&lt;&gt;"",OR(ISNUMBER(SEARCH('Task Finder'!$C$7,$A136)),ISNUMBER(SEARCH('Task Finder'!$C$7,$B136)),ISNUMBER(SEARCH('Task Finder'!$C$7,$C136)),ISNUMBER(SEARCH('Task Finder'!$C$7,$D136)),ISNUMBER(SEARCH('Task Finder'!$C$7,$K136)))),TRUE))))))))))</f>
        <v/>
      </c>
      <c r="Q136" s="150">
        <f>IF($F136="High","High Priority","")</f>
        <v/>
      </c>
      <c r="R136" s="150">
        <f>IF(AND($I136&lt;&gt;"",$I136&lt;TODAY()),"Overdue","")</f>
        <v/>
      </c>
      <c r="S136" s="150">
        <f>IF(AND($I136&lt;&gt;"",$I136&gt;=TODAY(),$I136&lt;=TODAY()+7),"Due This Week","")</f>
        <v/>
      </c>
      <c r="T136" s="150">
        <f>IF(AND($H136&lt;&gt;"",$M136&lt;=VLOOKUP(Home!$C$7,Lists!$N$2:$O$6,2,FALSE)),$H136&amp;" Task","")</f>
        <v/>
      </c>
      <c r="U136" s="150">
        <f>IF($G136=Home!$E$7,"Fits Current Energy","")</f>
        <v/>
      </c>
      <c r="V136" s="150">
        <f>IF($Q136&lt;&gt;""," • "&amp;$Q136,"")&amp;IF($R136&lt;&gt;""," • "&amp;$R136,"")&amp;IF($S136&lt;&gt;""," • "&amp;$S136,"")&amp;IF($T136&lt;&gt;""," • "&amp;$T136,"")&amp;IF($U136&lt;&gt;""," • "&amp;$U136,"")&amp;" • No Blockers"</f>
        <v/>
      </c>
    </row>
    <row r="137">
      <c r="A137" s="19" t="n"/>
      <c r="B137" s="19" t="n"/>
      <c r="C137" s="19" t="n"/>
      <c r="D137" s="19" t="n"/>
      <c r="E137" s="19" t="n"/>
      <c r="F137" s="19" t="n"/>
      <c r="G137" s="19" t="n"/>
      <c r="H137" s="19" t="n"/>
      <c r="I137" s="19" t="n"/>
      <c r="J137" s="19" t="n"/>
      <c r="K137" s="19" t="n"/>
      <c r="L137" s="35" t="n"/>
      <c r="M137" s="5">
        <f>IF($D137="","",IFERROR(VLOOKUP($H137,Lists!$N$2:$O$6,2,FALSE),0))</f>
        <v/>
      </c>
      <c r="N137" s="5">
        <f>IF($D137="","",IF(OR($E137="Blocked",$E137="Done",$E137="Archive"),-9999,IF(AND($E137="Waiting",SUMPRODUCT((($E$5:$E$500="Next")+($E$5:$E$500="In Progress")+($E$5:$E$500="Captured"))*($D$5:$D$500&lt;&gt;""))&gt;0),-500,VLOOKUP($F137,Lists!$L$2:$M$4,2,FALSE)+IF($E137="In Progress",10,0)+IF(AND($I137&lt;&gt;"",$I137&lt;TODAY()),25,0)+IF(AND($I137&lt;&gt;"",$I137&gt;=TODAY(),$I137&lt;=TODAY()+7),15,0)+IF($H137="",0,IF($M137&lt;=VLOOKUP(Home!$C$7,Lists!$N$2:$O$6,2,FALSE),20,-10))+IF($G137=Home!$E$7,15,IF(Home!$E$7="",0,-5))-ROW()/100000)))</f>
        <v/>
      </c>
      <c r="O137" s="5">
        <f>IF($D137="","",IF($N137&lt;=-500,"Not recommended right now",IF($E137="Waiting","Nothing else actionable right now — Waiting on: "&amp;IF($K137="","this item",$K137),MID($V137,4,9999))))</f>
        <v/>
      </c>
      <c r="P137" s="5">
        <f>IF($D137="","",IF('Task Finder'!$C$6="High Priority",AND($F137="High",$E137&lt;&gt;"Done",$E137&lt;&gt;"Archive"),IF('Task Finder'!$C$6="Due This Week",AND($I137&lt;&gt;"",$I137&gt;=TODAY(),$I137&lt;=TODAY()+7,$E137&lt;&gt;"Done"),IF('Task Finder'!$C$6="Quick Wins (15 mins or less)",AND($M137&lt;=15,$E137&lt;&gt;"Done",$E137&lt;&gt;"Blocked"),IF('Task Finder'!$C$6="Deep Thinking",AND($G137="Deep Thinking",$E137&lt;&gt;"Done"),IF('Task Finder'!$C$6="Processing",AND($G137="Processing",$E137&lt;&gt;"Done"),IF('Task Finder'!$C$6="Blocked",$E137="Blocked",IF('Task Finder'!$C$6="Waiting",$E137="Waiting",IF('Task Finder'!$C$6="Recently Updated",AND($L137&lt;&gt;"",$L137&gt;=TODAY()-7),IF('Task Finder'!$C$6="Keyword",AND('Task Finder'!$C$7&lt;&gt;"",OR(ISNUMBER(SEARCH('Task Finder'!$C$7,$A137)),ISNUMBER(SEARCH('Task Finder'!$C$7,$B137)),ISNUMBER(SEARCH('Task Finder'!$C$7,$C137)),ISNUMBER(SEARCH('Task Finder'!$C$7,$D137)),ISNUMBER(SEARCH('Task Finder'!$C$7,$K137)))),TRUE))))))))))</f>
        <v/>
      </c>
      <c r="Q137" s="150">
        <f>IF($F137="High","High Priority","")</f>
        <v/>
      </c>
      <c r="R137" s="150">
        <f>IF(AND($I137&lt;&gt;"",$I137&lt;TODAY()),"Overdue","")</f>
        <v/>
      </c>
      <c r="S137" s="150">
        <f>IF(AND($I137&lt;&gt;"",$I137&gt;=TODAY(),$I137&lt;=TODAY()+7),"Due This Week","")</f>
        <v/>
      </c>
      <c r="T137" s="150">
        <f>IF(AND($H137&lt;&gt;"",$M137&lt;=VLOOKUP(Home!$C$7,Lists!$N$2:$O$6,2,FALSE)),$H137&amp;" Task","")</f>
        <v/>
      </c>
      <c r="U137" s="150">
        <f>IF($G137=Home!$E$7,"Fits Current Energy","")</f>
        <v/>
      </c>
      <c r="V137" s="150">
        <f>IF($Q137&lt;&gt;""," • "&amp;$Q137,"")&amp;IF($R137&lt;&gt;""," • "&amp;$R137,"")&amp;IF($S137&lt;&gt;""," • "&amp;$S137,"")&amp;IF($T137&lt;&gt;""," • "&amp;$T137,"")&amp;IF($U137&lt;&gt;""," • "&amp;$U137,"")&amp;" • No Blockers"</f>
        <v/>
      </c>
    </row>
    <row r="138">
      <c r="A138" s="19" t="n"/>
      <c r="B138" s="19" t="n"/>
      <c r="C138" s="19" t="n"/>
      <c r="D138" s="19" t="n"/>
      <c r="E138" s="19" t="n"/>
      <c r="F138" s="19" t="n"/>
      <c r="G138" s="19" t="n"/>
      <c r="H138" s="19" t="n"/>
      <c r="I138" s="19" t="n"/>
      <c r="J138" s="19" t="n"/>
      <c r="K138" s="19" t="n"/>
      <c r="L138" s="35" t="n"/>
      <c r="M138" s="5">
        <f>IF($D138="","",IFERROR(VLOOKUP($H138,Lists!$N$2:$O$6,2,FALSE),0))</f>
        <v/>
      </c>
      <c r="N138" s="5">
        <f>IF($D138="","",IF(OR($E138="Blocked",$E138="Done",$E138="Archive"),-9999,IF(AND($E138="Waiting",SUMPRODUCT((($E$5:$E$500="Next")+($E$5:$E$500="In Progress")+($E$5:$E$500="Captured"))*($D$5:$D$500&lt;&gt;""))&gt;0),-500,VLOOKUP($F138,Lists!$L$2:$M$4,2,FALSE)+IF($E138="In Progress",10,0)+IF(AND($I138&lt;&gt;"",$I138&lt;TODAY()),25,0)+IF(AND($I138&lt;&gt;"",$I138&gt;=TODAY(),$I138&lt;=TODAY()+7),15,0)+IF($H138="",0,IF($M138&lt;=VLOOKUP(Home!$C$7,Lists!$N$2:$O$6,2,FALSE),20,-10))+IF($G138=Home!$E$7,15,IF(Home!$E$7="",0,-5))-ROW()/100000)))</f>
        <v/>
      </c>
      <c r="O138" s="5">
        <f>IF($D138="","",IF($N138&lt;=-500,"Not recommended right now",IF($E138="Waiting","Nothing else actionable right now — Waiting on: "&amp;IF($K138="","this item",$K138),MID($V138,4,9999))))</f>
        <v/>
      </c>
      <c r="P138" s="5">
        <f>IF($D138="","",IF('Task Finder'!$C$6="High Priority",AND($F138="High",$E138&lt;&gt;"Done",$E138&lt;&gt;"Archive"),IF('Task Finder'!$C$6="Due This Week",AND($I138&lt;&gt;"",$I138&gt;=TODAY(),$I138&lt;=TODAY()+7,$E138&lt;&gt;"Done"),IF('Task Finder'!$C$6="Quick Wins (15 mins or less)",AND($M138&lt;=15,$E138&lt;&gt;"Done",$E138&lt;&gt;"Blocked"),IF('Task Finder'!$C$6="Deep Thinking",AND($G138="Deep Thinking",$E138&lt;&gt;"Done"),IF('Task Finder'!$C$6="Processing",AND($G138="Processing",$E138&lt;&gt;"Done"),IF('Task Finder'!$C$6="Blocked",$E138="Blocked",IF('Task Finder'!$C$6="Waiting",$E138="Waiting",IF('Task Finder'!$C$6="Recently Updated",AND($L138&lt;&gt;"",$L138&gt;=TODAY()-7),IF('Task Finder'!$C$6="Keyword",AND('Task Finder'!$C$7&lt;&gt;"",OR(ISNUMBER(SEARCH('Task Finder'!$C$7,$A138)),ISNUMBER(SEARCH('Task Finder'!$C$7,$B138)),ISNUMBER(SEARCH('Task Finder'!$C$7,$C138)),ISNUMBER(SEARCH('Task Finder'!$C$7,$D138)),ISNUMBER(SEARCH('Task Finder'!$C$7,$K138)))),TRUE))))))))))</f>
        <v/>
      </c>
      <c r="Q138" s="150">
        <f>IF($F138="High","High Priority","")</f>
        <v/>
      </c>
      <c r="R138" s="150">
        <f>IF(AND($I138&lt;&gt;"",$I138&lt;TODAY()),"Overdue","")</f>
        <v/>
      </c>
      <c r="S138" s="150">
        <f>IF(AND($I138&lt;&gt;"",$I138&gt;=TODAY(),$I138&lt;=TODAY()+7),"Due This Week","")</f>
        <v/>
      </c>
      <c r="T138" s="150">
        <f>IF(AND($H138&lt;&gt;"",$M138&lt;=VLOOKUP(Home!$C$7,Lists!$N$2:$O$6,2,FALSE)),$H138&amp;" Task","")</f>
        <v/>
      </c>
      <c r="U138" s="150">
        <f>IF($G138=Home!$E$7,"Fits Current Energy","")</f>
        <v/>
      </c>
      <c r="V138" s="150">
        <f>IF($Q138&lt;&gt;""," • "&amp;$Q138,"")&amp;IF($R138&lt;&gt;""," • "&amp;$R138,"")&amp;IF($S138&lt;&gt;""," • "&amp;$S138,"")&amp;IF($T138&lt;&gt;""," • "&amp;$T138,"")&amp;IF($U138&lt;&gt;""," • "&amp;$U138,"")&amp;" • No Blockers"</f>
        <v/>
      </c>
    </row>
    <row r="139">
      <c r="A139" s="19" t="n"/>
      <c r="B139" s="19" t="n"/>
      <c r="C139" s="19" t="n"/>
      <c r="D139" s="19" t="n"/>
      <c r="E139" s="19" t="n"/>
      <c r="F139" s="19" t="n"/>
      <c r="G139" s="19" t="n"/>
      <c r="H139" s="19" t="n"/>
      <c r="I139" s="19" t="n"/>
      <c r="J139" s="19" t="n"/>
      <c r="K139" s="19" t="n"/>
      <c r="L139" s="35" t="n"/>
      <c r="M139" s="5">
        <f>IF($D139="","",IFERROR(VLOOKUP($H139,Lists!$N$2:$O$6,2,FALSE),0))</f>
        <v/>
      </c>
      <c r="N139" s="5">
        <f>IF($D139="","",IF(OR($E139="Blocked",$E139="Done",$E139="Archive"),-9999,IF(AND($E139="Waiting",SUMPRODUCT((($E$5:$E$500="Next")+($E$5:$E$500="In Progress")+($E$5:$E$500="Captured"))*($D$5:$D$500&lt;&gt;""))&gt;0),-500,VLOOKUP($F139,Lists!$L$2:$M$4,2,FALSE)+IF($E139="In Progress",10,0)+IF(AND($I139&lt;&gt;"",$I139&lt;TODAY()),25,0)+IF(AND($I139&lt;&gt;"",$I139&gt;=TODAY(),$I139&lt;=TODAY()+7),15,0)+IF($H139="",0,IF($M139&lt;=VLOOKUP(Home!$C$7,Lists!$N$2:$O$6,2,FALSE),20,-10))+IF($G139=Home!$E$7,15,IF(Home!$E$7="",0,-5))-ROW()/100000)))</f>
        <v/>
      </c>
      <c r="O139" s="5">
        <f>IF($D139="","",IF($N139&lt;=-500,"Not recommended right now",IF($E139="Waiting","Nothing else actionable right now — Waiting on: "&amp;IF($K139="","this item",$K139),MID($V139,4,9999))))</f>
        <v/>
      </c>
      <c r="P139" s="5">
        <f>IF($D139="","",IF('Task Finder'!$C$6="High Priority",AND($F139="High",$E139&lt;&gt;"Done",$E139&lt;&gt;"Archive"),IF('Task Finder'!$C$6="Due This Week",AND($I139&lt;&gt;"",$I139&gt;=TODAY(),$I139&lt;=TODAY()+7,$E139&lt;&gt;"Done"),IF('Task Finder'!$C$6="Quick Wins (15 mins or less)",AND($M139&lt;=15,$E139&lt;&gt;"Done",$E139&lt;&gt;"Blocked"),IF('Task Finder'!$C$6="Deep Thinking",AND($G139="Deep Thinking",$E139&lt;&gt;"Done"),IF('Task Finder'!$C$6="Processing",AND($G139="Processing",$E139&lt;&gt;"Done"),IF('Task Finder'!$C$6="Blocked",$E139="Blocked",IF('Task Finder'!$C$6="Waiting",$E139="Waiting",IF('Task Finder'!$C$6="Recently Updated",AND($L139&lt;&gt;"",$L139&gt;=TODAY()-7),IF('Task Finder'!$C$6="Keyword",AND('Task Finder'!$C$7&lt;&gt;"",OR(ISNUMBER(SEARCH('Task Finder'!$C$7,$A139)),ISNUMBER(SEARCH('Task Finder'!$C$7,$B139)),ISNUMBER(SEARCH('Task Finder'!$C$7,$C139)),ISNUMBER(SEARCH('Task Finder'!$C$7,$D139)),ISNUMBER(SEARCH('Task Finder'!$C$7,$K139)))),TRUE))))))))))</f>
        <v/>
      </c>
      <c r="Q139" s="150">
        <f>IF($F139="High","High Priority","")</f>
        <v/>
      </c>
      <c r="R139" s="150">
        <f>IF(AND($I139&lt;&gt;"",$I139&lt;TODAY()),"Overdue","")</f>
        <v/>
      </c>
      <c r="S139" s="150">
        <f>IF(AND($I139&lt;&gt;"",$I139&gt;=TODAY(),$I139&lt;=TODAY()+7),"Due This Week","")</f>
        <v/>
      </c>
      <c r="T139" s="150">
        <f>IF(AND($H139&lt;&gt;"",$M139&lt;=VLOOKUP(Home!$C$7,Lists!$N$2:$O$6,2,FALSE)),$H139&amp;" Task","")</f>
        <v/>
      </c>
      <c r="U139" s="150">
        <f>IF($G139=Home!$E$7,"Fits Current Energy","")</f>
        <v/>
      </c>
      <c r="V139" s="150">
        <f>IF($Q139&lt;&gt;""," • "&amp;$Q139,"")&amp;IF($R139&lt;&gt;""," • "&amp;$R139,"")&amp;IF($S139&lt;&gt;""," • "&amp;$S139,"")&amp;IF($T139&lt;&gt;""," • "&amp;$T139,"")&amp;IF($U139&lt;&gt;""," • "&amp;$U139,"")&amp;" • No Blockers"</f>
        <v/>
      </c>
    </row>
    <row r="140">
      <c r="A140" s="19" t="n"/>
      <c r="B140" s="19" t="n"/>
      <c r="C140" s="19" t="n"/>
      <c r="D140" s="19" t="n"/>
      <c r="E140" s="19" t="n"/>
      <c r="F140" s="19" t="n"/>
      <c r="G140" s="19" t="n"/>
      <c r="H140" s="19" t="n"/>
      <c r="I140" s="19" t="n"/>
      <c r="J140" s="19" t="n"/>
      <c r="K140" s="19" t="n"/>
      <c r="L140" s="35" t="n"/>
      <c r="M140" s="5">
        <f>IF($D140="","",IFERROR(VLOOKUP($H140,Lists!$N$2:$O$6,2,FALSE),0))</f>
        <v/>
      </c>
      <c r="N140" s="5">
        <f>IF($D140="","",IF(OR($E140="Blocked",$E140="Done",$E140="Archive"),-9999,IF(AND($E140="Waiting",SUMPRODUCT((($E$5:$E$500="Next")+($E$5:$E$500="In Progress")+($E$5:$E$500="Captured"))*($D$5:$D$500&lt;&gt;""))&gt;0),-500,VLOOKUP($F140,Lists!$L$2:$M$4,2,FALSE)+IF($E140="In Progress",10,0)+IF(AND($I140&lt;&gt;"",$I140&lt;TODAY()),25,0)+IF(AND($I140&lt;&gt;"",$I140&gt;=TODAY(),$I140&lt;=TODAY()+7),15,0)+IF($H140="",0,IF($M140&lt;=VLOOKUP(Home!$C$7,Lists!$N$2:$O$6,2,FALSE),20,-10))+IF($G140=Home!$E$7,15,IF(Home!$E$7="",0,-5))-ROW()/100000)))</f>
        <v/>
      </c>
      <c r="O140" s="5">
        <f>IF($D140="","",IF($N140&lt;=-500,"Not recommended right now",IF($E140="Waiting","Nothing else actionable right now — Waiting on: "&amp;IF($K140="","this item",$K140),MID($V140,4,9999))))</f>
        <v/>
      </c>
      <c r="P140" s="5">
        <f>IF($D140="","",IF('Task Finder'!$C$6="High Priority",AND($F140="High",$E140&lt;&gt;"Done",$E140&lt;&gt;"Archive"),IF('Task Finder'!$C$6="Due This Week",AND($I140&lt;&gt;"",$I140&gt;=TODAY(),$I140&lt;=TODAY()+7,$E140&lt;&gt;"Done"),IF('Task Finder'!$C$6="Quick Wins (15 mins or less)",AND($M140&lt;=15,$E140&lt;&gt;"Done",$E140&lt;&gt;"Blocked"),IF('Task Finder'!$C$6="Deep Thinking",AND($G140="Deep Thinking",$E140&lt;&gt;"Done"),IF('Task Finder'!$C$6="Processing",AND($G140="Processing",$E140&lt;&gt;"Done"),IF('Task Finder'!$C$6="Blocked",$E140="Blocked",IF('Task Finder'!$C$6="Waiting",$E140="Waiting",IF('Task Finder'!$C$6="Recently Updated",AND($L140&lt;&gt;"",$L140&gt;=TODAY()-7),IF('Task Finder'!$C$6="Keyword",AND('Task Finder'!$C$7&lt;&gt;"",OR(ISNUMBER(SEARCH('Task Finder'!$C$7,$A140)),ISNUMBER(SEARCH('Task Finder'!$C$7,$B140)),ISNUMBER(SEARCH('Task Finder'!$C$7,$C140)),ISNUMBER(SEARCH('Task Finder'!$C$7,$D140)),ISNUMBER(SEARCH('Task Finder'!$C$7,$K140)))),TRUE))))))))))</f>
        <v/>
      </c>
      <c r="Q140" s="150">
        <f>IF($F140="High","High Priority","")</f>
        <v/>
      </c>
      <c r="R140" s="150">
        <f>IF(AND($I140&lt;&gt;"",$I140&lt;TODAY()),"Overdue","")</f>
        <v/>
      </c>
      <c r="S140" s="150">
        <f>IF(AND($I140&lt;&gt;"",$I140&gt;=TODAY(),$I140&lt;=TODAY()+7),"Due This Week","")</f>
        <v/>
      </c>
      <c r="T140" s="150">
        <f>IF(AND($H140&lt;&gt;"",$M140&lt;=VLOOKUP(Home!$C$7,Lists!$N$2:$O$6,2,FALSE)),$H140&amp;" Task","")</f>
        <v/>
      </c>
      <c r="U140" s="150">
        <f>IF($G140=Home!$E$7,"Fits Current Energy","")</f>
        <v/>
      </c>
      <c r="V140" s="150">
        <f>IF($Q140&lt;&gt;""," • "&amp;$Q140,"")&amp;IF($R140&lt;&gt;""," • "&amp;$R140,"")&amp;IF($S140&lt;&gt;""," • "&amp;$S140,"")&amp;IF($T140&lt;&gt;""," • "&amp;$T140,"")&amp;IF($U140&lt;&gt;""," • "&amp;$U140,"")&amp;" • No Blockers"</f>
        <v/>
      </c>
    </row>
    <row r="141">
      <c r="A141" s="19" t="n"/>
      <c r="B141" s="19" t="n"/>
      <c r="C141" s="19" t="n"/>
      <c r="D141" s="19" t="n"/>
      <c r="E141" s="19" t="n"/>
      <c r="F141" s="19" t="n"/>
      <c r="G141" s="19" t="n"/>
      <c r="H141" s="19" t="n"/>
      <c r="I141" s="19" t="n"/>
      <c r="J141" s="19" t="n"/>
      <c r="K141" s="19" t="n"/>
      <c r="L141" s="35" t="n"/>
      <c r="M141" s="5">
        <f>IF($D141="","",IFERROR(VLOOKUP($H141,Lists!$N$2:$O$6,2,FALSE),0))</f>
        <v/>
      </c>
      <c r="N141" s="5">
        <f>IF($D141="","",IF(OR($E141="Blocked",$E141="Done",$E141="Archive"),-9999,IF(AND($E141="Waiting",SUMPRODUCT((($E$5:$E$500="Next")+($E$5:$E$500="In Progress")+($E$5:$E$500="Captured"))*($D$5:$D$500&lt;&gt;""))&gt;0),-500,VLOOKUP($F141,Lists!$L$2:$M$4,2,FALSE)+IF($E141="In Progress",10,0)+IF(AND($I141&lt;&gt;"",$I141&lt;TODAY()),25,0)+IF(AND($I141&lt;&gt;"",$I141&gt;=TODAY(),$I141&lt;=TODAY()+7),15,0)+IF($H141="",0,IF($M141&lt;=VLOOKUP(Home!$C$7,Lists!$N$2:$O$6,2,FALSE),20,-10))+IF($G141=Home!$E$7,15,IF(Home!$E$7="",0,-5))-ROW()/100000)))</f>
        <v/>
      </c>
      <c r="O141" s="5">
        <f>IF($D141="","",IF($N141&lt;=-500,"Not recommended right now",IF($E141="Waiting","Nothing else actionable right now — Waiting on: "&amp;IF($K141="","this item",$K141),MID($V141,4,9999))))</f>
        <v/>
      </c>
      <c r="P141" s="5">
        <f>IF($D141="","",IF('Task Finder'!$C$6="High Priority",AND($F141="High",$E141&lt;&gt;"Done",$E141&lt;&gt;"Archive"),IF('Task Finder'!$C$6="Due This Week",AND($I141&lt;&gt;"",$I141&gt;=TODAY(),$I141&lt;=TODAY()+7,$E141&lt;&gt;"Done"),IF('Task Finder'!$C$6="Quick Wins (15 mins or less)",AND($M141&lt;=15,$E141&lt;&gt;"Done",$E141&lt;&gt;"Blocked"),IF('Task Finder'!$C$6="Deep Thinking",AND($G141="Deep Thinking",$E141&lt;&gt;"Done"),IF('Task Finder'!$C$6="Processing",AND($G141="Processing",$E141&lt;&gt;"Done"),IF('Task Finder'!$C$6="Blocked",$E141="Blocked",IF('Task Finder'!$C$6="Waiting",$E141="Waiting",IF('Task Finder'!$C$6="Recently Updated",AND($L141&lt;&gt;"",$L141&gt;=TODAY()-7),IF('Task Finder'!$C$6="Keyword",AND('Task Finder'!$C$7&lt;&gt;"",OR(ISNUMBER(SEARCH('Task Finder'!$C$7,$A141)),ISNUMBER(SEARCH('Task Finder'!$C$7,$B141)),ISNUMBER(SEARCH('Task Finder'!$C$7,$C141)),ISNUMBER(SEARCH('Task Finder'!$C$7,$D141)),ISNUMBER(SEARCH('Task Finder'!$C$7,$K141)))),TRUE))))))))))</f>
        <v/>
      </c>
      <c r="Q141" s="150">
        <f>IF($F141="High","High Priority","")</f>
        <v/>
      </c>
      <c r="R141" s="150">
        <f>IF(AND($I141&lt;&gt;"",$I141&lt;TODAY()),"Overdue","")</f>
        <v/>
      </c>
      <c r="S141" s="150">
        <f>IF(AND($I141&lt;&gt;"",$I141&gt;=TODAY(),$I141&lt;=TODAY()+7),"Due This Week","")</f>
        <v/>
      </c>
      <c r="T141" s="150">
        <f>IF(AND($H141&lt;&gt;"",$M141&lt;=VLOOKUP(Home!$C$7,Lists!$N$2:$O$6,2,FALSE)),$H141&amp;" Task","")</f>
        <v/>
      </c>
      <c r="U141" s="150">
        <f>IF($G141=Home!$E$7,"Fits Current Energy","")</f>
        <v/>
      </c>
      <c r="V141" s="150">
        <f>IF($Q141&lt;&gt;""," • "&amp;$Q141,"")&amp;IF($R141&lt;&gt;""," • "&amp;$R141,"")&amp;IF($S141&lt;&gt;""," • "&amp;$S141,"")&amp;IF($T141&lt;&gt;""," • "&amp;$T141,"")&amp;IF($U141&lt;&gt;""," • "&amp;$U141,"")&amp;" • No Blockers"</f>
        <v/>
      </c>
    </row>
    <row r="142">
      <c r="A142" s="19" t="n"/>
      <c r="B142" s="19" t="n"/>
      <c r="C142" s="19" t="n"/>
      <c r="D142" s="19" t="n"/>
      <c r="E142" s="19" t="n"/>
      <c r="F142" s="19" t="n"/>
      <c r="G142" s="19" t="n"/>
      <c r="H142" s="19" t="n"/>
      <c r="I142" s="19" t="n"/>
      <c r="J142" s="19" t="n"/>
      <c r="K142" s="19" t="n"/>
      <c r="L142" s="35" t="n"/>
      <c r="M142" s="5">
        <f>IF($D142="","",IFERROR(VLOOKUP($H142,Lists!$N$2:$O$6,2,FALSE),0))</f>
        <v/>
      </c>
      <c r="N142" s="5">
        <f>IF($D142="","",IF(OR($E142="Blocked",$E142="Done",$E142="Archive"),-9999,IF(AND($E142="Waiting",SUMPRODUCT((($E$5:$E$500="Next")+($E$5:$E$500="In Progress")+($E$5:$E$500="Captured"))*($D$5:$D$500&lt;&gt;""))&gt;0),-500,VLOOKUP($F142,Lists!$L$2:$M$4,2,FALSE)+IF($E142="In Progress",10,0)+IF(AND($I142&lt;&gt;"",$I142&lt;TODAY()),25,0)+IF(AND($I142&lt;&gt;"",$I142&gt;=TODAY(),$I142&lt;=TODAY()+7),15,0)+IF($H142="",0,IF($M142&lt;=VLOOKUP(Home!$C$7,Lists!$N$2:$O$6,2,FALSE),20,-10))+IF($G142=Home!$E$7,15,IF(Home!$E$7="",0,-5))-ROW()/100000)))</f>
        <v/>
      </c>
      <c r="O142" s="5">
        <f>IF($D142="","",IF($N142&lt;=-500,"Not recommended right now",IF($E142="Waiting","Nothing else actionable right now — Waiting on: "&amp;IF($K142="","this item",$K142),MID($V142,4,9999))))</f>
        <v/>
      </c>
      <c r="P142" s="5">
        <f>IF($D142="","",IF('Task Finder'!$C$6="High Priority",AND($F142="High",$E142&lt;&gt;"Done",$E142&lt;&gt;"Archive"),IF('Task Finder'!$C$6="Due This Week",AND($I142&lt;&gt;"",$I142&gt;=TODAY(),$I142&lt;=TODAY()+7,$E142&lt;&gt;"Done"),IF('Task Finder'!$C$6="Quick Wins (15 mins or less)",AND($M142&lt;=15,$E142&lt;&gt;"Done",$E142&lt;&gt;"Blocked"),IF('Task Finder'!$C$6="Deep Thinking",AND($G142="Deep Thinking",$E142&lt;&gt;"Done"),IF('Task Finder'!$C$6="Processing",AND($G142="Processing",$E142&lt;&gt;"Done"),IF('Task Finder'!$C$6="Blocked",$E142="Blocked",IF('Task Finder'!$C$6="Waiting",$E142="Waiting",IF('Task Finder'!$C$6="Recently Updated",AND($L142&lt;&gt;"",$L142&gt;=TODAY()-7),IF('Task Finder'!$C$6="Keyword",AND('Task Finder'!$C$7&lt;&gt;"",OR(ISNUMBER(SEARCH('Task Finder'!$C$7,$A142)),ISNUMBER(SEARCH('Task Finder'!$C$7,$B142)),ISNUMBER(SEARCH('Task Finder'!$C$7,$C142)),ISNUMBER(SEARCH('Task Finder'!$C$7,$D142)),ISNUMBER(SEARCH('Task Finder'!$C$7,$K142)))),TRUE))))))))))</f>
        <v/>
      </c>
      <c r="Q142" s="150">
        <f>IF($F142="High","High Priority","")</f>
        <v/>
      </c>
      <c r="R142" s="150">
        <f>IF(AND($I142&lt;&gt;"",$I142&lt;TODAY()),"Overdue","")</f>
        <v/>
      </c>
      <c r="S142" s="150">
        <f>IF(AND($I142&lt;&gt;"",$I142&gt;=TODAY(),$I142&lt;=TODAY()+7),"Due This Week","")</f>
        <v/>
      </c>
      <c r="T142" s="150">
        <f>IF(AND($H142&lt;&gt;"",$M142&lt;=VLOOKUP(Home!$C$7,Lists!$N$2:$O$6,2,FALSE)),$H142&amp;" Task","")</f>
        <v/>
      </c>
      <c r="U142" s="150">
        <f>IF($G142=Home!$E$7,"Fits Current Energy","")</f>
        <v/>
      </c>
      <c r="V142" s="150">
        <f>IF($Q142&lt;&gt;""," • "&amp;$Q142,"")&amp;IF($R142&lt;&gt;""," • "&amp;$R142,"")&amp;IF($S142&lt;&gt;""," • "&amp;$S142,"")&amp;IF($T142&lt;&gt;""," • "&amp;$T142,"")&amp;IF($U142&lt;&gt;""," • "&amp;$U142,"")&amp;" • No Blockers"</f>
        <v/>
      </c>
    </row>
    <row r="143">
      <c r="A143" s="19" t="n"/>
      <c r="B143" s="19" t="n"/>
      <c r="C143" s="19" t="n"/>
      <c r="D143" s="19" t="n"/>
      <c r="E143" s="19" t="n"/>
      <c r="F143" s="19" t="n"/>
      <c r="G143" s="19" t="n"/>
      <c r="H143" s="19" t="n"/>
      <c r="I143" s="19" t="n"/>
      <c r="J143" s="19" t="n"/>
      <c r="K143" s="19" t="n"/>
      <c r="L143" s="35" t="n"/>
      <c r="M143" s="5">
        <f>IF($D143="","",IFERROR(VLOOKUP($H143,Lists!$N$2:$O$6,2,FALSE),0))</f>
        <v/>
      </c>
      <c r="N143" s="5">
        <f>IF($D143="","",IF(OR($E143="Blocked",$E143="Done",$E143="Archive"),-9999,IF(AND($E143="Waiting",SUMPRODUCT((($E$5:$E$500="Next")+($E$5:$E$500="In Progress")+($E$5:$E$500="Captured"))*($D$5:$D$500&lt;&gt;""))&gt;0),-500,VLOOKUP($F143,Lists!$L$2:$M$4,2,FALSE)+IF($E143="In Progress",10,0)+IF(AND($I143&lt;&gt;"",$I143&lt;TODAY()),25,0)+IF(AND($I143&lt;&gt;"",$I143&gt;=TODAY(),$I143&lt;=TODAY()+7),15,0)+IF($H143="",0,IF($M143&lt;=VLOOKUP(Home!$C$7,Lists!$N$2:$O$6,2,FALSE),20,-10))+IF($G143=Home!$E$7,15,IF(Home!$E$7="",0,-5))-ROW()/100000)))</f>
        <v/>
      </c>
      <c r="O143" s="5">
        <f>IF($D143="","",IF($N143&lt;=-500,"Not recommended right now",IF($E143="Waiting","Nothing else actionable right now — Waiting on: "&amp;IF($K143="","this item",$K143),MID($V143,4,9999))))</f>
        <v/>
      </c>
      <c r="P143" s="5">
        <f>IF($D143="","",IF('Task Finder'!$C$6="High Priority",AND($F143="High",$E143&lt;&gt;"Done",$E143&lt;&gt;"Archive"),IF('Task Finder'!$C$6="Due This Week",AND($I143&lt;&gt;"",$I143&gt;=TODAY(),$I143&lt;=TODAY()+7,$E143&lt;&gt;"Done"),IF('Task Finder'!$C$6="Quick Wins (15 mins or less)",AND($M143&lt;=15,$E143&lt;&gt;"Done",$E143&lt;&gt;"Blocked"),IF('Task Finder'!$C$6="Deep Thinking",AND($G143="Deep Thinking",$E143&lt;&gt;"Done"),IF('Task Finder'!$C$6="Processing",AND($G143="Processing",$E143&lt;&gt;"Done"),IF('Task Finder'!$C$6="Blocked",$E143="Blocked",IF('Task Finder'!$C$6="Waiting",$E143="Waiting",IF('Task Finder'!$C$6="Recently Updated",AND($L143&lt;&gt;"",$L143&gt;=TODAY()-7),IF('Task Finder'!$C$6="Keyword",AND('Task Finder'!$C$7&lt;&gt;"",OR(ISNUMBER(SEARCH('Task Finder'!$C$7,$A143)),ISNUMBER(SEARCH('Task Finder'!$C$7,$B143)),ISNUMBER(SEARCH('Task Finder'!$C$7,$C143)),ISNUMBER(SEARCH('Task Finder'!$C$7,$D143)),ISNUMBER(SEARCH('Task Finder'!$C$7,$K143)))),TRUE))))))))))</f>
        <v/>
      </c>
      <c r="Q143" s="150">
        <f>IF($F143="High","High Priority","")</f>
        <v/>
      </c>
      <c r="R143" s="150">
        <f>IF(AND($I143&lt;&gt;"",$I143&lt;TODAY()),"Overdue","")</f>
        <v/>
      </c>
      <c r="S143" s="150">
        <f>IF(AND($I143&lt;&gt;"",$I143&gt;=TODAY(),$I143&lt;=TODAY()+7),"Due This Week","")</f>
        <v/>
      </c>
      <c r="T143" s="150">
        <f>IF(AND($H143&lt;&gt;"",$M143&lt;=VLOOKUP(Home!$C$7,Lists!$N$2:$O$6,2,FALSE)),$H143&amp;" Task","")</f>
        <v/>
      </c>
      <c r="U143" s="150">
        <f>IF($G143=Home!$E$7,"Fits Current Energy","")</f>
        <v/>
      </c>
      <c r="V143" s="150">
        <f>IF($Q143&lt;&gt;""," • "&amp;$Q143,"")&amp;IF($R143&lt;&gt;""," • "&amp;$R143,"")&amp;IF($S143&lt;&gt;""," • "&amp;$S143,"")&amp;IF($T143&lt;&gt;""," • "&amp;$T143,"")&amp;IF($U143&lt;&gt;""," • "&amp;$U143,"")&amp;" • No Blockers"</f>
        <v/>
      </c>
    </row>
    <row r="144">
      <c r="A144" s="19" t="n"/>
      <c r="B144" s="19" t="n"/>
      <c r="C144" s="19" t="n"/>
      <c r="D144" s="19" t="n"/>
      <c r="E144" s="19" t="n"/>
      <c r="F144" s="19" t="n"/>
      <c r="G144" s="19" t="n"/>
      <c r="H144" s="19" t="n"/>
      <c r="I144" s="19" t="n"/>
      <c r="J144" s="19" t="n"/>
      <c r="K144" s="19" t="n"/>
      <c r="L144" s="35" t="n"/>
      <c r="M144" s="5">
        <f>IF($D144="","",IFERROR(VLOOKUP($H144,Lists!$N$2:$O$6,2,FALSE),0))</f>
        <v/>
      </c>
      <c r="N144" s="5">
        <f>IF($D144="","",IF(OR($E144="Blocked",$E144="Done",$E144="Archive"),-9999,IF(AND($E144="Waiting",SUMPRODUCT((($E$5:$E$500="Next")+($E$5:$E$500="In Progress")+($E$5:$E$500="Captured"))*($D$5:$D$500&lt;&gt;""))&gt;0),-500,VLOOKUP($F144,Lists!$L$2:$M$4,2,FALSE)+IF($E144="In Progress",10,0)+IF(AND($I144&lt;&gt;"",$I144&lt;TODAY()),25,0)+IF(AND($I144&lt;&gt;"",$I144&gt;=TODAY(),$I144&lt;=TODAY()+7),15,0)+IF($H144="",0,IF($M144&lt;=VLOOKUP(Home!$C$7,Lists!$N$2:$O$6,2,FALSE),20,-10))+IF($G144=Home!$E$7,15,IF(Home!$E$7="",0,-5))-ROW()/100000)))</f>
        <v/>
      </c>
      <c r="O144" s="5">
        <f>IF($D144="","",IF($N144&lt;=-500,"Not recommended right now",IF($E144="Waiting","Nothing else actionable right now — Waiting on: "&amp;IF($K144="","this item",$K144),MID($V144,4,9999))))</f>
        <v/>
      </c>
      <c r="P144" s="5">
        <f>IF($D144="","",IF('Task Finder'!$C$6="High Priority",AND($F144="High",$E144&lt;&gt;"Done",$E144&lt;&gt;"Archive"),IF('Task Finder'!$C$6="Due This Week",AND($I144&lt;&gt;"",$I144&gt;=TODAY(),$I144&lt;=TODAY()+7,$E144&lt;&gt;"Done"),IF('Task Finder'!$C$6="Quick Wins (15 mins or less)",AND($M144&lt;=15,$E144&lt;&gt;"Done",$E144&lt;&gt;"Blocked"),IF('Task Finder'!$C$6="Deep Thinking",AND($G144="Deep Thinking",$E144&lt;&gt;"Done"),IF('Task Finder'!$C$6="Processing",AND($G144="Processing",$E144&lt;&gt;"Done"),IF('Task Finder'!$C$6="Blocked",$E144="Blocked",IF('Task Finder'!$C$6="Waiting",$E144="Waiting",IF('Task Finder'!$C$6="Recently Updated",AND($L144&lt;&gt;"",$L144&gt;=TODAY()-7),IF('Task Finder'!$C$6="Keyword",AND('Task Finder'!$C$7&lt;&gt;"",OR(ISNUMBER(SEARCH('Task Finder'!$C$7,$A144)),ISNUMBER(SEARCH('Task Finder'!$C$7,$B144)),ISNUMBER(SEARCH('Task Finder'!$C$7,$C144)),ISNUMBER(SEARCH('Task Finder'!$C$7,$D144)),ISNUMBER(SEARCH('Task Finder'!$C$7,$K144)))),TRUE))))))))))</f>
        <v/>
      </c>
      <c r="Q144" s="150">
        <f>IF($F144="High","High Priority","")</f>
        <v/>
      </c>
      <c r="R144" s="150">
        <f>IF(AND($I144&lt;&gt;"",$I144&lt;TODAY()),"Overdue","")</f>
        <v/>
      </c>
      <c r="S144" s="150">
        <f>IF(AND($I144&lt;&gt;"",$I144&gt;=TODAY(),$I144&lt;=TODAY()+7),"Due This Week","")</f>
        <v/>
      </c>
      <c r="T144" s="150">
        <f>IF(AND($H144&lt;&gt;"",$M144&lt;=VLOOKUP(Home!$C$7,Lists!$N$2:$O$6,2,FALSE)),$H144&amp;" Task","")</f>
        <v/>
      </c>
      <c r="U144" s="150">
        <f>IF($G144=Home!$E$7,"Fits Current Energy","")</f>
        <v/>
      </c>
      <c r="V144" s="150">
        <f>IF($Q144&lt;&gt;""," • "&amp;$Q144,"")&amp;IF($R144&lt;&gt;""," • "&amp;$R144,"")&amp;IF($S144&lt;&gt;""," • "&amp;$S144,"")&amp;IF($T144&lt;&gt;""," • "&amp;$T144,"")&amp;IF($U144&lt;&gt;""," • "&amp;$U144,"")&amp;" • No Blockers"</f>
        <v/>
      </c>
    </row>
    <row r="145">
      <c r="A145" s="19" t="n"/>
      <c r="B145" s="19" t="n"/>
      <c r="C145" s="19" t="n"/>
      <c r="D145" s="19" t="n"/>
      <c r="E145" s="19" t="n"/>
      <c r="F145" s="19" t="n"/>
      <c r="G145" s="19" t="n"/>
      <c r="H145" s="19" t="n"/>
      <c r="I145" s="19" t="n"/>
      <c r="J145" s="19" t="n"/>
      <c r="K145" s="19" t="n"/>
      <c r="L145" s="35" t="n"/>
      <c r="M145" s="5">
        <f>IF($D145="","",IFERROR(VLOOKUP($H145,Lists!$N$2:$O$6,2,FALSE),0))</f>
        <v/>
      </c>
      <c r="N145" s="5">
        <f>IF($D145="","",IF(OR($E145="Blocked",$E145="Done",$E145="Archive"),-9999,IF(AND($E145="Waiting",SUMPRODUCT((($E$5:$E$500="Next")+($E$5:$E$500="In Progress")+($E$5:$E$500="Captured"))*($D$5:$D$500&lt;&gt;""))&gt;0),-500,VLOOKUP($F145,Lists!$L$2:$M$4,2,FALSE)+IF($E145="In Progress",10,0)+IF(AND($I145&lt;&gt;"",$I145&lt;TODAY()),25,0)+IF(AND($I145&lt;&gt;"",$I145&gt;=TODAY(),$I145&lt;=TODAY()+7),15,0)+IF($H145="",0,IF($M145&lt;=VLOOKUP(Home!$C$7,Lists!$N$2:$O$6,2,FALSE),20,-10))+IF($G145=Home!$E$7,15,IF(Home!$E$7="",0,-5))-ROW()/100000)))</f>
        <v/>
      </c>
      <c r="O145" s="5">
        <f>IF($D145="","",IF($N145&lt;=-500,"Not recommended right now",IF($E145="Waiting","Nothing else actionable right now — Waiting on: "&amp;IF($K145="","this item",$K145),MID($V145,4,9999))))</f>
        <v/>
      </c>
      <c r="P145" s="5">
        <f>IF($D145="","",IF('Task Finder'!$C$6="High Priority",AND($F145="High",$E145&lt;&gt;"Done",$E145&lt;&gt;"Archive"),IF('Task Finder'!$C$6="Due This Week",AND($I145&lt;&gt;"",$I145&gt;=TODAY(),$I145&lt;=TODAY()+7,$E145&lt;&gt;"Done"),IF('Task Finder'!$C$6="Quick Wins (15 mins or less)",AND($M145&lt;=15,$E145&lt;&gt;"Done",$E145&lt;&gt;"Blocked"),IF('Task Finder'!$C$6="Deep Thinking",AND($G145="Deep Thinking",$E145&lt;&gt;"Done"),IF('Task Finder'!$C$6="Processing",AND($G145="Processing",$E145&lt;&gt;"Done"),IF('Task Finder'!$C$6="Blocked",$E145="Blocked",IF('Task Finder'!$C$6="Waiting",$E145="Waiting",IF('Task Finder'!$C$6="Recently Updated",AND($L145&lt;&gt;"",$L145&gt;=TODAY()-7),IF('Task Finder'!$C$6="Keyword",AND('Task Finder'!$C$7&lt;&gt;"",OR(ISNUMBER(SEARCH('Task Finder'!$C$7,$A145)),ISNUMBER(SEARCH('Task Finder'!$C$7,$B145)),ISNUMBER(SEARCH('Task Finder'!$C$7,$C145)),ISNUMBER(SEARCH('Task Finder'!$C$7,$D145)),ISNUMBER(SEARCH('Task Finder'!$C$7,$K145)))),TRUE))))))))))</f>
        <v/>
      </c>
      <c r="Q145" s="150">
        <f>IF($F145="High","High Priority","")</f>
        <v/>
      </c>
      <c r="R145" s="150">
        <f>IF(AND($I145&lt;&gt;"",$I145&lt;TODAY()),"Overdue","")</f>
        <v/>
      </c>
      <c r="S145" s="150">
        <f>IF(AND($I145&lt;&gt;"",$I145&gt;=TODAY(),$I145&lt;=TODAY()+7),"Due This Week","")</f>
        <v/>
      </c>
      <c r="T145" s="150">
        <f>IF(AND($H145&lt;&gt;"",$M145&lt;=VLOOKUP(Home!$C$7,Lists!$N$2:$O$6,2,FALSE)),$H145&amp;" Task","")</f>
        <v/>
      </c>
      <c r="U145" s="150">
        <f>IF($G145=Home!$E$7,"Fits Current Energy","")</f>
        <v/>
      </c>
      <c r="V145" s="150">
        <f>IF($Q145&lt;&gt;""," • "&amp;$Q145,"")&amp;IF($R145&lt;&gt;""," • "&amp;$R145,"")&amp;IF($S145&lt;&gt;""," • "&amp;$S145,"")&amp;IF($T145&lt;&gt;""," • "&amp;$T145,"")&amp;IF($U145&lt;&gt;""," • "&amp;$U145,"")&amp;" • No Blockers"</f>
        <v/>
      </c>
    </row>
    <row r="146">
      <c r="A146" s="19" t="n"/>
      <c r="B146" s="19" t="n"/>
      <c r="C146" s="19" t="n"/>
      <c r="D146" s="19" t="n"/>
      <c r="E146" s="19" t="n"/>
      <c r="F146" s="19" t="n"/>
      <c r="G146" s="19" t="n"/>
      <c r="H146" s="19" t="n"/>
      <c r="I146" s="19" t="n"/>
      <c r="J146" s="19" t="n"/>
      <c r="K146" s="19" t="n"/>
      <c r="L146" s="35" t="n"/>
      <c r="M146" s="5">
        <f>IF($D146="","",IFERROR(VLOOKUP($H146,Lists!$N$2:$O$6,2,FALSE),0))</f>
        <v/>
      </c>
      <c r="N146" s="5">
        <f>IF($D146="","",IF(OR($E146="Blocked",$E146="Done",$E146="Archive"),-9999,IF(AND($E146="Waiting",SUMPRODUCT((($E$5:$E$500="Next")+($E$5:$E$500="In Progress")+($E$5:$E$500="Captured"))*($D$5:$D$500&lt;&gt;""))&gt;0),-500,VLOOKUP($F146,Lists!$L$2:$M$4,2,FALSE)+IF($E146="In Progress",10,0)+IF(AND($I146&lt;&gt;"",$I146&lt;TODAY()),25,0)+IF(AND($I146&lt;&gt;"",$I146&gt;=TODAY(),$I146&lt;=TODAY()+7),15,0)+IF($H146="",0,IF($M146&lt;=VLOOKUP(Home!$C$7,Lists!$N$2:$O$6,2,FALSE),20,-10))+IF($G146=Home!$E$7,15,IF(Home!$E$7="",0,-5))-ROW()/100000)))</f>
        <v/>
      </c>
      <c r="O146" s="5">
        <f>IF($D146="","",IF($N146&lt;=-500,"Not recommended right now",IF($E146="Waiting","Nothing else actionable right now — Waiting on: "&amp;IF($K146="","this item",$K146),MID($V146,4,9999))))</f>
        <v/>
      </c>
      <c r="P146" s="5">
        <f>IF($D146="","",IF('Task Finder'!$C$6="High Priority",AND($F146="High",$E146&lt;&gt;"Done",$E146&lt;&gt;"Archive"),IF('Task Finder'!$C$6="Due This Week",AND($I146&lt;&gt;"",$I146&gt;=TODAY(),$I146&lt;=TODAY()+7,$E146&lt;&gt;"Done"),IF('Task Finder'!$C$6="Quick Wins (15 mins or less)",AND($M146&lt;=15,$E146&lt;&gt;"Done",$E146&lt;&gt;"Blocked"),IF('Task Finder'!$C$6="Deep Thinking",AND($G146="Deep Thinking",$E146&lt;&gt;"Done"),IF('Task Finder'!$C$6="Processing",AND($G146="Processing",$E146&lt;&gt;"Done"),IF('Task Finder'!$C$6="Blocked",$E146="Blocked",IF('Task Finder'!$C$6="Waiting",$E146="Waiting",IF('Task Finder'!$C$6="Recently Updated",AND($L146&lt;&gt;"",$L146&gt;=TODAY()-7),IF('Task Finder'!$C$6="Keyword",AND('Task Finder'!$C$7&lt;&gt;"",OR(ISNUMBER(SEARCH('Task Finder'!$C$7,$A146)),ISNUMBER(SEARCH('Task Finder'!$C$7,$B146)),ISNUMBER(SEARCH('Task Finder'!$C$7,$C146)),ISNUMBER(SEARCH('Task Finder'!$C$7,$D146)),ISNUMBER(SEARCH('Task Finder'!$C$7,$K146)))),TRUE))))))))))</f>
        <v/>
      </c>
      <c r="Q146" s="150">
        <f>IF($F146="High","High Priority","")</f>
        <v/>
      </c>
      <c r="R146" s="150">
        <f>IF(AND($I146&lt;&gt;"",$I146&lt;TODAY()),"Overdue","")</f>
        <v/>
      </c>
      <c r="S146" s="150">
        <f>IF(AND($I146&lt;&gt;"",$I146&gt;=TODAY(),$I146&lt;=TODAY()+7),"Due This Week","")</f>
        <v/>
      </c>
      <c r="T146" s="150">
        <f>IF(AND($H146&lt;&gt;"",$M146&lt;=VLOOKUP(Home!$C$7,Lists!$N$2:$O$6,2,FALSE)),$H146&amp;" Task","")</f>
        <v/>
      </c>
      <c r="U146" s="150">
        <f>IF($G146=Home!$E$7,"Fits Current Energy","")</f>
        <v/>
      </c>
      <c r="V146" s="150">
        <f>IF($Q146&lt;&gt;""," • "&amp;$Q146,"")&amp;IF($R146&lt;&gt;""," • "&amp;$R146,"")&amp;IF($S146&lt;&gt;""," • "&amp;$S146,"")&amp;IF($T146&lt;&gt;""," • "&amp;$T146,"")&amp;IF($U146&lt;&gt;""," • "&amp;$U146,"")&amp;" • No Blockers"</f>
        <v/>
      </c>
    </row>
    <row r="147">
      <c r="A147" s="19" t="n"/>
      <c r="B147" s="19" t="n"/>
      <c r="C147" s="19" t="n"/>
      <c r="D147" s="19" t="n"/>
      <c r="E147" s="19" t="n"/>
      <c r="F147" s="19" t="n"/>
      <c r="G147" s="19" t="n"/>
      <c r="H147" s="19" t="n"/>
      <c r="I147" s="19" t="n"/>
      <c r="J147" s="19" t="n"/>
      <c r="K147" s="19" t="n"/>
      <c r="L147" s="35" t="n"/>
      <c r="M147" s="5">
        <f>IF($D147="","",IFERROR(VLOOKUP($H147,Lists!$N$2:$O$6,2,FALSE),0))</f>
        <v/>
      </c>
      <c r="N147" s="5">
        <f>IF($D147="","",IF(OR($E147="Blocked",$E147="Done",$E147="Archive"),-9999,IF(AND($E147="Waiting",SUMPRODUCT((($E$5:$E$500="Next")+($E$5:$E$500="In Progress")+($E$5:$E$500="Captured"))*($D$5:$D$500&lt;&gt;""))&gt;0),-500,VLOOKUP($F147,Lists!$L$2:$M$4,2,FALSE)+IF($E147="In Progress",10,0)+IF(AND($I147&lt;&gt;"",$I147&lt;TODAY()),25,0)+IF(AND($I147&lt;&gt;"",$I147&gt;=TODAY(),$I147&lt;=TODAY()+7),15,0)+IF($H147="",0,IF($M147&lt;=VLOOKUP(Home!$C$7,Lists!$N$2:$O$6,2,FALSE),20,-10))+IF($G147=Home!$E$7,15,IF(Home!$E$7="",0,-5))-ROW()/100000)))</f>
        <v/>
      </c>
      <c r="O147" s="5">
        <f>IF($D147="","",IF($N147&lt;=-500,"Not recommended right now",IF($E147="Waiting","Nothing else actionable right now — Waiting on: "&amp;IF($K147="","this item",$K147),MID($V147,4,9999))))</f>
        <v/>
      </c>
      <c r="P147" s="5">
        <f>IF($D147="","",IF('Task Finder'!$C$6="High Priority",AND($F147="High",$E147&lt;&gt;"Done",$E147&lt;&gt;"Archive"),IF('Task Finder'!$C$6="Due This Week",AND($I147&lt;&gt;"",$I147&gt;=TODAY(),$I147&lt;=TODAY()+7,$E147&lt;&gt;"Done"),IF('Task Finder'!$C$6="Quick Wins (15 mins or less)",AND($M147&lt;=15,$E147&lt;&gt;"Done",$E147&lt;&gt;"Blocked"),IF('Task Finder'!$C$6="Deep Thinking",AND($G147="Deep Thinking",$E147&lt;&gt;"Done"),IF('Task Finder'!$C$6="Processing",AND($G147="Processing",$E147&lt;&gt;"Done"),IF('Task Finder'!$C$6="Blocked",$E147="Blocked",IF('Task Finder'!$C$6="Waiting",$E147="Waiting",IF('Task Finder'!$C$6="Recently Updated",AND($L147&lt;&gt;"",$L147&gt;=TODAY()-7),IF('Task Finder'!$C$6="Keyword",AND('Task Finder'!$C$7&lt;&gt;"",OR(ISNUMBER(SEARCH('Task Finder'!$C$7,$A147)),ISNUMBER(SEARCH('Task Finder'!$C$7,$B147)),ISNUMBER(SEARCH('Task Finder'!$C$7,$C147)),ISNUMBER(SEARCH('Task Finder'!$C$7,$D147)),ISNUMBER(SEARCH('Task Finder'!$C$7,$K147)))),TRUE))))))))))</f>
        <v/>
      </c>
      <c r="Q147" s="150">
        <f>IF($F147="High","High Priority","")</f>
        <v/>
      </c>
      <c r="R147" s="150">
        <f>IF(AND($I147&lt;&gt;"",$I147&lt;TODAY()),"Overdue","")</f>
        <v/>
      </c>
      <c r="S147" s="150">
        <f>IF(AND($I147&lt;&gt;"",$I147&gt;=TODAY(),$I147&lt;=TODAY()+7),"Due This Week","")</f>
        <v/>
      </c>
      <c r="T147" s="150">
        <f>IF(AND($H147&lt;&gt;"",$M147&lt;=VLOOKUP(Home!$C$7,Lists!$N$2:$O$6,2,FALSE)),$H147&amp;" Task","")</f>
        <v/>
      </c>
      <c r="U147" s="150">
        <f>IF($G147=Home!$E$7,"Fits Current Energy","")</f>
        <v/>
      </c>
      <c r="V147" s="150">
        <f>IF($Q147&lt;&gt;""," • "&amp;$Q147,"")&amp;IF($R147&lt;&gt;""," • "&amp;$R147,"")&amp;IF($S147&lt;&gt;""," • "&amp;$S147,"")&amp;IF($T147&lt;&gt;""," • "&amp;$T147,"")&amp;IF($U147&lt;&gt;""," • "&amp;$U147,"")&amp;" • No Blockers"</f>
        <v/>
      </c>
    </row>
    <row r="148">
      <c r="A148" s="19" t="n"/>
      <c r="B148" s="19" t="n"/>
      <c r="C148" s="19" t="n"/>
      <c r="D148" s="19" t="n"/>
      <c r="E148" s="19" t="n"/>
      <c r="F148" s="19" t="n"/>
      <c r="G148" s="19" t="n"/>
      <c r="H148" s="19" t="n"/>
      <c r="I148" s="19" t="n"/>
      <c r="J148" s="19" t="n"/>
      <c r="K148" s="19" t="n"/>
      <c r="L148" s="35" t="n"/>
      <c r="M148" s="5">
        <f>IF($D148="","",IFERROR(VLOOKUP($H148,Lists!$N$2:$O$6,2,FALSE),0))</f>
        <v/>
      </c>
      <c r="N148" s="5">
        <f>IF($D148="","",IF(OR($E148="Blocked",$E148="Done",$E148="Archive"),-9999,IF(AND($E148="Waiting",SUMPRODUCT((($E$5:$E$500="Next")+($E$5:$E$500="In Progress")+($E$5:$E$500="Captured"))*($D$5:$D$500&lt;&gt;""))&gt;0),-500,VLOOKUP($F148,Lists!$L$2:$M$4,2,FALSE)+IF($E148="In Progress",10,0)+IF(AND($I148&lt;&gt;"",$I148&lt;TODAY()),25,0)+IF(AND($I148&lt;&gt;"",$I148&gt;=TODAY(),$I148&lt;=TODAY()+7),15,0)+IF($H148="",0,IF($M148&lt;=VLOOKUP(Home!$C$7,Lists!$N$2:$O$6,2,FALSE),20,-10))+IF($G148=Home!$E$7,15,IF(Home!$E$7="",0,-5))-ROW()/100000)))</f>
        <v/>
      </c>
      <c r="O148" s="5">
        <f>IF($D148="","",IF($N148&lt;=-500,"Not recommended right now",IF($E148="Waiting","Nothing else actionable right now — Waiting on: "&amp;IF($K148="","this item",$K148),MID($V148,4,9999))))</f>
        <v/>
      </c>
      <c r="P148" s="5">
        <f>IF($D148="","",IF('Task Finder'!$C$6="High Priority",AND($F148="High",$E148&lt;&gt;"Done",$E148&lt;&gt;"Archive"),IF('Task Finder'!$C$6="Due This Week",AND($I148&lt;&gt;"",$I148&gt;=TODAY(),$I148&lt;=TODAY()+7,$E148&lt;&gt;"Done"),IF('Task Finder'!$C$6="Quick Wins (15 mins or less)",AND($M148&lt;=15,$E148&lt;&gt;"Done",$E148&lt;&gt;"Blocked"),IF('Task Finder'!$C$6="Deep Thinking",AND($G148="Deep Thinking",$E148&lt;&gt;"Done"),IF('Task Finder'!$C$6="Processing",AND($G148="Processing",$E148&lt;&gt;"Done"),IF('Task Finder'!$C$6="Blocked",$E148="Blocked",IF('Task Finder'!$C$6="Waiting",$E148="Waiting",IF('Task Finder'!$C$6="Recently Updated",AND($L148&lt;&gt;"",$L148&gt;=TODAY()-7),IF('Task Finder'!$C$6="Keyword",AND('Task Finder'!$C$7&lt;&gt;"",OR(ISNUMBER(SEARCH('Task Finder'!$C$7,$A148)),ISNUMBER(SEARCH('Task Finder'!$C$7,$B148)),ISNUMBER(SEARCH('Task Finder'!$C$7,$C148)),ISNUMBER(SEARCH('Task Finder'!$C$7,$D148)),ISNUMBER(SEARCH('Task Finder'!$C$7,$K148)))),TRUE))))))))))</f>
        <v/>
      </c>
      <c r="Q148" s="150">
        <f>IF($F148="High","High Priority","")</f>
        <v/>
      </c>
      <c r="R148" s="150">
        <f>IF(AND($I148&lt;&gt;"",$I148&lt;TODAY()),"Overdue","")</f>
        <v/>
      </c>
      <c r="S148" s="150">
        <f>IF(AND($I148&lt;&gt;"",$I148&gt;=TODAY(),$I148&lt;=TODAY()+7),"Due This Week","")</f>
        <v/>
      </c>
      <c r="T148" s="150">
        <f>IF(AND($H148&lt;&gt;"",$M148&lt;=VLOOKUP(Home!$C$7,Lists!$N$2:$O$6,2,FALSE)),$H148&amp;" Task","")</f>
        <v/>
      </c>
      <c r="U148" s="150">
        <f>IF($G148=Home!$E$7,"Fits Current Energy","")</f>
        <v/>
      </c>
      <c r="V148" s="150">
        <f>IF($Q148&lt;&gt;""," • "&amp;$Q148,"")&amp;IF($R148&lt;&gt;""," • "&amp;$R148,"")&amp;IF($S148&lt;&gt;""," • "&amp;$S148,"")&amp;IF($T148&lt;&gt;""," • "&amp;$T148,"")&amp;IF($U148&lt;&gt;""," • "&amp;$U148,"")&amp;" • No Blockers"</f>
        <v/>
      </c>
    </row>
    <row r="149">
      <c r="A149" s="19" t="n"/>
      <c r="B149" s="19" t="n"/>
      <c r="C149" s="19" t="n"/>
      <c r="D149" s="19" t="n"/>
      <c r="E149" s="19" t="n"/>
      <c r="F149" s="19" t="n"/>
      <c r="G149" s="19" t="n"/>
      <c r="H149" s="19" t="n"/>
      <c r="I149" s="19" t="n"/>
      <c r="J149" s="19" t="n"/>
      <c r="K149" s="19" t="n"/>
      <c r="L149" s="35" t="n"/>
      <c r="M149" s="5">
        <f>IF($D149="","",IFERROR(VLOOKUP($H149,Lists!$N$2:$O$6,2,FALSE),0))</f>
        <v/>
      </c>
      <c r="N149" s="5">
        <f>IF($D149="","",IF(OR($E149="Blocked",$E149="Done",$E149="Archive"),-9999,IF(AND($E149="Waiting",SUMPRODUCT((($E$5:$E$500="Next")+($E$5:$E$500="In Progress")+($E$5:$E$500="Captured"))*($D$5:$D$500&lt;&gt;""))&gt;0),-500,VLOOKUP($F149,Lists!$L$2:$M$4,2,FALSE)+IF($E149="In Progress",10,0)+IF(AND($I149&lt;&gt;"",$I149&lt;TODAY()),25,0)+IF(AND($I149&lt;&gt;"",$I149&gt;=TODAY(),$I149&lt;=TODAY()+7),15,0)+IF($H149="",0,IF($M149&lt;=VLOOKUP(Home!$C$7,Lists!$N$2:$O$6,2,FALSE),20,-10))+IF($G149=Home!$E$7,15,IF(Home!$E$7="",0,-5))-ROW()/100000)))</f>
        <v/>
      </c>
      <c r="O149" s="5">
        <f>IF($D149="","",IF($N149&lt;=-500,"Not recommended right now",IF($E149="Waiting","Nothing else actionable right now — Waiting on: "&amp;IF($K149="","this item",$K149),MID($V149,4,9999))))</f>
        <v/>
      </c>
      <c r="P149" s="5">
        <f>IF($D149="","",IF('Task Finder'!$C$6="High Priority",AND($F149="High",$E149&lt;&gt;"Done",$E149&lt;&gt;"Archive"),IF('Task Finder'!$C$6="Due This Week",AND($I149&lt;&gt;"",$I149&gt;=TODAY(),$I149&lt;=TODAY()+7,$E149&lt;&gt;"Done"),IF('Task Finder'!$C$6="Quick Wins (15 mins or less)",AND($M149&lt;=15,$E149&lt;&gt;"Done",$E149&lt;&gt;"Blocked"),IF('Task Finder'!$C$6="Deep Thinking",AND($G149="Deep Thinking",$E149&lt;&gt;"Done"),IF('Task Finder'!$C$6="Processing",AND($G149="Processing",$E149&lt;&gt;"Done"),IF('Task Finder'!$C$6="Blocked",$E149="Blocked",IF('Task Finder'!$C$6="Waiting",$E149="Waiting",IF('Task Finder'!$C$6="Recently Updated",AND($L149&lt;&gt;"",$L149&gt;=TODAY()-7),IF('Task Finder'!$C$6="Keyword",AND('Task Finder'!$C$7&lt;&gt;"",OR(ISNUMBER(SEARCH('Task Finder'!$C$7,$A149)),ISNUMBER(SEARCH('Task Finder'!$C$7,$B149)),ISNUMBER(SEARCH('Task Finder'!$C$7,$C149)),ISNUMBER(SEARCH('Task Finder'!$C$7,$D149)),ISNUMBER(SEARCH('Task Finder'!$C$7,$K149)))),TRUE))))))))))</f>
        <v/>
      </c>
      <c r="Q149" s="150">
        <f>IF($F149="High","High Priority","")</f>
        <v/>
      </c>
      <c r="R149" s="150">
        <f>IF(AND($I149&lt;&gt;"",$I149&lt;TODAY()),"Overdue","")</f>
        <v/>
      </c>
      <c r="S149" s="150">
        <f>IF(AND($I149&lt;&gt;"",$I149&gt;=TODAY(),$I149&lt;=TODAY()+7),"Due This Week","")</f>
        <v/>
      </c>
      <c r="T149" s="150">
        <f>IF(AND($H149&lt;&gt;"",$M149&lt;=VLOOKUP(Home!$C$7,Lists!$N$2:$O$6,2,FALSE)),$H149&amp;" Task","")</f>
        <v/>
      </c>
      <c r="U149" s="150">
        <f>IF($G149=Home!$E$7,"Fits Current Energy","")</f>
        <v/>
      </c>
      <c r="V149" s="150">
        <f>IF($Q149&lt;&gt;""," • "&amp;$Q149,"")&amp;IF($R149&lt;&gt;""," • "&amp;$R149,"")&amp;IF($S149&lt;&gt;""," • "&amp;$S149,"")&amp;IF($T149&lt;&gt;""," • "&amp;$T149,"")&amp;IF($U149&lt;&gt;""," • "&amp;$U149,"")&amp;" • No Blockers"</f>
        <v/>
      </c>
    </row>
    <row r="150">
      <c r="A150" s="19" t="n"/>
      <c r="B150" s="19" t="n"/>
      <c r="C150" s="19" t="n"/>
      <c r="D150" s="19" t="n"/>
      <c r="E150" s="19" t="n"/>
      <c r="F150" s="19" t="n"/>
      <c r="G150" s="19" t="n"/>
      <c r="H150" s="19" t="n"/>
      <c r="I150" s="19" t="n"/>
      <c r="J150" s="19" t="n"/>
      <c r="K150" s="19" t="n"/>
      <c r="L150" s="35" t="n"/>
      <c r="M150" s="5">
        <f>IF($D150="","",IFERROR(VLOOKUP($H150,Lists!$N$2:$O$6,2,FALSE),0))</f>
        <v/>
      </c>
      <c r="N150" s="5">
        <f>IF($D150="","",IF(OR($E150="Blocked",$E150="Done",$E150="Archive"),-9999,IF(AND($E150="Waiting",SUMPRODUCT((($E$5:$E$500="Next")+($E$5:$E$500="In Progress")+($E$5:$E$500="Captured"))*($D$5:$D$500&lt;&gt;""))&gt;0),-500,VLOOKUP($F150,Lists!$L$2:$M$4,2,FALSE)+IF($E150="In Progress",10,0)+IF(AND($I150&lt;&gt;"",$I150&lt;TODAY()),25,0)+IF(AND($I150&lt;&gt;"",$I150&gt;=TODAY(),$I150&lt;=TODAY()+7),15,0)+IF($H150="",0,IF($M150&lt;=VLOOKUP(Home!$C$7,Lists!$N$2:$O$6,2,FALSE),20,-10))+IF($G150=Home!$E$7,15,IF(Home!$E$7="",0,-5))-ROW()/100000)))</f>
        <v/>
      </c>
      <c r="O150" s="5">
        <f>IF($D150="","",IF($N150&lt;=-500,"Not recommended right now",IF($E150="Waiting","Nothing else actionable right now — Waiting on: "&amp;IF($K150="","this item",$K150),MID($V150,4,9999))))</f>
        <v/>
      </c>
      <c r="P150" s="5">
        <f>IF($D150="","",IF('Task Finder'!$C$6="High Priority",AND($F150="High",$E150&lt;&gt;"Done",$E150&lt;&gt;"Archive"),IF('Task Finder'!$C$6="Due This Week",AND($I150&lt;&gt;"",$I150&gt;=TODAY(),$I150&lt;=TODAY()+7,$E150&lt;&gt;"Done"),IF('Task Finder'!$C$6="Quick Wins (15 mins or less)",AND($M150&lt;=15,$E150&lt;&gt;"Done",$E150&lt;&gt;"Blocked"),IF('Task Finder'!$C$6="Deep Thinking",AND($G150="Deep Thinking",$E150&lt;&gt;"Done"),IF('Task Finder'!$C$6="Processing",AND($G150="Processing",$E150&lt;&gt;"Done"),IF('Task Finder'!$C$6="Blocked",$E150="Blocked",IF('Task Finder'!$C$6="Waiting",$E150="Waiting",IF('Task Finder'!$C$6="Recently Updated",AND($L150&lt;&gt;"",$L150&gt;=TODAY()-7),IF('Task Finder'!$C$6="Keyword",AND('Task Finder'!$C$7&lt;&gt;"",OR(ISNUMBER(SEARCH('Task Finder'!$C$7,$A150)),ISNUMBER(SEARCH('Task Finder'!$C$7,$B150)),ISNUMBER(SEARCH('Task Finder'!$C$7,$C150)),ISNUMBER(SEARCH('Task Finder'!$C$7,$D150)),ISNUMBER(SEARCH('Task Finder'!$C$7,$K150)))),TRUE))))))))))</f>
        <v/>
      </c>
      <c r="Q150" s="150">
        <f>IF($F150="High","High Priority","")</f>
        <v/>
      </c>
      <c r="R150" s="150">
        <f>IF(AND($I150&lt;&gt;"",$I150&lt;TODAY()),"Overdue","")</f>
        <v/>
      </c>
      <c r="S150" s="150">
        <f>IF(AND($I150&lt;&gt;"",$I150&gt;=TODAY(),$I150&lt;=TODAY()+7),"Due This Week","")</f>
        <v/>
      </c>
      <c r="T150" s="150">
        <f>IF(AND($H150&lt;&gt;"",$M150&lt;=VLOOKUP(Home!$C$7,Lists!$N$2:$O$6,2,FALSE)),$H150&amp;" Task","")</f>
        <v/>
      </c>
      <c r="U150" s="150">
        <f>IF($G150=Home!$E$7,"Fits Current Energy","")</f>
        <v/>
      </c>
      <c r="V150" s="150">
        <f>IF($Q150&lt;&gt;""," • "&amp;$Q150,"")&amp;IF($R150&lt;&gt;""," • "&amp;$R150,"")&amp;IF($S150&lt;&gt;""," • "&amp;$S150,"")&amp;IF($T150&lt;&gt;""," • "&amp;$T150,"")&amp;IF($U150&lt;&gt;""," • "&amp;$U150,"")&amp;" • No Blockers"</f>
        <v/>
      </c>
    </row>
    <row r="151">
      <c r="A151" s="19" t="n"/>
      <c r="B151" s="19" t="n"/>
      <c r="C151" s="19" t="n"/>
      <c r="D151" s="19" t="n"/>
      <c r="E151" s="19" t="n"/>
      <c r="F151" s="19" t="n"/>
      <c r="G151" s="19" t="n"/>
      <c r="H151" s="19" t="n"/>
      <c r="I151" s="19" t="n"/>
      <c r="J151" s="19" t="n"/>
      <c r="K151" s="19" t="n"/>
      <c r="L151" s="35" t="n"/>
      <c r="M151" s="5">
        <f>IF($D151="","",IFERROR(VLOOKUP($H151,Lists!$N$2:$O$6,2,FALSE),0))</f>
        <v/>
      </c>
      <c r="N151" s="5">
        <f>IF($D151="","",IF(OR($E151="Blocked",$E151="Done",$E151="Archive"),-9999,IF(AND($E151="Waiting",SUMPRODUCT((($E$5:$E$500="Next")+($E$5:$E$500="In Progress")+($E$5:$E$500="Captured"))*($D$5:$D$500&lt;&gt;""))&gt;0),-500,VLOOKUP($F151,Lists!$L$2:$M$4,2,FALSE)+IF($E151="In Progress",10,0)+IF(AND($I151&lt;&gt;"",$I151&lt;TODAY()),25,0)+IF(AND($I151&lt;&gt;"",$I151&gt;=TODAY(),$I151&lt;=TODAY()+7),15,0)+IF($H151="",0,IF($M151&lt;=VLOOKUP(Home!$C$7,Lists!$N$2:$O$6,2,FALSE),20,-10))+IF($G151=Home!$E$7,15,IF(Home!$E$7="",0,-5))-ROW()/100000)))</f>
        <v/>
      </c>
      <c r="O151" s="5">
        <f>IF($D151="","",IF($N151&lt;=-500,"Not recommended right now",IF($E151="Waiting","Nothing else actionable right now — Waiting on: "&amp;IF($K151="","this item",$K151),MID($V151,4,9999))))</f>
        <v/>
      </c>
      <c r="P151" s="5">
        <f>IF($D151="","",IF('Task Finder'!$C$6="High Priority",AND($F151="High",$E151&lt;&gt;"Done",$E151&lt;&gt;"Archive"),IF('Task Finder'!$C$6="Due This Week",AND($I151&lt;&gt;"",$I151&gt;=TODAY(),$I151&lt;=TODAY()+7,$E151&lt;&gt;"Done"),IF('Task Finder'!$C$6="Quick Wins (15 mins or less)",AND($M151&lt;=15,$E151&lt;&gt;"Done",$E151&lt;&gt;"Blocked"),IF('Task Finder'!$C$6="Deep Thinking",AND($G151="Deep Thinking",$E151&lt;&gt;"Done"),IF('Task Finder'!$C$6="Processing",AND($G151="Processing",$E151&lt;&gt;"Done"),IF('Task Finder'!$C$6="Blocked",$E151="Blocked",IF('Task Finder'!$C$6="Waiting",$E151="Waiting",IF('Task Finder'!$C$6="Recently Updated",AND($L151&lt;&gt;"",$L151&gt;=TODAY()-7),IF('Task Finder'!$C$6="Keyword",AND('Task Finder'!$C$7&lt;&gt;"",OR(ISNUMBER(SEARCH('Task Finder'!$C$7,$A151)),ISNUMBER(SEARCH('Task Finder'!$C$7,$B151)),ISNUMBER(SEARCH('Task Finder'!$C$7,$C151)),ISNUMBER(SEARCH('Task Finder'!$C$7,$D151)),ISNUMBER(SEARCH('Task Finder'!$C$7,$K151)))),TRUE))))))))))</f>
        <v/>
      </c>
      <c r="Q151" s="150">
        <f>IF($F151="High","High Priority","")</f>
        <v/>
      </c>
      <c r="R151" s="150">
        <f>IF(AND($I151&lt;&gt;"",$I151&lt;TODAY()),"Overdue","")</f>
        <v/>
      </c>
      <c r="S151" s="150">
        <f>IF(AND($I151&lt;&gt;"",$I151&gt;=TODAY(),$I151&lt;=TODAY()+7),"Due This Week","")</f>
        <v/>
      </c>
      <c r="T151" s="150">
        <f>IF(AND($H151&lt;&gt;"",$M151&lt;=VLOOKUP(Home!$C$7,Lists!$N$2:$O$6,2,FALSE)),$H151&amp;" Task","")</f>
        <v/>
      </c>
      <c r="U151" s="150">
        <f>IF($G151=Home!$E$7,"Fits Current Energy","")</f>
        <v/>
      </c>
      <c r="V151" s="150">
        <f>IF($Q151&lt;&gt;""," • "&amp;$Q151,"")&amp;IF($R151&lt;&gt;""," • "&amp;$R151,"")&amp;IF($S151&lt;&gt;""," • "&amp;$S151,"")&amp;IF($T151&lt;&gt;""," • "&amp;$T151,"")&amp;IF($U151&lt;&gt;""," • "&amp;$U151,"")&amp;" • No Blockers"</f>
        <v/>
      </c>
    </row>
    <row r="152">
      <c r="A152" s="19" t="n"/>
      <c r="B152" s="19" t="n"/>
      <c r="C152" s="19" t="n"/>
      <c r="D152" s="19" t="n"/>
      <c r="E152" s="19" t="n"/>
      <c r="F152" s="19" t="n"/>
      <c r="G152" s="19" t="n"/>
      <c r="H152" s="19" t="n"/>
      <c r="I152" s="19" t="n"/>
      <c r="J152" s="19" t="n"/>
      <c r="K152" s="19" t="n"/>
      <c r="L152" s="35" t="n"/>
      <c r="M152" s="5">
        <f>IF($D152="","",IFERROR(VLOOKUP($H152,Lists!$N$2:$O$6,2,FALSE),0))</f>
        <v/>
      </c>
      <c r="N152" s="5">
        <f>IF($D152="","",IF(OR($E152="Blocked",$E152="Done",$E152="Archive"),-9999,IF(AND($E152="Waiting",SUMPRODUCT((($E$5:$E$500="Next")+($E$5:$E$500="In Progress")+($E$5:$E$500="Captured"))*($D$5:$D$500&lt;&gt;""))&gt;0),-500,VLOOKUP($F152,Lists!$L$2:$M$4,2,FALSE)+IF($E152="In Progress",10,0)+IF(AND($I152&lt;&gt;"",$I152&lt;TODAY()),25,0)+IF(AND($I152&lt;&gt;"",$I152&gt;=TODAY(),$I152&lt;=TODAY()+7),15,0)+IF($H152="",0,IF($M152&lt;=VLOOKUP(Home!$C$7,Lists!$N$2:$O$6,2,FALSE),20,-10))+IF($G152=Home!$E$7,15,IF(Home!$E$7="",0,-5))-ROW()/100000)))</f>
        <v/>
      </c>
      <c r="O152" s="5">
        <f>IF($D152="","",IF($N152&lt;=-500,"Not recommended right now",IF($E152="Waiting","Nothing else actionable right now — Waiting on: "&amp;IF($K152="","this item",$K152),MID($V152,4,9999))))</f>
        <v/>
      </c>
      <c r="P152" s="5">
        <f>IF($D152="","",IF('Task Finder'!$C$6="High Priority",AND($F152="High",$E152&lt;&gt;"Done",$E152&lt;&gt;"Archive"),IF('Task Finder'!$C$6="Due This Week",AND($I152&lt;&gt;"",$I152&gt;=TODAY(),$I152&lt;=TODAY()+7,$E152&lt;&gt;"Done"),IF('Task Finder'!$C$6="Quick Wins (15 mins or less)",AND($M152&lt;=15,$E152&lt;&gt;"Done",$E152&lt;&gt;"Blocked"),IF('Task Finder'!$C$6="Deep Thinking",AND($G152="Deep Thinking",$E152&lt;&gt;"Done"),IF('Task Finder'!$C$6="Processing",AND($G152="Processing",$E152&lt;&gt;"Done"),IF('Task Finder'!$C$6="Blocked",$E152="Blocked",IF('Task Finder'!$C$6="Waiting",$E152="Waiting",IF('Task Finder'!$C$6="Recently Updated",AND($L152&lt;&gt;"",$L152&gt;=TODAY()-7),IF('Task Finder'!$C$6="Keyword",AND('Task Finder'!$C$7&lt;&gt;"",OR(ISNUMBER(SEARCH('Task Finder'!$C$7,$A152)),ISNUMBER(SEARCH('Task Finder'!$C$7,$B152)),ISNUMBER(SEARCH('Task Finder'!$C$7,$C152)),ISNUMBER(SEARCH('Task Finder'!$C$7,$D152)),ISNUMBER(SEARCH('Task Finder'!$C$7,$K152)))),TRUE))))))))))</f>
        <v/>
      </c>
      <c r="Q152" s="150">
        <f>IF($F152="High","High Priority","")</f>
        <v/>
      </c>
      <c r="R152" s="150">
        <f>IF(AND($I152&lt;&gt;"",$I152&lt;TODAY()),"Overdue","")</f>
        <v/>
      </c>
      <c r="S152" s="150">
        <f>IF(AND($I152&lt;&gt;"",$I152&gt;=TODAY(),$I152&lt;=TODAY()+7),"Due This Week","")</f>
        <v/>
      </c>
      <c r="T152" s="150">
        <f>IF(AND($H152&lt;&gt;"",$M152&lt;=VLOOKUP(Home!$C$7,Lists!$N$2:$O$6,2,FALSE)),$H152&amp;" Task","")</f>
        <v/>
      </c>
      <c r="U152" s="150">
        <f>IF($G152=Home!$E$7,"Fits Current Energy","")</f>
        <v/>
      </c>
      <c r="V152" s="150">
        <f>IF($Q152&lt;&gt;""," • "&amp;$Q152,"")&amp;IF($R152&lt;&gt;""," • "&amp;$R152,"")&amp;IF($S152&lt;&gt;""," • "&amp;$S152,"")&amp;IF($T152&lt;&gt;""," • "&amp;$T152,"")&amp;IF($U152&lt;&gt;""," • "&amp;$U152,"")&amp;" • No Blockers"</f>
        <v/>
      </c>
    </row>
    <row r="153">
      <c r="A153" s="19" t="n"/>
      <c r="B153" s="19" t="n"/>
      <c r="C153" s="19" t="n"/>
      <c r="D153" s="19" t="n"/>
      <c r="E153" s="19" t="n"/>
      <c r="F153" s="19" t="n"/>
      <c r="G153" s="19" t="n"/>
      <c r="H153" s="19" t="n"/>
      <c r="I153" s="19" t="n"/>
      <c r="J153" s="19" t="n"/>
      <c r="K153" s="19" t="n"/>
      <c r="L153" s="35" t="n"/>
      <c r="M153" s="5">
        <f>IF($D153="","",IFERROR(VLOOKUP($H153,Lists!$N$2:$O$6,2,FALSE),0))</f>
        <v/>
      </c>
      <c r="N153" s="5">
        <f>IF($D153="","",IF(OR($E153="Blocked",$E153="Done",$E153="Archive"),-9999,IF(AND($E153="Waiting",SUMPRODUCT((($E$5:$E$500="Next")+($E$5:$E$500="In Progress")+($E$5:$E$500="Captured"))*($D$5:$D$500&lt;&gt;""))&gt;0),-500,VLOOKUP($F153,Lists!$L$2:$M$4,2,FALSE)+IF($E153="In Progress",10,0)+IF(AND($I153&lt;&gt;"",$I153&lt;TODAY()),25,0)+IF(AND($I153&lt;&gt;"",$I153&gt;=TODAY(),$I153&lt;=TODAY()+7),15,0)+IF($H153="",0,IF($M153&lt;=VLOOKUP(Home!$C$7,Lists!$N$2:$O$6,2,FALSE),20,-10))+IF($G153=Home!$E$7,15,IF(Home!$E$7="",0,-5))-ROW()/100000)))</f>
        <v/>
      </c>
      <c r="O153" s="5">
        <f>IF($D153="","",IF($N153&lt;=-500,"Not recommended right now",IF($E153="Waiting","Nothing else actionable right now — Waiting on: "&amp;IF($K153="","this item",$K153),MID($V153,4,9999))))</f>
        <v/>
      </c>
      <c r="P153" s="5">
        <f>IF($D153="","",IF('Task Finder'!$C$6="High Priority",AND($F153="High",$E153&lt;&gt;"Done",$E153&lt;&gt;"Archive"),IF('Task Finder'!$C$6="Due This Week",AND($I153&lt;&gt;"",$I153&gt;=TODAY(),$I153&lt;=TODAY()+7,$E153&lt;&gt;"Done"),IF('Task Finder'!$C$6="Quick Wins (15 mins or less)",AND($M153&lt;=15,$E153&lt;&gt;"Done",$E153&lt;&gt;"Blocked"),IF('Task Finder'!$C$6="Deep Thinking",AND($G153="Deep Thinking",$E153&lt;&gt;"Done"),IF('Task Finder'!$C$6="Processing",AND($G153="Processing",$E153&lt;&gt;"Done"),IF('Task Finder'!$C$6="Blocked",$E153="Blocked",IF('Task Finder'!$C$6="Waiting",$E153="Waiting",IF('Task Finder'!$C$6="Recently Updated",AND($L153&lt;&gt;"",$L153&gt;=TODAY()-7),IF('Task Finder'!$C$6="Keyword",AND('Task Finder'!$C$7&lt;&gt;"",OR(ISNUMBER(SEARCH('Task Finder'!$C$7,$A153)),ISNUMBER(SEARCH('Task Finder'!$C$7,$B153)),ISNUMBER(SEARCH('Task Finder'!$C$7,$C153)),ISNUMBER(SEARCH('Task Finder'!$C$7,$D153)),ISNUMBER(SEARCH('Task Finder'!$C$7,$K153)))),TRUE))))))))))</f>
        <v/>
      </c>
      <c r="Q153" s="150">
        <f>IF($F153="High","High Priority","")</f>
        <v/>
      </c>
      <c r="R153" s="150">
        <f>IF(AND($I153&lt;&gt;"",$I153&lt;TODAY()),"Overdue","")</f>
        <v/>
      </c>
      <c r="S153" s="150">
        <f>IF(AND($I153&lt;&gt;"",$I153&gt;=TODAY(),$I153&lt;=TODAY()+7),"Due This Week","")</f>
        <v/>
      </c>
      <c r="T153" s="150">
        <f>IF(AND($H153&lt;&gt;"",$M153&lt;=VLOOKUP(Home!$C$7,Lists!$N$2:$O$6,2,FALSE)),$H153&amp;" Task","")</f>
        <v/>
      </c>
      <c r="U153" s="150">
        <f>IF($G153=Home!$E$7,"Fits Current Energy","")</f>
        <v/>
      </c>
      <c r="V153" s="150">
        <f>IF($Q153&lt;&gt;""," • "&amp;$Q153,"")&amp;IF($R153&lt;&gt;""," • "&amp;$R153,"")&amp;IF($S153&lt;&gt;""," • "&amp;$S153,"")&amp;IF($T153&lt;&gt;""," • "&amp;$T153,"")&amp;IF($U153&lt;&gt;""," • "&amp;$U153,"")&amp;" • No Blockers"</f>
        <v/>
      </c>
    </row>
    <row r="154">
      <c r="A154" s="19" t="n"/>
      <c r="B154" s="19" t="n"/>
      <c r="C154" s="19" t="n"/>
      <c r="D154" s="19" t="n"/>
      <c r="E154" s="19" t="n"/>
      <c r="F154" s="19" t="n"/>
      <c r="G154" s="19" t="n"/>
      <c r="H154" s="19" t="n"/>
      <c r="I154" s="19" t="n"/>
      <c r="J154" s="19" t="n"/>
      <c r="K154" s="19" t="n"/>
      <c r="L154" s="35" t="n"/>
      <c r="M154" s="5">
        <f>IF($D154="","",IFERROR(VLOOKUP($H154,Lists!$N$2:$O$6,2,FALSE),0))</f>
        <v/>
      </c>
      <c r="N154" s="5">
        <f>IF($D154="","",IF(OR($E154="Blocked",$E154="Done",$E154="Archive"),-9999,IF(AND($E154="Waiting",SUMPRODUCT((($E$5:$E$500="Next")+($E$5:$E$500="In Progress")+($E$5:$E$500="Captured"))*($D$5:$D$500&lt;&gt;""))&gt;0),-500,VLOOKUP($F154,Lists!$L$2:$M$4,2,FALSE)+IF($E154="In Progress",10,0)+IF(AND($I154&lt;&gt;"",$I154&lt;TODAY()),25,0)+IF(AND($I154&lt;&gt;"",$I154&gt;=TODAY(),$I154&lt;=TODAY()+7),15,0)+IF($H154="",0,IF($M154&lt;=VLOOKUP(Home!$C$7,Lists!$N$2:$O$6,2,FALSE),20,-10))+IF($G154=Home!$E$7,15,IF(Home!$E$7="",0,-5))-ROW()/100000)))</f>
        <v/>
      </c>
      <c r="O154" s="5">
        <f>IF($D154="","",IF($N154&lt;=-500,"Not recommended right now",IF($E154="Waiting","Nothing else actionable right now — Waiting on: "&amp;IF($K154="","this item",$K154),MID($V154,4,9999))))</f>
        <v/>
      </c>
      <c r="P154" s="5">
        <f>IF($D154="","",IF('Task Finder'!$C$6="High Priority",AND($F154="High",$E154&lt;&gt;"Done",$E154&lt;&gt;"Archive"),IF('Task Finder'!$C$6="Due This Week",AND($I154&lt;&gt;"",$I154&gt;=TODAY(),$I154&lt;=TODAY()+7,$E154&lt;&gt;"Done"),IF('Task Finder'!$C$6="Quick Wins (15 mins or less)",AND($M154&lt;=15,$E154&lt;&gt;"Done",$E154&lt;&gt;"Blocked"),IF('Task Finder'!$C$6="Deep Thinking",AND($G154="Deep Thinking",$E154&lt;&gt;"Done"),IF('Task Finder'!$C$6="Processing",AND($G154="Processing",$E154&lt;&gt;"Done"),IF('Task Finder'!$C$6="Blocked",$E154="Blocked",IF('Task Finder'!$C$6="Waiting",$E154="Waiting",IF('Task Finder'!$C$6="Recently Updated",AND($L154&lt;&gt;"",$L154&gt;=TODAY()-7),IF('Task Finder'!$C$6="Keyword",AND('Task Finder'!$C$7&lt;&gt;"",OR(ISNUMBER(SEARCH('Task Finder'!$C$7,$A154)),ISNUMBER(SEARCH('Task Finder'!$C$7,$B154)),ISNUMBER(SEARCH('Task Finder'!$C$7,$C154)),ISNUMBER(SEARCH('Task Finder'!$C$7,$D154)),ISNUMBER(SEARCH('Task Finder'!$C$7,$K154)))),TRUE))))))))))</f>
        <v/>
      </c>
      <c r="Q154" s="150">
        <f>IF($F154="High","High Priority","")</f>
        <v/>
      </c>
      <c r="R154" s="150">
        <f>IF(AND($I154&lt;&gt;"",$I154&lt;TODAY()),"Overdue","")</f>
        <v/>
      </c>
      <c r="S154" s="150">
        <f>IF(AND($I154&lt;&gt;"",$I154&gt;=TODAY(),$I154&lt;=TODAY()+7),"Due This Week","")</f>
        <v/>
      </c>
      <c r="T154" s="150">
        <f>IF(AND($H154&lt;&gt;"",$M154&lt;=VLOOKUP(Home!$C$7,Lists!$N$2:$O$6,2,FALSE)),$H154&amp;" Task","")</f>
        <v/>
      </c>
      <c r="U154" s="150">
        <f>IF($G154=Home!$E$7,"Fits Current Energy","")</f>
        <v/>
      </c>
      <c r="V154" s="150">
        <f>IF($Q154&lt;&gt;""," • "&amp;$Q154,"")&amp;IF($R154&lt;&gt;""," • "&amp;$R154,"")&amp;IF($S154&lt;&gt;""," • "&amp;$S154,"")&amp;IF($T154&lt;&gt;""," • "&amp;$T154,"")&amp;IF($U154&lt;&gt;""," • "&amp;$U154,"")&amp;" • No Blockers"</f>
        <v/>
      </c>
    </row>
    <row r="155">
      <c r="A155" s="19" t="n"/>
      <c r="B155" s="19" t="n"/>
      <c r="C155" s="19" t="n"/>
      <c r="D155" s="19" t="n"/>
      <c r="E155" s="19" t="n"/>
      <c r="F155" s="19" t="n"/>
      <c r="G155" s="19" t="n"/>
      <c r="H155" s="19" t="n"/>
      <c r="I155" s="19" t="n"/>
      <c r="J155" s="19" t="n"/>
      <c r="K155" s="19" t="n"/>
      <c r="L155" s="35" t="n"/>
      <c r="M155" s="5">
        <f>IF($D155="","",IFERROR(VLOOKUP($H155,Lists!$N$2:$O$6,2,FALSE),0))</f>
        <v/>
      </c>
      <c r="N155" s="5">
        <f>IF($D155="","",IF(OR($E155="Blocked",$E155="Done",$E155="Archive"),-9999,IF(AND($E155="Waiting",SUMPRODUCT((($E$5:$E$500="Next")+($E$5:$E$500="In Progress")+($E$5:$E$500="Captured"))*($D$5:$D$500&lt;&gt;""))&gt;0),-500,VLOOKUP($F155,Lists!$L$2:$M$4,2,FALSE)+IF($E155="In Progress",10,0)+IF(AND($I155&lt;&gt;"",$I155&lt;TODAY()),25,0)+IF(AND($I155&lt;&gt;"",$I155&gt;=TODAY(),$I155&lt;=TODAY()+7),15,0)+IF($H155="",0,IF($M155&lt;=VLOOKUP(Home!$C$7,Lists!$N$2:$O$6,2,FALSE),20,-10))+IF($G155=Home!$E$7,15,IF(Home!$E$7="",0,-5))-ROW()/100000)))</f>
        <v/>
      </c>
      <c r="O155" s="5">
        <f>IF($D155="","",IF($N155&lt;=-500,"Not recommended right now",IF($E155="Waiting","Nothing else actionable right now — Waiting on: "&amp;IF($K155="","this item",$K155),MID($V155,4,9999))))</f>
        <v/>
      </c>
      <c r="P155" s="5">
        <f>IF($D155="","",IF('Task Finder'!$C$6="High Priority",AND($F155="High",$E155&lt;&gt;"Done",$E155&lt;&gt;"Archive"),IF('Task Finder'!$C$6="Due This Week",AND($I155&lt;&gt;"",$I155&gt;=TODAY(),$I155&lt;=TODAY()+7,$E155&lt;&gt;"Done"),IF('Task Finder'!$C$6="Quick Wins (15 mins or less)",AND($M155&lt;=15,$E155&lt;&gt;"Done",$E155&lt;&gt;"Blocked"),IF('Task Finder'!$C$6="Deep Thinking",AND($G155="Deep Thinking",$E155&lt;&gt;"Done"),IF('Task Finder'!$C$6="Processing",AND($G155="Processing",$E155&lt;&gt;"Done"),IF('Task Finder'!$C$6="Blocked",$E155="Blocked",IF('Task Finder'!$C$6="Waiting",$E155="Waiting",IF('Task Finder'!$C$6="Recently Updated",AND($L155&lt;&gt;"",$L155&gt;=TODAY()-7),IF('Task Finder'!$C$6="Keyword",AND('Task Finder'!$C$7&lt;&gt;"",OR(ISNUMBER(SEARCH('Task Finder'!$C$7,$A155)),ISNUMBER(SEARCH('Task Finder'!$C$7,$B155)),ISNUMBER(SEARCH('Task Finder'!$C$7,$C155)),ISNUMBER(SEARCH('Task Finder'!$C$7,$D155)),ISNUMBER(SEARCH('Task Finder'!$C$7,$K155)))),TRUE))))))))))</f>
        <v/>
      </c>
      <c r="Q155" s="150">
        <f>IF($F155="High","High Priority","")</f>
        <v/>
      </c>
      <c r="R155" s="150">
        <f>IF(AND($I155&lt;&gt;"",$I155&lt;TODAY()),"Overdue","")</f>
        <v/>
      </c>
      <c r="S155" s="150">
        <f>IF(AND($I155&lt;&gt;"",$I155&gt;=TODAY(),$I155&lt;=TODAY()+7),"Due This Week","")</f>
        <v/>
      </c>
      <c r="T155" s="150">
        <f>IF(AND($H155&lt;&gt;"",$M155&lt;=VLOOKUP(Home!$C$7,Lists!$N$2:$O$6,2,FALSE)),$H155&amp;" Task","")</f>
        <v/>
      </c>
      <c r="U155" s="150">
        <f>IF($G155=Home!$E$7,"Fits Current Energy","")</f>
        <v/>
      </c>
      <c r="V155" s="150">
        <f>IF($Q155&lt;&gt;""," • "&amp;$Q155,"")&amp;IF($R155&lt;&gt;""," • "&amp;$R155,"")&amp;IF($S155&lt;&gt;""," • "&amp;$S155,"")&amp;IF($T155&lt;&gt;""," • "&amp;$T155,"")&amp;IF($U155&lt;&gt;""," • "&amp;$U155,"")&amp;" • No Blockers"</f>
        <v/>
      </c>
    </row>
    <row r="156">
      <c r="A156" s="19" t="n"/>
      <c r="B156" s="19" t="n"/>
      <c r="C156" s="19" t="n"/>
      <c r="D156" s="19" t="n"/>
      <c r="E156" s="19" t="n"/>
      <c r="F156" s="19" t="n"/>
      <c r="G156" s="19" t="n"/>
      <c r="H156" s="19" t="n"/>
      <c r="I156" s="19" t="n"/>
      <c r="J156" s="19" t="n"/>
      <c r="K156" s="19" t="n"/>
      <c r="L156" s="35" t="n"/>
      <c r="M156" s="5">
        <f>IF($D156="","",IFERROR(VLOOKUP($H156,Lists!$N$2:$O$6,2,FALSE),0))</f>
        <v/>
      </c>
      <c r="N156" s="5">
        <f>IF($D156="","",IF(OR($E156="Blocked",$E156="Done",$E156="Archive"),-9999,IF(AND($E156="Waiting",SUMPRODUCT((($E$5:$E$500="Next")+($E$5:$E$500="In Progress")+($E$5:$E$500="Captured"))*($D$5:$D$500&lt;&gt;""))&gt;0),-500,VLOOKUP($F156,Lists!$L$2:$M$4,2,FALSE)+IF($E156="In Progress",10,0)+IF(AND($I156&lt;&gt;"",$I156&lt;TODAY()),25,0)+IF(AND($I156&lt;&gt;"",$I156&gt;=TODAY(),$I156&lt;=TODAY()+7),15,0)+IF($H156="",0,IF($M156&lt;=VLOOKUP(Home!$C$7,Lists!$N$2:$O$6,2,FALSE),20,-10))+IF($G156=Home!$E$7,15,IF(Home!$E$7="",0,-5))-ROW()/100000)))</f>
        <v/>
      </c>
      <c r="O156" s="5">
        <f>IF($D156="","",IF($N156&lt;=-500,"Not recommended right now",IF($E156="Waiting","Nothing else actionable right now — Waiting on: "&amp;IF($K156="","this item",$K156),MID($V156,4,9999))))</f>
        <v/>
      </c>
      <c r="P156" s="5">
        <f>IF($D156="","",IF('Task Finder'!$C$6="High Priority",AND($F156="High",$E156&lt;&gt;"Done",$E156&lt;&gt;"Archive"),IF('Task Finder'!$C$6="Due This Week",AND($I156&lt;&gt;"",$I156&gt;=TODAY(),$I156&lt;=TODAY()+7,$E156&lt;&gt;"Done"),IF('Task Finder'!$C$6="Quick Wins (15 mins or less)",AND($M156&lt;=15,$E156&lt;&gt;"Done",$E156&lt;&gt;"Blocked"),IF('Task Finder'!$C$6="Deep Thinking",AND($G156="Deep Thinking",$E156&lt;&gt;"Done"),IF('Task Finder'!$C$6="Processing",AND($G156="Processing",$E156&lt;&gt;"Done"),IF('Task Finder'!$C$6="Blocked",$E156="Blocked",IF('Task Finder'!$C$6="Waiting",$E156="Waiting",IF('Task Finder'!$C$6="Recently Updated",AND($L156&lt;&gt;"",$L156&gt;=TODAY()-7),IF('Task Finder'!$C$6="Keyword",AND('Task Finder'!$C$7&lt;&gt;"",OR(ISNUMBER(SEARCH('Task Finder'!$C$7,$A156)),ISNUMBER(SEARCH('Task Finder'!$C$7,$B156)),ISNUMBER(SEARCH('Task Finder'!$C$7,$C156)),ISNUMBER(SEARCH('Task Finder'!$C$7,$D156)),ISNUMBER(SEARCH('Task Finder'!$C$7,$K156)))),TRUE))))))))))</f>
        <v/>
      </c>
      <c r="Q156" s="150">
        <f>IF($F156="High","High Priority","")</f>
        <v/>
      </c>
      <c r="R156" s="150">
        <f>IF(AND($I156&lt;&gt;"",$I156&lt;TODAY()),"Overdue","")</f>
        <v/>
      </c>
      <c r="S156" s="150">
        <f>IF(AND($I156&lt;&gt;"",$I156&gt;=TODAY(),$I156&lt;=TODAY()+7),"Due This Week","")</f>
        <v/>
      </c>
      <c r="T156" s="150">
        <f>IF(AND($H156&lt;&gt;"",$M156&lt;=VLOOKUP(Home!$C$7,Lists!$N$2:$O$6,2,FALSE)),$H156&amp;" Task","")</f>
        <v/>
      </c>
      <c r="U156" s="150">
        <f>IF($G156=Home!$E$7,"Fits Current Energy","")</f>
        <v/>
      </c>
      <c r="V156" s="150">
        <f>IF($Q156&lt;&gt;""," • "&amp;$Q156,"")&amp;IF($R156&lt;&gt;""," • "&amp;$R156,"")&amp;IF($S156&lt;&gt;""," • "&amp;$S156,"")&amp;IF($T156&lt;&gt;""," • "&amp;$T156,"")&amp;IF($U156&lt;&gt;""," • "&amp;$U156,"")&amp;" • No Blockers"</f>
        <v/>
      </c>
    </row>
    <row r="157">
      <c r="A157" s="19" t="n"/>
      <c r="B157" s="19" t="n"/>
      <c r="C157" s="19" t="n"/>
      <c r="D157" s="19" t="n"/>
      <c r="E157" s="19" t="n"/>
      <c r="F157" s="19" t="n"/>
      <c r="G157" s="19" t="n"/>
      <c r="H157" s="19" t="n"/>
      <c r="I157" s="19" t="n"/>
      <c r="J157" s="19" t="n"/>
      <c r="K157" s="19" t="n"/>
      <c r="L157" s="35" t="n"/>
      <c r="M157" s="5">
        <f>IF($D157="","",IFERROR(VLOOKUP($H157,Lists!$N$2:$O$6,2,FALSE),0))</f>
        <v/>
      </c>
      <c r="N157" s="5">
        <f>IF($D157="","",IF(OR($E157="Blocked",$E157="Done",$E157="Archive"),-9999,IF(AND($E157="Waiting",SUMPRODUCT((($E$5:$E$500="Next")+($E$5:$E$500="In Progress")+($E$5:$E$500="Captured"))*($D$5:$D$500&lt;&gt;""))&gt;0),-500,VLOOKUP($F157,Lists!$L$2:$M$4,2,FALSE)+IF($E157="In Progress",10,0)+IF(AND($I157&lt;&gt;"",$I157&lt;TODAY()),25,0)+IF(AND($I157&lt;&gt;"",$I157&gt;=TODAY(),$I157&lt;=TODAY()+7),15,0)+IF($H157="",0,IF($M157&lt;=VLOOKUP(Home!$C$7,Lists!$N$2:$O$6,2,FALSE),20,-10))+IF($G157=Home!$E$7,15,IF(Home!$E$7="",0,-5))-ROW()/100000)))</f>
        <v/>
      </c>
      <c r="O157" s="5">
        <f>IF($D157="","",IF($N157&lt;=-500,"Not recommended right now",IF($E157="Waiting","Nothing else actionable right now — Waiting on: "&amp;IF($K157="","this item",$K157),MID($V157,4,9999))))</f>
        <v/>
      </c>
      <c r="P157" s="5">
        <f>IF($D157="","",IF('Task Finder'!$C$6="High Priority",AND($F157="High",$E157&lt;&gt;"Done",$E157&lt;&gt;"Archive"),IF('Task Finder'!$C$6="Due This Week",AND($I157&lt;&gt;"",$I157&gt;=TODAY(),$I157&lt;=TODAY()+7,$E157&lt;&gt;"Done"),IF('Task Finder'!$C$6="Quick Wins (15 mins or less)",AND($M157&lt;=15,$E157&lt;&gt;"Done",$E157&lt;&gt;"Blocked"),IF('Task Finder'!$C$6="Deep Thinking",AND($G157="Deep Thinking",$E157&lt;&gt;"Done"),IF('Task Finder'!$C$6="Processing",AND($G157="Processing",$E157&lt;&gt;"Done"),IF('Task Finder'!$C$6="Blocked",$E157="Blocked",IF('Task Finder'!$C$6="Waiting",$E157="Waiting",IF('Task Finder'!$C$6="Recently Updated",AND($L157&lt;&gt;"",$L157&gt;=TODAY()-7),IF('Task Finder'!$C$6="Keyword",AND('Task Finder'!$C$7&lt;&gt;"",OR(ISNUMBER(SEARCH('Task Finder'!$C$7,$A157)),ISNUMBER(SEARCH('Task Finder'!$C$7,$B157)),ISNUMBER(SEARCH('Task Finder'!$C$7,$C157)),ISNUMBER(SEARCH('Task Finder'!$C$7,$D157)),ISNUMBER(SEARCH('Task Finder'!$C$7,$K157)))),TRUE))))))))))</f>
        <v/>
      </c>
      <c r="Q157" s="150">
        <f>IF($F157="High","High Priority","")</f>
        <v/>
      </c>
      <c r="R157" s="150">
        <f>IF(AND($I157&lt;&gt;"",$I157&lt;TODAY()),"Overdue","")</f>
        <v/>
      </c>
      <c r="S157" s="150">
        <f>IF(AND($I157&lt;&gt;"",$I157&gt;=TODAY(),$I157&lt;=TODAY()+7),"Due This Week","")</f>
        <v/>
      </c>
      <c r="T157" s="150">
        <f>IF(AND($H157&lt;&gt;"",$M157&lt;=VLOOKUP(Home!$C$7,Lists!$N$2:$O$6,2,FALSE)),$H157&amp;" Task","")</f>
        <v/>
      </c>
      <c r="U157" s="150">
        <f>IF($G157=Home!$E$7,"Fits Current Energy","")</f>
        <v/>
      </c>
      <c r="V157" s="150">
        <f>IF($Q157&lt;&gt;""," • "&amp;$Q157,"")&amp;IF($R157&lt;&gt;""," • "&amp;$R157,"")&amp;IF($S157&lt;&gt;""," • "&amp;$S157,"")&amp;IF($T157&lt;&gt;""," • "&amp;$T157,"")&amp;IF($U157&lt;&gt;""," • "&amp;$U157,"")&amp;" • No Blockers"</f>
        <v/>
      </c>
    </row>
    <row r="158">
      <c r="A158" s="19" t="n"/>
      <c r="B158" s="19" t="n"/>
      <c r="C158" s="19" t="n"/>
      <c r="D158" s="19" t="n"/>
      <c r="E158" s="19" t="n"/>
      <c r="F158" s="19" t="n"/>
      <c r="G158" s="19" t="n"/>
      <c r="H158" s="19" t="n"/>
      <c r="I158" s="19" t="n"/>
      <c r="J158" s="19" t="n"/>
      <c r="K158" s="19" t="n"/>
      <c r="L158" s="35" t="n"/>
      <c r="M158" s="5">
        <f>IF($D158="","",IFERROR(VLOOKUP($H158,Lists!$N$2:$O$6,2,FALSE),0))</f>
        <v/>
      </c>
      <c r="N158" s="5">
        <f>IF($D158="","",IF(OR($E158="Blocked",$E158="Done",$E158="Archive"),-9999,IF(AND($E158="Waiting",SUMPRODUCT((($E$5:$E$500="Next")+($E$5:$E$500="In Progress")+($E$5:$E$500="Captured"))*($D$5:$D$500&lt;&gt;""))&gt;0),-500,VLOOKUP($F158,Lists!$L$2:$M$4,2,FALSE)+IF($E158="In Progress",10,0)+IF(AND($I158&lt;&gt;"",$I158&lt;TODAY()),25,0)+IF(AND($I158&lt;&gt;"",$I158&gt;=TODAY(),$I158&lt;=TODAY()+7),15,0)+IF($H158="",0,IF($M158&lt;=VLOOKUP(Home!$C$7,Lists!$N$2:$O$6,2,FALSE),20,-10))+IF($G158=Home!$E$7,15,IF(Home!$E$7="",0,-5))-ROW()/100000)))</f>
        <v/>
      </c>
      <c r="O158" s="5">
        <f>IF($D158="","",IF($N158&lt;=-500,"Not recommended right now",IF($E158="Waiting","Nothing else actionable right now — Waiting on: "&amp;IF($K158="","this item",$K158),MID($V158,4,9999))))</f>
        <v/>
      </c>
      <c r="P158" s="5">
        <f>IF($D158="","",IF('Task Finder'!$C$6="High Priority",AND($F158="High",$E158&lt;&gt;"Done",$E158&lt;&gt;"Archive"),IF('Task Finder'!$C$6="Due This Week",AND($I158&lt;&gt;"",$I158&gt;=TODAY(),$I158&lt;=TODAY()+7,$E158&lt;&gt;"Done"),IF('Task Finder'!$C$6="Quick Wins (15 mins or less)",AND($M158&lt;=15,$E158&lt;&gt;"Done",$E158&lt;&gt;"Blocked"),IF('Task Finder'!$C$6="Deep Thinking",AND($G158="Deep Thinking",$E158&lt;&gt;"Done"),IF('Task Finder'!$C$6="Processing",AND($G158="Processing",$E158&lt;&gt;"Done"),IF('Task Finder'!$C$6="Blocked",$E158="Blocked",IF('Task Finder'!$C$6="Waiting",$E158="Waiting",IF('Task Finder'!$C$6="Recently Updated",AND($L158&lt;&gt;"",$L158&gt;=TODAY()-7),IF('Task Finder'!$C$6="Keyword",AND('Task Finder'!$C$7&lt;&gt;"",OR(ISNUMBER(SEARCH('Task Finder'!$C$7,$A158)),ISNUMBER(SEARCH('Task Finder'!$C$7,$B158)),ISNUMBER(SEARCH('Task Finder'!$C$7,$C158)),ISNUMBER(SEARCH('Task Finder'!$C$7,$D158)),ISNUMBER(SEARCH('Task Finder'!$C$7,$K158)))),TRUE))))))))))</f>
        <v/>
      </c>
      <c r="Q158" s="150">
        <f>IF($F158="High","High Priority","")</f>
        <v/>
      </c>
      <c r="R158" s="150">
        <f>IF(AND($I158&lt;&gt;"",$I158&lt;TODAY()),"Overdue","")</f>
        <v/>
      </c>
      <c r="S158" s="150">
        <f>IF(AND($I158&lt;&gt;"",$I158&gt;=TODAY(),$I158&lt;=TODAY()+7),"Due This Week","")</f>
        <v/>
      </c>
      <c r="T158" s="150">
        <f>IF(AND($H158&lt;&gt;"",$M158&lt;=VLOOKUP(Home!$C$7,Lists!$N$2:$O$6,2,FALSE)),$H158&amp;" Task","")</f>
        <v/>
      </c>
      <c r="U158" s="150">
        <f>IF($G158=Home!$E$7,"Fits Current Energy","")</f>
        <v/>
      </c>
      <c r="V158" s="150">
        <f>IF($Q158&lt;&gt;""," • "&amp;$Q158,"")&amp;IF($R158&lt;&gt;""," • "&amp;$R158,"")&amp;IF($S158&lt;&gt;""," • "&amp;$S158,"")&amp;IF($T158&lt;&gt;""," • "&amp;$T158,"")&amp;IF($U158&lt;&gt;""," • "&amp;$U158,"")&amp;" • No Blockers"</f>
        <v/>
      </c>
    </row>
    <row r="159">
      <c r="A159" s="19" t="n"/>
      <c r="B159" s="19" t="n"/>
      <c r="C159" s="19" t="n"/>
      <c r="D159" s="19" t="n"/>
      <c r="E159" s="19" t="n"/>
      <c r="F159" s="19" t="n"/>
      <c r="G159" s="19" t="n"/>
      <c r="H159" s="19" t="n"/>
      <c r="I159" s="19" t="n"/>
      <c r="J159" s="19" t="n"/>
      <c r="K159" s="19" t="n"/>
      <c r="L159" s="35" t="n"/>
      <c r="M159" s="5">
        <f>IF($D159="","",IFERROR(VLOOKUP($H159,Lists!$N$2:$O$6,2,FALSE),0))</f>
        <v/>
      </c>
      <c r="N159" s="5">
        <f>IF($D159="","",IF(OR($E159="Blocked",$E159="Done",$E159="Archive"),-9999,IF(AND($E159="Waiting",SUMPRODUCT((($E$5:$E$500="Next")+($E$5:$E$500="In Progress")+($E$5:$E$500="Captured"))*($D$5:$D$500&lt;&gt;""))&gt;0),-500,VLOOKUP($F159,Lists!$L$2:$M$4,2,FALSE)+IF($E159="In Progress",10,0)+IF(AND($I159&lt;&gt;"",$I159&lt;TODAY()),25,0)+IF(AND($I159&lt;&gt;"",$I159&gt;=TODAY(),$I159&lt;=TODAY()+7),15,0)+IF($H159="",0,IF($M159&lt;=VLOOKUP(Home!$C$7,Lists!$N$2:$O$6,2,FALSE),20,-10))+IF($G159=Home!$E$7,15,IF(Home!$E$7="",0,-5))-ROW()/100000)))</f>
        <v/>
      </c>
      <c r="O159" s="5">
        <f>IF($D159="","",IF($N159&lt;=-500,"Not recommended right now",IF($E159="Waiting","Nothing else actionable right now — Waiting on: "&amp;IF($K159="","this item",$K159),MID($V159,4,9999))))</f>
        <v/>
      </c>
      <c r="P159" s="5">
        <f>IF($D159="","",IF('Task Finder'!$C$6="High Priority",AND($F159="High",$E159&lt;&gt;"Done",$E159&lt;&gt;"Archive"),IF('Task Finder'!$C$6="Due This Week",AND($I159&lt;&gt;"",$I159&gt;=TODAY(),$I159&lt;=TODAY()+7,$E159&lt;&gt;"Done"),IF('Task Finder'!$C$6="Quick Wins (15 mins or less)",AND($M159&lt;=15,$E159&lt;&gt;"Done",$E159&lt;&gt;"Blocked"),IF('Task Finder'!$C$6="Deep Thinking",AND($G159="Deep Thinking",$E159&lt;&gt;"Done"),IF('Task Finder'!$C$6="Processing",AND($G159="Processing",$E159&lt;&gt;"Done"),IF('Task Finder'!$C$6="Blocked",$E159="Blocked",IF('Task Finder'!$C$6="Waiting",$E159="Waiting",IF('Task Finder'!$C$6="Recently Updated",AND($L159&lt;&gt;"",$L159&gt;=TODAY()-7),IF('Task Finder'!$C$6="Keyword",AND('Task Finder'!$C$7&lt;&gt;"",OR(ISNUMBER(SEARCH('Task Finder'!$C$7,$A159)),ISNUMBER(SEARCH('Task Finder'!$C$7,$B159)),ISNUMBER(SEARCH('Task Finder'!$C$7,$C159)),ISNUMBER(SEARCH('Task Finder'!$C$7,$D159)),ISNUMBER(SEARCH('Task Finder'!$C$7,$K159)))),TRUE))))))))))</f>
        <v/>
      </c>
      <c r="Q159" s="150">
        <f>IF($F159="High","High Priority","")</f>
        <v/>
      </c>
      <c r="R159" s="150">
        <f>IF(AND($I159&lt;&gt;"",$I159&lt;TODAY()),"Overdue","")</f>
        <v/>
      </c>
      <c r="S159" s="150">
        <f>IF(AND($I159&lt;&gt;"",$I159&gt;=TODAY(),$I159&lt;=TODAY()+7),"Due This Week","")</f>
        <v/>
      </c>
      <c r="T159" s="150">
        <f>IF(AND($H159&lt;&gt;"",$M159&lt;=VLOOKUP(Home!$C$7,Lists!$N$2:$O$6,2,FALSE)),$H159&amp;" Task","")</f>
        <v/>
      </c>
      <c r="U159" s="150">
        <f>IF($G159=Home!$E$7,"Fits Current Energy","")</f>
        <v/>
      </c>
      <c r="V159" s="150">
        <f>IF($Q159&lt;&gt;""," • "&amp;$Q159,"")&amp;IF($R159&lt;&gt;""," • "&amp;$R159,"")&amp;IF($S159&lt;&gt;""," • "&amp;$S159,"")&amp;IF($T159&lt;&gt;""," • "&amp;$T159,"")&amp;IF($U159&lt;&gt;""," • "&amp;$U159,"")&amp;" • No Blockers"</f>
        <v/>
      </c>
    </row>
    <row r="160">
      <c r="A160" s="19" t="n"/>
      <c r="B160" s="19" t="n"/>
      <c r="C160" s="19" t="n"/>
      <c r="D160" s="19" t="n"/>
      <c r="E160" s="19" t="n"/>
      <c r="F160" s="19" t="n"/>
      <c r="G160" s="19" t="n"/>
      <c r="H160" s="19" t="n"/>
      <c r="I160" s="19" t="n"/>
      <c r="J160" s="19" t="n"/>
      <c r="K160" s="19" t="n"/>
      <c r="L160" s="35" t="n"/>
      <c r="M160" s="5">
        <f>IF($D160="","",IFERROR(VLOOKUP($H160,Lists!$N$2:$O$6,2,FALSE),0))</f>
        <v/>
      </c>
      <c r="N160" s="5">
        <f>IF($D160="","",IF(OR($E160="Blocked",$E160="Done",$E160="Archive"),-9999,IF(AND($E160="Waiting",SUMPRODUCT((($E$5:$E$500="Next")+($E$5:$E$500="In Progress")+($E$5:$E$500="Captured"))*($D$5:$D$500&lt;&gt;""))&gt;0),-500,VLOOKUP($F160,Lists!$L$2:$M$4,2,FALSE)+IF($E160="In Progress",10,0)+IF(AND($I160&lt;&gt;"",$I160&lt;TODAY()),25,0)+IF(AND($I160&lt;&gt;"",$I160&gt;=TODAY(),$I160&lt;=TODAY()+7),15,0)+IF($H160="",0,IF($M160&lt;=VLOOKUP(Home!$C$7,Lists!$N$2:$O$6,2,FALSE),20,-10))+IF($G160=Home!$E$7,15,IF(Home!$E$7="",0,-5))-ROW()/100000)))</f>
        <v/>
      </c>
      <c r="O160" s="5">
        <f>IF($D160="","",IF($N160&lt;=-500,"Not recommended right now",IF($E160="Waiting","Nothing else actionable right now — Waiting on: "&amp;IF($K160="","this item",$K160),MID($V160,4,9999))))</f>
        <v/>
      </c>
      <c r="P160" s="5">
        <f>IF($D160="","",IF('Task Finder'!$C$6="High Priority",AND($F160="High",$E160&lt;&gt;"Done",$E160&lt;&gt;"Archive"),IF('Task Finder'!$C$6="Due This Week",AND($I160&lt;&gt;"",$I160&gt;=TODAY(),$I160&lt;=TODAY()+7,$E160&lt;&gt;"Done"),IF('Task Finder'!$C$6="Quick Wins (15 mins or less)",AND($M160&lt;=15,$E160&lt;&gt;"Done",$E160&lt;&gt;"Blocked"),IF('Task Finder'!$C$6="Deep Thinking",AND($G160="Deep Thinking",$E160&lt;&gt;"Done"),IF('Task Finder'!$C$6="Processing",AND($G160="Processing",$E160&lt;&gt;"Done"),IF('Task Finder'!$C$6="Blocked",$E160="Blocked",IF('Task Finder'!$C$6="Waiting",$E160="Waiting",IF('Task Finder'!$C$6="Recently Updated",AND($L160&lt;&gt;"",$L160&gt;=TODAY()-7),IF('Task Finder'!$C$6="Keyword",AND('Task Finder'!$C$7&lt;&gt;"",OR(ISNUMBER(SEARCH('Task Finder'!$C$7,$A160)),ISNUMBER(SEARCH('Task Finder'!$C$7,$B160)),ISNUMBER(SEARCH('Task Finder'!$C$7,$C160)),ISNUMBER(SEARCH('Task Finder'!$C$7,$D160)),ISNUMBER(SEARCH('Task Finder'!$C$7,$K160)))),TRUE))))))))))</f>
        <v/>
      </c>
      <c r="Q160" s="150">
        <f>IF($F160="High","High Priority","")</f>
        <v/>
      </c>
      <c r="R160" s="150">
        <f>IF(AND($I160&lt;&gt;"",$I160&lt;TODAY()),"Overdue","")</f>
        <v/>
      </c>
      <c r="S160" s="150">
        <f>IF(AND($I160&lt;&gt;"",$I160&gt;=TODAY(),$I160&lt;=TODAY()+7),"Due This Week","")</f>
        <v/>
      </c>
      <c r="T160" s="150">
        <f>IF(AND($H160&lt;&gt;"",$M160&lt;=VLOOKUP(Home!$C$7,Lists!$N$2:$O$6,2,FALSE)),$H160&amp;" Task","")</f>
        <v/>
      </c>
      <c r="U160" s="150">
        <f>IF($G160=Home!$E$7,"Fits Current Energy","")</f>
        <v/>
      </c>
      <c r="V160" s="150">
        <f>IF($Q160&lt;&gt;""," • "&amp;$Q160,"")&amp;IF($R160&lt;&gt;""," • "&amp;$R160,"")&amp;IF($S160&lt;&gt;""," • "&amp;$S160,"")&amp;IF($T160&lt;&gt;""," • "&amp;$T160,"")&amp;IF($U160&lt;&gt;""," • "&amp;$U160,"")&amp;" • No Blockers"</f>
        <v/>
      </c>
    </row>
    <row r="161">
      <c r="A161" s="19" t="n"/>
      <c r="B161" s="19" t="n"/>
      <c r="C161" s="19" t="n"/>
      <c r="D161" s="19" t="n"/>
      <c r="E161" s="19" t="n"/>
      <c r="F161" s="19" t="n"/>
      <c r="G161" s="19" t="n"/>
      <c r="H161" s="19" t="n"/>
      <c r="I161" s="19" t="n"/>
      <c r="J161" s="19" t="n"/>
      <c r="K161" s="19" t="n"/>
      <c r="L161" s="35" t="n"/>
      <c r="M161" s="5">
        <f>IF($D161="","",IFERROR(VLOOKUP($H161,Lists!$N$2:$O$6,2,FALSE),0))</f>
        <v/>
      </c>
      <c r="N161" s="5">
        <f>IF($D161="","",IF(OR($E161="Blocked",$E161="Done",$E161="Archive"),-9999,IF(AND($E161="Waiting",SUMPRODUCT((($E$5:$E$500="Next")+($E$5:$E$500="In Progress")+($E$5:$E$500="Captured"))*($D$5:$D$500&lt;&gt;""))&gt;0),-500,VLOOKUP($F161,Lists!$L$2:$M$4,2,FALSE)+IF($E161="In Progress",10,0)+IF(AND($I161&lt;&gt;"",$I161&lt;TODAY()),25,0)+IF(AND($I161&lt;&gt;"",$I161&gt;=TODAY(),$I161&lt;=TODAY()+7),15,0)+IF($H161="",0,IF($M161&lt;=VLOOKUP(Home!$C$7,Lists!$N$2:$O$6,2,FALSE),20,-10))+IF($G161=Home!$E$7,15,IF(Home!$E$7="",0,-5))-ROW()/100000)))</f>
        <v/>
      </c>
      <c r="O161" s="5">
        <f>IF($D161="","",IF($N161&lt;=-500,"Not recommended right now",IF($E161="Waiting","Nothing else actionable right now — Waiting on: "&amp;IF($K161="","this item",$K161),MID($V161,4,9999))))</f>
        <v/>
      </c>
      <c r="P161" s="5">
        <f>IF($D161="","",IF('Task Finder'!$C$6="High Priority",AND($F161="High",$E161&lt;&gt;"Done",$E161&lt;&gt;"Archive"),IF('Task Finder'!$C$6="Due This Week",AND($I161&lt;&gt;"",$I161&gt;=TODAY(),$I161&lt;=TODAY()+7,$E161&lt;&gt;"Done"),IF('Task Finder'!$C$6="Quick Wins (15 mins or less)",AND($M161&lt;=15,$E161&lt;&gt;"Done",$E161&lt;&gt;"Blocked"),IF('Task Finder'!$C$6="Deep Thinking",AND($G161="Deep Thinking",$E161&lt;&gt;"Done"),IF('Task Finder'!$C$6="Processing",AND($G161="Processing",$E161&lt;&gt;"Done"),IF('Task Finder'!$C$6="Blocked",$E161="Blocked",IF('Task Finder'!$C$6="Waiting",$E161="Waiting",IF('Task Finder'!$C$6="Recently Updated",AND($L161&lt;&gt;"",$L161&gt;=TODAY()-7),IF('Task Finder'!$C$6="Keyword",AND('Task Finder'!$C$7&lt;&gt;"",OR(ISNUMBER(SEARCH('Task Finder'!$C$7,$A161)),ISNUMBER(SEARCH('Task Finder'!$C$7,$B161)),ISNUMBER(SEARCH('Task Finder'!$C$7,$C161)),ISNUMBER(SEARCH('Task Finder'!$C$7,$D161)),ISNUMBER(SEARCH('Task Finder'!$C$7,$K161)))),TRUE))))))))))</f>
        <v/>
      </c>
      <c r="Q161" s="150">
        <f>IF($F161="High","High Priority","")</f>
        <v/>
      </c>
      <c r="R161" s="150">
        <f>IF(AND($I161&lt;&gt;"",$I161&lt;TODAY()),"Overdue","")</f>
        <v/>
      </c>
      <c r="S161" s="150">
        <f>IF(AND($I161&lt;&gt;"",$I161&gt;=TODAY(),$I161&lt;=TODAY()+7),"Due This Week","")</f>
        <v/>
      </c>
      <c r="T161" s="150">
        <f>IF(AND($H161&lt;&gt;"",$M161&lt;=VLOOKUP(Home!$C$7,Lists!$N$2:$O$6,2,FALSE)),$H161&amp;" Task","")</f>
        <v/>
      </c>
      <c r="U161" s="150">
        <f>IF($G161=Home!$E$7,"Fits Current Energy","")</f>
        <v/>
      </c>
      <c r="V161" s="150">
        <f>IF($Q161&lt;&gt;""," • "&amp;$Q161,"")&amp;IF($R161&lt;&gt;""," • "&amp;$R161,"")&amp;IF($S161&lt;&gt;""," • "&amp;$S161,"")&amp;IF($T161&lt;&gt;""," • "&amp;$T161,"")&amp;IF($U161&lt;&gt;""," • "&amp;$U161,"")&amp;" • No Blockers"</f>
        <v/>
      </c>
    </row>
    <row r="162">
      <c r="A162" s="19" t="n"/>
      <c r="B162" s="19" t="n"/>
      <c r="C162" s="19" t="n"/>
      <c r="D162" s="19" t="n"/>
      <c r="E162" s="19" t="n"/>
      <c r="F162" s="19" t="n"/>
      <c r="G162" s="19" t="n"/>
      <c r="H162" s="19" t="n"/>
      <c r="I162" s="19" t="n"/>
      <c r="J162" s="19" t="n"/>
      <c r="K162" s="19" t="n"/>
      <c r="L162" s="35" t="n"/>
      <c r="M162" s="5">
        <f>IF($D162="","",IFERROR(VLOOKUP($H162,Lists!$N$2:$O$6,2,FALSE),0))</f>
        <v/>
      </c>
      <c r="N162" s="5">
        <f>IF($D162="","",IF(OR($E162="Blocked",$E162="Done",$E162="Archive"),-9999,IF(AND($E162="Waiting",SUMPRODUCT((($E$5:$E$500="Next")+($E$5:$E$500="In Progress")+($E$5:$E$500="Captured"))*($D$5:$D$500&lt;&gt;""))&gt;0),-500,VLOOKUP($F162,Lists!$L$2:$M$4,2,FALSE)+IF($E162="In Progress",10,0)+IF(AND($I162&lt;&gt;"",$I162&lt;TODAY()),25,0)+IF(AND($I162&lt;&gt;"",$I162&gt;=TODAY(),$I162&lt;=TODAY()+7),15,0)+IF($H162="",0,IF($M162&lt;=VLOOKUP(Home!$C$7,Lists!$N$2:$O$6,2,FALSE),20,-10))+IF($G162=Home!$E$7,15,IF(Home!$E$7="",0,-5))-ROW()/100000)))</f>
        <v/>
      </c>
      <c r="O162" s="5">
        <f>IF($D162="","",IF($N162&lt;=-500,"Not recommended right now",IF($E162="Waiting","Nothing else actionable right now — Waiting on: "&amp;IF($K162="","this item",$K162),MID($V162,4,9999))))</f>
        <v/>
      </c>
      <c r="P162" s="5">
        <f>IF($D162="","",IF('Task Finder'!$C$6="High Priority",AND($F162="High",$E162&lt;&gt;"Done",$E162&lt;&gt;"Archive"),IF('Task Finder'!$C$6="Due This Week",AND($I162&lt;&gt;"",$I162&gt;=TODAY(),$I162&lt;=TODAY()+7,$E162&lt;&gt;"Done"),IF('Task Finder'!$C$6="Quick Wins (15 mins or less)",AND($M162&lt;=15,$E162&lt;&gt;"Done",$E162&lt;&gt;"Blocked"),IF('Task Finder'!$C$6="Deep Thinking",AND($G162="Deep Thinking",$E162&lt;&gt;"Done"),IF('Task Finder'!$C$6="Processing",AND($G162="Processing",$E162&lt;&gt;"Done"),IF('Task Finder'!$C$6="Blocked",$E162="Blocked",IF('Task Finder'!$C$6="Waiting",$E162="Waiting",IF('Task Finder'!$C$6="Recently Updated",AND($L162&lt;&gt;"",$L162&gt;=TODAY()-7),IF('Task Finder'!$C$6="Keyword",AND('Task Finder'!$C$7&lt;&gt;"",OR(ISNUMBER(SEARCH('Task Finder'!$C$7,$A162)),ISNUMBER(SEARCH('Task Finder'!$C$7,$B162)),ISNUMBER(SEARCH('Task Finder'!$C$7,$C162)),ISNUMBER(SEARCH('Task Finder'!$C$7,$D162)),ISNUMBER(SEARCH('Task Finder'!$C$7,$K162)))),TRUE))))))))))</f>
        <v/>
      </c>
      <c r="Q162" s="150">
        <f>IF($F162="High","High Priority","")</f>
        <v/>
      </c>
      <c r="R162" s="150">
        <f>IF(AND($I162&lt;&gt;"",$I162&lt;TODAY()),"Overdue","")</f>
        <v/>
      </c>
      <c r="S162" s="150">
        <f>IF(AND($I162&lt;&gt;"",$I162&gt;=TODAY(),$I162&lt;=TODAY()+7),"Due This Week","")</f>
        <v/>
      </c>
      <c r="T162" s="150">
        <f>IF(AND($H162&lt;&gt;"",$M162&lt;=VLOOKUP(Home!$C$7,Lists!$N$2:$O$6,2,FALSE)),$H162&amp;" Task","")</f>
        <v/>
      </c>
      <c r="U162" s="150">
        <f>IF($G162=Home!$E$7,"Fits Current Energy","")</f>
        <v/>
      </c>
      <c r="V162" s="150">
        <f>IF($Q162&lt;&gt;""," • "&amp;$Q162,"")&amp;IF($R162&lt;&gt;""," • "&amp;$R162,"")&amp;IF($S162&lt;&gt;""," • "&amp;$S162,"")&amp;IF($T162&lt;&gt;""," • "&amp;$T162,"")&amp;IF($U162&lt;&gt;""," • "&amp;$U162,"")&amp;" • No Blockers"</f>
        <v/>
      </c>
    </row>
    <row r="163">
      <c r="A163" s="19" t="n"/>
      <c r="B163" s="19" t="n"/>
      <c r="C163" s="19" t="n"/>
      <c r="D163" s="19" t="n"/>
      <c r="E163" s="19" t="n"/>
      <c r="F163" s="19" t="n"/>
      <c r="G163" s="19" t="n"/>
      <c r="H163" s="19" t="n"/>
      <c r="I163" s="19" t="n"/>
      <c r="J163" s="19" t="n"/>
      <c r="K163" s="19" t="n"/>
      <c r="L163" s="35" t="n"/>
      <c r="M163" s="5">
        <f>IF($D163="","",IFERROR(VLOOKUP($H163,Lists!$N$2:$O$6,2,FALSE),0))</f>
        <v/>
      </c>
      <c r="N163" s="5">
        <f>IF($D163="","",IF(OR($E163="Blocked",$E163="Done",$E163="Archive"),-9999,IF(AND($E163="Waiting",SUMPRODUCT((($E$5:$E$500="Next")+($E$5:$E$500="In Progress")+($E$5:$E$500="Captured"))*($D$5:$D$500&lt;&gt;""))&gt;0),-500,VLOOKUP($F163,Lists!$L$2:$M$4,2,FALSE)+IF($E163="In Progress",10,0)+IF(AND($I163&lt;&gt;"",$I163&lt;TODAY()),25,0)+IF(AND($I163&lt;&gt;"",$I163&gt;=TODAY(),$I163&lt;=TODAY()+7),15,0)+IF($H163="",0,IF($M163&lt;=VLOOKUP(Home!$C$7,Lists!$N$2:$O$6,2,FALSE),20,-10))+IF($G163=Home!$E$7,15,IF(Home!$E$7="",0,-5))-ROW()/100000)))</f>
        <v/>
      </c>
      <c r="O163" s="5">
        <f>IF($D163="","",IF($N163&lt;=-500,"Not recommended right now",IF($E163="Waiting","Nothing else actionable right now — Waiting on: "&amp;IF($K163="","this item",$K163),MID($V163,4,9999))))</f>
        <v/>
      </c>
      <c r="P163" s="5">
        <f>IF($D163="","",IF('Task Finder'!$C$6="High Priority",AND($F163="High",$E163&lt;&gt;"Done",$E163&lt;&gt;"Archive"),IF('Task Finder'!$C$6="Due This Week",AND($I163&lt;&gt;"",$I163&gt;=TODAY(),$I163&lt;=TODAY()+7,$E163&lt;&gt;"Done"),IF('Task Finder'!$C$6="Quick Wins (15 mins or less)",AND($M163&lt;=15,$E163&lt;&gt;"Done",$E163&lt;&gt;"Blocked"),IF('Task Finder'!$C$6="Deep Thinking",AND($G163="Deep Thinking",$E163&lt;&gt;"Done"),IF('Task Finder'!$C$6="Processing",AND($G163="Processing",$E163&lt;&gt;"Done"),IF('Task Finder'!$C$6="Blocked",$E163="Blocked",IF('Task Finder'!$C$6="Waiting",$E163="Waiting",IF('Task Finder'!$C$6="Recently Updated",AND($L163&lt;&gt;"",$L163&gt;=TODAY()-7),IF('Task Finder'!$C$6="Keyword",AND('Task Finder'!$C$7&lt;&gt;"",OR(ISNUMBER(SEARCH('Task Finder'!$C$7,$A163)),ISNUMBER(SEARCH('Task Finder'!$C$7,$B163)),ISNUMBER(SEARCH('Task Finder'!$C$7,$C163)),ISNUMBER(SEARCH('Task Finder'!$C$7,$D163)),ISNUMBER(SEARCH('Task Finder'!$C$7,$K163)))),TRUE))))))))))</f>
        <v/>
      </c>
      <c r="Q163" s="150">
        <f>IF($F163="High","High Priority","")</f>
        <v/>
      </c>
      <c r="R163" s="150">
        <f>IF(AND($I163&lt;&gt;"",$I163&lt;TODAY()),"Overdue","")</f>
        <v/>
      </c>
      <c r="S163" s="150">
        <f>IF(AND($I163&lt;&gt;"",$I163&gt;=TODAY(),$I163&lt;=TODAY()+7),"Due This Week","")</f>
        <v/>
      </c>
      <c r="T163" s="150">
        <f>IF(AND($H163&lt;&gt;"",$M163&lt;=VLOOKUP(Home!$C$7,Lists!$N$2:$O$6,2,FALSE)),$H163&amp;" Task","")</f>
        <v/>
      </c>
      <c r="U163" s="150">
        <f>IF($G163=Home!$E$7,"Fits Current Energy","")</f>
        <v/>
      </c>
      <c r="V163" s="150">
        <f>IF($Q163&lt;&gt;""," • "&amp;$Q163,"")&amp;IF($R163&lt;&gt;""," • "&amp;$R163,"")&amp;IF($S163&lt;&gt;""," • "&amp;$S163,"")&amp;IF($T163&lt;&gt;""," • "&amp;$T163,"")&amp;IF($U163&lt;&gt;""," • "&amp;$U163,"")&amp;" • No Blockers"</f>
        <v/>
      </c>
    </row>
    <row r="164">
      <c r="A164" s="19" t="n"/>
      <c r="B164" s="19" t="n"/>
      <c r="C164" s="19" t="n"/>
      <c r="D164" s="19" t="n"/>
      <c r="E164" s="19" t="n"/>
      <c r="F164" s="19" t="n"/>
      <c r="G164" s="19" t="n"/>
      <c r="H164" s="19" t="n"/>
      <c r="I164" s="19" t="n"/>
      <c r="J164" s="19" t="n"/>
      <c r="K164" s="19" t="n"/>
      <c r="L164" s="35" t="n"/>
      <c r="M164" s="5">
        <f>IF($D164="","",IFERROR(VLOOKUP($H164,Lists!$N$2:$O$6,2,FALSE),0))</f>
        <v/>
      </c>
      <c r="N164" s="5">
        <f>IF($D164="","",IF(OR($E164="Blocked",$E164="Done",$E164="Archive"),-9999,IF(AND($E164="Waiting",SUMPRODUCT((($E$5:$E$500="Next")+($E$5:$E$500="In Progress")+($E$5:$E$500="Captured"))*($D$5:$D$500&lt;&gt;""))&gt;0),-500,VLOOKUP($F164,Lists!$L$2:$M$4,2,FALSE)+IF($E164="In Progress",10,0)+IF(AND($I164&lt;&gt;"",$I164&lt;TODAY()),25,0)+IF(AND($I164&lt;&gt;"",$I164&gt;=TODAY(),$I164&lt;=TODAY()+7),15,0)+IF($H164="",0,IF($M164&lt;=VLOOKUP(Home!$C$7,Lists!$N$2:$O$6,2,FALSE),20,-10))+IF($G164=Home!$E$7,15,IF(Home!$E$7="",0,-5))-ROW()/100000)))</f>
        <v/>
      </c>
      <c r="O164" s="5">
        <f>IF($D164="","",IF($N164&lt;=-500,"Not recommended right now",IF($E164="Waiting","Nothing else actionable right now — Waiting on: "&amp;IF($K164="","this item",$K164),MID($V164,4,9999))))</f>
        <v/>
      </c>
      <c r="P164" s="5">
        <f>IF($D164="","",IF('Task Finder'!$C$6="High Priority",AND($F164="High",$E164&lt;&gt;"Done",$E164&lt;&gt;"Archive"),IF('Task Finder'!$C$6="Due This Week",AND($I164&lt;&gt;"",$I164&gt;=TODAY(),$I164&lt;=TODAY()+7,$E164&lt;&gt;"Done"),IF('Task Finder'!$C$6="Quick Wins (15 mins or less)",AND($M164&lt;=15,$E164&lt;&gt;"Done",$E164&lt;&gt;"Blocked"),IF('Task Finder'!$C$6="Deep Thinking",AND($G164="Deep Thinking",$E164&lt;&gt;"Done"),IF('Task Finder'!$C$6="Processing",AND($G164="Processing",$E164&lt;&gt;"Done"),IF('Task Finder'!$C$6="Blocked",$E164="Blocked",IF('Task Finder'!$C$6="Waiting",$E164="Waiting",IF('Task Finder'!$C$6="Recently Updated",AND($L164&lt;&gt;"",$L164&gt;=TODAY()-7),IF('Task Finder'!$C$6="Keyword",AND('Task Finder'!$C$7&lt;&gt;"",OR(ISNUMBER(SEARCH('Task Finder'!$C$7,$A164)),ISNUMBER(SEARCH('Task Finder'!$C$7,$B164)),ISNUMBER(SEARCH('Task Finder'!$C$7,$C164)),ISNUMBER(SEARCH('Task Finder'!$C$7,$D164)),ISNUMBER(SEARCH('Task Finder'!$C$7,$K164)))),TRUE))))))))))</f>
        <v/>
      </c>
      <c r="Q164" s="150">
        <f>IF($F164="High","High Priority","")</f>
        <v/>
      </c>
      <c r="R164" s="150">
        <f>IF(AND($I164&lt;&gt;"",$I164&lt;TODAY()),"Overdue","")</f>
        <v/>
      </c>
      <c r="S164" s="150">
        <f>IF(AND($I164&lt;&gt;"",$I164&gt;=TODAY(),$I164&lt;=TODAY()+7),"Due This Week","")</f>
        <v/>
      </c>
      <c r="T164" s="150">
        <f>IF(AND($H164&lt;&gt;"",$M164&lt;=VLOOKUP(Home!$C$7,Lists!$N$2:$O$6,2,FALSE)),$H164&amp;" Task","")</f>
        <v/>
      </c>
      <c r="U164" s="150">
        <f>IF($G164=Home!$E$7,"Fits Current Energy","")</f>
        <v/>
      </c>
      <c r="V164" s="150">
        <f>IF($Q164&lt;&gt;""," • "&amp;$Q164,"")&amp;IF($R164&lt;&gt;""," • "&amp;$R164,"")&amp;IF($S164&lt;&gt;""," • "&amp;$S164,"")&amp;IF($T164&lt;&gt;""," • "&amp;$T164,"")&amp;IF($U164&lt;&gt;""," • "&amp;$U164,"")&amp;" • No Blockers"</f>
        <v/>
      </c>
    </row>
    <row r="165">
      <c r="A165" s="19" t="n"/>
      <c r="B165" s="19" t="n"/>
      <c r="C165" s="19" t="n"/>
      <c r="D165" s="19" t="n"/>
      <c r="E165" s="19" t="n"/>
      <c r="F165" s="19" t="n"/>
      <c r="G165" s="19" t="n"/>
      <c r="H165" s="19" t="n"/>
      <c r="I165" s="19" t="n"/>
      <c r="J165" s="19" t="n"/>
      <c r="K165" s="19" t="n"/>
      <c r="L165" s="35" t="n"/>
      <c r="M165" s="5">
        <f>IF($D165="","",IFERROR(VLOOKUP($H165,Lists!$N$2:$O$6,2,FALSE),0))</f>
        <v/>
      </c>
      <c r="N165" s="5">
        <f>IF($D165="","",IF(OR($E165="Blocked",$E165="Done",$E165="Archive"),-9999,IF(AND($E165="Waiting",SUMPRODUCT((($E$5:$E$500="Next")+($E$5:$E$500="In Progress")+($E$5:$E$500="Captured"))*($D$5:$D$500&lt;&gt;""))&gt;0),-500,VLOOKUP($F165,Lists!$L$2:$M$4,2,FALSE)+IF($E165="In Progress",10,0)+IF(AND($I165&lt;&gt;"",$I165&lt;TODAY()),25,0)+IF(AND($I165&lt;&gt;"",$I165&gt;=TODAY(),$I165&lt;=TODAY()+7),15,0)+IF($H165="",0,IF($M165&lt;=VLOOKUP(Home!$C$7,Lists!$N$2:$O$6,2,FALSE),20,-10))+IF($G165=Home!$E$7,15,IF(Home!$E$7="",0,-5))-ROW()/100000)))</f>
        <v/>
      </c>
      <c r="O165" s="5">
        <f>IF($D165="","",IF($N165&lt;=-500,"Not recommended right now",IF($E165="Waiting","Nothing else actionable right now — Waiting on: "&amp;IF($K165="","this item",$K165),MID($V165,4,9999))))</f>
        <v/>
      </c>
      <c r="P165" s="5">
        <f>IF($D165="","",IF('Task Finder'!$C$6="High Priority",AND($F165="High",$E165&lt;&gt;"Done",$E165&lt;&gt;"Archive"),IF('Task Finder'!$C$6="Due This Week",AND($I165&lt;&gt;"",$I165&gt;=TODAY(),$I165&lt;=TODAY()+7,$E165&lt;&gt;"Done"),IF('Task Finder'!$C$6="Quick Wins (15 mins or less)",AND($M165&lt;=15,$E165&lt;&gt;"Done",$E165&lt;&gt;"Blocked"),IF('Task Finder'!$C$6="Deep Thinking",AND($G165="Deep Thinking",$E165&lt;&gt;"Done"),IF('Task Finder'!$C$6="Processing",AND($G165="Processing",$E165&lt;&gt;"Done"),IF('Task Finder'!$C$6="Blocked",$E165="Blocked",IF('Task Finder'!$C$6="Waiting",$E165="Waiting",IF('Task Finder'!$C$6="Recently Updated",AND($L165&lt;&gt;"",$L165&gt;=TODAY()-7),IF('Task Finder'!$C$6="Keyword",AND('Task Finder'!$C$7&lt;&gt;"",OR(ISNUMBER(SEARCH('Task Finder'!$C$7,$A165)),ISNUMBER(SEARCH('Task Finder'!$C$7,$B165)),ISNUMBER(SEARCH('Task Finder'!$C$7,$C165)),ISNUMBER(SEARCH('Task Finder'!$C$7,$D165)),ISNUMBER(SEARCH('Task Finder'!$C$7,$K165)))),TRUE))))))))))</f>
        <v/>
      </c>
      <c r="Q165" s="150">
        <f>IF($F165="High","High Priority","")</f>
        <v/>
      </c>
      <c r="R165" s="150">
        <f>IF(AND($I165&lt;&gt;"",$I165&lt;TODAY()),"Overdue","")</f>
        <v/>
      </c>
      <c r="S165" s="150">
        <f>IF(AND($I165&lt;&gt;"",$I165&gt;=TODAY(),$I165&lt;=TODAY()+7),"Due This Week","")</f>
        <v/>
      </c>
      <c r="T165" s="150">
        <f>IF(AND($H165&lt;&gt;"",$M165&lt;=VLOOKUP(Home!$C$7,Lists!$N$2:$O$6,2,FALSE)),$H165&amp;" Task","")</f>
        <v/>
      </c>
      <c r="U165" s="150">
        <f>IF($G165=Home!$E$7,"Fits Current Energy","")</f>
        <v/>
      </c>
      <c r="V165" s="150">
        <f>IF($Q165&lt;&gt;""," • "&amp;$Q165,"")&amp;IF($R165&lt;&gt;""," • "&amp;$R165,"")&amp;IF($S165&lt;&gt;""," • "&amp;$S165,"")&amp;IF($T165&lt;&gt;""," • "&amp;$T165,"")&amp;IF($U165&lt;&gt;""," • "&amp;$U165,"")&amp;" • No Blockers"</f>
        <v/>
      </c>
    </row>
    <row r="166">
      <c r="A166" s="19" t="n"/>
      <c r="B166" s="19" t="n"/>
      <c r="C166" s="19" t="n"/>
      <c r="D166" s="19" t="n"/>
      <c r="E166" s="19" t="n"/>
      <c r="F166" s="19" t="n"/>
      <c r="G166" s="19" t="n"/>
      <c r="H166" s="19" t="n"/>
      <c r="I166" s="19" t="n"/>
      <c r="J166" s="19" t="n"/>
      <c r="K166" s="19" t="n"/>
      <c r="L166" s="35" t="n"/>
      <c r="M166" s="5">
        <f>IF($D166="","",IFERROR(VLOOKUP($H166,Lists!$N$2:$O$6,2,FALSE),0))</f>
        <v/>
      </c>
      <c r="N166" s="5">
        <f>IF($D166="","",IF(OR($E166="Blocked",$E166="Done",$E166="Archive"),-9999,IF(AND($E166="Waiting",SUMPRODUCT((($E$5:$E$500="Next")+($E$5:$E$500="In Progress")+($E$5:$E$500="Captured"))*($D$5:$D$500&lt;&gt;""))&gt;0),-500,VLOOKUP($F166,Lists!$L$2:$M$4,2,FALSE)+IF($E166="In Progress",10,0)+IF(AND($I166&lt;&gt;"",$I166&lt;TODAY()),25,0)+IF(AND($I166&lt;&gt;"",$I166&gt;=TODAY(),$I166&lt;=TODAY()+7),15,0)+IF($H166="",0,IF($M166&lt;=VLOOKUP(Home!$C$7,Lists!$N$2:$O$6,2,FALSE),20,-10))+IF($G166=Home!$E$7,15,IF(Home!$E$7="",0,-5))-ROW()/100000)))</f>
        <v/>
      </c>
      <c r="O166" s="5">
        <f>IF($D166="","",IF($N166&lt;=-500,"Not recommended right now",IF($E166="Waiting","Nothing else actionable right now — Waiting on: "&amp;IF($K166="","this item",$K166),MID($V166,4,9999))))</f>
        <v/>
      </c>
      <c r="P166" s="5">
        <f>IF($D166="","",IF('Task Finder'!$C$6="High Priority",AND($F166="High",$E166&lt;&gt;"Done",$E166&lt;&gt;"Archive"),IF('Task Finder'!$C$6="Due This Week",AND($I166&lt;&gt;"",$I166&gt;=TODAY(),$I166&lt;=TODAY()+7,$E166&lt;&gt;"Done"),IF('Task Finder'!$C$6="Quick Wins (15 mins or less)",AND($M166&lt;=15,$E166&lt;&gt;"Done",$E166&lt;&gt;"Blocked"),IF('Task Finder'!$C$6="Deep Thinking",AND($G166="Deep Thinking",$E166&lt;&gt;"Done"),IF('Task Finder'!$C$6="Processing",AND($G166="Processing",$E166&lt;&gt;"Done"),IF('Task Finder'!$C$6="Blocked",$E166="Blocked",IF('Task Finder'!$C$6="Waiting",$E166="Waiting",IF('Task Finder'!$C$6="Recently Updated",AND($L166&lt;&gt;"",$L166&gt;=TODAY()-7),IF('Task Finder'!$C$6="Keyword",AND('Task Finder'!$C$7&lt;&gt;"",OR(ISNUMBER(SEARCH('Task Finder'!$C$7,$A166)),ISNUMBER(SEARCH('Task Finder'!$C$7,$B166)),ISNUMBER(SEARCH('Task Finder'!$C$7,$C166)),ISNUMBER(SEARCH('Task Finder'!$C$7,$D166)),ISNUMBER(SEARCH('Task Finder'!$C$7,$K166)))),TRUE))))))))))</f>
        <v/>
      </c>
      <c r="Q166" s="150">
        <f>IF($F166="High","High Priority","")</f>
        <v/>
      </c>
      <c r="R166" s="150">
        <f>IF(AND($I166&lt;&gt;"",$I166&lt;TODAY()),"Overdue","")</f>
        <v/>
      </c>
      <c r="S166" s="150">
        <f>IF(AND($I166&lt;&gt;"",$I166&gt;=TODAY(),$I166&lt;=TODAY()+7),"Due This Week","")</f>
        <v/>
      </c>
      <c r="T166" s="150">
        <f>IF(AND($H166&lt;&gt;"",$M166&lt;=VLOOKUP(Home!$C$7,Lists!$N$2:$O$6,2,FALSE)),$H166&amp;" Task","")</f>
        <v/>
      </c>
      <c r="U166" s="150">
        <f>IF($G166=Home!$E$7,"Fits Current Energy","")</f>
        <v/>
      </c>
      <c r="V166" s="150">
        <f>IF($Q166&lt;&gt;""," • "&amp;$Q166,"")&amp;IF($R166&lt;&gt;""," • "&amp;$R166,"")&amp;IF($S166&lt;&gt;""," • "&amp;$S166,"")&amp;IF($T166&lt;&gt;""," • "&amp;$T166,"")&amp;IF($U166&lt;&gt;""," • "&amp;$U166,"")&amp;" • No Blockers"</f>
        <v/>
      </c>
    </row>
    <row r="167">
      <c r="A167" s="19" t="n"/>
      <c r="B167" s="19" t="n"/>
      <c r="C167" s="19" t="n"/>
      <c r="D167" s="19" t="n"/>
      <c r="E167" s="19" t="n"/>
      <c r="F167" s="19" t="n"/>
      <c r="G167" s="19" t="n"/>
      <c r="H167" s="19" t="n"/>
      <c r="I167" s="19" t="n"/>
      <c r="J167" s="19" t="n"/>
      <c r="K167" s="19" t="n"/>
      <c r="L167" s="35" t="n"/>
      <c r="M167" s="5">
        <f>IF($D167="","",IFERROR(VLOOKUP($H167,Lists!$N$2:$O$6,2,FALSE),0))</f>
        <v/>
      </c>
      <c r="N167" s="5">
        <f>IF($D167="","",IF(OR($E167="Blocked",$E167="Done",$E167="Archive"),-9999,IF(AND($E167="Waiting",SUMPRODUCT((($E$5:$E$500="Next")+($E$5:$E$500="In Progress")+($E$5:$E$500="Captured"))*($D$5:$D$500&lt;&gt;""))&gt;0),-500,VLOOKUP($F167,Lists!$L$2:$M$4,2,FALSE)+IF($E167="In Progress",10,0)+IF(AND($I167&lt;&gt;"",$I167&lt;TODAY()),25,0)+IF(AND($I167&lt;&gt;"",$I167&gt;=TODAY(),$I167&lt;=TODAY()+7),15,0)+IF($H167="",0,IF($M167&lt;=VLOOKUP(Home!$C$7,Lists!$N$2:$O$6,2,FALSE),20,-10))+IF($G167=Home!$E$7,15,IF(Home!$E$7="",0,-5))-ROW()/100000)))</f>
        <v/>
      </c>
      <c r="O167" s="5">
        <f>IF($D167="","",IF($N167&lt;=-500,"Not recommended right now",IF($E167="Waiting","Nothing else actionable right now — Waiting on: "&amp;IF($K167="","this item",$K167),MID($V167,4,9999))))</f>
        <v/>
      </c>
      <c r="P167" s="5">
        <f>IF($D167="","",IF('Task Finder'!$C$6="High Priority",AND($F167="High",$E167&lt;&gt;"Done",$E167&lt;&gt;"Archive"),IF('Task Finder'!$C$6="Due This Week",AND($I167&lt;&gt;"",$I167&gt;=TODAY(),$I167&lt;=TODAY()+7,$E167&lt;&gt;"Done"),IF('Task Finder'!$C$6="Quick Wins (15 mins or less)",AND($M167&lt;=15,$E167&lt;&gt;"Done",$E167&lt;&gt;"Blocked"),IF('Task Finder'!$C$6="Deep Thinking",AND($G167="Deep Thinking",$E167&lt;&gt;"Done"),IF('Task Finder'!$C$6="Processing",AND($G167="Processing",$E167&lt;&gt;"Done"),IF('Task Finder'!$C$6="Blocked",$E167="Blocked",IF('Task Finder'!$C$6="Waiting",$E167="Waiting",IF('Task Finder'!$C$6="Recently Updated",AND($L167&lt;&gt;"",$L167&gt;=TODAY()-7),IF('Task Finder'!$C$6="Keyword",AND('Task Finder'!$C$7&lt;&gt;"",OR(ISNUMBER(SEARCH('Task Finder'!$C$7,$A167)),ISNUMBER(SEARCH('Task Finder'!$C$7,$B167)),ISNUMBER(SEARCH('Task Finder'!$C$7,$C167)),ISNUMBER(SEARCH('Task Finder'!$C$7,$D167)),ISNUMBER(SEARCH('Task Finder'!$C$7,$K167)))),TRUE))))))))))</f>
        <v/>
      </c>
      <c r="Q167" s="150">
        <f>IF($F167="High","High Priority","")</f>
        <v/>
      </c>
      <c r="R167" s="150">
        <f>IF(AND($I167&lt;&gt;"",$I167&lt;TODAY()),"Overdue","")</f>
        <v/>
      </c>
      <c r="S167" s="150">
        <f>IF(AND($I167&lt;&gt;"",$I167&gt;=TODAY(),$I167&lt;=TODAY()+7),"Due This Week","")</f>
        <v/>
      </c>
      <c r="T167" s="150">
        <f>IF(AND($H167&lt;&gt;"",$M167&lt;=VLOOKUP(Home!$C$7,Lists!$N$2:$O$6,2,FALSE)),$H167&amp;" Task","")</f>
        <v/>
      </c>
      <c r="U167" s="150">
        <f>IF($G167=Home!$E$7,"Fits Current Energy","")</f>
        <v/>
      </c>
      <c r="V167" s="150">
        <f>IF($Q167&lt;&gt;""," • "&amp;$Q167,"")&amp;IF($R167&lt;&gt;""," • "&amp;$R167,"")&amp;IF($S167&lt;&gt;""," • "&amp;$S167,"")&amp;IF($T167&lt;&gt;""," • "&amp;$T167,"")&amp;IF($U167&lt;&gt;""," • "&amp;$U167,"")&amp;" • No Blockers"</f>
        <v/>
      </c>
    </row>
    <row r="168">
      <c r="A168" s="19" t="n"/>
      <c r="B168" s="19" t="n"/>
      <c r="C168" s="19" t="n"/>
      <c r="D168" s="19" t="n"/>
      <c r="E168" s="19" t="n"/>
      <c r="F168" s="19" t="n"/>
      <c r="G168" s="19" t="n"/>
      <c r="H168" s="19" t="n"/>
      <c r="I168" s="19" t="n"/>
      <c r="J168" s="19" t="n"/>
      <c r="K168" s="19" t="n"/>
      <c r="L168" s="35" t="n"/>
      <c r="M168" s="5">
        <f>IF($D168="","",IFERROR(VLOOKUP($H168,Lists!$N$2:$O$6,2,FALSE),0))</f>
        <v/>
      </c>
      <c r="N168" s="5">
        <f>IF($D168="","",IF(OR($E168="Blocked",$E168="Done",$E168="Archive"),-9999,IF(AND($E168="Waiting",SUMPRODUCT((($E$5:$E$500="Next")+($E$5:$E$500="In Progress")+($E$5:$E$500="Captured"))*($D$5:$D$500&lt;&gt;""))&gt;0),-500,VLOOKUP($F168,Lists!$L$2:$M$4,2,FALSE)+IF($E168="In Progress",10,0)+IF(AND($I168&lt;&gt;"",$I168&lt;TODAY()),25,0)+IF(AND($I168&lt;&gt;"",$I168&gt;=TODAY(),$I168&lt;=TODAY()+7),15,0)+IF($H168="",0,IF($M168&lt;=VLOOKUP(Home!$C$7,Lists!$N$2:$O$6,2,FALSE),20,-10))+IF($G168=Home!$E$7,15,IF(Home!$E$7="",0,-5))-ROW()/100000)))</f>
        <v/>
      </c>
      <c r="O168" s="5">
        <f>IF($D168="","",IF($N168&lt;=-500,"Not recommended right now",IF($E168="Waiting","Nothing else actionable right now — Waiting on: "&amp;IF($K168="","this item",$K168),MID($V168,4,9999))))</f>
        <v/>
      </c>
      <c r="P168" s="5">
        <f>IF($D168="","",IF('Task Finder'!$C$6="High Priority",AND($F168="High",$E168&lt;&gt;"Done",$E168&lt;&gt;"Archive"),IF('Task Finder'!$C$6="Due This Week",AND($I168&lt;&gt;"",$I168&gt;=TODAY(),$I168&lt;=TODAY()+7,$E168&lt;&gt;"Done"),IF('Task Finder'!$C$6="Quick Wins (15 mins or less)",AND($M168&lt;=15,$E168&lt;&gt;"Done",$E168&lt;&gt;"Blocked"),IF('Task Finder'!$C$6="Deep Thinking",AND($G168="Deep Thinking",$E168&lt;&gt;"Done"),IF('Task Finder'!$C$6="Processing",AND($G168="Processing",$E168&lt;&gt;"Done"),IF('Task Finder'!$C$6="Blocked",$E168="Blocked",IF('Task Finder'!$C$6="Waiting",$E168="Waiting",IF('Task Finder'!$C$6="Recently Updated",AND($L168&lt;&gt;"",$L168&gt;=TODAY()-7),IF('Task Finder'!$C$6="Keyword",AND('Task Finder'!$C$7&lt;&gt;"",OR(ISNUMBER(SEARCH('Task Finder'!$C$7,$A168)),ISNUMBER(SEARCH('Task Finder'!$C$7,$B168)),ISNUMBER(SEARCH('Task Finder'!$C$7,$C168)),ISNUMBER(SEARCH('Task Finder'!$C$7,$D168)),ISNUMBER(SEARCH('Task Finder'!$C$7,$K168)))),TRUE))))))))))</f>
        <v/>
      </c>
      <c r="Q168" s="150">
        <f>IF($F168="High","High Priority","")</f>
        <v/>
      </c>
      <c r="R168" s="150">
        <f>IF(AND($I168&lt;&gt;"",$I168&lt;TODAY()),"Overdue","")</f>
        <v/>
      </c>
      <c r="S168" s="150">
        <f>IF(AND($I168&lt;&gt;"",$I168&gt;=TODAY(),$I168&lt;=TODAY()+7),"Due This Week","")</f>
        <v/>
      </c>
      <c r="T168" s="150">
        <f>IF(AND($H168&lt;&gt;"",$M168&lt;=VLOOKUP(Home!$C$7,Lists!$N$2:$O$6,2,FALSE)),$H168&amp;" Task","")</f>
        <v/>
      </c>
      <c r="U168" s="150">
        <f>IF($G168=Home!$E$7,"Fits Current Energy","")</f>
        <v/>
      </c>
      <c r="V168" s="150">
        <f>IF($Q168&lt;&gt;""," • "&amp;$Q168,"")&amp;IF($R168&lt;&gt;""," • "&amp;$R168,"")&amp;IF($S168&lt;&gt;""," • "&amp;$S168,"")&amp;IF($T168&lt;&gt;""," • "&amp;$T168,"")&amp;IF($U168&lt;&gt;""," • "&amp;$U168,"")&amp;" • No Blockers"</f>
        <v/>
      </c>
    </row>
    <row r="169">
      <c r="A169" s="19" t="n"/>
      <c r="B169" s="19" t="n"/>
      <c r="C169" s="19" t="n"/>
      <c r="D169" s="19" t="n"/>
      <c r="E169" s="19" t="n"/>
      <c r="F169" s="19" t="n"/>
      <c r="G169" s="19" t="n"/>
      <c r="H169" s="19" t="n"/>
      <c r="I169" s="19" t="n"/>
      <c r="J169" s="19" t="n"/>
      <c r="K169" s="19" t="n"/>
      <c r="L169" s="35" t="n"/>
      <c r="M169" s="5">
        <f>IF($D169="","",IFERROR(VLOOKUP($H169,Lists!$N$2:$O$6,2,FALSE),0))</f>
        <v/>
      </c>
      <c r="N169" s="5">
        <f>IF($D169="","",IF(OR($E169="Blocked",$E169="Done",$E169="Archive"),-9999,IF(AND($E169="Waiting",SUMPRODUCT((($E$5:$E$500="Next")+($E$5:$E$500="In Progress")+($E$5:$E$500="Captured"))*($D$5:$D$500&lt;&gt;""))&gt;0),-500,VLOOKUP($F169,Lists!$L$2:$M$4,2,FALSE)+IF($E169="In Progress",10,0)+IF(AND($I169&lt;&gt;"",$I169&lt;TODAY()),25,0)+IF(AND($I169&lt;&gt;"",$I169&gt;=TODAY(),$I169&lt;=TODAY()+7),15,0)+IF($H169="",0,IF($M169&lt;=VLOOKUP(Home!$C$7,Lists!$N$2:$O$6,2,FALSE),20,-10))+IF($G169=Home!$E$7,15,IF(Home!$E$7="",0,-5))-ROW()/100000)))</f>
        <v/>
      </c>
      <c r="O169" s="5">
        <f>IF($D169="","",IF($N169&lt;=-500,"Not recommended right now",IF($E169="Waiting","Nothing else actionable right now — Waiting on: "&amp;IF($K169="","this item",$K169),MID($V169,4,9999))))</f>
        <v/>
      </c>
      <c r="P169" s="5">
        <f>IF($D169="","",IF('Task Finder'!$C$6="High Priority",AND($F169="High",$E169&lt;&gt;"Done",$E169&lt;&gt;"Archive"),IF('Task Finder'!$C$6="Due This Week",AND($I169&lt;&gt;"",$I169&gt;=TODAY(),$I169&lt;=TODAY()+7,$E169&lt;&gt;"Done"),IF('Task Finder'!$C$6="Quick Wins (15 mins or less)",AND($M169&lt;=15,$E169&lt;&gt;"Done",$E169&lt;&gt;"Blocked"),IF('Task Finder'!$C$6="Deep Thinking",AND($G169="Deep Thinking",$E169&lt;&gt;"Done"),IF('Task Finder'!$C$6="Processing",AND($G169="Processing",$E169&lt;&gt;"Done"),IF('Task Finder'!$C$6="Blocked",$E169="Blocked",IF('Task Finder'!$C$6="Waiting",$E169="Waiting",IF('Task Finder'!$C$6="Recently Updated",AND($L169&lt;&gt;"",$L169&gt;=TODAY()-7),IF('Task Finder'!$C$6="Keyword",AND('Task Finder'!$C$7&lt;&gt;"",OR(ISNUMBER(SEARCH('Task Finder'!$C$7,$A169)),ISNUMBER(SEARCH('Task Finder'!$C$7,$B169)),ISNUMBER(SEARCH('Task Finder'!$C$7,$C169)),ISNUMBER(SEARCH('Task Finder'!$C$7,$D169)),ISNUMBER(SEARCH('Task Finder'!$C$7,$K169)))),TRUE))))))))))</f>
        <v/>
      </c>
      <c r="Q169" s="150">
        <f>IF($F169="High","High Priority","")</f>
        <v/>
      </c>
      <c r="R169" s="150">
        <f>IF(AND($I169&lt;&gt;"",$I169&lt;TODAY()),"Overdue","")</f>
        <v/>
      </c>
      <c r="S169" s="150">
        <f>IF(AND($I169&lt;&gt;"",$I169&gt;=TODAY(),$I169&lt;=TODAY()+7),"Due This Week","")</f>
        <v/>
      </c>
      <c r="T169" s="150">
        <f>IF(AND($H169&lt;&gt;"",$M169&lt;=VLOOKUP(Home!$C$7,Lists!$N$2:$O$6,2,FALSE)),$H169&amp;" Task","")</f>
        <v/>
      </c>
      <c r="U169" s="150">
        <f>IF($G169=Home!$E$7,"Fits Current Energy","")</f>
        <v/>
      </c>
      <c r="V169" s="150">
        <f>IF($Q169&lt;&gt;""," • "&amp;$Q169,"")&amp;IF($R169&lt;&gt;""," • "&amp;$R169,"")&amp;IF($S169&lt;&gt;""," • "&amp;$S169,"")&amp;IF($T169&lt;&gt;""," • "&amp;$T169,"")&amp;IF($U169&lt;&gt;""," • "&amp;$U169,"")&amp;" • No Blockers"</f>
        <v/>
      </c>
    </row>
    <row r="170">
      <c r="A170" s="19" t="n"/>
      <c r="B170" s="19" t="n"/>
      <c r="C170" s="19" t="n"/>
      <c r="D170" s="19" t="n"/>
      <c r="E170" s="19" t="n"/>
      <c r="F170" s="19" t="n"/>
      <c r="G170" s="19" t="n"/>
      <c r="H170" s="19" t="n"/>
      <c r="I170" s="19" t="n"/>
      <c r="J170" s="19" t="n"/>
      <c r="K170" s="19" t="n"/>
      <c r="L170" s="35" t="n"/>
      <c r="M170" s="5">
        <f>IF($D170="","",IFERROR(VLOOKUP($H170,Lists!$N$2:$O$6,2,FALSE),0))</f>
        <v/>
      </c>
      <c r="N170" s="5">
        <f>IF($D170="","",IF(OR($E170="Blocked",$E170="Done",$E170="Archive"),-9999,IF(AND($E170="Waiting",SUMPRODUCT((($E$5:$E$500="Next")+($E$5:$E$500="In Progress")+($E$5:$E$500="Captured"))*($D$5:$D$500&lt;&gt;""))&gt;0),-500,VLOOKUP($F170,Lists!$L$2:$M$4,2,FALSE)+IF($E170="In Progress",10,0)+IF(AND($I170&lt;&gt;"",$I170&lt;TODAY()),25,0)+IF(AND($I170&lt;&gt;"",$I170&gt;=TODAY(),$I170&lt;=TODAY()+7),15,0)+IF($H170="",0,IF($M170&lt;=VLOOKUP(Home!$C$7,Lists!$N$2:$O$6,2,FALSE),20,-10))+IF($G170=Home!$E$7,15,IF(Home!$E$7="",0,-5))-ROW()/100000)))</f>
        <v/>
      </c>
      <c r="O170" s="5">
        <f>IF($D170="","",IF($N170&lt;=-500,"Not recommended right now",IF($E170="Waiting","Nothing else actionable right now — Waiting on: "&amp;IF($K170="","this item",$K170),MID($V170,4,9999))))</f>
        <v/>
      </c>
      <c r="P170" s="5">
        <f>IF($D170="","",IF('Task Finder'!$C$6="High Priority",AND($F170="High",$E170&lt;&gt;"Done",$E170&lt;&gt;"Archive"),IF('Task Finder'!$C$6="Due This Week",AND($I170&lt;&gt;"",$I170&gt;=TODAY(),$I170&lt;=TODAY()+7,$E170&lt;&gt;"Done"),IF('Task Finder'!$C$6="Quick Wins (15 mins or less)",AND($M170&lt;=15,$E170&lt;&gt;"Done",$E170&lt;&gt;"Blocked"),IF('Task Finder'!$C$6="Deep Thinking",AND($G170="Deep Thinking",$E170&lt;&gt;"Done"),IF('Task Finder'!$C$6="Processing",AND($G170="Processing",$E170&lt;&gt;"Done"),IF('Task Finder'!$C$6="Blocked",$E170="Blocked",IF('Task Finder'!$C$6="Waiting",$E170="Waiting",IF('Task Finder'!$C$6="Recently Updated",AND($L170&lt;&gt;"",$L170&gt;=TODAY()-7),IF('Task Finder'!$C$6="Keyword",AND('Task Finder'!$C$7&lt;&gt;"",OR(ISNUMBER(SEARCH('Task Finder'!$C$7,$A170)),ISNUMBER(SEARCH('Task Finder'!$C$7,$B170)),ISNUMBER(SEARCH('Task Finder'!$C$7,$C170)),ISNUMBER(SEARCH('Task Finder'!$C$7,$D170)),ISNUMBER(SEARCH('Task Finder'!$C$7,$K170)))),TRUE))))))))))</f>
        <v/>
      </c>
      <c r="Q170" s="150">
        <f>IF($F170="High","High Priority","")</f>
        <v/>
      </c>
      <c r="R170" s="150">
        <f>IF(AND($I170&lt;&gt;"",$I170&lt;TODAY()),"Overdue","")</f>
        <v/>
      </c>
      <c r="S170" s="150">
        <f>IF(AND($I170&lt;&gt;"",$I170&gt;=TODAY(),$I170&lt;=TODAY()+7),"Due This Week","")</f>
        <v/>
      </c>
      <c r="T170" s="150">
        <f>IF(AND($H170&lt;&gt;"",$M170&lt;=VLOOKUP(Home!$C$7,Lists!$N$2:$O$6,2,FALSE)),$H170&amp;" Task","")</f>
        <v/>
      </c>
      <c r="U170" s="150">
        <f>IF($G170=Home!$E$7,"Fits Current Energy","")</f>
        <v/>
      </c>
      <c r="V170" s="150">
        <f>IF($Q170&lt;&gt;""," • "&amp;$Q170,"")&amp;IF($R170&lt;&gt;""," • "&amp;$R170,"")&amp;IF($S170&lt;&gt;""," • "&amp;$S170,"")&amp;IF($T170&lt;&gt;""," • "&amp;$T170,"")&amp;IF($U170&lt;&gt;""," • "&amp;$U170,"")&amp;" • No Blockers"</f>
        <v/>
      </c>
    </row>
    <row r="171">
      <c r="A171" s="19" t="n"/>
      <c r="B171" s="19" t="n"/>
      <c r="C171" s="19" t="n"/>
      <c r="D171" s="19" t="n"/>
      <c r="E171" s="19" t="n"/>
      <c r="F171" s="19" t="n"/>
      <c r="G171" s="19" t="n"/>
      <c r="H171" s="19" t="n"/>
      <c r="I171" s="19" t="n"/>
      <c r="J171" s="19" t="n"/>
      <c r="K171" s="19" t="n"/>
      <c r="L171" s="35" t="n"/>
      <c r="M171" s="5">
        <f>IF($D171="","",IFERROR(VLOOKUP($H171,Lists!$N$2:$O$6,2,FALSE),0))</f>
        <v/>
      </c>
      <c r="N171" s="5">
        <f>IF($D171="","",IF(OR($E171="Blocked",$E171="Done",$E171="Archive"),-9999,IF(AND($E171="Waiting",SUMPRODUCT((($E$5:$E$500="Next")+($E$5:$E$500="In Progress")+($E$5:$E$500="Captured"))*($D$5:$D$500&lt;&gt;""))&gt;0),-500,VLOOKUP($F171,Lists!$L$2:$M$4,2,FALSE)+IF($E171="In Progress",10,0)+IF(AND($I171&lt;&gt;"",$I171&lt;TODAY()),25,0)+IF(AND($I171&lt;&gt;"",$I171&gt;=TODAY(),$I171&lt;=TODAY()+7),15,0)+IF($H171="",0,IF($M171&lt;=VLOOKUP(Home!$C$7,Lists!$N$2:$O$6,2,FALSE),20,-10))+IF($G171=Home!$E$7,15,IF(Home!$E$7="",0,-5))-ROW()/100000)))</f>
        <v/>
      </c>
      <c r="O171" s="5">
        <f>IF($D171="","",IF($N171&lt;=-500,"Not recommended right now",IF($E171="Waiting","Nothing else actionable right now — Waiting on: "&amp;IF($K171="","this item",$K171),MID($V171,4,9999))))</f>
        <v/>
      </c>
      <c r="P171" s="5">
        <f>IF($D171="","",IF('Task Finder'!$C$6="High Priority",AND($F171="High",$E171&lt;&gt;"Done",$E171&lt;&gt;"Archive"),IF('Task Finder'!$C$6="Due This Week",AND($I171&lt;&gt;"",$I171&gt;=TODAY(),$I171&lt;=TODAY()+7,$E171&lt;&gt;"Done"),IF('Task Finder'!$C$6="Quick Wins (15 mins or less)",AND($M171&lt;=15,$E171&lt;&gt;"Done",$E171&lt;&gt;"Blocked"),IF('Task Finder'!$C$6="Deep Thinking",AND($G171="Deep Thinking",$E171&lt;&gt;"Done"),IF('Task Finder'!$C$6="Processing",AND($G171="Processing",$E171&lt;&gt;"Done"),IF('Task Finder'!$C$6="Blocked",$E171="Blocked",IF('Task Finder'!$C$6="Waiting",$E171="Waiting",IF('Task Finder'!$C$6="Recently Updated",AND($L171&lt;&gt;"",$L171&gt;=TODAY()-7),IF('Task Finder'!$C$6="Keyword",AND('Task Finder'!$C$7&lt;&gt;"",OR(ISNUMBER(SEARCH('Task Finder'!$C$7,$A171)),ISNUMBER(SEARCH('Task Finder'!$C$7,$B171)),ISNUMBER(SEARCH('Task Finder'!$C$7,$C171)),ISNUMBER(SEARCH('Task Finder'!$C$7,$D171)),ISNUMBER(SEARCH('Task Finder'!$C$7,$K171)))),TRUE))))))))))</f>
        <v/>
      </c>
      <c r="Q171" s="150">
        <f>IF($F171="High","High Priority","")</f>
        <v/>
      </c>
      <c r="R171" s="150">
        <f>IF(AND($I171&lt;&gt;"",$I171&lt;TODAY()),"Overdue","")</f>
        <v/>
      </c>
      <c r="S171" s="150">
        <f>IF(AND($I171&lt;&gt;"",$I171&gt;=TODAY(),$I171&lt;=TODAY()+7),"Due This Week","")</f>
        <v/>
      </c>
      <c r="T171" s="150">
        <f>IF(AND($H171&lt;&gt;"",$M171&lt;=VLOOKUP(Home!$C$7,Lists!$N$2:$O$6,2,FALSE)),$H171&amp;" Task","")</f>
        <v/>
      </c>
      <c r="U171" s="150">
        <f>IF($G171=Home!$E$7,"Fits Current Energy","")</f>
        <v/>
      </c>
      <c r="V171" s="150">
        <f>IF($Q171&lt;&gt;""," • "&amp;$Q171,"")&amp;IF($R171&lt;&gt;""," • "&amp;$R171,"")&amp;IF($S171&lt;&gt;""," • "&amp;$S171,"")&amp;IF($T171&lt;&gt;""," • "&amp;$T171,"")&amp;IF($U171&lt;&gt;""," • "&amp;$U171,"")&amp;" • No Blockers"</f>
        <v/>
      </c>
    </row>
    <row r="172">
      <c r="A172" s="19" t="n"/>
      <c r="B172" s="19" t="n"/>
      <c r="C172" s="19" t="n"/>
      <c r="D172" s="19" t="n"/>
      <c r="E172" s="19" t="n"/>
      <c r="F172" s="19" t="n"/>
      <c r="G172" s="19" t="n"/>
      <c r="H172" s="19" t="n"/>
      <c r="I172" s="19" t="n"/>
      <c r="J172" s="19" t="n"/>
      <c r="K172" s="19" t="n"/>
      <c r="L172" s="35" t="n"/>
      <c r="M172" s="5">
        <f>IF($D172="","",IFERROR(VLOOKUP($H172,Lists!$N$2:$O$6,2,FALSE),0))</f>
        <v/>
      </c>
      <c r="N172" s="5">
        <f>IF($D172="","",IF(OR($E172="Blocked",$E172="Done",$E172="Archive"),-9999,IF(AND($E172="Waiting",SUMPRODUCT((($E$5:$E$500="Next")+($E$5:$E$500="In Progress")+($E$5:$E$500="Captured"))*($D$5:$D$500&lt;&gt;""))&gt;0),-500,VLOOKUP($F172,Lists!$L$2:$M$4,2,FALSE)+IF($E172="In Progress",10,0)+IF(AND($I172&lt;&gt;"",$I172&lt;TODAY()),25,0)+IF(AND($I172&lt;&gt;"",$I172&gt;=TODAY(),$I172&lt;=TODAY()+7),15,0)+IF($H172="",0,IF($M172&lt;=VLOOKUP(Home!$C$7,Lists!$N$2:$O$6,2,FALSE),20,-10))+IF($G172=Home!$E$7,15,IF(Home!$E$7="",0,-5))-ROW()/100000)))</f>
        <v/>
      </c>
      <c r="O172" s="5">
        <f>IF($D172="","",IF($N172&lt;=-500,"Not recommended right now",IF($E172="Waiting","Nothing else actionable right now — Waiting on: "&amp;IF($K172="","this item",$K172),MID($V172,4,9999))))</f>
        <v/>
      </c>
      <c r="P172" s="5">
        <f>IF($D172="","",IF('Task Finder'!$C$6="High Priority",AND($F172="High",$E172&lt;&gt;"Done",$E172&lt;&gt;"Archive"),IF('Task Finder'!$C$6="Due This Week",AND($I172&lt;&gt;"",$I172&gt;=TODAY(),$I172&lt;=TODAY()+7,$E172&lt;&gt;"Done"),IF('Task Finder'!$C$6="Quick Wins (15 mins or less)",AND($M172&lt;=15,$E172&lt;&gt;"Done",$E172&lt;&gt;"Blocked"),IF('Task Finder'!$C$6="Deep Thinking",AND($G172="Deep Thinking",$E172&lt;&gt;"Done"),IF('Task Finder'!$C$6="Processing",AND($G172="Processing",$E172&lt;&gt;"Done"),IF('Task Finder'!$C$6="Blocked",$E172="Blocked",IF('Task Finder'!$C$6="Waiting",$E172="Waiting",IF('Task Finder'!$C$6="Recently Updated",AND($L172&lt;&gt;"",$L172&gt;=TODAY()-7),IF('Task Finder'!$C$6="Keyword",AND('Task Finder'!$C$7&lt;&gt;"",OR(ISNUMBER(SEARCH('Task Finder'!$C$7,$A172)),ISNUMBER(SEARCH('Task Finder'!$C$7,$B172)),ISNUMBER(SEARCH('Task Finder'!$C$7,$C172)),ISNUMBER(SEARCH('Task Finder'!$C$7,$D172)),ISNUMBER(SEARCH('Task Finder'!$C$7,$K172)))),TRUE))))))))))</f>
        <v/>
      </c>
      <c r="Q172" s="150">
        <f>IF($F172="High","High Priority","")</f>
        <v/>
      </c>
      <c r="R172" s="150">
        <f>IF(AND($I172&lt;&gt;"",$I172&lt;TODAY()),"Overdue","")</f>
        <v/>
      </c>
      <c r="S172" s="150">
        <f>IF(AND($I172&lt;&gt;"",$I172&gt;=TODAY(),$I172&lt;=TODAY()+7),"Due This Week","")</f>
        <v/>
      </c>
      <c r="T172" s="150">
        <f>IF(AND($H172&lt;&gt;"",$M172&lt;=VLOOKUP(Home!$C$7,Lists!$N$2:$O$6,2,FALSE)),$H172&amp;" Task","")</f>
        <v/>
      </c>
      <c r="U172" s="150">
        <f>IF($G172=Home!$E$7,"Fits Current Energy","")</f>
        <v/>
      </c>
      <c r="V172" s="150">
        <f>IF($Q172&lt;&gt;""," • "&amp;$Q172,"")&amp;IF($R172&lt;&gt;""," • "&amp;$R172,"")&amp;IF($S172&lt;&gt;""," • "&amp;$S172,"")&amp;IF($T172&lt;&gt;""," • "&amp;$T172,"")&amp;IF($U172&lt;&gt;""," • "&amp;$U172,"")&amp;" • No Blockers"</f>
        <v/>
      </c>
    </row>
    <row r="173">
      <c r="A173" s="19" t="n"/>
      <c r="B173" s="19" t="n"/>
      <c r="C173" s="19" t="n"/>
      <c r="D173" s="19" t="n"/>
      <c r="E173" s="19" t="n"/>
      <c r="F173" s="19" t="n"/>
      <c r="G173" s="19" t="n"/>
      <c r="H173" s="19" t="n"/>
      <c r="I173" s="19" t="n"/>
      <c r="J173" s="19" t="n"/>
      <c r="K173" s="19" t="n"/>
      <c r="L173" s="35" t="n"/>
      <c r="M173" s="5">
        <f>IF($D173="","",IFERROR(VLOOKUP($H173,Lists!$N$2:$O$6,2,FALSE),0))</f>
        <v/>
      </c>
      <c r="N173" s="5">
        <f>IF($D173="","",IF(OR($E173="Blocked",$E173="Done",$E173="Archive"),-9999,IF(AND($E173="Waiting",SUMPRODUCT((($E$5:$E$500="Next")+($E$5:$E$500="In Progress")+($E$5:$E$500="Captured"))*($D$5:$D$500&lt;&gt;""))&gt;0),-500,VLOOKUP($F173,Lists!$L$2:$M$4,2,FALSE)+IF($E173="In Progress",10,0)+IF(AND($I173&lt;&gt;"",$I173&lt;TODAY()),25,0)+IF(AND($I173&lt;&gt;"",$I173&gt;=TODAY(),$I173&lt;=TODAY()+7),15,0)+IF($H173="",0,IF($M173&lt;=VLOOKUP(Home!$C$7,Lists!$N$2:$O$6,2,FALSE),20,-10))+IF($G173=Home!$E$7,15,IF(Home!$E$7="",0,-5))-ROW()/100000)))</f>
        <v/>
      </c>
      <c r="O173" s="5">
        <f>IF($D173="","",IF($N173&lt;=-500,"Not recommended right now",IF($E173="Waiting","Nothing else actionable right now — Waiting on: "&amp;IF($K173="","this item",$K173),MID($V173,4,9999))))</f>
        <v/>
      </c>
      <c r="P173" s="5">
        <f>IF($D173="","",IF('Task Finder'!$C$6="High Priority",AND($F173="High",$E173&lt;&gt;"Done",$E173&lt;&gt;"Archive"),IF('Task Finder'!$C$6="Due This Week",AND($I173&lt;&gt;"",$I173&gt;=TODAY(),$I173&lt;=TODAY()+7,$E173&lt;&gt;"Done"),IF('Task Finder'!$C$6="Quick Wins (15 mins or less)",AND($M173&lt;=15,$E173&lt;&gt;"Done",$E173&lt;&gt;"Blocked"),IF('Task Finder'!$C$6="Deep Thinking",AND($G173="Deep Thinking",$E173&lt;&gt;"Done"),IF('Task Finder'!$C$6="Processing",AND($G173="Processing",$E173&lt;&gt;"Done"),IF('Task Finder'!$C$6="Blocked",$E173="Blocked",IF('Task Finder'!$C$6="Waiting",$E173="Waiting",IF('Task Finder'!$C$6="Recently Updated",AND($L173&lt;&gt;"",$L173&gt;=TODAY()-7),IF('Task Finder'!$C$6="Keyword",AND('Task Finder'!$C$7&lt;&gt;"",OR(ISNUMBER(SEARCH('Task Finder'!$C$7,$A173)),ISNUMBER(SEARCH('Task Finder'!$C$7,$B173)),ISNUMBER(SEARCH('Task Finder'!$C$7,$C173)),ISNUMBER(SEARCH('Task Finder'!$C$7,$D173)),ISNUMBER(SEARCH('Task Finder'!$C$7,$K173)))),TRUE))))))))))</f>
        <v/>
      </c>
      <c r="Q173" s="150">
        <f>IF($F173="High","High Priority","")</f>
        <v/>
      </c>
      <c r="R173" s="150">
        <f>IF(AND($I173&lt;&gt;"",$I173&lt;TODAY()),"Overdue","")</f>
        <v/>
      </c>
      <c r="S173" s="150">
        <f>IF(AND($I173&lt;&gt;"",$I173&gt;=TODAY(),$I173&lt;=TODAY()+7),"Due This Week","")</f>
        <v/>
      </c>
      <c r="T173" s="150">
        <f>IF(AND($H173&lt;&gt;"",$M173&lt;=VLOOKUP(Home!$C$7,Lists!$N$2:$O$6,2,FALSE)),$H173&amp;" Task","")</f>
        <v/>
      </c>
      <c r="U173" s="150">
        <f>IF($G173=Home!$E$7,"Fits Current Energy","")</f>
        <v/>
      </c>
      <c r="V173" s="150">
        <f>IF($Q173&lt;&gt;""," • "&amp;$Q173,"")&amp;IF($R173&lt;&gt;""," • "&amp;$R173,"")&amp;IF($S173&lt;&gt;""," • "&amp;$S173,"")&amp;IF($T173&lt;&gt;""," • "&amp;$T173,"")&amp;IF($U173&lt;&gt;""," • "&amp;$U173,"")&amp;" • No Blockers"</f>
        <v/>
      </c>
    </row>
    <row r="174">
      <c r="A174" s="19" t="n"/>
      <c r="B174" s="19" t="n"/>
      <c r="C174" s="19" t="n"/>
      <c r="D174" s="19" t="n"/>
      <c r="E174" s="19" t="n"/>
      <c r="F174" s="19" t="n"/>
      <c r="G174" s="19" t="n"/>
      <c r="H174" s="19" t="n"/>
      <c r="I174" s="19" t="n"/>
      <c r="J174" s="19" t="n"/>
      <c r="K174" s="19" t="n"/>
      <c r="L174" s="35" t="n"/>
      <c r="M174" s="5">
        <f>IF($D174="","",IFERROR(VLOOKUP($H174,Lists!$N$2:$O$6,2,FALSE),0))</f>
        <v/>
      </c>
      <c r="N174" s="5">
        <f>IF($D174="","",IF(OR($E174="Blocked",$E174="Done",$E174="Archive"),-9999,IF(AND($E174="Waiting",SUMPRODUCT((($E$5:$E$500="Next")+($E$5:$E$500="In Progress")+($E$5:$E$500="Captured"))*($D$5:$D$500&lt;&gt;""))&gt;0),-500,VLOOKUP($F174,Lists!$L$2:$M$4,2,FALSE)+IF($E174="In Progress",10,0)+IF(AND($I174&lt;&gt;"",$I174&lt;TODAY()),25,0)+IF(AND($I174&lt;&gt;"",$I174&gt;=TODAY(),$I174&lt;=TODAY()+7),15,0)+IF($H174="",0,IF($M174&lt;=VLOOKUP(Home!$C$7,Lists!$N$2:$O$6,2,FALSE),20,-10))+IF($G174=Home!$E$7,15,IF(Home!$E$7="",0,-5))-ROW()/100000)))</f>
        <v/>
      </c>
      <c r="O174" s="5">
        <f>IF($D174="","",IF($N174&lt;=-500,"Not recommended right now",IF($E174="Waiting","Nothing else actionable right now — Waiting on: "&amp;IF($K174="","this item",$K174),MID($V174,4,9999))))</f>
        <v/>
      </c>
      <c r="P174" s="5">
        <f>IF($D174="","",IF('Task Finder'!$C$6="High Priority",AND($F174="High",$E174&lt;&gt;"Done",$E174&lt;&gt;"Archive"),IF('Task Finder'!$C$6="Due This Week",AND($I174&lt;&gt;"",$I174&gt;=TODAY(),$I174&lt;=TODAY()+7,$E174&lt;&gt;"Done"),IF('Task Finder'!$C$6="Quick Wins (15 mins or less)",AND($M174&lt;=15,$E174&lt;&gt;"Done",$E174&lt;&gt;"Blocked"),IF('Task Finder'!$C$6="Deep Thinking",AND($G174="Deep Thinking",$E174&lt;&gt;"Done"),IF('Task Finder'!$C$6="Processing",AND($G174="Processing",$E174&lt;&gt;"Done"),IF('Task Finder'!$C$6="Blocked",$E174="Blocked",IF('Task Finder'!$C$6="Waiting",$E174="Waiting",IF('Task Finder'!$C$6="Recently Updated",AND($L174&lt;&gt;"",$L174&gt;=TODAY()-7),IF('Task Finder'!$C$6="Keyword",AND('Task Finder'!$C$7&lt;&gt;"",OR(ISNUMBER(SEARCH('Task Finder'!$C$7,$A174)),ISNUMBER(SEARCH('Task Finder'!$C$7,$B174)),ISNUMBER(SEARCH('Task Finder'!$C$7,$C174)),ISNUMBER(SEARCH('Task Finder'!$C$7,$D174)),ISNUMBER(SEARCH('Task Finder'!$C$7,$K174)))),TRUE))))))))))</f>
        <v/>
      </c>
      <c r="Q174" s="150">
        <f>IF($F174="High","High Priority","")</f>
        <v/>
      </c>
      <c r="R174" s="150">
        <f>IF(AND($I174&lt;&gt;"",$I174&lt;TODAY()),"Overdue","")</f>
        <v/>
      </c>
      <c r="S174" s="150">
        <f>IF(AND($I174&lt;&gt;"",$I174&gt;=TODAY(),$I174&lt;=TODAY()+7),"Due This Week","")</f>
        <v/>
      </c>
      <c r="T174" s="150">
        <f>IF(AND($H174&lt;&gt;"",$M174&lt;=VLOOKUP(Home!$C$7,Lists!$N$2:$O$6,2,FALSE)),$H174&amp;" Task","")</f>
        <v/>
      </c>
      <c r="U174" s="150">
        <f>IF($G174=Home!$E$7,"Fits Current Energy","")</f>
        <v/>
      </c>
      <c r="V174" s="150">
        <f>IF($Q174&lt;&gt;""," • "&amp;$Q174,"")&amp;IF($R174&lt;&gt;""," • "&amp;$R174,"")&amp;IF($S174&lt;&gt;""," • "&amp;$S174,"")&amp;IF($T174&lt;&gt;""," • "&amp;$T174,"")&amp;IF($U174&lt;&gt;""," • "&amp;$U174,"")&amp;" • No Blockers"</f>
        <v/>
      </c>
    </row>
    <row r="175">
      <c r="A175" s="19" t="n"/>
      <c r="B175" s="19" t="n"/>
      <c r="C175" s="19" t="n"/>
      <c r="D175" s="19" t="n"/>
      <c r="E175" s="19" t="n"/>
      <c r="F175" s="19" t="n"/>
      <c r="G175" s="19" t="n"/>
      <c r="H175" s="19" t="n"/>
      <c r="I175" s="19" t="n"/>
      <c r="J175" s="19" t="n"/>
      <c r="K175" s="19" t="n"/>
      <c r="L175" s="35" t="n"/>
      <c r="M175" s="5">
        <f>IF($D175="","",IFERROR(VLOOKUP($H175,Lists!$N$2:$O$6,2,FALSE),0))</f>
        <v/>
      </c>
      <c r="N175" s="5">
        <f>IF($D175="","",IF(OR($E175="Blocked",$E175="Done",$E175="Archive"),-9999,IF(AND($E175="Waiting",SUMPRODUCT((($E$5:$E$500="Next")+($E$5:$E$500="In Progress")+($E$5:$E$500="Captured"))*($D$5:$D$500&lt;&gt;""))&gt;0),-500,VLOOKUP($F175,Lists!$L$2:$M$4,2,FALSE)+IF($E175="In Progress",10,0)+IF(AND($I175&lt;&gt;"",$I175&lt;TODAY()),25,0)+IF(AND($I175&lt;&gt;"",$I175&gt;=TODAY(),$I175&lt;=TODAY()+7),15,0)+IF($H175="",0,IF($M175&lt;=VLOOKUP(Home!$C$7,Lists!$N$2:$O$6,2,FALSE),20,-10))+IF($G175=Home!$E$7,15,IF(Home!$E$7="",0,-5))-ROW()/100000)))</f>
        <v/>
      </c>
      <c r="O175" s="5">
        <f>IF($D175="","",IF($N175&lt;=-500,"Not recommended right now",IF($E175="Waiting","Nothing else actionable right now — Waiting on: "&amp;IF($K175="","this item",$K175),MID($V175,4,9999))))</f>
        <v/>
      </c>
      <c r="P175" s="5">
        <f>IF($D175="","",IF('Task Finder'!$C$6="High Priority",AND($F175="High",$E175&lt;&gt;"Done",$E175&lt;&gt;"Archive"),IF('Task Finder'!$C$6="Due This Week",AND($I175&lt;&gt;"",$I175&gt;=TODAY(),$I175&lt;=TODAY()+7,$E175&lt;&gt;"Done"),IF('Task Finder'!$C$6="Quick Wins (15 mins or less)",AND($M175&lt;=15,$E175&lt;&gt;"Done",$E175&lt;&gt;"Blocked"),IF('Task Finder'!$C$6="Deep Thinking",AND($G175="Deep Thinking",$E175&lt;&gt;"Done"),IF('Task Finder'!$C$6="Processing",AND($G175="Processing",$E175&lt;&gt;"Done"),IF('Task Finder'!$C$6="Blocked",$E175="Blocked",IF('Task Finder'!$C$6="Waiting",$E175="Waiting",IF('Task Finder'!$C$6="Recently Updated",AND($L175&lt;&gt;"",$L175&gt;=TODAY()-7),IF('Task Finder'!$C$6="Keyword",AND('Task Finder'!$C$7&lt;&gt;"",OR(ISNUMBER(SEARCH('Task Finder'!$C$7,$A175)),ISNUMBER(SEARCH('Task Finder'!$C$7,$B175)),ISNUMBER(SEARCH('Task Finder'!$C$7,$C175)),ISNUMBER(SEARCH('Task Finder'!$C$7,$D175)),ISNUMBER(SEARCH('Task Finder'!$C$7,$K175)))),TRUE))))))))))</f>
        <v/>
      </c>
      <c r="Q175" s="150">
        <f>IF($F175="High","High Priority","")</f>
        <v/>
      </c>
      <c r="R175" s="150">
        <f>IF(AND($I175&lt;&gt;"",$I175&lt;TODAY()),"Overdue","")</f>
        <v/>
      </c>
      <c r="S175" s="150">
        <f>IF(AND($I175&lt;&gt;"",$I175&gt;=TODAY(),$I175&lt;=TODAY()+7),"Due This Week","")</f>
        <v/>
      </c>
      <c r="T175" s="150">
        <f>IF(AND($H175&lt;&gt;"",$M175&lt;=VLOOKUP(Home!$C$7,Lists!$N$2:$O$6,2,FALSE)),$H175&amp;" Task","")</f>
        <v/>
      </c>
      <c r="U175" s="150">
        <f>IF($G175=Home!$E$7,"Fits Current Energy","")</f>
        <v/>
      </c>
      <c r="V175" s="150">
        <f>IF($Q175&lt;&gt;""," • "&amp;$Q175,"")&amp;IF($R175&lt;&gt;""," • "&amp;$R175,"")&amp;IF($S175&lt;&gt;""," • "&amp;$S175,"")&amp;IF($T175&lt;&gt;""," • "&amp;$T175,"")&amp;IF($U175&lt;&gt;""," • "&amp;$U175,"")&amp;" • No Blockers"</f>
        <v/>
      </c>
    </row>
    <row r="176">
      <c r="A176" s="19" t="n"/>
      <c r="B176" s="19" t="n"/>
      <c r="C176" s="19" t="n"/>
      <c r="D176" s="19" t="n"/>
      <c r="E176" s="19" t="n"/>
      <c r="F176" s="19" t="n"/>
      <c r="G176" s="19" t="n"/>
      <c r="H176" s="19" t="n"/>
      <c r="I176" s="19" t="n"/>
      <c r="J176" s="19" t="n"/>
      <c r="K176" s="19" t="n"/>
      <c r="L176" s="35" t="n"/>
      <c r="M176" s="5">
        <f>IF($D176="","",IFERROR(VLOOKUP($H176,Lists!$N$2:$O$6,2,FALSE),0))</f>
        <v/>
      </c>
      <c r="N176" s="5">
        <f>IF($D176="","",IF(OR($E176="Blocked",$E176="Done",$E176="Archive"),-9999,IF(AND($E176="Waiting",SUMPRODUCT((($E$5:$E$500="Next")+($E$5:$E$500="In Progress")+($E$5:$E$500="Captured"))*($D$5:$D$500&lt;&gt;""))&gt;0),-500,VLOOKUP($F176,Lists!$L$2:$M$4,2,FALSE)+IF($E176="In Progress",10,0)+IF(AND($I176&lt;&gt;"",$I176&lt;TODAY()),25,0)+IF(AND($I176&lt;&gt;"",$I176&gt;=TODAY(),$I176&lt;=TODAY()+7),15,0)+IF($H176="",0,IF($M176&lt;=VLOOKUP(Home!$C$7,Lists!$N$2:$O$6,2,FALSE),20,-10))+IF($G176=Home!$E$7,15,IF(Home!$E$7="",0,-5))-ROW()/100000)))</f>
        <v/>
      </c>
      <c r="O176" s="5">
        <f>IF($D176="","",IF($N176&lt;=-500,"Not recommended right now",IF($E176="Waiting","Nothing else actionable right now — Waiting on: "&amp;IF($K176="","this item",$K176),MID($V176,4,9999))))</f>
        <v/>
      </c>
      <c r="P176" s="5">
        <f>IF($D176="","",IF('Task Finder'!$C$6="High Priority",AND($F176="High",$E176&lt;&gt;"Done",$E176&lt;&gt;"Archive"),IF('Task Finder'!$C$6="Due This Week",AND($I176&lt;&gt;"",$I176&gt;=TODAY(),$I176&lt;=TODAY()+7,$E176&lt;&gt;"Done"),IF('Task Finder'!$C$6="Quick Wins (15 mins or less)",AND($M176&lt;=15,$E176&lt;&gt;"Done",$E176&lt;&gt;"Blocked"),IF('Task Finder'!$C$6="Deep Thinking",AND($G176="Deep Thinking",$E176&lt;&gt;"Done"),IF('Task Finder'!$C$6="Processing",AND($G176="Processing",$E176&lt;&gt;"Done"),IF('Task Finder'!$C$6="Blocked",$E176="Blocked",IF('Task Finder'!$C$6="Waiting",$E176="Waiting",IF('Task Finder'!$C$6="Recently Updated",AND($L176&lt;&gt;"",$L176&gt;=TODAY()-7),IF('Task Finder'!$C$6="Keyword",AND('Task Finder'!$C$7&lt;&gt;"",OR(ISNUMBER(SEARCH('Task Finder'!$C$7,$A176)),ISNUMBER(SEARCH('Task Finder'!$C$7,$B176)),ISNUMBER(SEARCH('Task Finder'!$C$7,$C176)),ISNUMBER(SEARCH('Task Finder'!$C$7,$D176)),ISNUMBER(SEARCH('Task Finder'!$C$7,$K176)))),TRUE))))))))))</f>
        <v/>
      </c>
      <c r="Q176" s="150">
        <f>IF($F176="High","High Priority","")</f>
        <v/>
      </c>
      <c r="R176" s="150">
        <f>IF(AND($I176&lt;&gt;"",$I176&lt;TODAY()),"Overdue","")</f>
        <v/>
      </c>
      <c r="S176" s="150">
        <f>IF(AND($I176&lt;&gt;"",$I176&gt;=TODAY(),$I176&lt;=TODAY()+7),"Due This Week","")</f>
        <v/>
      </c>
      <c r="T176" s="150">
        <f>IF(AND($H176&lt;&gt;"",$M176&lt;=VLOOKUP(Home!$C$7,Lists!$N$2:$O$6,2,FALSE)),$H176&amp;" Task","")</f>
        <v/>
      </c>
      <c r="U176" s="150">
        <f>IF($G176=Home!$E$7,"Fits Current Energy","")</f>
        <v/>
      </c>
      <c r="V176" s="150">
        <f>IF($Q176&lt;&gt;""," • "&amp;$Q176,"")&amp;IF($R176&lt;&gt;""," • "&amp;$R176,"")&amp;IF($S176&lt;&gt;""," • "&amp;$S176,"")&amp;IF($T176&lt;&gt;""," • "&amp;$T176,"")&amp;IF($U176&lt;&gt;""," • "&amp;$U176,"")&amp;" • No Blockers"</f>
        <v/>
      </c>
    </row>
    <row r="177">
      <c r="A177" s="19" t="n"/>
      <c r="B177" s="19" t="n"/>
      <c r="C177" s="19" t="n"/>
      <c r="D177" s="19" t="n"/>
      <c r="E177" s="19" t="n"/>
      <c r="F177" s="19" t="n"/>
      <c r="G177" s="19" t="n"/>
      <c r="H177" s="19" t="n"/>
      <c r="I177" s="19" t="n"/>
      <c r="J177" s="19" t="n"/>
      <c r="K177" s="19" t="n"/>
      <c r="L177" s="35" t="n"/>
      <c r="M177" s="5">
        <f>IF($D177="","",IFERROR(VLOOKUP($H177,Lists!$N$2:$O$6,2,FALSE),0))</f>
        <v/>
      </c>
      <c r="N177" s="5">
        <f>IF($D177="","",IF(OR($E177="Blocked",$E177="Done",$E177="Archive"),-9999,IF(AND($E177="Waiting",SUMPRODUCT((($E$5:$E$500="Next")+($E$5:$E$500="In Progress")+($E$5:$E$500="Captured"))*($D$5:$D$500&lt;&gt;""))&gt;0),-500,VLOOKUP($F177,Lists!$L$2:$M$4,2,FALSE)+IF($E177="In Progress",10,0)+IF(AND($I177&lt;&gt;"",$I177&lt;TODAY()),25,0)+IF(AND($I177&lt;&gt;"",$I177&gt;=TODAY(),$I177&lt;=TODAY()+7),15,0)+IF($H177="",0,IF($M177&lt;=VLOOKUP(Home!$C$7,Lists!$N$2:$O$6,2,FALSE),20,-10))+IF($G177=Home!$E$7,15,IF(Home!$E$7="",0,-5))-ROW()/100000)))</f>
        <v/>
      </c>
      <c r="O177" s="5">
        <f>IF($D177="","",IF($N177&lt;=-500,"Not recommended right now",IF($E177="Waiting","Nothing else actionable right now — Waiting on: "&amp;IF($K177="","this item",$K177),MID($V177,4,9999))))</f>
        <v/>
      </c>
      <c r="P177" s="5">
        <f>IF($D177="","",IF('Task Finder'!$C$6="High Priority",AND($F177="High",$E177&lt;&gt;"Done",$E177&lt;&gt;"Archive"),IF('Task Finder'!$C$6="Due This Week",AND($I177&lt;&gt;"",$I177&gt;=TODAY(),$I177&lt;=TODAY()+7,$E177&lt;&gt;"Done"),IF('Task Finder'!$C$6="Quick Wins (15 mins or less)",AND($M177&lt;=15,$E177&lt;&gt;"Done",$E177&lt;&gt;"Blocked"),IF('Task Finder'!$C$6="Deep Thinking",AND($G177="Deep Thinking",$E177&lt;&gt;"Done"),IF('Task Finder'!$C$6="Processing",AND($G177="Processing",$E177&lt;&gt;"Done"),IF('Task Finder'!$C$6="Blocked",$E177="Blocked",IF('Task Finder'!$C$6="Waiting",$E177="Waiting",IF('Task Finder'!$C$6="Recently Updated",AND($L177&lt;&gt;"",$L177&gt;=TODAY()-7),IF('Task Finder'!$C$6="Keyword",AND('Task Finder'!$C$7&lt;&gt;"",OR(ISNUMBER(SEARCH('Task Finder'!$C$7,$A177)),ISNUMBER(SEARCH('Task Finder'!$C$7,$B177)),ISNUMBER(SEARCH('Task Finder'!$C$7,$C177)),ISNUMBER(SEARCH('Task Finder'!$C$7,$D177)),ISNUMBER(SEARCH('Task Finder'!$C$7,$K177)))),TRUE))))))))))</f>
        <v/>
      </c>
      <c r="Q177" s="150">
        <f>IF($F177="High","High Priority","")</f>
        <v/>
      </c>
      <c r="R177" s="150">
        <f>IF(AND($I177&lt;&gt;"",$I177&lt;TODAY()),"Overdue","")</f>
        <v/>
      </c>
      <c r="S177" s="150">
        <f>IF(AND($I177&lt;&gt;"",$I177&gt;=TODAY(),$I177&lt;=TODAY()+7),"Due This Week","")</f>
        <v/>
      </c>
      <c r="T177" s="150">
        <f>IF(AND($H177&lt;&gt;"",$M177&lt;=VLOOKUP(Home!$C$7,Lists!$N$2:$O$6,2,FALSE)),$H177&amp;" Task","")</f>
        <v/>
      </c>
      <c r="U177" s="150">
        <f>IF($G177=Home!$E$7,"Fits Current Energy","")</f>
        <v/>
      </c>
      <c r="V177" s="150">
        <f>IF($Q177&lt;&gt;""," • "&amp;$Q177,"")&amp;IF($R177&lt;&gt;""," • "&amp;$R177,"")&amp;IF($S177&lt;&gt;""," • "&amp;$S177,"")&amp;IF($T177&lt;&gt;""," • "&amp;$T177,"")&amp;IF($U177&lt;&gt;""," • "&amp;$U177,"")&amp;" • No Blockers"</f>
        <v/>
      </c>
    </row>
    <row r="178">
      <c r="A178" s="19" t="n"/>
      <c r="B178" s="19" t="n"/>
      <c r="C178" s="19" t="n"/>
      <c r="D178" s="19" t="n"/>
      <c r="E178" s="19" t="n"/>
      <c r="F178" s="19" t="n"/>
      <c r="G178" s="19" t="n"/>
      <c r="H178" s="19" t="n"/>
      <c r="I178" s="19" t="n"/>
      <c r="J178" s="19" t="n"/>
      <c r="K178" s="19" t="n"/>
      <c r="L178" s="35" t="n"/>
      <c r="M178" s="5">
        <f>IF($D178="","",IFERROR(VLOOKUP($H178,Lists!$N$2:$O$6,2,FALSE),0))</f>
        <v/>
      </c>
      <c r="N178" s="5">
        <f>IF($D178="","",IF(OR($E178="Blocked",$E178="Done",$E178="Archive"),-9999,IF(AND($E178="Waiting",SUMPRODUCT((($E$5:$E$500="Next")+($E$5:$E$500="In Progress")+($E$5:$E$500="Captured"))*($D$5:$D$500&lt;&gt;""))&gt;0),-500,VLOOKUP($F178,Lists!$L$2:$M$4,2,FALSE)+IF($E178="In Progress",10,0)+IF(AND($I178&lt;&gt;"",$I178&lt;TODAY()),25,0)+IF(AND($I178&lt;&gt;"",$I178&gt;=TODAY(),$I178&lt;=TODAY()+7),15,0)+IF($H178="",0,IF($M178&lt;=VLOOKUP(Home!$C$7,Lists!$N$2:$O$6,2,FALSE),20,-10))+IF($G178=Home!$E$7,15,IF(Home!$E$7="",0,-5))-ROW()/100000)))</f>
        <v/>
      </c>
      <c r="O178" s="5">
        <f>IF($D178="","",IF($N178&lt;=-500,"Not recommended right now",IF($E178="Waiting","Nothing else actionable right now — Waiting on: "&amp;IF($K178="","this item",$K178),MID($V178,4,9999))))</f>
        <v/>
      </c>
      <c r="P178" s="5">
        <f>IF($D178="","",IF('Task Finder'!$C$6="High Priority",AND($F178="High",$E178&lt;&gt;"Done",$E178&lt;&gt;"Archive"),IF('Task Finder'!$C$6="Due This Week",AND($I178&lt;&gt;"",$I178&gt;=TODAY(),$I178&lt;=TODAY()+7,$E178&lt;&gt;"Done"),IF('Task Finder'!$C$6="Quick Wins (15 mins or less)",AND($M178&lt;=15,$E178&lt;&gt;"Done",$E178&lt;&gt;"Blocked"),IF('Task Finder'!$C$6="Deep Thinking",AND($G178="Deep Thinking",$E178&lt;&gt;"Done"),IF('Task Finder'!$C$6="Processing",AND($G178="Processing",$E178&lt;&gt;"Done"),IF('Task Finder'!$C$6="Blocked",$E178="Blocked",IF('Task Finder'!$C$6="Waiting",$E178="Waiting",IF('Task Finder'!$C$6="Recently Updated",AND($L178&lt;&gt;"",$L178&gt;=TODAY()-7),IF('Task Finder'!$C$6="Keyword",AND('Task Finder'!$C$7&lt;&gt;"",OR(ISNUMBER(SEARCH('Task Finder'!$C$7,$A178)),ISNUMBER(SEARCH('Task Finder'!$C$7,$B178)),ISNUMBER(SEARCH('Task Finder'!$C$7,$C178)),ISNUMBER(SEARCH('Task Finder'!$C$7,$D178)),ISNUMBER(SEARCH('Task Finder'!$C$7,$K178)))),TRUE))))))))))</f>
        <v/>
      </c>
      <c r="Q178" s="150">
        <f>IF($F178="High","High Priority","")</f>
        <v/>
      </c>
      <c r="R178" s="150">
        <f>IF(AND($I178&lt;&gt;"",$I178&lt;TODAY()),"Overdue","")</f>
        <v/>
      </c>
      <c r="S178" s="150">
        <f>IF(AND($I178&lt;&gt;"",$I178&gt;=TODAY(),$I178&lt;=TODAY()+7),"Due This Week","")</f>
        <v/>
      </c>
      <c r="T178" s="150">
        <f>IF(AND($H178&lt;&gt;"",$M178&lt;=VLOOKUP(Home!$C$7,Lists!$N$2:$O$6,2,FALSE)),$H178&amp;" Task","")</f>
        <v/>
      </c>
      <c r="U178" s="150">
        <f>IF($G178=Home!$E$7,"Fits Current Energy","")</f>
        <v/>
      </c>
      <c r="V178" s="150">
        <f>IF($Q178&lt;&gt;""," • "&amp;$Q178,"")&amp;IF($R178&lt;&gt;""," • "&amp;$R178,"")&amp;IF($S178&lt;&gt;""," • "&amp;$S178,"")&amp;IF($T178&lt;&gt;""," • "&amp;$T178,"")&amp;IF($U178&lt;&gt;""," • "&amp;$U178,"")&amp;" • No Blockers"</f>
        <v/>
      </c>
    </row>
    <row r="179">
      <c r="A179" s="19" t="n"/>
      <c r="B179" s="19" t="n"/>
      <c r="C179" s="19" t="n"/>
      <c r="D179" s="19" t="n"/>
      <c r="E179" s="19" t="n"/>
      <c r="F179" s="19" t="n"/>
      <c r="G179" s="19" t="n"/>
      <c r="H179" s="19" t="n"/>
      <c r="I179" s="19" t="n"/>
      <c r="J179" s="19" t="n"/>
      <c r="K179" s="19" t="n"/>
      <c r="L179" s="35" t="n"/>
      <c r="M179" s="5">
        <f>IF($D179="","",IFERROR(VLOOKUP($H179,Lists!$N$2:$O$6,2,FALSE),0))</f>
        <v/>
      </c>
      <c r="N179" s="5">
        <f>IF($D179="","",IF(OR($E179="Blocked",$E179="Done",$E179="Archive"),-9999,IF(AND($E179="Waiting",SUMPRODUCT((($E$5:$E$500="Next")+($E$5:$E$500="In Progress")+($E$5:$E$500="Captured"))*($D$5:$D$500&lt;&gt;""))&gt;0),-500,VLOOKUP($F179,Lists!$L$2:$M$4,2,FALSE)+IF($E179="In Progress",10,0)+IF(AND($I179&lt;&gt;"",$I179&lt;TODAY()),25,0)+IF(AND($I179&lt;&gt;"",$I179&gt;=TODAY(),$I179&lt;=TODAY()+7),15,0)+IF($H179="",0,IF($M179&lt;=VLOOKUP(Home!$C$7,Lists!$N$2:$O$6,2,FALSE),20,-10))+IF($G179=Home!$E$7,15,IF(Home!$E$7="",0,-5))-ROW()/100000)))</f>
        <v/>
      </c>
      <c r="O179" s="5">
        <f>IF($D179="","",IF($N179&lt;=-500,"Not recommended right now",IF($E179="Waiting","Nothing else actionable right now — Waiting on: "&amp;IF($K179="","this item",$K179),MID($V179,4,9999))))</f>
        <v/>
      </c>
      <c r="P179" s="5">
        <f>IF($D179="","",IF('Task Finder'!$C$6="High Priority",AND($F179="High",$E179&lt;&gt;"Done",$E179&lt;&gt;"Archive"),IF('Task Finder'!$C$6="Due This Week",AND($I179&lt;&gt;"",$I179&gt;=TODAY(),$I179&lt;=TODAY()+7,$E179&lt;&gt;"Done"),IF('Task Finder'!$C$6="Quick Wins (15 mins or less)",AND($M179&lt;=15,$E179&lt;&gt;"Done",$E179&lt;&gt;"Blocked"),IF('Task Finder'!$C$6="Deep Thinking",AND($G179="Deep Thinking",$E179&lt;&gt;"Done"),IF('Task Finder'!$C$6="Processing",AND($G179="Processing",$E179&lt;&gt;"Done"),IF('Task Finder'!$C$6="Blocked",$E179="Blocked",IF('Task Finder'!$C$6="Waiting",$E179="Waiting",IF('Task Finder'!$C$6="Recently Updated",AND($L179&lt;&gt;"",$L179&gt;=TODAY()-7),IF('Task Finder'!$C$6="Keyword",AND('Task Finder'!$C$7&lt;&gt;"",OR(ISNUMBER(SEARCH('Task Finder'!$C$7,$A179)),ISNUMBER(SEARCH('Task Finder'!$C$7,$B179)),ISNUMBER(SEARCH('Task Finder'!$C$7,$C179)),ISNUMBER(SEARCH('Task Finder'!$C$7,$D179)),ISNUMBER(SEARCH('Task Finder'!$C$7,$K179)))),TRUE))))))))))</f>
        <v/>
      </c>
      <c r="Q179" s="150">
        <f>IF($F179="High","High Priority","")</f>
        <v/>
      </c>
      <c r="R179" s="150">
        <f>IF(AND($I179&lt;&gt;"",$I179&lt;TODAY()),"Overdue","")</f>
        <v/>
      </c>
      <c r="S179" s="150">
        <f>IF(AND($I179&lt;&gt;"",$I179&gt;=TODAY(),$I179&lt;=TODAY()+7),"Due This Week","")</f>
        <v/>
      </c>
      <c r="T179" s="150">
        <f>IF(AND($H179&lt;&gt;"",$M179&lt;=VLOOKUP(Home!$C$7,Lists!$N$2:$O$6,2,FALSE)),$H179&amp;" Task","")</f>
        <v/>
      </c>
      <c r="U179" s="150">
        <f>IF($G179=Home!$E$7,"Fits Current Energy","")</f>
        <v/>
      </c>
      <c r="V179" s="150">
        <f>IF($Q179&lt;&gt;""," • "&amp;$Q179,"")&amp;IF($R179&lt;&gt;""," • "&amp;$R179,"")&amp;IF($S179&lt;&gt;""," • "&amp;$S179,"")&amp;IF($T179&lt;&gt;""," • "&amp;$T179,"")&amp;IF($U179&lt;&gt;""," • "&amp;$U179,"")&amp;" • No Blockers"</f>
        <v/>
      </c>
    </row>
    <row r="180">
      <c r="A180" s="19" t="n"/>
      <c r="B180" s="19" t="n"/>
      <c r="C180" s="19" t="n"/>
      <c r="D180" s="19" t="n"/>
      <c r="E180" s="19" t="n"/>
      <c r="F180" s="19" t="n"/>
      <c r="G180" s="19" t="n"/>
      <c r="H180" s="19" t="n"/>
      <c r="I180" s="19" t="n"/>
      <c r="J180" s="19" t="n"/>
      <c r="K180" s="19" t="n"/>
      <c r="L180" s="35" t="n"/>
      <c r="M180" s="5">
        <f>IF($D180="","",IFERROR(VLOOKUP($H180,Lists!$N$2:$O$6,2,FALSE),0))</f>
        <v/>
      </c>
      <c r="N180" s="5">
        <f>IF($D180="","",IF(OR($E180="Blocked",$E180="Done",$E180="Archive"),-9999,IF(AND($E180="Waiting",SUMPRODUCT((($E$5:$E$500="Next")+($E$5:$E$500="In Progress")+($E$5:$E$500="Captured"))*($D$5:$D$500&lt;&gt;""))&gt;0),-500,VLOOKUP($F180,Lists!$L$2:$M$4,2,FALSE)+IF($E180="In Progress",10,0)+IF(AND($I180&lt;&gt;"",$I180&lt;TODAY()),25,0)+IF(AND($I180&lt;&gt;"",$I180&gt;=TODAY(),$I180&lt;=TODAY()+7),15,0)+IF($H180="",0,IF($M180&lt;=VLOOKUP(Home!$C$7,Lists!$N$2:$O$6,2,FALSE),20,-10))+IF($G180=Home!$E$7,15,IF(Home!$E$7="",0,-5))-ROW()/100000)))</f>
        <v/>
      </c>
      <c r="O180" s="5">
        <f>IF($D180="","",IF($N180&lt;=-500,"Not recommended right now",IF($E180="Waiting","Nothing else actionable right now — Waiting on: "&amp;IF($K180="","this item",$K180),MID($V180,4,9999))))</f>
        <v/>
      </c>
      <c r="P180" s="5">
        <f>IF($D180="","",IF('Task Finder'!$C$6="High Priority",AND($F180="High",$E180&lt;&gt;"Done",$E180&lt;&gt;"Archive"),IF('Task Finder'!$C$6="Due This Week",AND($I180&lt;&gt;"",$I180&gt;=TODAY(),$I180&lt;=TODAY()+7,$E180&lt;&gt;"Done"),IF('Task Finder'!$C$6="Quick Wins (15 mins or less)",AND($M180&lt;=15,$E180&lt;&gt;"Done",$E180&lt;&gt;"Blocked"),IF('Task Finder'!$C$6="Deep Thinking",AND($G180="Deep Thinking",$E180&lt;&gt;"Done"),IF('Task Finder'!$C$6="Processing",AND($G180="Processing",$E180&lt;&gt;"Done"),IF('Task Finder'!$C$6="Blocked",$E180="Blocked",IF('Task Finder'!$C$6="Waiting",$E180="Waiting",IF('Task Finder'!$C$6="Recently Updated",AND($L180&lt;&gt;"",$L180&gt;=TODAY()-7),IF('Task Finder'!$C$6="Keyword",AND('Task Finder'!$C$7&lt;&gt;"",OR(ISNUMBER(SEARCH('Task Finder'!$C$7,$A180)),ISNUMBER(SEARCH('Task Finder'!$C$7,$B180)),ISNUMBER(SEARCH('Task Finder'!$C$7,$C180)),ISNUMBER(SEARCH('Task Finder'!$C$7,$D180)),ISNUMBER(SEARCH('Task Finder'!$C$7,$K180)))),TRUE))))))))))</f>
        <v/>
      </c>
      <c r="Q180" s="150">
        <f>IF($F180="High","High Priority","")</f>
        <v/>
      </c>
      <c r="R180" s="150">
        <f>IF(AND($I180&lt;&gt;"",$I180&lt;TODAY()),"Overdue","")</f>
        <v/>
      </c>
      <c r="S180" s="150">
        <f>IF(AND($I180&lt;&gt;"",$I180&gt;=TODAY(),$I180&lt;=TODAY()+7),"Due This Week","")</f>
        <v/>
      </c>
      <c r="T180" s="150">
        <f>IF(AND($H180&lt;&gt;"",$M180&lt;=VLOOKUP(Home!$C$7,Lists!$N$2:$O$6,2,FALSE)),$H180&amp;" Task","")</f>
        <v/>
      </c>
      <c r="U180" s="150">
        <f>IF($G180=Home!$E$7,"Fits Current Energy","")</f>
        <v/>
      </c>
      <c r="V180" s="150">
        <f>IF($Q180&lt;&gt;""," • "&amp;$Q180,"")&amp;IF($R180&lt;&gt;""," • "&amp;$R180,"")&amp;IF($S180&lt;&gt;""," • "&amp;$S180,"")&amp;IF($T180&lt;&gt;""," • "&amp;$T180,"")&amp;IF($U180&lt;&gt;""," • "&amp;$U180,"")&amp;" • No Blockers"</f>
        <v/>
      </c>
    </row>
    <row r="181">
      <c r="A181" s="19" t="n"/>
      <c r="B181" s="19" t="n"/>
      <c r="C181" s="19" t="n"/>
      <c r="D181" s="19" t="n"/>
      <c r="E181" s="19" t="n"/>
      <c r="F181" s="19" t="n"/>
      <c r="G181" s="19" t="n"/>
      <c r="H181" s="19" t="n"/>
      <c r="I181" s="19" t="n"/>
      <c r="J181" s="19" t="n"/>
      <c r="K181" s="19" t="n"/>
      <c r="L181" s="35" t="n"/>
      <c r="M181" s="5">
        <f>IF($D181="","",IFERROR(VLOOKUP($H181,Lists!$N$2:$O$6,2,FALSE),0))</f>
        <v/>
      </c>
      <c r="N181" s="5">
        <f>IF($D181="","",IF(OR($E181="Blocked",$E181="Done",$E181="Archive"),-9999,IF(AND($E181="Waiting",SUMPRODUCT((($E$5:$E$500="Next")+($E$5:$E$500="In Progress")+($E$5:$E$500="Captured"))*($D$5:$D$500&lt;&gt;""))&gt;0),-500,VLOOKUP($F181,Lists!$L$2:$M$4,2,FALSE)+IF($E181="In Progress",10,0)+IF(AND($I181&lt;&gt;"",$I181&lt;TODAY()),25,0)+IF(AND($I181&lt;&gt;"",$I181&gt;=TODAY(),$I181&lt;=TODAY()+7),15,0)+IF($H181="",0,IF($M181&lt;=VLOOKUP(Home!$C$7,Lists!$N$2:$O$6,2,FALSE),20,-10))+IF($G181=Home!$E$7,15,IF(Home!$E$7="",0,-5))-ROW()/100000)))</f>
        <v/>
      </c>
      <c r="O181" s="5">
        <f>IF($D181="","",IF($N181&lt;=-500,"Not recommended right now",IF($E181="Waiting","Nothing else actionable right now — Waiting on: "&amp;IF($K181="","this item",$K181),MID($V181,4,9999))))</f>
        <v/>
      </c>
      <c r="P181" s="5">
        <f>IF($D181="","",IF('Task Finder'!$C$6="High Priority",AND($F181="High",$E181&lt;&gt;"Done",$E181&lt;&gt;"Archive"),IF('Task Finder'!$C$6="Due This Week",AND($I181&lt;&gt;"",$I181&gt;=TODAY(),$I181&lt;=TODAY()+7,$E181&lt;&gt;"Done"),IF('Task Finder'!$C$6="Quick Wins (15 mins or less)",AND($M181&lt;=15,$E181&lt;&gt;"Done",$E181&lt;&gt;"Blocked"),IF('Task Finder'!$C$6="Deep Thinking",AND($G181="Deep Thinking",$E181&lt;&gt;"Done"),IF('Task Finder'!$C$6="Processing",AND($G181="Processing",$E181&lt;&gt;"Done"),IF('Task Finder'!$C$6="Blocked",$E181="Blocked",IF('Task Finder'!$C$6="Waiting",$E181="Waiting",IF('Task Finder'!$C$6="Recently Updated",AND($L181&lt;&gt;"",$L181&gt;=TODAY()-7),IF('Task Finder'!$C$6="Keyword",AND('Task Finder'!$C$7&lt;&gt;"",OR(ISNUMBER(SEARCH('Task Finder'!$C$7,$A181)),ISNUMBER(SEARCH('Task Finder'!$C$7,$B181)),ISNUMBER(SEARCH('Task Finder'!$C$7,$C181)),ISNUMBER(SEARCH('Task Finder'!$C$7,$D181)),ISNUMBER(SEARCH('Task Finder'!$C$7,$K181)))),TRUE))))))))))</f>
        <v/>
      </c>
      <c r="Q181" s="150">
        <f>IF($F181="High","High Priority","")</f>
        <v/>
      </c>
      <c r="R181" s="150">
        <f>IF(AND($I181&lt;&gt;"",$I181&lt;TODAY()),"Overdue","")</f>
        <v/>
      </c>
      <c r="S181" s="150">
        <f>IF(AND($I181&lt;&gt;"",$I181&gt;=TODAY(),$I181&lt;=TODAY()+7),"Due This Week","")</f>
        <v/>
      </c>
      <c r="T181" s="150">
        <f>IF(AND($H181&lt;&gt;"",$M181&lt;=VLOOKUP(Home!$C$7,Lists!$N$2:$O$6,2,FALSE)),$H181&amp;" Task","")</f>
        <v/>
      </c>
      <c r="U181" s="150">
        <f>IF($G181=Home!$E$7,"Fits Current Energy","")</f>
        <v/>
      </c>
      <c r="V181" s="150">
        <f>IF($Q181&lt;&gt;""," • "&amp;$Q181,"")&amp;IF($R181&lt;&gt;""," • "&amp;$R181,"")&amp;IF($S181&lt;&gt;""," • "&amp;$S181,"")&amp;IF($T181&lt;&gt;""," • "&amp;$T181,"")&amp;IF($U181&lt;&gt;""," • "&amp;$U181,"")&amp;" • No Blockers"</f>
        <v/>
      </c>
    </row>
    <row r="182">
      <c r="A182" s="19" t="n"/>
      <c r="B182" s="19" t="n"/>
      <c r="C182" s="19" t="n"/>
      <c r="D182" s="19" t="n"/>
      <c r="E182" s="19" t="n"/>
      <c r="F182" s="19" t="n"/>
      <c r="G182" s="19" t="n"/>
      <c r="H182" s="19" t="n"/>
      <c r="I182" s="19" t="n"/>
      <c r="J182" s="19" t="n"/>
      <c r="K182" s="19" t="n"/>
      <c r="L182" s="35" t="n"/>
      <c r="M182" s="5">
        <f>IF($D182="","",IFERROR(VLOOKUP($H182,Lists!$N$2:$O$6,2,FALSE),0))</f>
        <v/>
      </c>
      <c r="N182" s="5">
        <f>IF($D182="","",IF(OR($E182="Blocked",$E182="Done",$E182="Archive"),-9999,IF(AND($E182="Waiting",SUMPRODUCT((($E$5:$E$500="Next")+($E$5:$E$500="In Progress")+($E$5:$E$500="Captured"))*($D$5:$D$500&lt;&gt;""))&gt;0),-500,VLOOKUP($F182,Lists!$L$2:$M$4,2,FALSE)+IF($E182="In Progress",10,0)+IF(AND($I182&lt;&gt;"",$I182&lt;TODAY()),25,0)+IF(AND($I182&lt;&gt;"",$I182&gt;=TODAY(),$I182&lt;=TODAY()+7),15,0)+IF($H182="",0,IF($M182&lt;=VLOOKUP(Home!$C$7,Lists!$N$2:$O$6,2,FALSE),20,-10))+IF($G182=Home!$E$7,15,IF(Home!$E$7="",0,-5))-ROW()/100000)))</f>
        <v/>
      </c>
      <c r="O182" s="5">
        <f>IF($D182="","",IF($N182&lt;=-500,"Not recommended right now",IF($E182="Waiting","Nothing else actionable right now — Waiting on: "&amp;IF($K182="","this item",$K182),MID($V182,4,9999))))</f>
        <v/>
      </c>
      <c r="P182" s="5">
        <f>IF($D182="","",IF('Task Finder'!$C$6="High Priority",AND($F182="High",$E182&lt;&gt;"Done",$E182&lt;&gt;"Archive"),IF('Task Finder'!$C$6="Due This Week",AND($I182&lt;&gt;"",$I182&gt;=TODAY(),$I182&lt;=TODAY()+7,$E182&lt;&gt;"Done"),IF('Task Finder'!$C$6="Quick Wins (15 mins or less)",AND($M182&lt;=15,$E182&lt;&gt;"Done",$E182&lt;&gt;"Blocked"),IF('Task Finder'!$C$6="Deep Thinking",AND($G182="Deep Thinking",$E182&lt;&gt;"Done"),IF('Task Finder'!$C$6="Processing",AND($G182="Processing",$E182&lt;&gt;"Done"),IF('Task Finder'!$C$6="Blocked",$E182="Blocked",IF('Task Finder'!$C$6="Waiting",$E182="Waiting",IF('Task Finder'!$C$6="Recently Updated",AND($L182&lt;&gt;"",$L182&gt;=TODAY()-7),IF('Task Finder'!$C$6="Keyword",AND('Task Finder'!$C$7&lt;&gt;"",OR(ISNUMBER(SEARCH('Task Finder'!$C$7,$A182)),ISNUMBER(SEARCH('Task Finder'!$C$7,$B182)),ISNUMBER(SEARCH('Task Finder'!$C$7,$C182)),ISNUMBER(SEARCH('Task Finder'!$C$7,$D182)),ISNUMBER(SEARCH('Task Finder'!$C$7,$K182)))),TRUE))))))))))</f>
        <v/>
      </c>
      <c r="Q182" s="150">
        <f>IF($F182="High","High Priority","")</f>
        <v/>
      </c>
      <c r="R182" s="150">
        <f>IF(AND($I182&lt;&gt;"",$I182&lt;TODAY()),"Overdue","")</f>
        <v/>
      </c>
      <c r="S182" s="150">
        <f>IF(AND($I182&lt;&gt;"",$I182&gt;=TODAY(),$I182&lt;=TODAY()+7),"Due This Week","")</f>
        <v/>
      </c>
      <c r="T182" s="150">
        <f>IF(AND($H182&lt;&gt;"",$M182&lt;=VLOOKUP(Home!$C$7,Lists!$N$2:$O$6,2,FALSE)),$H182&amp;" Task","")</f>
        <v/>
      </c>
      <c r="U182" s="150">
        <f>IF($G182=Home!$E$7,"Fits Current Energy","")</f>
        <v/>
      </c>
      <c r="V182" s="150">
        <f>IF($Q182&lt;&gt;""," • "&amp;$Q182,"")&amp;IF($R182&lt;&gt;""," • "&amp;$R182,"")&amp;IF($S182&lt;&gt;""," • "&amp;$S182,"")&amp;IF($T182&lt;&gt;""," • "&amp;$T182,"")&amp;IF($U182&lt;&gt;""," • "&amp;$U182,"")&amp;" • No Blockers"</f>
        <v/>
      </c>
    </row>
    <row r="183">
      <c r="A183" s="19" t="n"/>
      <c r="B183" s="19" t="n"/>
      <c r="C183" s="19" t="n"/>
      <c r="D183" s="19" t="n"/>
      <c r="E183" s="19" t="n"/>
      <c r="F183" s="19" t="n"/>
      <c r="G183" s="19" t="n"/>
      <c r="H183" s="19" t="n"/>
      <c r="I183" s="19" t="n"/>
      <c r="J183" s="19" t="n"/>
      <c r="K183" s="19" t="n"/>
      <c r="L183" s="35" t="n"/>
      <c r="M183" s="5">
        <f>IF($D183="","",IFERROR(VLOOKUP($H183,Lists!$N$2:$O$6,2,FALSE),0))</f>
        <v/>
      </c>
      <c r="N183" s="5">
        <f>IF($D183="","",IF(OR($E183="Blocked",$E183="Done",$E183="Archive"),-9999,IF(AND($E183="Waiting",SUMPRODUCT((($E$5:$E$500="Next")+($E$5:$E$500="In Progress")+($E$5:$E$500="Captured"))*($D$5:$D$500&lt;&gt;""))&gt;0),-500,VLOOKUP($F183,Lists!$L$2:$M$4,2,FALSE)+IF($E183="In Progress",10,0)+IF(AND($I183&lt;&gt;"",$I183&lt;TODAY()),25,0)+IF(AND($I183&lt;&gt;"",$I183&gt;=TODAY(),$I183&lt;=TODAY()+7),15,0)+IF($H183="",0,IF($M183&lt;=VLOOKUP(Home!$C$7,Lists!$N$2:$O$6,2,FALSE),20,-10))+IF($G183=Home!$E$7,15,IF(Home!$E$7="",0,-5))-ROW()/100000)))</f>
        <v/>
      </c>
      <c r="O183" s="5">
        <f>IF($D183="","",IF($N183&lt;=-500,"Not recommended right now",IF($E183="Waiting","Nothing else actionable right now — Waiting on: "&amp;IF($K183="","this item",$K183),MID($V183,4,9999))))</f>
        <v/>
      </c>
      <c r="P183" s="5">
        <f>IF($D183="","",IF('Task Finder'!$C$6="High Priority",AND($F183="High",$E183&lt;&gt;"Done",$E183&lt;&gt;"Archive"),IF('Task Finder'!$C$6="Due This Week",AND($I183&lt;&gt;"",$I183&gt;=TODAY(),$I183&lt;=TODAY()+7,$E183&lt;&gt;"Done"),IF('Task Finder'!$C$6="Quick Wins (15 mins or less)",AND($M183&lt;=15,$E183&lt;&gt;"Done",$E183&lt;&gt;"Blocked"),IF('Task Finder'!$C$6="Deep Thinking",AND($G183="Deep Thinking",$E183&lt;&gt;"Done"),IF('Task Finder'!$C$6="Processing",AND($G183="Processing",$E183&lt;&gt;"Done"),IF('Task Finder'!$C$6="Blocked",$E183="Blocked",IF('Task Finder'!$C$6="Waiting",$E183="Waiting",IF('Task Finder'!$C$6="Recently Updated",AND($L183&lt;&gt;"",$L183&gt;=TODAY()-7),IF('Task Finder'!$C$6="Keyword",AND('Task Finder'!$C$7&lt;&gt;"",OR(ISNUMBER(SEARCH('Task Finder'!$C$7,$A183)),ISNUMBER(SEARCH('Task Finder'!$C$7,$B183)),ISNUMBER(SEARCH('Task Finder'!$C$7,$C183)),ISNUMBER(SEARCH('Task Finder'!$C$7,$D183)),ISNUMBER(SEARCH('Task Finder'!$C$7,$K183)))),TRUE))))))))))</f>
        <v/>
      </c>
      <c r="Q183" s="150">
        <f>IF($F183="High","High Priority","")</f>
        <v/>
      </c>
      <c r="R183" s="150">
        <f>IF(AND($I183&lt;&gt;"",$I183&lt;TODAY()),"Overdue","")</f>
        <v/>
      </c>
      <c r="S183" s="150">
        <f>IF(AND($I183&lt;&gt;"",$I183&gt;=TODAY(),$I183&lt;=TODAY()+7),"Due This Week","")</f>
        <v/>
      </c>
      <c r="T183" s="150">
        <f>IF(AND($H183&lt;&gt;"",$M183&lt;=VLOOKUP(Home!$C$7,Lists!$N$2:$O$6,2,FALSE)),$H183&amp;" Task","")</f>
        <v/>
      </c>
      <c r="U183" s="150">
        <f>IF($G183=Home!$E$7,"Fits Current Energy","")</f>
        <v/>
      </c>
      <c r="V183" s="150">
        <f>IF($Q183&lt;&gt;""," • "&amp;$Q183,"")&amp;IF($R183&lt;&gt;""," • "&amp;$R183,"")&amp;IF($S183&lt;&gt;""," • "&amp;$S183,"")&amp;IF($T183&lt;&gt;""," • "&amp;$T183,"")&amp;IF($U183&lt;&gt;""," • "&amp;$U183,"")&amp;" • No Blockers"</f>
        <v/>
      </c>
    </row>
    <row r="184">
      <c r="A184" s="19" t="n"/>
      <c r="B184" s="19" t="n"/>
      <c r="C184" s="19" t="n"/>
      <c r="D184" s="19" t="n"/>
      <c r="E184" s="19" t="n"/>
      <c r="F184" s="19" t="n"/>
      <c r="G184" s="19" t="n"/>
      <c r="H184" s="19" t="n"/>
      <c r="I184" s="19" t="n"/>
      <c r="J184" s="19" t="n"/>
      <c r="K184" s="19" t="n"/>
      <c r="L184" s="35" t="n"/>
      <c r="M184" s="5">
        <f>IF($D184="","",IFERROR(VLOOKUP($H184,Lists!$N$2:$O$6,2,FALSE),0))</f>
        <v/>
      </c>
      <c r="N184" s="5">
        <f>IF($D184="","",IF(OR($E184="Blocked",$E184="Done",$E184="Archive"),-9999,IF(AND($E184="Waiting",SUMPRODUCT((($E$5:$E$500="Next")+($E$5:$E$500="In Progress")+($E$5:$E$500="Captured"))*($D$5:$D$500&lt;&gt;""))&gt;0),-500,VLOOKUP($F184,Lists!$L$2:$M$4,2,FALSE)+IF($E184="In Progress",10,0)+IF(AND($I184&lt;&gt;"",$I184&lt;TODAY()),25,0)+IF(AND($I184&lt;&gt;"",$I184&gt;=TODAY(),$I184&lt;=TODAY()+7),15,0)+IF($H184="",0,IF($M184&lt;=VLOOKUP(Home!$C$7,Lists!$N$2:$O$6,2,FALSE),20,-10))+IF($G184=Home!$E$7,15,IF(Home!$E$7="",0,-5))-ROW()/100000)))</f>
        <v/>
      </c>
      <c r="O184" s="5">
        <f>IF($D184="","",IF($N184&lt;=-500,"Not recommended right now",IF($E184="Waiting","Nothing else actionable right now — Waiting on: "&amp;IF($K184="","this item",$K184),MID($V184,4,9999))))</f>
        <v/>
      </c>
      <c r="P184" s="5">
        <f>IF($D184="","",IF('Task Finder'!$C$6="High Priority",AND($F184="High",$E184&lt;&gt;"Done",$E184&lt;&gt;"Archive"),IF('Task Finder'!$C$6="Due This Week",AND($I184&lt;&gt;"",$I184&gt;=TODAY(),$I184&lt;=TODAY()+7,$E184&lt;&gt;"Done"),IF('Task Finder'!$C$6="Quick Wins (15 mins or less)",AND($M184&lt;=15,$E184&lt;&gt;"Done",$E184&lt;&gt;"Blocked"),IF('Task Finder'!$C$6="Deep Thinking",AND($G184="Deep Thinking",$E184&lt;&gt;"Done"),IF('Task Finder'!$C$6="Processing",AND($G184="Processing",$E184&lt;&gt;"Done"),IF('Task Finder'!$C$6="Blocked",$E184="Blocked",IF('Task Finder'!$C$6="Waiting",$E184="Waiting",IF('Task Finder'!$C$6="Recently Updated",AND($L184&lt;&gt;"",$L184&gt;=TODAY()-7),IF('Task Finder'!$C$6="Keyword",AND('Task Finder'!$C$7&lt;&gt;"",OR(ISNUMBER(SEARCH('Task Finder'!$C$7,$A184)),ISNUMBER(SEARCH('Task Finder'!$C$7,$B184)),ISNUMBER(SEARCH('Task Finder'!$C$7,$C184)),ISNUMBER(SEARCH('Task Finder'!$C$7,$D184)),ISNUMBER(SEARCH('Task Finder'!$C$7,$K184)))),TRUE))))))))))</f>
        <v/>
      </c>
      <c r="Q184" s="150">
        <f>IF($F184="High","High Priority","")</f>
        <v/>
      </c>
      <c r="R184" s="150">
        <f>IF(AND($I184&lt;&gt;"",$I184&lt;TODAY()),"Overdue","")</f>
        <v/>
      </c>
      <c r="S184" s="150">
        <f>IF(AND($I184&lt;&gt;"",$I184&gt;=TODAY(),$I184&lt;=TODAY()+7),"Due This Week","")</f>
        <v/>
      </c>
      <c r="T184" s="150">
        <f>IF(AND($H184&lt;&gt;"",$M184&lt;=VLOOKUP(Home!$C$7,Lists!$N$2:$O$6,2,FALSE)),$H184&amp;" Task","")</f>
        <v/>
      </c>
      <c r="U184" s="150">
        <f>IF($G184=Home!$E$7,"Fits Current Energy","")</f>
        <v/>
      </c>
      <c r="V184" s="150">
        <f>IF($Q184&lt;&gt;""," • "&amp;$Q184,"")&amp;IF($R184&lt;&gt;""," • "&amp;$R184,"")&amp;IF($S184&lt;&gt;""," • "&amp;$S184,"")&amp;IF($T184&lt;&gt;""," • "&amp;$T184,"")&amp;IF($U184&lt;&gt;""," • "&amp;$U184,"")&amp;" • No Blockers"</f>
        <v/>
      </c>
    </row>
    <row r="185">
      <c r="A185" s="19" t="n"/>
      <c r="B185" s="19" t="n"/>
      <c r="C185" s="19" t="n"/>
      <c r="D185" s="19" t="n"/>
      <c r="E185" s="19" t="n"/>
      <c r="F185" s="19" t="n"/>
      <c r="G185" s="19" t="n"/>
      <c r="H185" s="19" t="n"/>
      <c r="I185" s="19" t="n"/>
      <c r="J185" s="19" t="n"/>
      <c r="K185" s="19" t="n"/>
      <c r="L185" s="35" t="n"/>
      <c r="M185" s="5">
        <f>IF($D185="","",IFERROR(VLOOKUP($H185,Lists!$N$2:$O$6,2,FALSE),0))</f>
        <v/>
      </c>
      <c r="N185" s="5">
        <f>IF($D185="","",IF(OR($E185="Blocked",$E185="Done",$E185="Archive"),-9999,IF(AND($E185="Waiting",SUMPRODUCT((($E$5:$E$500="Next")+($E$5:$E$500="In Progress")+($E$5:$E$500="Captured"))*($D$5:$D$500&lt;&gt;""))&gt;0),-500,VLOOKUP($F185,Lists!$L$2:$M$4,2,FALSE)+IF($E185="In Progress",10,0)+IF(AND($I185&lt;&gt;"",$I185&lt;TODAY()),25,0)+IF(AND($I185&lt;&gt;"",$I185&gt;=TODAY(),$I185&lt;=TODAY()+7),15,0)+IF($H185="",0,IF($M185&lt;=VLOOKUP(Home!$C$7,Lists!$N$2:$O$6,2,FALSE),20,-10))+IF($G185=Home!$E$7,15,IF(Home!$E$7="",0,-5))-ROW()/100000)))</f>
        <v/>
      </c>
      <c r="O185" s="5">
        <f>IF($D185="","",IF($N185&lt;=-500,"Not recommended right now",IF($E185="Waiting","Nothing else actionable right now — Waiting on: "&amp;IF($K185="","this item",$K185),MID($V185,4,9999))))</f>
        <v/>
      </c>
      <c r="P185" s="5">
        <f>IF($D185="","",IF('Task Finder'!$C$6="High Priority",AND($F185="High",$E185&lt;&gt;"Done",$E185&lt;&gt;"Archive"),IF('Task Finder'!$C$6="Due This Week",AND($I185&lt;&gt;"",$I185&gt;=TODAY(),$I185&lt;=TODAY()+7,$E185&lt;&gt;"Done"),IF('Task Finder'!$C$6="Quick Wins (15 mins or less)",AND($M185&lt;=15,$E185&lt;&gt;"Done",$E185&lt;&gt;"Blocked"),IF('Task Finder'!$C$6="Deep Thinking",AND($G185="Deep Thinking",$E185&lt;&gt;"Done"),IF('Task Finder'!$C$6="Processing",AND($G185="Processing",$E185&lt;&gt;"Done"),IF('Task Finder'!$C$6="Blocked",$E185="Blocked",IF('Task Finder'!$C$6="Waiting",$E185="Waiting",IF('Task Finder'!$C$6="Recently Updated",AND($L185&lt;&gt;"",$L185&gt;=TODAY()-7),IF('Task Finder'!$C$6="Keyword",AND('Task Finder'!$C$7&lt;&gt;"",OR(ISNUMBER(SEARCH('Task Finder'!$C$7,$A185)),ISNUMBER(SEARCH('Task Finder'!$C$7,$B185)),ISNUMBER(SEARCH('Task Finder'!$C$7,$C185)),ISNUMBER(SEARCH('Task Finder'!$C$7,$D185)),ISNUMBER(SEARCH('Task Finder'!$C$7,$K185)))),TRUE))))))))))</f>
        <v/>
      </c>
      <c r="Q185" s="150">
        <f>IF($F185="High","High Priority","")</f>
        <v/>
      </c>
      <c r="R185" s="150">
        <f>IF(AND($I185&lt;&gt;"",$I185&lt;TODAY()),"Overdue","")</f>
        <v/>
      </c>
      <c r="S185" s="150">
        <f>IF(AND($I185&lt;&gt;"",$I185&gt;=TODAY(),$I185&lt;=TODAY()+7),"Due This Week","")</f>
        <v/>
      </c>
      <c r="T185" s="150">
        <f>IF(AND($H185&lt;&gt;"",$M185&lt;=VLOOKUP(Home!$C$7,Lists!$N$2:$O$6,2,FALSE)),$H185&amp;" Task","")</f>
        <v/>
      </c>
      <c r="U185" s="150">
        <f>IF($G185=Home!$E$7,"Fits Current Energy","")</f>
        <v/>
      </c>
      <c r="V185" s="150">
        <f>IF($Q185&lt;&gt;""," • "&amp;$Q185,"")&amp;IF($R185&lt;&gt;""," • "&amp;$R185,"")&amp;IF($S185&lt;&gt;""," • "&amp;$S185,"")&amp;IF($T185&lt;&gt;""," • "&amp;$T185,"")&amp;IF($U185&lt;&gt;""," • "&amp;$U185,"")&amp;" • No Blockers"</f>
        <v/>
      </c>
    </row>
    <row r="186">
      <c r="A186" s="19" t="n"/>
      <c r="B186" s="19" t="n"/>
      <c r="C186" s="19" t="n"/>
      <c r="D186" s="19" t="n"/>
      <c r="E186" s="19" t="n"/>
      <c r="F186" s="19" t="n"/>
      <c r="G186" s="19" t="n"/>
      <c r="H186" s="19" t="n"/>
      <c r="I186" s="19" t="n"/>
      <c r="J186" s="19" t="n"/>
      <c r="K186" s="19" t="n"/>
      <c r="L186" s="35" t="n"/>
      <c r="M186" s="5">
        <f>IF($D186="","",IFERROR(VLOOKUP($H186,Lists!$N$2:$O$6,2,FALSE),0))</f>
        <v/>
      </c>
      <c r="N186" s="5">
        <f>IF($D186="","",IF(OR($E186="Blocked",$E186="Done",$E186="Archive"),-9999,IF(AND($E186="Waiting",SUMPRODUCT((($E$5:$E$500="Next")+($E$5:$E$500="In Progress")+($E$5:$E$500="Captured"))*($D$5:$D$500&lt;&gt;""))&gt;0),-500,VLOOKUP($F186,Lists!$L$2:$M$4,2,FALSE)+IF($E186="In Progress",10,0)+IF(AND($I186&lt;&gt;"",$I186&lt;TODAY()),25,0)+IF(AND($I186&lt;&gt;"",$I186&gt;=TODAY(),$I186&lt;=TODAY()+7),15,0)+IF($H186="",0,IF($M186&lt;=VLOOKUP(Home!$C$7,Lists!$N$2:$O$6,2,FALSE),20,-10))+IF($G186=Home!$E$7,15,IF(Home!$E$7="",0,-5))-ROW()/100000)))</f>
        <v/>
      </c>
      <c r="O186" s="5">
        <f>IF($D186="","",IF($N186&lt;=-500,"Not recommended right now",IF($E186="Waiting","Nothing else actionable right now — Waiting on: "&amp;IF($K186="","this item",$K186),MID($V186,4,9999))))</f>
        <v/>
      </c>
      <c r="P186" s="5">
        <f>IF($D186="","",IF('Task Finder'!$C$6="High Priority",AND($F186="High",$E186&lt;&gt;"Done",$E186&lt;&gt;"Archive"),IF('Task Finder'!$C$6="Due This Week",AND($I186&lt;&gt;"",$I186&gt;=TODAY(),$I186&lt;=TODAY()+7,$E186&lt;&gt;"Done"),IF('Task Finder'!$C$6="Quick Wins (15 mins or less)",AND($M186&lt;=15,$E186&lt;&gt;"Done",$E186&lt;&gt;"Blocked"),IF('Task Finder'!$C$6="Deep Thinking",AND($G186="Deep Thinking",$E186&lt;&gt;"Done"),IF('Task Finder'!$C$6="Processing",AND($G186="Processing",$E186&lt;&gt;"Done"),IF('Task Finder'!$C$6="Blocked",$E186="Blocked",IF('Task Finder'!$C$6="Waiting",$E186="Waiting",IF('Task Finder'!$C$6="Recently Updated",AND($L186&lt;&gt;"",$L186&gt;=TODAY()-7),IF('Task Finder'!$C$6="Keyword",AND('Task Finder'!$C$7&lt;&gt;"",OR(ISNUMBER(SEARCH('Task Finder'!$C$7,$A186)),ISNUMBER(SEARCH('Task Finder'!$C$7,$B186)),ISNUMBER(SEARCH('Task Finder'!$C$7,$C186)),ISNUMBER(SEARCH('Task Finder'!$C$7,$D186)),ISNUMBER(SEARCH('Task Finder'!$C$7,$K186)))),TRUE))))))))))</f>
        <v/>
      </c>
      <c r="Q186" s="150">
        <f>IF($F186="High","High Priority","")</f>
        <v/>
      </c>
      <c r="R186" s="150">
        <f>IF(AND($I186&lt;&gt;"",$I186&lt;TODAY()),"Overdue","")</f>
        <v/>
      </c>
      <c r="S186" s="150">
        <f>IF(AND($I186&lt;&gt;"",$I186&gt;=TODAY(),$I186&lt;=TODAY()+7),"Due This Week","")</f>
        <v/>
      </c>
      <c r="T186" s="150">
        <f>IF(AND($H186&lt;&gt;"",$M186&lt;=VLOOKUP(Home!$C$7,Lists!$N$2:$O$6,2,FALSE)),$H186&amp;" Task","")</f>
        <v/>
      </c>
      <c r="U186" s="150">
        <f>IF($G186=Home!$E$7,"Fits Current Energy","")</f>
        <v/>
      </c>
      <c r="V186" s="150">
        <f>IF($Q186&lt;&gt;""," • "&amp;$Q186,"")&amp;IF($R186&lt;&gt;""," • "&amp;$R186,"")&amp;IF($S186&lt;&gt;""," • "&amp;$S186,"")&amp;IF($T186&lt;&gt;""," • "&amp;$T186,"")&amp;IF($U186&lt;&gt;""," • "&amp;$U186,"")&amp;" • No Blockers"</f>
        <v/>
      </c>
    </row>
    <row r="187">
      <c r="A187" s="19" t="n"/>
      <c r="B187" s="19" t="n"/>
      <c r="C187" s="19" t="n"/>
      <c r="D187" s="19" t="n"/>
      <c r="E187" s="19" t="n"/>
      <c r="F187" s="19" t="n"/>
      <c r="G187" s="19" t="n"/>
      <c r="H187" s="19" t="n"/>
      <c r="I187" s="19" t="n"/>
      <c r="J187" s="19" t="n"/>
      <c r="K187" s="19" t="n"/>
      <c r="L187" s="35" t="n"/>
      <c r="M187" s="5">
        <f>IF($D187="","",IFERROR(VLOOKUP($H187,Lists!$N$2:$O$6,2,FALSE),0))</f>
        <v/>
      </c>
      <c r="N187" s="5">
        <f>IF($D187="","",IF(OR($E187="Blocked",$E187="Done",$E187="Archive"),-9999,IF(AND($E187="Waiting",SUMPRODUCT((($E$5:$E$500="Next")+($E$5:$E$500="In Progress")+($E$5:$E$500="Captured"))*($D$5:$D$500&lt;&gt;""))&gt;0),-500,VLOOKUP($F187,Lists!$L$2:$M$4,2,FALSE)+IF($E187="In Progress",10,0)+IF(AND($I187&lt;&gt;"",$I187&lt;TODAY()),25,0)+IF(AND($I187&lt;&gt;"",$I187&gt;=TODAY(),$I187&lt;=TODAY()+7),15,0)+IF($H187="",0,IF($M187&lt;=VLOOKUP(Home!$C$7,Lists!$N$2:$O$6,2,FALSE),20,-10))+IF($G187=Home!$E$7,15,IF(Home!$E$7="",0,-5))-ROW()/100000)))</f>
        <v/>
      </c>
      <c r="O187" s="5">
        <f>IF($D187="","",IF($N187&lt;=-500,"Not recommended right now",IF($E187="Waiting","Nothing else actionable right now — Waiting on: "&amp;IF($K187="","this item",$K187),MID($V187,4,9999))))</f>
        <v/>
      </c>
      <c r="P187" s="5">
        <f>IF($D187="","",IF('Task Finder'!$C$6="High Priority",AND($F187="High",$E187&lt;&gt;"Done",$E187&lt;&gt;"Archive"),IF('Task Finder'!$C$6="Due This Week",AND($I187&lt;&gt;"",$I187&gt;=TODAY(),$I187&lt;=TODAY()+7,$E187&lt;&gt;"Done"),IF('Task Finder'!$C$6="Quick Wins (15 mins or less)",AND($M187&lt;=15,$E187&lt;&gt;"Done",$E187&lt;&gt;"Blocked"),IF('Task Finder'!$C$6="Deep Thinking",AND($G187="Deep Thinking",$E187&lt;&gt;"Done"),IF('Task Finder'!$C$6="Processing",AND($G187="Processing",$E187&lt;&gt;"Done"),IF('Task Finder'!$C$6="Blocked",$E187="Blocked",IF('Task Finder'!$C$6="Waiting",$E187="Waiting",IF('Task Finder'!$C$6="Recently Updated",AND($L187&lt;&gt;"",$L187&gt;=TODAY()-7),IF('Task Finder'!$C$6="Keyword",AND('Task Finder'!$C$7&lt;&gt;"",OR(ISNUMBER(SEARCH('Task Finder'!$C$7,$A187)),ISNUMBER(SEARCH('Task Finder'!$C$7,$B187)),ISNUMBER(SEARCH('Task Finder'!$C$7,$C187)),ISNUMBER(SEARCH('Task Finder'!$C$7,$D187)),ISNUMBER(SEARCH('Task Finder'!$C$7,$K187)))),TRUE))))))))))</f>
        <v/>
      </c>
      <c r="Q187" s="150">
        <f>IF($F187="High","High Priority","")</f>
        <v/>
      </c>
      <c r="R187" s="150">
        <f>IF(AND($I187&lt;&gt;"",$I187&lt;TODAY()),"Overdue","")</f>
        <v/>
      </c>
      <c r="S187" s="150">
        <f>IF(AND($I187&lt;&gt;"",$I187&gt;=TODAY(),$I187&lt;=TODAY()+7),"Due This Week","")</f>
        <v/>
      </c>
      <c r="T187" s="150">
        <f>IF(AND($H187&lt;&gt;"",$M187&lt;=VLOOKUP(Home!$C$7,Lists!$N$2:$O$6,2,FALSE)),$H187&amp;" Task","")</f>
        <v/>
      </c>
      <c r="U187" s="150">
        <f>IF($G187=Home!$E$7,"Fits Current Energy","")</f>
        <v/>
      </c>
      <c r="V187" s="150">
        <f>IF($Q187&lt;&gt;""," • "&amp;$Q187,"")&amp;IF($R187&lt;&gt;""," • "&amp;$R187,"")&amp;IF($S187&lt;&gt;""," • "&amp;$S187,"")&amp;IF($T187&lt;&gt;""," • "&amp;$T187,"")&amp;IF($U187&lt;&gt;""," • "&amp;$U187,"")&amp;" • No Blockers"</f>
        <v/>
      </c>
    </row>
    <row r="188">
      <c r="A188" s="19" t="n"/>
      <c r="B188" s="19" t="n"/>
      <c r="C188" s="19" t="n"/>
      <c r="D188" s="19" t="n"/>
      <c r="E188" s="19" t="n"/>
      <c r="F188" s="19" t="n"/>
      <c r="G188" s="19" t="n"/>
      <c r="H188" s="19" t="n"/>
      <c r="I188" s="19" t="n"/>
      <c r="J188" s="19" t="n"/>
      <c r="K188" s="19" t="n"/>
      <c r="L188" s="35" t="n"/>
      <c r="M188" s="5">
        <f>IF($D188="","",IFERROR(VLOOKUP($H188,Lists!$N$2:$O$6,2,FALSE),0))</f>
        <v/>
      </c>
      <c r="N188" s="5">
        <f>IF($D188="","",IF(OR($E188="Blocked",$E188="Done",$E188="Archive"),-9999,IF(AND($E188="Waiting",SUMPRODUCT((($E$5:$E$500="Next")+($E$5:$E$500="In Progress")+($E$5:$E$500="Captured"))*($D$5:$D$500&lt;&gt;""))&gt;0),-500,VLOOKUP($F188,Lists!$L$2:$M$4,2,FALSE)+IF($E188="In Progress",10,0)+IF(AND($I188&lt;&gt;"",$I188&lt;TODAY()),25,0)+IF(AND($I188&lt;&gt;"",$I188&gt;=TODAY(),$I188&lt;=TODAY()+7),15,0)+IF($H188="",0,IF($M188&lt;=VLOOKUP(Home!$C$7,Lists!$N$2:$O$6,2,FALSE),20,-10))+IF($G188=Home!$E$7,15,IF(Home!$E$7="",0,-5))-ROW()/100000)))</f>
        <v/>
      </c>
      <c r="O188" s="5">
        <f>IF($D188="","",IF($N188&lt;=-500,"Not recommended right now",IF($E188="Waiting","Nothing else actionable right now — Waiting on: "&amp;IF($K188="","this item",$K188),MID($V188,4,9999))))</f>
        <v/>
      </c>
      <c r="P188" s="5">
        <f>IF($D188="","",IF('Task Finder'!$C$6="High Priority",AND($F188="High",$E188&lt;&gt;"Done",$E188&lt;&gt;"Archive"),IF('Task Finder'!$C$6="Due This Week",AND($I188&lt;&gt;"",$I188&gt;=TODAY(),$I188&lt;=TODAY()+7,$E188&lt;&gt;"Done"),IF('Task Finder'!$C$6="Quick Wins (15 mins or less)",AND($M188&lt;=15,$E188&lt;&gt;"Done",$E188&lt;&gt;"Blocked"),IF('Task Finder'!$C$6="Deep Thinking",AND($G188="Deep Thinking",$E188&lt;&gt;"Done"),IF('Task Finder'!$C$6="Processing",AND($G188="Processing",$E188&lt;&gt;"Done"),IF('Task Finder'!$C$6="Blocked",$E188="Blocked",IF('Task Finder'!$C$6="Waiting",$E188="Waiting",IF('Task Finder'!$C$6="Recently Updated",AND($L188&lt;&gt;"",$L188&gt;=TODAY()-7),IF('Task Finder'!$C$6="Keyword",AND('Task Finder'!$C$7&lt;&gt;"",OR(ISNUMBER(SEARCH('Task Finder'!$C$7,$A188)),ISNUMBER(SEARCH('Task Finder'!$C$7,$B188)),ISNUMBER(SEARCH('Task Finder'!$C$7,$C188)),ISNUMBER(SEARCH('Task Finder'!$C$7,$D188)),ISNUMBER(SEARCH('Task Finder'!$C$7,$K188)))),TRUE))))))))))</f>
        <v/>
      </c>
      <c r="Q188" s="150">
        <f>IF($F188="High","High Priority","")</f>
        <v/>
      </c>
      <c r="R188" s="150">
        <f>IF(AND($I188&lt;&gt;"",$I188&lt;TODAY()),"Overdue","")</f>
        <v/>
      </c>
      <c r="S188" s="150">
        <f>IF(AND($I188&lt;&gt;"",$I188&gt;=TODAY(),$I188&lt;=TODAY()+7),"Due This Week","")</f>
        <v/>
      </c>
      <c r="T188" s="150">
        <f>IF(AND($H188&lt;&gt;"",$M188&lt;=VLOOKUP(Home!$C$7,Lists!$N$2:$O$6,2,FALSE)),$H188&amp;" Task","")</f>
        <v/>
      </c>
      <c r="U188" s="150">
        <f>IF($G188=Home!$E$7,"Fits Current Energy","")</f>
        <v/>
      </c>
      <c r="V188" s="150">
        <f>IF($Q188&lt;&gt;""," • "&amp;$Q188,"")&amp;IF($R188&lt;&gt;""," • "&amp;$R188,"")&amp;IF($S188&lt;&gt;""," • "&amp;$S188,"")&amp;IF($T188&lt;&gt;""," • "&amp;$T188,"")&amp;IF($U188&lt;&gt;""," • "&amp;$U188,"")&amp;" • No Blockers"</f>
        <v/>
      </c>
    </row>
    <row r="189">
      <c r="A189" s="19" t="n"/>
      <c r="B189" s="19" t="n"/>
      <c r="C189" s="19" t="n"/>
      <c r="D189" s="19" t="n"/>
      <c r="E189" s="19" t="n"/>
      <c r="F189" s="19" t="n"/>
      <c r="G189" s="19" t="n"/>
      <c r="H189" s="19" t="n"/>
      <c r="I189" s="19" t="n"/>
      <c r="J189" s="19" t="n"/>
      <c r="K189" s="19" t="n"/>
      <c r="L189" s="35" t="n"/>
      <c r="M189" s="5">
        <f>IF($D189="","",IFERROR(VLOOKUP($H189,Lists!$N$2:$O$6,2,FALSE),0))</f>
        <v/>
      </c>
      <c r="N189" s="5">
        <f>IF($D189="","",IF(OR($E189="Blocked",$E189="Done",$E189="Archive"),-9999,IF(AND($E189="Waiting",SUMPRODUCT((($E$5:$E$500="Next")+($E$5:$E$500="In Progress")+($E$5:$E$500="Captured"))*($D$5:$D$500&lt;&gt;""))&gt;0),-500,VLOOKUP($F189,Lists!$L$2:$M$4,2,FALSE)+IF($E189="In Progress",10,0)+IF(AND($I189&lt;&gt;"",$I189&lt;TODAY()),25,0)+IF(AND($I189&lt;&gt;"",$I189&gt;=TODAY(),$I189&lt;=TODAY()+7),15,0)+IF($H189="",0,IF($M189&lt;=VLOOKUP(Home!$C$7,Lists!$N$2:$O$6,2,FALSE),20,-10))+IF($G189=Home!$E$7,15,IF(Home!$E$7="",0,-5))-ROW()/100000)))</f>
        <v/>
      </c>
      <c r="O189" s="5">
        <f>IF($D189="","",IF($N189&lt;=-500,"Not recommended right now",IF($E189="Waiting","Nothing else actionable right now — Waiting on: "&amp;IF($K189="","this item",$K189),MID($V189,4,9999))))</f>
        <v/>
      </c>
      <c r="P189" s="5">
        <f>IF($D189="","",IF('Task Finder'!$C$6="High Priority",AND($F189="High",$E189&lt;&gt;"Done",$E189&lt;&gt;"Archive"),IF('Task Finder'!$C$6="Due This Week",AND($I189&lt;&gt;"",$I189&gt;=TODAY(),$I189&lt;=TODAY()+7,$E189&lt;&gt;"Done"),IF('Task Finder'!$C$6="Quick Wins (15 mins or less)",AND($M189&lt;=15,$E189&lt;&gt;"Done",$E189&lt;&gt;"Blocked"),IF('Task Finder'!$C$6="Deep Thinking",AND($G189="Deep Thinking",$E189&lt;&gt;"Done"),IF('Task Finder'!$C$6="Processing",AND($G189="Processing",$E189&lt;&gt;"Done"),IF('Task Finder'!$C$6="Blocked",$E189="Blocked",IF('Task Finder'!$C$6="Waiting",$E189="Waiting",IF('Task Finder'!$C$6="Recently Updated",AND($L189&lt;&gt;"",$L189&gt;=TODAY()-7),IF('Task Finder'!$C$6="Keyword",AND('Task Finder'!$C$7&lt;&gt;"",OR(ISNUMBER(SEARCH('Task Finder'!$C$7,$A189)),ISNUMBER(SEARCH('Task Finder'!$C$7,$B189)),ISNUMBER(SEARCH('Task Finder'!$C$7,$C189)),ISNUMBER(SEARCH('Task Finder'!$C$7,$D189)),ISNUMBER(SEARCH('Task Finder'!$C$7,$K189)))),TRUE))))))))))</f>
        <v/>
      </c>
      <c r="Q189" s="150">
        <f>IF($F189="High","High Priority","")</f>
        <v/>
      </c>
      <c r="R189" s="150">
        <f>IF(AND($I189&lt;&gt;"",$I189&lt;TODAY()),"Overdue","")</f>
        <v/>
      </c>
      <c r="S189" s="150">
        <f>IF(AND($I189&lt;&gt;"",$I189&gt;=TODAY(),$I189&lt;=TODAY()+7),"Due This Week","")</f>
        <v/>
      </c>
      <c r="T189" s="150">
        <f>IF(AND($H189&lt;&gt;"",$M189&lt;=VLOOKUP(Home!$C$7,Lists!$N$2:$O$6,2,FALSE)),$H189&amp;" Task","")</f>
        <v/>
      </c>
      <c r="U189" s="150">
        <f>IF($G189=Home!$E$7,"Fits Current Energy","")</f>
        <v/>
      </c>
      <c r="V189" s="150">
        <f>IF($Q189&lt;&gt;""," • "&amp;$Q189,"")&amp;IF($R189&lt;&gt;""," • "&amp;$R189,"")&amp;IF($S189&lt;&gt;""," • "&amp;$S189,"")&amp;IF($T189&lt;&gt;""," • "&amp;$T189,"")&amp;IF($U189&lt;&gt;""," • "&amp;$U189,"")&amp;" • No Blockers"</f>
        <v/>
      </c>
    </row>
    <row r="190">
      <c r="A190" s="19" t="n"/>
      <c r="B190" s="19" t="n"/>
      <c r="C190" s="19" t="n"/>
      <c r="D190" s="19" t="n"/>
      <c r="E190" s="19" t="n"/>
      <c r="F190" s="19" t="n"/>
      <c r="G190" s="19" t="n"/>
      <c r="H190" s="19" t="n"/>
      <c r="I190" s="19" t="n"/>
      <c r="J190" s="19" t="n"/>
      <c r="K190" s="19" t="n"/>
      <c r="L190" s="35" t="n"/>
      <c r="M190" s="5">
        <f>IF($D190="","",IFERROR(VLOOKUP($H190,Lists!$N$2:$O$6,2,FALSE),0))</f>
        <v/>
      </c>
      <c r="N190" s="5">
        <f>IF($D190="","",IF(OR($E190="Blocked",$E190="Done",$E190="Archive"),-9999,IF(AND($E190="Waiting",SUMPRODUCT((($E$5:$E$500="Next")+($E$5:$E$500="In Progress")+($E$5:$E$500="Captured"))*($D$5:$D$500&lt;&gt;""))&gt;0),-500,VLOOKUP($F190,Lists!$L$2:$M$4,2,FALSE)+IF($E190="In Progress",10,0)+IF(AND($I190&lt;&gt;"",$I190&lt;TODAY()),25,0)+IF(AND($I190&lt;&gt;"",$I190&gt;=TODAY(),$I190&lt;=TODAY()+7),15,0)+IF($H190="",0,IF($M190&lt;=VLOOKUP(Home!$C$7,Lists!$N$2:$O$6,2,FALSE),20,-10))+IF($G190=Home!$E$7,15,IF(Home!$E$7="",0,-5))-ROW()/100000)))</f>
        <v/>
      </c>
      <c r="O190" s="5">
        <f>IF($D190="","",IF($N190&lt;=-500,"Not recommended right now",IF($E190="Waiting","Nothing else actionable right now — Waiting on: "&amp;IF($K190="","this item",$K190),MID($V190,4,9999))))</f>
        <v/>
      </c>
      <c r="P190" s="5">
        <f>IF($D190="","",IF('Task Finder'!$C$6="High Priority",AND($F190="High",$E190&lt;&gt;"Done",$E190&lt;&gt;"Archive"),IF('Task Finder'!$C$6="Due This Week",AND($I190&lt;&gt;"",$I190&gt;=TODAY(),$I190&lt;=TODAY()+7,$E190&lt;&gt;"Done"),IF('Task Finder'!$C$6="Quick Wins (15 mins or less)",AND($M190&lt;=15,$E190&lt;&gt;"Done",$E190&lt;&gt;"Blocked"),IF('Task Finder'!$C$6="Deep Thinking",AND($G190="Deep Thinking",$E190&lt;&gt;"Done"),IF('Task Finder'!$C$6="Processing",AND($G190="Processing",$E190&lt;&gt;"Done"),IF('Task Finder'!$C$6="Blocked",$E190="Blocked",IF('Task Finder'!$C$6="Waiting",$E190="Waiting",IF('Task Finder'!$C$6="Recently Updated",AND($L190&lt;&gt;"",$L190&gt;=TODAY()-7),IF('Task Finder'!$C$6="Keyword",AND('Task Finder'!$C$7&lt;&gt;"",OR(ISNUMBER(SEARCH('Task Finder'!$C$7,$A190)),ISNUMBER(SEARCH('Task Finder'!$C$7,$B190)),ISNUMBER(SEARCH('Task Finder'!$C$7,$C190)),ISNUMBER(SEARCH('Task Finder'!$C$7,$D190)),ISNUMBER(SEARCH('Task Finder'!$C$7,$K190)))),TRUE))))))))))</f>
        <v/>
      </c>
      <c r="Q190" s="150">
        <f>IF($F190="High","High Priority","")</f>
        <v/>
      </c>
      <c r="R190" s="150">
        <f>IF(AND($I190&lt;&gt;"",$I190&lt;TODAY()),"Overdue","")</f>
        <v/>
      </c>
      <c r="S190" s="150">
        <f>IF(AND($I190&lt;&gt;"",$I190&gt;=TODAY(),$I190&lt;=TODAY()+7),"Due This Week","")</f>
        <v/>
      </c>
      <c r="T190" s="150">
        <f>IF(AND($H190&lt;&gt;"",$M190&lt;=VLOOKUP(Home!$C$7,Lists!$N$2:$O$6,2,FALSE)),$H190&amp;" Task","")</f>
        <v/>
      </c>
      <c r="U190" s="150">
        <f>IF($G190=Home!$E$7,"Fits Current Energy","")</f>
        <v/>
      </c>
      <c r="V190" s="150">
        <f>IF($Q190&lt;&gt;""," • "&amp;$Q190,"")&amp;IF($R190&lt;&gt;""," • "&amp;$R190,"")&amp;IF($S190&lt;&gt;""," • "&amp;$S190,"")&amp;IF($T190&lt;&gt;""," • "&amp;$T190,"")&amp;IF($U190&lt;&gt;""," • "&amp;$U190,"")&amp;" • No Blockers"</f>
        <v/>
      </c>
    </row>
    <row r="191">
      <c r="A191" s="19" t="n"/>
      <c r="B191" s="19" t="n"/>
      <c r="C191" s="19" t="n"/>
      <c r="D191" s="19" t="n"/>
      <c r="E191" s="19" t="n"/>
      <c r="F191" s="19" t="n"/>
      <c r="G191" s="19" t="n"/>
      <c r="H191" s="19" t="n"/>
      <c r="I191" s="19" t="n"/>
      <c r="J191" s="19" t="n"/>
      <c r="K191" s="19" t="n"/>
      <c r="L191" s="35" t="n"/>
      <c r="M191" s="5">
        <f>IF($D191="","",IFERROR(VLOOKUP($H191,Lists!$N$2:$O$6,2,FALSE),0))</f>
        <v/>
      </c>
      <c r="N191" s="5">
        <f>IF($D191="","",IF(OR($E191="Blocked",$E191="Done",$E191="Archive"),-9999,IF(AND($E191="Waiting",SUMPRODUCT((($E$5:$E$500="Next")+($E$5:$E$500="In Progress")+($E$5:$E$500="Captured"))*($D$5:$D$500&lt;&gt;""))&gt;0),-500,VLOOKUP($F191,Lists!$L$2:$M$4,2,FALSE)+IF($E191="In Progress",10,0)+IF(AND($I191&lt;&gt;"",$I191&lt;TODAY()),25,0)+IF(AND($I191&lt;&gt;"",$I191&gt;=TODAY(),$I191&lt;=TODAY()+7),15,0)+IF($H191="",0,IF($M191&lt;=VLOOKUP(Home!$C$7,Lists!$N$2:$O$6,2,FALSE),20,-10))+IF($G191=Home!$E$7,15,IF(Home!$E$7="",0,-5))-ROW()/100000)))</f>
        <v/>
      </c>
      <c r="O191" s="5">
        <f>IF($D191="","",IF($N191&lt;=-500,"Not recommended right now",IF($E191="Waiting","Nothing else actionable right now — Waiting on: "&amp;IF($K191="","this item",$K191),MID($V191,4,9999))))</f>
        <v/>
      </c>
      <c r="P191" s="5">
        <f>IF($D191="","",IF('Task Finder'!$C$6="High Priority",AND($F191="High",$E191&lt;&gt;"Done",$E191&lt;&gt;"Archive"),IF('Task Finder'!$C$6="Due This Week",AND($I191&lt;&gt;"",$I191&gt;=TODAY(),$I191&lt;=TODAY()+7,$E191&lt;&gt;"Done"),IF('Task Finder'!$C$6="Quick Wins (15 mins or less)",AND($M191&lt;=15,$E191&lt;&gt;"Done",$E191&lt;&gt;"Blocked"),IF('Task Finder'!$C$6="Deep Thinking",AND($G191="Deep Thinking",$E191&lt;&gt;"Done"),IF('Task Finder'!$C$6="Processing",AND($G191="Processing",$E191&lt;&gt;"Done"),IF('Task Finder'!$C$6="Blocked",$E191="Blocked",IF('Task Finder'!$C$6="Waiting",$E191="Waiting",IF('Task Finder'!$C$6="Recently Updated",AND($L191&lt;&gt;"",$L191&gt;=TODAY()-7),IF('Task Finder'!$C$6="Keyword",AND('Task Finder'!$C$7&lt;&gt;"",OR(ISNUMBER(SEARCH('Task Finder'!$C$7,$A191)),ISNUMBER(SEARCH('Task Finder'!$C$7,$B191)),ISNUMBER(SEARCH('Task Finder'!$C$7,$C191)),ISNUMBER(SEARCH('Task Finder'!$C$7,$D191)),ISNUMBER(SEARCH('Task Finder'!$C$7,$K191)))),TRUE))))))))))</f>
        <v/>
      </c>
      <c r="Q191" s="150">
        <f>IF($F191="High","High Priority","")</f>
        <v/>
      </c>
      <c r="R191" s="150">
        <f>IF(AND($I191&lt;&gt;"",$I191&lt;TODAY()),"Overdue","")</f>
        <v/>
      </c>
      <c r="S191" s="150">
        <f>IF(AND($I191&lt;&gt;"",$I191&gt;=TODAY(),$I191&lt;=TODAY()+7),"Due This Week","")</f>
        <v/>
      </c>
      <c r="T191" s="150">
        <f>IF(AND($H191&lt;&gt;"",$M191&lt;=VLOOKUP(Home!$C$7,Lists!$N$2:$O$6,2,FALSE)),$H191&amp;" Task","")</f>
        <v/>
      </c>
      <c r="U191" s="150">
        <f>IF($G191=Home!$E$7,"Fits Current Energy","")</f>
        <v/>
      </c>
      <c r="V191" s="150">
        <f>IF($Q191&lt;&gt;""," • "&amp;$Q191,"")&amp;IF($R191&lt;&gt;""," • "&amp;$R191,"")&amp;IF($S191&lt;&gt;""," • "&amp;$S191,"")&amp;IF($T191&lt;&gt;""," • "&amp;$T191,"")&amp;IF($U191&lt;&gt;""," • "&amp;$U191,"")&amp;" • No Blockers"</f>
        <v/>
      </c>
    </row>
    <row r="192">
      <c r="A192" s="19" t="n"/>
      <c r="B192" s="19" t="n"/>
      <c r="C192" s="19" t="n"/>
      <c r="D192" s="19" t="n"/>
      <c r="E192" s="19" t="n"/>
      <c r="F192" s="19" t="n"/>
      <c r="G192" s="19" t="n"/>
      <c r="H192" s="19" t="n"/>
      <c r="I192" s="19" t="n"/>
      <c r="J192" s="19" t="n"/>
      <c r="K192" s="19" t="n"/>
      <c r="L192" s="35" t="n"/>
      <c r="M192" s="5">
        <f>IF($D192="","",IFERROR(VLOOKUP($H192,Lists!$N$2:$O$6,2,FALSE),0))</f>
        <v/>
      </c>
      <c r="N192" s="5">
        <f>IF($D192="","",IF(OR($E192="Blocked",$E192="Done",$E192="Archive"),-9999,IF(AND($E192="Waiting",SUMPRODUCT((($E$5:$E$500="Next")+($E$5:$E$500="In Progress")+($E$5:$E$500="Captured"))*($D$5:$D$500&lt;&gt;""))&gt;0),-500,VLOOKUP($F192,Lists!$L$2:$M$4,2,FALSE)+IF($E192="In Progress",10,0)+IF(AND($I192&lt;&gt;"",$I192&lt;TODAY()),25,0)+IF(AND($I192&lt;&gt;"",$I192&gt;=TODAY(),$I192&lt;=TODAY()+7),15,0)+IF($H192="",0,IF($M192&lt;=VLOOKUP(Home!$C$7,Lists!$N$2:$O$6,2,FALSE),20,-10))+IF($G192=Home!$E$7,15,IF(Home!$E$7="",0,-5))-ROW()/100000)))</f>
        <v/>
      </c>
      <c r="O192" s="5">
        <f>IF($D192="","",IF($N192&lt;=-500,"Not recommended right now",IF($E192="Waiting","Nothing else actionable right now — Waiting on: "&amp;IF($K192="","this item",$K192),MID($V192,4,9999))))</f>
        <v/>
      </c>
      <c r="P192" s="5">
        <f>IF($D192="","",IF('Task Finder'!$C$6="High Priority",AND($F192="High",$E192&lt;&gt;"Done",$E192&lt;&gt;"Archive"),IF('Task Finder'!$C$6="Due This Week",AND($I192&lt;&gt;"",$I192&gt;=TODAY(),$I192&lt;=TODAY()+7,$E192&lt;&gt;"Done"),IF('Task Finder'!$C$6="Quick Wins (15 mins or less)",AND($M192&lt;=15,$E192&lt;&gt;"Done",$E192&lt;&gt;"Blocked"),IF('Task Finder'!$C$6="Deep Thinking",AND($G192="Deep Thinking",$E192&lt;&gt;"Done"),IF('Task Finder'!$C$6="Processing",AND($G192="Processing",$E192&lt;&gt;"Done"),IF('Task Finder'!$C$6="Blocked",$E192="Blocked",IF('Task Finder'!$C$6="Waiting",$E192="Waiting",IF('Task Finder'!$C$6="Recently Updated",AND($L192&lt;&gt;"",$L192&gt;=TODAY()-7),IF('Task Finder'!$C$6="Keyword",AND('Task Finder'!$C$7&lt;&gt;"",OR(ISNUMBER(SEARCH('Task Finder'!$C$7,$A192)),ISNUMBER(SEARCH('Task Finder'!$C$7,$B192)),ISNUMBER(SEARCH('Task Finder'!$C$7,$C192)),ISNUMBER(SEARCH('Task Finder'!$C$7,$D192)),ISNUMBER(SEARCH('Task Finder'!$C$7,$K192)))),TRUE))))))))))</f>
        <v/>
      </c>
      <c r="Q192" s="150">
        <f>IF($F192="High","High Priority","")</f>
        <v/>
      </c>
      <c r="R192" s="150">
        <f>IF(AND($I192&lt;&gt;"",$I192&lt;TODAY()),"Overdue","")</f>
        <v/>
      </c>
      <c r="S192" s="150">
        <f>IF(AND($I192&lt;&gt;"",$I192&gt;=TODAY(),$I192&lt;=TODAY()+7),"Due This Week","")</f>
        <v/>
      </c>
      <c r="T192" s="150">
        <f>IF(AND($H192&lt;&gt;"",$M192&lt;=VLOOKUP(Home!$C$7,Lists!$N$2:$O$6,2,FALSE)),$H192&amp;" Task","")</f>
        <v/>
      </c>
      <c r="U192" s="150">
        <f>IF($G192=Home!$E$7,"Fits Current Energy","")</f>
        <v/>
      </c>
      <c r="V192" s="150">
        <f>IF($Q192&lt;&gt;""," • "&amp;$Q192,"")&amp;IF($R192&lt;&gt;""," • "&amp;$R192,"")&amp;IF($S192&lt;&gt;""," • "&amp;$S192,"")&amp;IF($T192&lt;&gt;""," • "&amp;$T192,"")&amp;IF($U192&lt;&gt;""," • "&amp;$U192,"")&amp;" • No Blockers"</f>
        <v/>
      </c>
    </row>
    <row r="193">
      <c r="A193" s="19" t="n"/>
      <c r="B193" s="19" t="n"/>
      <c r="C193" s="19" t="n"/>
      <c r="D193" s="19" t="n"/>
      <c r="E193" s="19" t="n"/>
      <c r="F193" s="19" t="n"/>
      <c r="G193" s="19" t="n"/>
      <c r="H193" s="19" t="n"/>
      <c r="I193" s="19" t="n"/>
      <c r="J193" s="19" t="n"/>
      <c r="K193" s="19" t="n"/>
      <c r="L193" s="35" t="n"/>
      <c r="M193" s="5">
        <f>IF($D193="","",IFERROR(VLOOKUP($H193,Lists!$N$2:$O$6,2,FALSE),0))</f>
        <v/>
      </c>
      <c r="N193" s="5">
        <f>IF($D193="","",IF(OR($E193="Blocked",$E193="Done",$E193="Archive"),-9999,IF(AND($E193="Waiting",SUMPRODUCT((($E$5:$E$500="Next")+($E$5:$E$500="In Progress")+($E$5:$E$500="Captured"))*($D$5:$D$500&lt;&gt;""))&gt;0),-500,VLOOKUP($F193,Lists!$L$2:$M$4,2,FALSE)+IF($E193="In Progress",10,0)+IF(AND($I193&lt;&gt;"",$I193&lt;TODAY()),25,0)+IF(AND($I193&lt;&gt;"",$I193&gt;=TODAY(),$I193&lt;=TODAY()+7),15,0)+IF($H193="",0,IF($M193&lt;=VLOOKUP(Home!$C$7,Lists!$N$2:$O$6,2,FALSE),20,-10))+IF($G193=Home!$E$7,15,IF(Home!$E$7="",0,-5))-ROW()/100000)))</f>
        <v/>
      </c>
      <c r="O193" s="5">
        <f>IF($D193="","",IF($N193&lt;=-500,"Not recommended right now",IF($E193="Waiting","Nothing else actionable right now — Waiting on: "&amp;IF($K193="","this item",$K193),MID($V193,4,9999))))</f>
        <v/>
      </c>
      <c r="P193" s="5">
        <f>IF($D193="","",IF('Task Finder'!$C$6="High Priority",AND($F193="High",$E193&lt;&gt;"Done",$E193&lt;&gt;"Archive"),IF('Task Finder'!$C$6="Due This Week",AND($I193&lt;&gt;"",$I193&gt;=TODAY(),$I193&lt;=TODAY()+7,$E193&lt;&gt;"Done"),IF('Task Finder'!$C$6="Quick Wins (15 mins or less)",AND($M193&lt;=15,$E193&lt;&gt;"Done",$E193&lt;&gt;"Blocked"),IF('Task Finder'!$C$6="Deep Thinking",AND($G193="Deep Thinking",$E193&lt;&gt;"Done"),IF('Task Finder'!$C$6="Processing",AND($G193="Processing",$E193&lt;&gt;"Done"),IF('Task Finder'!$C$6="Blocked",$E193="Blocked",IF('Task Finder'!$C$6="Waiting",$E193="Waiting",IF('Task Finder'!$C$6="Recently Updated",AND($L193&lt;&gt;"",$L193&gt;=TODAY()-7),IF('Task Finder'!$C$6="Keyword",AND('Task Finder'!$C$7&lt;&gt;"",OR(ISNUMBER(SEARCH('Task Finder'!$C$7,$A193)),ISNUMBER(SEARCH('Task Finder'!$C$7,$B193)),ISNUMBER(SEARCH('Task Finder'!$C$7,$C193)),ISNUMBER(SEARCH('Task Finder'!$C$7,$D193)),ISNUMBER(SEARCH('Task Finder'!$C$7,$K193)))),TRUE))))))))))</f>
        <v/>
      </c>
      <c r="Q193" s="150">
        <f>IF($F193="High","High Priority","")</f>
        <v/>
      </c>
      <c r="R193" s="150">
        <f>IF(AND($I193&lt;&gt;"",$I193&lt;TODAY()),"Overdue","")</f>
        <v/>
      </c>
      <c r="S193" s="150">
        <f>IF(AND($I193&lt;&gt;"",$I193&gt;=TODAY(),$I193&lt;=TODAY()+7),"Due This Week","")</f>
        <v/>
      </c>
      <c r="T193" s="150">
        <f>IF(AND($H193&lt;&gt;"",$M193&lt;=VLOOKUP(Home!$C$7,Lists!$N$2:$O$6,2,FALSE)),$H193&amp;" Task","")</f>
        <v/>
      </c>
      <c r="U193" s="150">
        <f>IF($G193=Home!$E$7,"Fits Current Energy","")</f>
        <v/>
      </c>
      <c r="V193" s="150">
        <f>IF($Q193&lt;&gt;""," • "&amp;$Q193,"")&amp;IF($R193&lt;&gt;""," • "&amp;$R193,"")&amp;IF($S193&lt;&gt;""," • "&amp;$S193,"")&amp;IF($T193&lt;&gt;""," • "&amp;$T193,"")&amp;IF($U193&lt;&gt;""," • "&amp;$U193,"")&amp;" • No Blockers"</f>
        <v/>
      </c>
    </row>
    <row r="194">
      <c r="A194" s="19" t="n"/>
      <c r="B194" s="19" t="n"/>
      <c r="C194" s="19" t="n"/>
      <c r="D194" s="19" t="n"/>
      <c r="E194" s="19" t="n"/>
      <c r="F194" s="19" t="n"/>
      <c r="G194" s="19" t="n"/>
      <c r="H194" s="19" t="n"/>
      <c r="I194" s="19" t="n"/>
      <c r="J194" s="19" t="n"/>
      <c r="K194" s="19" t="n"/>
      <c r="L194" s="35" t="n"/>
      <c r="M194" s="5">
        <f>IF($D194="","",IFERROR(VLOOKUP($H194,Lists!$N$2:$O$6,2,FALSE),0))</f>
        <v/>
      </c>
      <c r="N194" s="5">
        <f>IF($D194="","",IF(OR($E194="Blocked",$E194="Done",$E194="Archive"),-9999,IF(AND($E194="Waiting",SUMPRODUCT((($E$5:$E$500="Next")+($E$5:$E$500="In Progress")+($E$5:$E$500="Captured"))*($D$5:$D$500&lt;&gt;""))&gt;0),-500,VLOOKUP($F194,Lists!$L$2:$M$4,2,FALSE)+IF($E194="In Progress",10,0)+IF(AND($I194&lt;&gt;"",$I194&lt;TODAY()),25,0)+IF(AND($I194&lt;&gt;"",$I194&gt;=TODAY(),$I194&lt;=TODAY()+7),15,0)+IF($H194="",0,IF($M194&lt;=VLOOKUP(Home!$C$7,Lists!$N$2:$O$6,2,FALSE),20,-10))+IF($G194=Home!$E$7,15,IF(Home!$E$7="",0,-5))-ROW()/100000)))</f>
        <v/>
      </c>
      <c r="O194" s="5">
        <f>IF($D194="","",IF($N194&lt;=-500,"Not recommended right now",IF($E194="Waiting","Nothing else actionable right now — Waiting on: "&amp;IF($K194="","this item",$K194),MID($V194,4,9999))))</f>
        <v/>
      </c>
      <c r="P194" s="5">
        <f>IF($D194="","",IF('Task Finder'!$C$6="High Priority",AND($F194="High",$E194&lt;&gt;"Done",$E194&lt;&gt;"Archive"),IF('Task Finder'!$C$6="Due This Week",AND($I194&lt;&gt;"",$I194&gt;=TODAY(),$I194&lt;=TODAY()+7,$E194&lt;&gt;"Done"),IF('Task Finder'!$C$6="Quick Wins (15 mins or less)",AND($M194&lt;=15,$E194&lt;&gt;"Done",$E194&lt;&gt;"Blocked"),IF('Task Finder'!$C$6="Deep Thinking",AND($G194="Deep Thinking",$E194&lt;&gt;"Done"),IF('Task Finder'!$C$6="Processing",AND($G194="Processing",$E194&lt;&gt;"Done"),IF('Task Finder'!$C$6="Blocked",$E194="Blocked",IF('Task Finder'!$C$6="Waiting",$E194="Waiting",IF('Task Finder'!$C$6="Recently Updated",AND($L194&lt;&gt;"",$L194&gt;=TODAY()-7),IF('Task Finder'!$C$6="Keyword",AND('Task Finder'!$C$7&lt;&gt;"",OR(ISNUMBER(SEARCH('Task Finder'!$C$7,$A194)),ISNUMBER(SEARCH('Task Finder'!$C$7,$B194)),ISNUMBER(SEARCH('Task Finder'!$C$7,$C194)),ISNUMBER(SEARCH('Task Finder'!$C$7,$D194)),ISNUMBER(SEARCH('Task Finder'!$C$7,$K194)))),TRUE))))))))))</f>
        <v/>
      </c>
      <c r="Q194" s="150">
        <f>IF($F194="High","High Priority","")</f>
        <v/>
      </c>
      <c r="R194" s="150">
        <f>IF(AND($I194&lt;&gt;"",$I194&lt;TODAY()),"Overdue","")</f>
        <v/>
      </c>
      <c r="S194" s="150">
        <f>IF(AND($I194&lt;&gt;"",$I194&gt;=TODAY(),$I194&lt;=TODAY()+7),"Due This Week","")</f>
        <v/>
      </c>
      <c r="T194" s="150">
        <f>IF(AND($H194&lt;&gt;"",$M194&lt;=VLOOKUP(Home!$C$7,Lists!$N$2:$O$6,2,FALSE)),$H194&amp;" Task","")</f>
        <v/>
      </c>
      <c r="U194" s="150">
        <f>IF($G194=Home!$E$7,"Fits Current Energy","")</f>
        <v/>
      </c>
      <c r="V194" s="150">
        <f>IF($Q194&lt;&gt;""," • "&amp;$Q194,"")&amp;IF($R194&lt;&gt;""," • "&amp;$R194,"")&amp;IF($S194&lt;&gt;""," • "&amp;$S194,"")&amp;IF($T194&lt;&gt;""," • "&amp;$T194,"")&amp;IF($U194&lt;&gt;""," • "&amp;$U194,"")&amp;" • No Blockers"</f>
        <v/>
      </c>
    </row>
    <row r="195">
      <c r="A195" s="19" t="n"/>
      <c r="B195" s="19" t="n"/>
      <c r="C195" s="19" t="n"/>
      <c r="D195" s="19" t="n"/>
      <c r="E195" s="19" t="n"/>
      <c r="F195" s="19" t="n"/>
      <c r="G195" s="19" t="n"/>
      <c r="H195" s="19" t="n"/>
      <c r="I195" s="19" t="n"/>
      <c r="J195" s="19" t="n"/>
      <c r="K195" s="19" t="n"/>
      <c r="L195" s="35" t="n"/>
      <c r="M195" s="5">
        <f>IF($D195="","",IFERROR(VLOOKUP($H195,Lists!$N$2:$O$6,2,FALSE),0))</f>
        <v/>
      </c>
      <c r="N195" s="5">
        <f>IF($D195="","",IF(OR($E195="Blocked",$E195="Done",$E195="Archive"),-9999,IF(AND($E195="Waiting",SUMPRODUCT((($E$5:$E$500="Next")+($E$5:$E$500="In Progress")+($E$5:$E$500="Captured"))*($D$5:$D$500&lt;&gt;""))&gt;0),-500,VLOOKUP($F195,Lists!$L$2:$M$4,2,FALSE)+IF($E195="In Progress",10,0)+IF(AND($I195&lt;&gt;"",$I195&lt;TODAY()),25,0)+IF(AND($I195&lt;&gt;"",$I195&gt;=TODAY(),$I195&lt;=TODAY()+7),15,0)+IF($H195="",0,IF($M195&lt;=VLOOKUP(Home!$C$7,Lists!$N$2:$O$6,2,FALSE),20,-10))+IF($G195=Home!$E$7,15,IF(Home!$E$7="",0,-5))-ROW()/100000)))</f>
        <v/>
      </c>
      <c r="O195" s="5">
        <f>IF($D195="","",IF($N195&lt;=-500,"Not recommended right now",IF($E195="Waiting","Nothing else actionable right now — Waiting on: "&amp;IF($K195="","this item",$K195),MID($V195,4,9999))))</f>
        <v/>
      </c>
      <c r="P195" s="5">
        <f>IF($D195="","",IF('Task Finder'!$C$6="High Priority",AND($F195="High",$E195&lt;&gt;"Done",$E195&lt;&gt;"Archive"),IF('Task Finder'!$C$6="Due This Week",AND($I195&lt;&gt;"",$I195&gt;=TODAY(),$I195&lt;=TODAY()+7,$E195&lt;&gt;"Done"),IF('Task Finder'!$C$6="Quick Wins (15 mins or less)",AND($M195&lt;=15,$E195&lt;&gt;"Done",$E195&lt;&gt;"Blocked"),IF('Task Finder'!$C$6="Deep Thinking",AND($G195="Deep Thinking",$E195&lt;&gt;"Done"),IF('Task Finder'!$C$6="Processing",AND($G195="Processing",$E195&lt;&gt;"Done"),IF('Task Finder'!$C$6="Blocked",$E195="Blocked",IF('Task Finder'!$C$6="Waiting",$E195="Waiting",IF('Task Finder'!$C$6="Recently Updated",AND($L195&lt;&gt;"",$L195&gt;=TODAY()-7),IF('Task Finder'!$C$6="Keyword",AND('Task Finder'!$C$7&lt;&gt;"",OR(ISNUMBER(SEARCH('Task Finder'!$C$7,$A195)),ISNUMBER(SEARCH('Task Finder'!$C$7,$B195)),ISNUMBER(SEARCH('Task Finder'!$C$7,$C195)),ISNUMBER(SEARCH('Task Finder'!$C$7,$D195)),ISNUMBER(SEARCH('Task Finder'!$C$7,$K195)))),TRUE))))))))))</f>
        <v/>
      </c>
      <c r="Q195" s="150">
        <f>IF($F195="High","High Priority","")</f>
        <v/>
      </c>
      <c r="R195" s="150">
        <f>IF(AND($I195&lt;&gt;"",$I195&lt;TODAY()),"Overdue","")</f>
        <v/>
      </c>
      <c r="S195" s="150">
        <f>IF(AND($I195&lt;&gt;"",$I195&gt;=TODAY(),$I195&lt;=TODAY()+7),"Due This Week","")</f>
        <v/>
      </c>
      <c r="T195" s="150">
        <f>IF(AND($H195&lt;&gt;"",$M195&lt;=VLOOKUP(Home!$C$7,Lists!$N$2:$O$6,2,FALSE)),$H195&amp;" Task","")</f>
        <v/>
      </c>
      <c r="U195" s="150">
        <f>IF($G195=Home!$E$7,"Fits Current Energy","")</f>
        <v/>
      </c>
      <c r="V195" s="150">
        <f>IF($Q195&lt;&gt;""," • "&amp;$Q195,"")&amp;IF($R195&lt;&gt;""," • "&amp;$R195,"")&amp;IF($S195&lt;&gt;""," • "&amp;$S195,"")&amp;IF($T195&lt;&gt;""," • "&amp;$T195,"")&amp;IF($U195&lt;&gt;""," • "&amp;$U195,"")&amp;" • No Blockers"</f>
        <v/>
      </c>
    </row>
    <row r="196">
      <c r="A196" s="19" t="n"/>
      <c r="B196" s="19" t="n"/>
      <c r="C196" s="19" t="n"/>
      <c r="D196" s="19" t="n"/>
      <c r="E196" s="19" t="n"/>
      <c r="F196" s="19" t="n"/>
      <c r="G196" s="19" t="n"/>
      <c r="H196" s="19" t="n"/>
      <c r="I196" s="19" t="n"/>
      <c r="J196" s="19" t="n"/>
      <c r="K196" s="19" t="n"/>
      <c r="L196" s="35" t="n"/>
      <c r="M196" s="5">
        <f>IF($D196="","",IFERROR(VLOOKUP($H196,Lists!$N$2:$O$6,2,FALSE),0))</f>
        <v/>
      </c>
      <c r="N196" s="5">
        <f>IF($D196="","",IF(OR($E196="Blocked",$E196="Done",$E196="Archive"),-9999,IF(AND($E196="Waiting",SUMPRODUCT((($E$5:$E$500="Next")+($E$5:$E$500="In Progress")+($E$5:$E$500="Captured"))*($D$5:$D$500&lt;&gt;""))&gt;0),-500,VLOOKUP($F196,Lists!$L$2:$M$4,2,FALSE)+IF($E196="In Progress",10,0)+IF(AND($I196&lt;&gt;"",$I196&lt;TODAY()),25,0)+IF(AND($I196&lt;&gt;"",$I196&gt;=TODAY(),$I196&lt;=TODAY()+7),15,0)+IF($H196="",0,IF($M196&lt;=VLOOKUP(Home!$C$7,Lists!$N$2:$O$6,2,FALSE),20,-10))+IF($G196=Home!$E$7,15,IF(Home!$E$7="",0,-5))-ROW()/100000)))</f>
        <v/>
      </c>
      <c r="O196" s="5">
        <f>IF($D196="","",IF($N196&lt;=-500,"Not recommended right now",IF($E196="Waiting","Nothing else actionable right now — Waiting on: "&amp;IF($K196="","this item",$K196),MID($V196,4,9999))))</f>
        <v/>
      </c>
      <c r="P196" s="5">
        <f>IF($D196="","",IF('Task Finder'!$C$6="High Priority",AND($F196="High",$E196&lt;&gt;"Done",$E196&lt;&gt;"Archive"),IF('Task Finder'!$C$6="Due This Week",AND($I196&lt;&gt;"",$I196&gt;=TODAY(),$I196&lt;=TODAY()+7,$E196&lt;&gt;"Done"),IF('Task Finder'!$C$6="Quick Wins (15 mins or less)",AND($M196&lt;=15,$E196&lt;&gt;"Done",$E196&lt;&gt;"Blocked"),IF('Task Finder'!$C$6="Deep Thinking",AND($G196="Deep Thinking",$E196&lt;&gt;"Done"),IF('Task Finder'!$C$6="Processing",AND($G196="Processing",$E196&lt;&gt;"Done"),IF('Task Finder'!$C$6="Blocked",$E196="Blocked",IF('Task Finder'!$C$6="Waiting",$E196="Waiting",IF('Task Finder'!$C$6="Recently Updated",AND($L196&lt;&gt;"",$L196&gt;=TODAY()-7),IF('Task Finder'!$C$6="Keyword",AND('Task Finder'!$C$7&lt;&gt;"",OR(ISNUMBER(SEARCH('Task Finder'!$C$7,$A196)),ISNUMBER(SEARCH('Task Finder'!$C$7,$B196)),ISNUMBER(SEARCH('Task Finder'!$C$7,$C196)),ISNUMBER(SEARCH('Task Finder'!$C$7,$D196)),ISNUMBER(SEARCH('Task Finder'!$C$7,$K196)))),TRUE))))))))))</f>
        <v/>
      </c>
      <c r="Q196" s="150">
        <f>IF($F196="High","High Priority","")</f>
        <v/>
      </c>
      <c r="R196" s="150">
        <f>IF(AND($I196&lt;&gt;"",$I196&lt;TODAY()),"Overdue","")</f>
        <v/>
      </c>
      <c r="S196" s="150">
        <f>IF(AND($I196&lt;&gt;"",$I196&gt;=TODAY(),$I196&lt;=TODAY()+7),"Due This Week","")</f>
        <v/>
      </c>
      <c r="T196" s="150">
        <f>IF(AND($H196&lt;&gt;"",$M196&lt;=VLOOKUP(Home!$C$7,Lists!$N$2:$O$6,2,FALSE)),$H196&amp;" Task","")</f>
        <v/>
      </c>
      <c r="U196" s="150">
        <f>IF($G196=Home!$E$7,"Fits Current Energy","")</f>
        <v/>
      </c>
      <c r="V196" s="150">
        <f>IF($Q196&lt;&gt;""," • "&amp;$Q196,"")&amp;IF($R196&lt;&gt;""," • "&amp;$R196,"")&amp;IF($S196&lt;&gt;""," • "&amp;$S196,"")&amp;IF($T196&lt;&gt;""," • "&amp;$T196,"")&amp;IF($U196&lt;&gt;""," • "&amp;$U196,"")&amp;" • No Blockers"</f>
        <v/>
      </c>
    </row>
    <row r="197">
      <c r="A197" s="19" t="n"/>
      <c r="B197" s="19" t="n"/>
      <c r="C197" s="19" t="n"/>
      <c r="D197" s="19" t="n"/>
      <c r="E197" s="19" t="n"/>
      <c r="F197" s="19" t="n"/>
      <c r="G197" s="19" t="n"/>
      <c r="H197" s="19" t="n"/>
      <c r="I197" s="19" t="n"/>
      <c r="J197" s="19" t="n"/>
      <c r="K197" s="19" t="n"/>
      <c r="L197" s="35" t="n"/>
      <c r="M197" s="5">
        <f>IF($D197="","",IFERROR(VLOOKUP($H197,Lists!$N$2:$O$6,2,FALSE),0))</f>
        <v/>
      </c>
      <c r="N197" s="5">
        <f>IF($D197="","",IF(OR($E197="Blocked",$E197="Done",$E197="Archive"),-9999,IF(AND($E197="Waiting",SUMPRODUCT((($E$5:$E$500="Next")+($E$5:$E$500="In Progress")+($E$5:$E$500="Captured"))*($D$5:$D$500&lt;&gt;""))&gt;0),-500,VLOOKUP($F197,Lists!$L$2:$M$4,2,FALSE)+IF($E197="In Progress",10,0)+IF(AND($I197&lt;&gt;"",$I197&lt;TODAY()),25,0)+IF(AND($I197&lt;&gt;"",$I197&gt;=TODAY(),$I197&lt;=TODAY()+7),15,0)+IF($H197="",0,IF($M197&lt;=VLOOKUP(Home!$C$7,Lists!$N$2:$O$6,2,FALSE),20,-10))+IF($G197=Home!$E$7,15,IF(Home!$E$7="",0,-5))-ROW()/100000)))</f>
        <v/>
      </c>
      <c r="O197" s="5">
        <f>IF($D197="","",IF($N197&lt;=-500,"Not recommended right now",IF($E197="Waiting","Nothing else actionable right now — Waiting on: "&amp;IF($K197="","this item",$K197),MID($V197,4,9999))))</f>
        <v/>
      </c>
      <c r="P197" s="5">
        <f>IF($D197="","",IF('Task Finder'!$C$6="High Priority",AND($F197="High",$E197&lt;&gt;"Done",$E197&lt;&gt;"Archive"),IF('Task Finder'!$C$6="Due This Week",AND($I197&lt;&gt;"",$I197&gt;=TODAY(),$I197&lt;=TODAY()+7,$E197&lt;&gt;"Done"),IF('Task Finder'!$C$6="Quick Wins (15 mins or less)",AND($M197&lt;=15,$E197&lt;&gt;"Done",$E197&lt;&gt;"Blocked"),IF('Task Finder'!$C$6="Deep Thinking",AND($G197="Deep Thinking",$E197&lt;&gt;"Done"),IF('Task Finder'!$C$6="Processing",AND($G197="Processing",$E197&lt;&gt;"Done"),IF('Task Finder'!$C$6="Blocked",$E197="Blocked",IF('Task Finder'!$C$6="Waiting",$E197="Waiting",IF('Task Finder'!$C$6="Recently Updated",AND($L197&lt;&gt;"",$L197&gt;=TODAY()-7),IF('Task Finder'!$C$6="Keyword",AND('Task Finder'!$C$7&lt;&gt;"",OR(ISNUMBER(SEARCH('Task Finder'!$C$7,$A197)),ISNUMBER(SEARCH('Task Finder'!$C$7,$B197)),ISNUMBER(SEARCH('Task Finder'!$C$7,$C197)),ISNUMBER(SEARCH('Task Finder'!$C$7,$D197)),ISNUMBER(SEARCH('Task Finder'!$C$7,$K197)))),TRUE))))))))))</f>
        <v/>
      </c>
      <c r="Q197" s="150">
        <f>IF($F197="High","High Priority","")</f>
        <v/>
      </c>
      <c r="R197" s="150">
        <f>IF(AND($I197&lt;&gt;"",$I197&lt;TODAY()),"Overdue","")</f>
        <v/>
      </c>
      <c r="S197" s="150">
        <f>IF(AND($I197&lt;&gt;"",$I197&gt;=TODAY(),$I197&lt;=TODAY()+7),"Due This Week","")</f>
        <v/>
      </c>
      <c r="T197" s="150">
        <f>IF(AND($H197&lt;&gt;"",$M197&lt;=VLOOKUP(Home!$C$7,Lists!$N$2:$O$6,2,FALSE)),$H197&amp;" Task","")</f>
        <v/>
      </c>
      <c r="U197" s="150">
        <f>IF($G197=Home!$E$7,"Fits Current Energy","")</f>
        <v/>
      </c>
      <c r="V197" s="150">
        <f>IF($Q197&lt;&gt;""," • "&amp;$Q197,"")&amp;IF($R197&lt;&gt;""," • "&amp;$R197,"")&amp;IF($S197&lt;&gt;""," • "&amp;$S197,"")&amp;IF($T197&lt;&gt;""," • "&amp;$T197,"")&amp;IF($U197&lt;&gt;""," • "&amp;$U197,"")&amp;" • No Blockers"</f>
        <v/>
      </c>
    </row>
    <row r="198">
      <c r="A198" s="19" t="n"/>
      <c r="B198" s="19" t="n"/>
      <c r="C198" s="19" t="n"/>
      <c r="D198" s="19" t="n"/>
      <c r="E198" s="19" t="n"/>
      <c r="F198" s="19" t="n"/>
      <c r="G198" s="19" t="n"/>
      <c r="H198" s="19" t="n"/>
      <c r="I198" s="19" t="n"/>
      <c r="J198" s="19" t="n"/>
      <c r="K198" s="19" t="n"/>
      <c r="L198" s="35" t="n"/>
      <c r="M198" s="5">
        <f>IF($D198="","",IFERROR(VLOOKUP($H198,Lists!$N$2:$O$6,2,FALSE),0))</f>
        <v/>
      </c>
      <c r="N198" s="5">
        <f>IF($D198="","",IF(OR($E198="Blocked",$E198="Done",$E198="Archive"),-9999,IF(AND($E198="Waiting",SUMPRODUCT((($E$5:$E$500="Next")+($E$5:$E$500="In Progress")+($E$5:$E$500="Captured"))*($D$5:$D$500&lt;&gt;""))&gt;0),-500,VLOOKUP($F198,Lists!$L$2:$M$4,2,FALSE)+IF($E198="In Progress",10,0)+IF(AND($I198&lt;&gt;"",$I198&lt;TODAY()),25,0)+IF(AND($I198&lt;&gt;"",$I198&gt;=TODAY(),$I198&lt;=TODAY()+7),15,0)+IF($H198="",0,IF($M198&lt;=VLOOKUP(Home!$C$7,Lists!$N$2:$O$6,2,FALSE),20,-10))+IF($G198=Home!$E$7,15,IF(Home!$E$7="",0,-5))-ROW()/100000)))</f>
        <v/>
      </c>
      <c r="O198" s="5">
        <f>IF($D198="","",IF($N198&lt;=-500,"Not recommended right now",IF($E198="Waiting","Nothing else actionable right now — Waiting on: "&amp;IF($K198="","this item",$K198),MID($V198,4,9999))))</f>
        <v/>
      </c>
      <c r="P198" s="5">
        <f>IF($D198="","",IF('Task Finder'!$C$6="High Priority",AND($F198="High",$E198&lt;&gt;"Done",$E198&lt;&gt;"Archive"),IF('Task Finder'!$C$6="Due This Week",AND($I198&lt;&gt;"",$I198&gt;=TODAY(),$I198&lt;=TODAY()+7,$E198&lt;&gt;"Done"),IF('Task Finder'!$C$6="Quick Wins (15 mins or less)",AND($M198&lt;=15,$E198&lt;&gt;"Done",$E198&lt;&gt;"Blocked"),IF('Task Finder'!$C$6="Deep Thinking",AND($G198="Deep Thinking",$E198&lt;&gt;"Done"),IF('Task Finder'!$C$6="Processing",AND($G198="Processing",$E198&lt;&gt;"Done"),IF('Task Finder'!$C$6="Blocked",$E198="Blocked",IF('Task Finder'!$C$6="Waiting",$E198="Waiting",IF('Task Finder'!$C$6="Recently Updated",AND($L198&lt;&gt;"",$L198&gt;=TODAY()-7),IF('Task Finder'!$C$6="Keyword",AND('Task Finder'!$C$7&lt;&gt;"",OR(ISNUMBER(SEARCH('Task Finder'!$C$7,$A198)),ISNUMBER(SEARCH('Task Finder'!$C$7,$B198)),ISNUMBER(SEARCH('Task Finder'!$C$7,$C198)),ISNUMBER(SEARCH('Task Finder'!$C$7,$D198)),ISNUMBER(SEARCH('Task Finder'!$C$7,$K198)))),TRUE))))))))))</f>
        <v/>
      </c>
      <c r="Q198" s="150">
        <f>IF($F198="High","High Priority","")</f>
        <v/>
      </c>
      <c r="R198" s="150">
        <f>IF(AND($I198&lt;&gt;"",$I198&lt;TODAY()),"Overdue","")</f>
        <v/>
      </c>
      <c r="S198" s="150">
        <f>IF(AND($I198&lt;&gt;"",$I198&gt;=TODAY(),$I198&lt;=TODAY()+7),"Due This Week","")</f>
        <v/>
      </c>
      <c r="T198" s="150">
        <f>IF(AND($H198&lt;&gt;"",$M198&lt;=VLOOKUP(Home!$C$7,Lists!$N$2:$O$6,2,FALSE)),$H198&amp;" Task","")</f>
        <v/>
      </c>
      <c r="U198" s="150">
        <f>IF($G198=Home!$E$7,"Fits Current Energy","")</f>
        <v/>
      </c>
      <c r="V198" s="150">
        <f>IF($Q198&lt;&gt;""," • "&amp;$Q198,"")&amp;IF($R198&lt;&gt;""," • "&amp;$R198,"")&amp;IF($S198&lt;&gt;""," • "&amp;$S198,"")&amp;IF($T198&lt;&gt;""," • "&amp;$T198,"")&amp;IF($U198&lt;&gt;""," • "&amp;$U198,"")&amp;" • No Blockers"</f>
        <v/>
      </c>
    </row>
    <row r="199">
      <c r="A199" s="19" t="n"/>
      <c r="B199" s="19" t="n"/>
      <c r="C199" s="19" t="n"/>
      <c r="D199" s="19" t="n"/>
      <c r="E199" s="19" t="n"/>
      <c r="F199" s="19" t="n"/>
      <c r="G199" s="19" t="n"/>
      <c r="H199" s="19" t="n"/>
      <c r="I199" s="19" t="n"/>
      <c r="J199" s="19" t="n"/>
      <c r="K199" s="19" t="n"/>
      <c r="L199" s="35" t="n"/>
      <c r="M199" s="5">
        <f>IF($D199="","",IFERROR(VLOOKUP($H199,Lists!$N$2:$O$6,2,FALSE),0))</f>
        <v/>
      </c>
      <c r="N199" s="5">
        <f>IF($D199="","",IF(OR($E199="Blocked",$E199="Done",$E199="Archive"),-9999,IF(AND($E199="Waiting",SUMPRODUCT((($E$5:$E$500="Next")+($E$5:$E$500="In Progress")+($E$5:$E$500="Captured"))*($D$5:$D$500&lt;&gt;""))&gt;0),-500,VLOOKUP($F199,Lists!$L$2:$M$4,2,FALSE)+IF($E199="In Progress",10,0)+IF(AND($I199&lt;&gt;"",$I199&lt;TODAY()),25,0)+IF(AND($I199&lt;&gt;"",$I199&gt;=TODAY(),$I199&lt;=TODAY()+7),15,0)+IF($H199="",0,IF($M199&lt;=VLOOKUP(Home!$C$7,Lists!$N$2:$O$6,2,FALSE),20,-10))+IF($G199=Home!$E$7,15,IF(Home!$E$7="",0,-5))-ROW()/100000)))</f>
        <v/>
      </c>
      <c r="O199" s="5">
        <f>IF($D199="","",IF($N199&lt;=-500,"Not recommended right now",IF($E199="Waiting","Nothing else actionable right now — Waiting on: "&amp;IF($K199="","this item",$K199),MID($V199,4,9999))))</f>
        <v/>
      </c>
      <c r="P199" s="5">
        <f>IF($D199="","",IF('Task Finder'!$C$6="High Priority",AND($F199="High",$E199&lt;&gt;"Done",$E199&lt;&gt;"Archive"),IF('Task Finder'!$C$6="Due This Week",AND($I199&lt;&gt;"",$I199&gt;=TODAY(),$I199&lt;=TODAY()+7,$E199&lt;&gt;"Done"),IF('Task Finder'!$C$6="Quick Wins (15 mins or less)",AND($M199&lt;=15,$E199&lt;&gt;"Done",$E199&lt;&gt;"Blocked"),IF('Task Finder'!$C$6="Deep Thinking",AND($G199="Deep Thinking",$E199&lt;&gt;"Done"),IF('Task Finder'!$C$6="Processing",AND($G199="Processing",$E199&lt;&gt;"Done"),IF('Task Finder'!$C$6="Blocked",$E199="Blocked",IF('Task Finder'!$C$6="Waiting",$E199="Waiting",IF('Task Finder'!$C$6="Recently Updated",AND($L199&lt;&gt;"",$L199&gt;=TODAY()-7),IF('Task Finder'!$C$6="Keyword",AND('Task Finder'!$C$7&lt;&gt;"",OR(ISNUMBER(SEARCH('Task Finder'!$C$7,$A199)),ISNUMBER(SEARCH('Task Finder'!$C$7,$B199)),ISNUMBER(SEARCH('Task Finder'!$C$7,$C199)),ISNUMBER(SEARCH('Task Finder'!$C$7,$D199)),ISNUMBER(SEARCH('Task Finder'!$C$7,$K199)))),TRUE))))))))))</f>
        <v/>
      </c>
      <c r="Q199" s="150">
        <f>IF($F199="High","High Priority","")</f>
        <v/>
      </c>
      <c r="R199" s="150">
        <f>IF(AND($I199&lt;&gt;"",$I199&lt;TODAY()),"Overdue","")</f>
        <v/>
      </c>
      <c r="S199" s="150">
        <f>IF(AND($I199&lt;&gt;"",$I199&gt;=TODAY(),$I199&lt;=TODAY()+7),"Due This Week","")</f>
        <v/>
      </c>
      <c r="T199" s="150">
        <f>IF(AND($H199&lt;&gt;"",$M199&lt;=VLOOKUP(Home!$C$7,Lists!$N$2:$O$6,2,FALSE)),$H199&amp;" Task","")</f>
        <v/>
      </c>
      <c r="U199" s="150">
        <f>IF($G199=Home!$E$7,"Fits Current Energy","")</f>
        <v/>
      </c>
      <c r="V199" s="150">
        <f>IF($Q199&lt;&gt;""," • "&amp;$Q199,"")&amp;IF($R199&lt;&gt;""," • "&amp;$R199,"")&amp;IF($S199&lt;&gt;""," • "&amp;$S199,"")&amp;IF($T199&lt;&gt;""," • "&amp;$T199,"")&amp;IF($U199&lt;&gt;""," • "&amp;$U199,"")&amp;" • No Blockers"</f>
        <v/>
      </c>
    </row>
    <row r="200">
      <c r="A200" s="19" t="n"/>
      <c r="B200" s="19" t="n"/>
      <c r="C200" s="19" t="n"/>
      <c r="D200" s="19" t="n"/>
      <c r="E200" s="19" t="n"/>
      <c r="F200" s="19" t="n"/>
      <c r="G200" s="19" t="n"/>
      <c r="H200" s="19" t="n"/>
      <c r="I200" s="19" t="n"/>
      <c r="J200" s="19" t="n"/>
      <c r="K200" s="19" t="n"/>
      <c r="L200" s="35" t="n"/>
      <c r="M200" s="5">
        <f>IF($D200="","",IFERROR(VLOOKUP($H200,Lists!$N$2:$O$6,2,FALSE),0))</f>
        <v/>
      </c>
      <c r="N200" s="5">
        <f>IF($D200="","",IF(OR($E200="Blocked",$E200="Done",$E200="Archive"),-9999,IF(AND($E200="Waiting",SUMPRODUCT((($E$5:$E$500="Next")+($E$5:$E$500="In Progress")+($E$5:$E$500="Captured"))*($D$5:$D$500&lt;&gt;""))&gt;0),-500,VLOOKUP($F200,Lists!$L$2:$M$4,2,FALSE)+IF($E200="In Progress",10,0)+IF(AND($I200&lt;&gt;"",$I200&lt;TODAY()),25,0)+IF(AND($I200&lt;&gt;"",$I200&gt;=TODAY(),$I200&lt;=TODAY()+7),15,0)+IF($H200="",0,IF($M200&lt;=VLOOKUP(Home!$C$7,Lists!$N$2:$O$6,2,FALSE),20,-10))+IF($G200=Home!$E$7,15,IF(Home!$E$7="",0,-5))-ROW()/100000)))</f>
        <v/>
      </c>
      <c r="O200" s="5">
        <f>IF($D200="","",IF($N200&lt;=-500,"Not recommended right now",IF($E200="Waiting","Nothing else actionable right now — Waiting on: "&amp;IF($K200="","this item",$K200),MID($V200,4,9999))))</f>
        <v/>
      </c>
      <c r="P200" s="5">
        <f>IF($D200="","",IF('Task Finder'!$C$6="High Priority",AND($F200="High",$E200&lt;&gt;"Done",$E200&lt;&gt;"Archive"),IF('Task Finder'!$C$6="Due This Week",AND($I200&lt;&gt;"",$I200&gt;=TODAY(),$I200&lt;=TODAY()+7,$E200&lt;&gt;"Done"),IF('Task Finder'!$C$6="Quick Wins (15 mins or less)",AND($M200&lt;=15,$E200&lt;&gt;"Done",$E200&lt;&gt;"Blocked"),IF('Task Finder'!$C$6="Deep Thinking",AND($G200="Deep Thinking",$E200&lt;&gt;"Done"),IF('Task Finder'!$C$6="Processing",AND($G200="Processing",$E200&lt;&gt;"Done"),IF('Task Finder'!$C$6="Blocked",$E200="Blocked",IF('Task Finder'!$C$6="Waiting",$E200="Waiting",IF('Task Finder'!$C$6="Recently Updated",AND($L200&lt;&gt;"",$L200&gt;=TODAY()-7),IF('Task Finder'!$C$6="Keyword",AND('Task Finder'!$C$7&lt;&gt;"",OR(ISNUMBER(SEARCH('Task Finder'!$C$7,$A200)),ISNUMBER(SEARCH('Task Finder'!$C$7,$B200)),ISNUMBER(SEARCH('Task Finder'!$C$7,$C200)),ISNUMBER(SEARCH('Task Finder'!$C$7,$D200)),ISNUMBER(SEARCH('Task Finder'!$C$7,$K200)))),TRUE))))))))))</f>
        <v/>
      </c>
      <c r="Q200" s="150">
        <f>IF($F200="High","High Priority","")</f>
        <v/>
      </c>
      <c r="R200" s="150">
        <f>IF(AND($I200&lt;&gt;"",$I200&lt;TODAY()),"Overdue","")</f>
        <v/>
      </c>
      <c r="S200" s="150">
        <f>IF(AND($I200&lt;&gt;"",$I200&gt;=TODAY(),$I200&lt;=TODAY()+7),"Due This Week","")</f>
        <v/>
      </c>
      <c r="T200" s="150">
        <f>IF(AND($H200&lt;&gt;"",$M200&lt;=VLOOKUP(Home!$C$7,Lists!$N$2:$O$6,2,FALSE)),$H200&amp;" Task","")</f>
        <v/>
      </c>
      <c r="U200" s="150">
        <f>IF($G200=Home!$E$7,"Fits Current Energy","")</f>
        <v/>
      </c>
      <c r="V200" s="150">
        <f>IF($Q200&lt;&gt;""," • "&amp;$Q200,"")&amp;IF($R200&lt;&gt;""," • "&amp;$R200,"")&amp;IF($S200&lt;&gt;""," • "&amp;$S200,"")&amp;IF($T200&lt;&gt;""," • "&amp;$T200,"")&amp;IF($U200&lt;&gt;""," • "&amp;$U200,"")&amp;" • No Blockers"</f>
        <v/>
      </c>
    </row>
    <row r="201">
      <c r="A201" s="19" t="n"/>
      <c r="B201" s="19" t="n"/>
      <c r="C201" s="19" t="n"/>
      <c r="D201" s="19" t="n"/>
      <c r="E201" s="19" t="n"/>
      <c r="F201" s="19" t="n"/>
      <c r="G201" s="19" t="n"/>
      <c r="H201" s="19" t="n"/>
      <c r="I201" s="19" t="n"/>
      <c r="J201" s="19" t="n"/>
      <c r="K201" s="19" t="n"/>
      <c r="L201" s="125" t="n"/>
      <c r="M201" s="88">
        <f>IF($D201="","",IFERROR(VLOOKUP($H201,Lists!$N$2:$O$6,2,FALSE),0))</f>
        <v/>
      </c>
      <c r="N201" s="88">
        <f>IF($D201="","",IF(OR($E201="Blocked",$E201="Done",$E201="Archive"),-9999,IF(AND($E201="Waiting",SUMPRODUCT((($E$5:$E$500="Next")+($E$5:$E$500="In Progress")+($E$5:$E$500="Captured"))*($D$5:$D$500&lt;&gt;""))&gt;0),-500,VLOOKUP($F201,Lists!$L$2:$M$4,2,FALSE)+IF($E201="In Progress",10,0)+IF(AND($I201&lt;&gt;"",$I201&lt;TODAY()),25,0)+IF(AND($I201&lt;&gt;"",$I201&gt;=TODAY(),$I201&lt;=TODAY()+7),15,0)+IF($H201="",0,IF($M201&lt;=VLOOKUP(Home!$C$7,Lists!$N$2:$O$6,2,FALSE),20,-10))+IF($G201=Home!$E$7,15,IF(Home!$E$7="",0,-5))-ROW()/100000)))</f>
        <v/>
      </c>
      <c r="O201" s="88">
        <f>IF($D201="","",IF($N201&lt;=-500,"Not recommended right now",IF($E201="Waiting","Nothing else actionable right now — Waiting on: "&amp;IF($K201="","this item",$K201),MID($V201,4,9999))))</f>
        <v/>
      </c>
      <c r="P201" s="88">
        <f>IF($D201="","",IF('Task Finder'!$C$6="High Priority",AND($F201="High",$E201&lt;&gt;"Done",$E201&lt;&gt;"Archive"),IF('Task Finder'!$C$6="Due This Week",AND($I201&lt;&gt;"",$I201&gt;=TODAY(),$I201&lt;=TODAY()+7,$E201&lt;&gt;"Done"),IF('Task Finder'!$C$6="Quick Wins (15 mins or less)",AND($M201&lt;=15,$E201&lt;&gt;"Done",$E201&lt;&gt;"Blocked"),IF('Task Finder'!$C$6="Deep Thinking",AND($G201="Deep Thinking",$E201&lt;&gt;"Done"),IF('Task Finder'!$C$6="Processing",AND($G201="Processing",$E201&lt;&gt;"Done"),IF('Task Finder'!$C$6="Blocked",$E201="Blocked",IF('Task Finder'!$C$6="Waiting",$E201="Waiting",IF('Task Finder'!$C$6="Recently Updated",AND($L201&lt;&gt;"",$L201&gt;=TODAY()-7),IF('Task Finder'!$C$6="Keyword",AND('Task Finder'!$C$7&lt;&gt;"",OR(ISNUMBER(SEARCH('Task Finder'!$C$7,$A201)),ISNUMBER(SEARCH('Task Finder'!$C$7,$B201)),ISNUMBER(SEARCH('Task Finder'!$C$7,$C201)),ISNUMBER(SEARCH('Task Finder'!$C$7,$D201)),ISNUMBER(SEARCH('Task Finder'!$C$7,$K201)))),TRUE))))))))))</f>
        <v/>
      </c>
      <c r="Q201" s="150">
        <f>IF($F201="High","High Priority","")</f>
        <v/>
      </c>
      <c r="R201" s="150">
        <f>IF(AND($I201&lt;&gt;"",$I201&lt;TODAY()),"Overdue","")</f>
        <v/>
      </c>
      <c r="S201" s="150">
        <f>IF(AND($I201&lt;&gt;"",$I201&gt;=TODAY(),$I201&lt;=TODAY()+7),"Due This Week","")</f>
        <v/>
      </c>
      <c r="T201" s="150">
        <f>IF(AND($H201&lt;&gt;"",$M201&lt;=VLOOKUP(Home!$C$7,Lists!$N$2:$O$6,2,FALSE)),$H201&amp;" Task","")</f>
        <v/>
      </c>
      <c r="U201" s="150">
        <f>IF($G201=Home!$E$7,"Fits Current Energy","")</f>
        <v/>
      </c>
      <c r="V201" s="150">
        <f>IF($Q201&lt;&gt;""," • "&amp;$Q201,"")&amp;IF($R201&lt;&gt;""," • "&amp;$R201,"")&amp;IF($S201&lt;&gt;""," • "&amp;$S201,"")&amp;IF($T201&lt;&gt;""," • "&amp;$T201,"")&amp;IF($U201&lt;&gt;""," • "&amp;$U201,"")&amp;" • No Blockers"</f>
        <v/>
      </c>
    </row>
    <row r="202">
      <c r="A202" s="19" t="n"/>
      <c r="B202" s="19" t="n"/>
      <c r="C202" s="19" t="n"/>
      <c r="D202" s="19" t="n"/>
      <c r="E202" s="19" t="n"/>
      <c r="F202" s="19" t="n"/>
      <c r="G202" s="19" t="n"/>
      <c r="H202" s="19" t="n"/>
      <c r="I202" s="19" t="n"/>
      <c r="J202" s="19" t="n"/>
      <c r="K202" s="19" t="n"/>
      <c r="L202" s="125" t="n"/>
      <c r="M202" s="88">
        <f>IF($D202="","",IFERROR(VLOOKUP($H202,Lists!$N$2:$O$6,2,FALSE),0))</f>
        <v/>
      </c>
      <c r="N202" s="88">
        <f>IF($D202="","",IF(OR($E202="Blocked",$E202="Done",$E202="Archive"),-9999,IF(AND($E202="Waiting",SUMPRODUCT((($E$5:$E$500="Next")+($E$5:$E$500="In Progress")+($E$5:$E$500="Captured"))*($D$5:$D$500&lt;&gt;""))&gt;0),-500,VLOOKUP($F202,Lists!$L$2:$M$4,2,FALSE)+IF($E202="In Progress",10,0)+IF(AND($I202&lt;&gt;"",$I202&lt;TODAY()),25,0)+IF(AND($I202&lt;&gt;"",$I202&gt;=TODAY(),$I202&lt;=TODAY()+7),15,0)+IF($H202="",0,IF($M202&lt;=VLOOKUP(Home!$C$7,Lists!$N$2:$O$6,2,FALSE),20,-10))+IF($G202=Home!$E$7,15,IF(Home!$E$7="",0,-5))-ROW()/100000)))</f>
        <v/>
      </c>
      <c r="O202" s="88">
        <f>IF($D202="","",IF($N202&lt;=-500,"Not recommended right now",IF($E202="Waiting","Nothing else actionable right now — Waiting on: "&amp;IF($K202="","this item",$K202),MID($V202,4,9999))))</f>
        <v/>
      </c>
      <c r="P202" s="88">
        <f>IF($D202="","",IF('Task Finder'!$C$6="High Priority",AND($F202="High",$E202&lt;&gt;"Done",$E202&lt;&gt;"Archive"),IF('Task Finder'!$C$6="Due This Week",AND($I202&lt;&gt;"",$I202&gt;=TODAY(),$I202&lt;=TODAY()+7,$E202&lt;&gt;"Done"),IF('Task Finder'!$C$6="Quick Wins (15 mins or less)",AND($M202&lt;=15,$E202&lt;&gt;"Done",$E202&lt;&gt;"Blocked"),IF('Task Finder'!$C$6="Deep Thinking",AND($G202="Deep Thinking",$E202&lt;&gt;"Done"),IF('Task Finder'!$C$6="Processing",AND($G202="Processing",$E202&lt;&gt;"Done"),IF('Task Finder'!$C$6="Blocked",$E202="Blocked",IF('Task Finder'!$C$6="Waiting",$E202="Waiting",IF('Task Finder'!$C$6="Recently Updated",AND($L202&lt;&gt;"",$L202&gt;=TODAY()-7),IF('Task Finder'!$C$6="Keyword",AND('Task Finder'!$C$7&lt;&gt;"",OR(ISNUMBER(SEARCH('Task Finder'!$C$7,$A202)),ISNUMBER(SEARCH('Task Finder'!$C$7,$B202)),ISNUMBER(SEARCH('Task Finder'!$C$7,$C202)),ISNUMBER(SEARCH('Task Finder'!$C$7,$D202)),ISNUMBER(SEARCH('Task Finder'!$C$7,$K202)))),TRUE))))))))))</f>
        <v/>
      </c>
      <c r="Q202" s="150">
        <f>IF($F202="High","High Priority","")</f>
        <v/>
      </c>
      <c r="R202" s="150">
        <f>IF(AND($I202&lt;&gt;"",$I202&lt;TODAY()),"Overdue","")</f>
        <v/>
      </c>
      <c r="S202" s="150">
        <f>IF(AND($I202&lt;&gt;"",$I202&gt;=TODAY(),$I202&lt;=TODAY()+7),"Due This Week","")</f>
        <v/>
      </c>
      <c r="T202" s="150">
        <f>IF(AND($H202&lt;&gt;"",$M202&lt;=VLOOKUP(Home!$C$7,Lists!$N$2:$O$6,2,FALSE)),$H202&amp;" Task","")</f>
        <v/>
      </c>
      <c r="U202" s="150">
        <f>IF($G202=Home!$E$7,"Fits Current Energy","")</f>
        <v/>
      </c>
      <c r="V202" s="150">
        <f>IF($Q202&lt;&gt;""," • "&amp;$Q202,"")&amp;IF($R202&lt;&gt;""," • "&amp;$R202,"")&amp;IF($S202&lt;&gt;""," • "&amp;$S202,"")&amp;IF($T202&lt;&gt;""," • "&amp;$T202,"")&amp;IF($U202&lt;&gt;""," • "&amp;$U202,"")&amp;" • No Blockers"</f>
        <v/>
      </c>
    </row>
    <row r="203">
      <c r="A203" s="19" t="n"/>
      <c r="B203" s="19" t="n"/>
      <c r="C203" s="19" t="n"/>
      <c r="D203" s="19" t="n"/>
      <c r="E203" s="19" t="n"/>
      <c r="F203" s="19" t="n"/>
      <c r="G203" s="19" t="n"/>
      <c r="H203" s="19" t="n"/>
      <c r="I203" s="19" t="n"/>
      <c r="J203" s="19" t="n"/>
      <c r="K203" s="19" t="n"/>
      <c r="L203" s="125" t="n"/>
      <c r="M203" s="88">
        <f>IF($D203="","",IFERROR(VLOOKUP($H203,Lists!$N$2:$O$6,2,FALSE),0))</f>
        <v/>
      </c>
      <c r="N203" s="88">
        <f>IF($D203="","",IF(OR($E203="Blocked",$E203="Done",$E203="Archive"),-9999,IF(AND($E203="Waiting",SUMPRODUCT((($E$5:$E$500="Next")+($E$5:$E$500="In Progress")+($E$5:$E$500="Captured"))*($D$5:$D$500&lt;&gt;""))&gt;0),-500,VLOOKUP($F203,Lists!$L$2:$M$4,2,FALSE)+IF($E203="In Progress",10,0)+IF(AND($I203&lt;&gt;"",$I203&lt;TODAY()),25,0)+IF(AND($I203&lt;&gt;"",$I203&gt;=TODAY(),$I203&lt;=TODAY()+7),15,0)+IF($H203="",0,IF($M203&lt;=VLOOKUP(Home!$C$7,Lists!$N$2:$O$6,2,FALSE),20,-10))+IF($G203=Home!$E$7,15,IF(Home!$E$7="",0,-5))-ROW()/100000)))</f>
        <v/>
      </c>
      <c r="O203" s="88">
        <f>IF($D203="","",IF($N203&lt;=-500,"Not recommended right now",IF($E203="Waiting","Nothing else actionable right now — Waiting on: "&amp;IF($K203="","this item",$K203),MID($V203,4,9999))))</f>
        <v/>
      </c>
      <c r="P203" s="88">
        <f>IF($D203="","",IF('Task Finder'!$C$6="High Priority",AND($F203="High",$E203&lt;&gt;"Done",$E203&lt;&gt;"Archive"),IF('Task Finder'!$C$6="Due This Week",AND($I203&lt;&gt;"",$I203&gt;=TODAY(),$I203&lt;=TODAY()+7,$E203&lt;&gt;"Done"),IF('Task Finder'!$C$6="Quick Wins (15 mins or less)",AND($M203&lt;=15,$E203&lt;&gt;"Done",$E203&lt;&gt;"Blocked"),IF('Task Finder'!$C$6="Deep Thinking",AND($G203="Deep Thinking",$E203&lt;&gt;"Done"),IF('Task Finder'!$C$6="Processing",AND($G203="Processing",$E203&lt;&gt;"Done"),IF('Task Finder'!$C$6="Blocked",$E203="Blocked",IF('Task Finder'!$C$6="Waiting",$E203="Waiting",IF('Task Finder'!$C$6="Recently Updated",AND($L203&lt;&gt;"",$L203&gt;=TODAY()-7),IF('Task Finder'!$C$6="Keyword",AND('Task Finder'!$C$7&lt;&gt;"",OR(ISNUMBER(SEARCH('Task Finder'!$C$7,$A203)),ISNUMBER(SEARCH('Task Finder'!$C$7,$B203)),ISNUMBER(SEARCH('Task Finder'!$C$7,$C203)),ISNUMBER(SEARCH('Task Finder'!$C$7,$D203)),ISNUMBER(SEARCH('Task Finder'!$C$7,$K203)))),TRUE))))))))))</f>
        <v/>
      </c>
      <c r="Q203" s="150">
        <f>IF($F203="High","High Priority","")</f>
        <v/>
      </c>
      <c r="R203" s="150">
        <f>IF(AND($I203&lt;&gt;"",$I203&lt;TODAY()),"Overdue","")</f>
        <v/>
      </c>
      <c r="S203" s="150">
        <f>IF(AND($I203&lt;&gt;"",$I203&gt;=TODAY(),$I203&lt;=TODAY()+7),"Due This Week","")</f>
        <v/>
      </c>
      <c r="T203" s="150">
        <f>IF(AND($H203&lt;&gt;"",$M203&lt;=VLOOKUP(Home!$C$7,Lists!$N$2:$O$6,2,FALSE)),$H203&amp;" Task","")</f>
        <v/>
      </c>
      <c r="U203" s="150">
        <f>IF($G203=Home!$E$7,"Fits Current Energy","")</f>
        <v/>
      </c>
      <c r="V203" s="150">
        <f>IF($Q203&lt;&gt;""," • "&amp;$Q203,"")&amp;IF($R203&lt;&gt;""," • "&amp;$R203,"")&amp;IF($S203&lt;&gt;""," • "&amp;$S203,"")&amp;IF($T203&lt;&gt;""," • "&amp;$T203,"")&amp;IF($U203&lt;&gt;""," • "&amp;$U203,"")&amp;" • No Blockers"</f>
        <v/>
      </c>
    </row>
    <row r="204">
      <c r="A204" s="19" t="n"/>
      <c r="B204" s="19" t="n"/>
      <c r="C204" s="19" t="n"/>
      <c r="D204" s="19" t="n"/>
      <c r="E204" s="19" t="n"/>
      <c r="F204" s="19" t="n"/>
      <c r="G204" s="19" t="n"/>
      <c r="H204" s="19" t="n"/>
      <c r="I204" s="19" t="n"/>
      <c r="J204" s="19" t="n"/>
      <c r="K204" s="19" t="n"/>
      <c r="L204" s="125" t="n"/>
      <c r="M204" s="88">
        <f>IF($D204="","",IFERROR(VLOOKUP($H204,Lists!$N$2:$O$6,2,FALSE),0))</f>
        <v/>
      </c>
      <c r="N204" s="88">
        <f>IF($D204="","",IF(OR($E204="Blocked",$E204="Done",$E204="Archive"),-9999,IF(AND($E204="Waiting",SUMPRODUCT((($E$5:$E$500="Next")+($E$5:$E$500="In Progress")+($E$5:$E$500="Captured"))*($D$5:$D$500&lt;&gt;""))&gt;0),-500,VLOOKUP($F204,Lists!$L$2:$M$4,2,FALSE)+IF($E204="In Progress",10,0)+IF(AND($I204&lt;&gt;"",$I204&lt;TODAY()),25,0)+IF(AND($I204&lt;&gt;"",$I204&gt;=TODAY(),$I204&lt;=TODAY()+7),15,0)+IF($H204="",0,IF($M204&lt;=VLOOKUP(Home!$C$7,Lists!$N$2:$O$6,2,FALSE),20,-10))+IF($G204=Home!$E$7,15,IF(Home!$E$7="",0,-5))-ROW()/100000)))</f>
        <v/>
      </c>
      <c r="O204" s="88">
        <f>IF($D204="","",IF($N204&lt;=-500,"Not recommended right now",IF($E204="Waiting","Nothing else actionable right now — Waiting on: "&amp;IF($K204="","this item",$K204),MID($V204,4,9999))))</f>
        <v/>
      </c>
      <c r="P204" s="88">
        <f>IF($D204="","",IF('Task Finder'!$C$6="High Priority",AND($F204="High",$E204&lt;&gt;"Done",$E204&lt;&gt;"Archive"),IF('Task Finder'!$C$6="Due This Week",AND($I204&lt;&gt;"",$I204&gt;=TODAY(),$I204&lt;=TODAY()+7,$E204&lt;&gt;"Done"),IF('Task Finder'!$C$6="Quick Wins (15 mins or less)",AND($M204&lt;=15,$E204&lt;&gt;"Done",$E204&lt;&gt;"Blocked"),IF('Task Finder'!$C$6="Deep Thinking",AND($G204="Deep Thinking",$E204&lt;&gt;"Done"),IF('Task Finder'!$C$6="Processing",AND($G204="Processing",$E204&lt;&gt;"Done"),IF('Task Finder'!$C$6="Blocked",$E204="Blocked",IF('Task Finder'!$C$6="Waiting",$E204="Waiting",IF('Task Finder'!$C$6="Recently Updated",AND($L204&lt;&gt;"",$L204&gt;=TODAY()-7),IF('Task Finder'!$C$6="Keyword",AND('Task Finder'!$C$7&lt;&gt;"",OR(ISNUMBER(SEARCH('Task Finder'!$C$7,$A204)),ISNUMBER(SEARCH('Task Finder'!$C$7,$B204)),ISNUMBER(SEARCH('Task Finder'!$C$7,$C204)),ISNUMBER(SEARCH('Task Finder'!$C$7,$D204)),ISNUMBER(SEARCH('Task Finder'!$C$7,$K204)))),TRUE))))))))))</f>
        <v/>
      </c>
      <c r="Q204" s="150">
        <f>IF($F204="High","High Priority","")</f>
        <v/>
      </c>
      <c r="R204" s="150">
        <f>IF(AND($I204&lt;&gt;"",$I204&lt;TODAY()),"Overdue","")</f>
        <v/>
      </c>
      <c r="S204" s="150">
        <f>IF(AND($I204&lt;&gt;"",$I204&gt;=TODAY(),$I204&lt;=TODAY()+7),"Due This Week","")</f>
        <v/>
      </c>
      <c r="T204" s="150">
        <f>IF(AND($H204&lt;&gt;"",$M204&lt;=VLOOKUP(Home!$C$7,Lists!$N$2:$O$6,2,FALSE)),$H204&amp;" Task","")</f>
        <v/>
      </c>
      <c r="U204" s="150">
        <f>IF($G204=Home!$E$7,"Fits Current Energy","")</f>
        <v/>
      </c>
      <c r="V204" s="150">
        <f>IF($Q204&lt;&gt;""," • "&amp;$Q204,"")&amp;IF($R204&lt;&gt;""," • "&amp;$R204,"")&amp;IF($S204&lt;&gt;""," • "&amp;$S204,"")&amp;IF($T204&lt;&gt;""," • "&amp;$T204,"")&amp;IF($U204&lt;&gt;""," • "&amp;$U204,"")&amp;" • No Blockers"</f>
        <v/>
      </c>
    </row>
    <row r="205">
      <c r="A205" s="19" t="n"/>
      <c r="B205" s="19" t="n"/>
      <c r="C205" s="19" t="n"/>
      <c r="D205" s="19" t="n"/>
      <c r="E205" s="19" t="n"/>
      <c r="F205" s="19" t="n"/>
      <c r="G205" s="19" t="n"/>
      <c r="H205" s="19" t="n"/>
      <c r="I205" s="19" t="n"/>
      <c r="J205" s="19" t="n"/>
      <c r="K205" s="19" t="n"/>
      <c r="L205" s="125" t="n"/>
      <c r="M205" s="88">
        <f>IF($D205="","",IFERROR(VLOOKUP($H205,Lists!$N$2:$O$6,2,FALSE),0))</f>
        <v/>
      </c>
      <c r="N205" s="88">
        <f>IF($D205="","",IF(OR($E205="Blocked",$E205="Done",$E205="Archive"),-9999,IF(AND($E205="Waiting",SUMPRODUCT((($E$5:$E$500="Next")+($E$5:$E$500="In Progress")+($E$5:$E$500="Captured"))*($D$5:$D$500&lt;&gt;""))&gt;0),-500,VLOOKUP($F205,Lists!$L$2:$M$4,2,FALSE)+IF($E205="In Progress",10,0)+IF(AND($I205&lt;&gt;"",$I205&lt;TODAY()),25,0)+IF(AND($I205&lt;&gt;"",$I205&gt;=TODAY(),$I205&lt;=TODAY()+7),15,0)+IF($H205="",0,IF($M205&lt;=VLOOKUP(Home!$C$7,Lists!$N$2:$O$6,2,FALSE),20,-10))+IF($G205=Home!$E$7,15,IF(Home!$E$7="",0,-5))-ROW()/100000)))</f>
        <v/>
      </c>
      <c r="O205" s="88">
        <f>IF($D205="","",IF($N205&lt;=-500,"Not recommended right now",IF($E205="Waiting","Nothing else actionable right now — Waiting on: "&amp;IF($K205="","this item",$K205),MID($V205,4,9999))))</f>
        <v/>
      </c>
      <c r="P205" s="88">
        <f>IF($D205="","",IF('Task Finder'!$C$6="High Priority",AND($F205="High",$E205&lt;&gt;"Done",$E205&lt;&gt;"Archive"),IF('Task Finder'!$C$6="Due This Week",AND($I205&lt;&gt;"",$I205&gt;=TODAY(),$I205&lt;=TODAY()+7,$E205&lt;&gt;"Done"),IF('Task Finder'!$C$6="Quick Wins (15 mins or less)",AND($M205&lt;=15,$E205&lt;&gt;"Done",$E205&lt;&gt;"Blocked"),IF('Task Finder'!$C$6="Deep Thinking",AND($G205="Deep Thinking",$E205&lt;&gt;"Done"),IF('Task Finder'!$C$6="Processing",AND($G205="Processing",$E205&lt;&gt;"Done"),IF('Task Finder'!$C$6="Blocked",$E205="Blocked",IF('Task Finder'!$C$6="Waiting",$E205="Waiting",IF('Task Finder'!$C$6="Recently Updated",AND($L205&lt;&gt;"",$L205&gt;=TODAY()-7),IF('Task Finder'!$C$6="Keyword",AND('Task Finder'!$C$7&lt;&gt;"",OR(ISNUMBER(SEARCH('Task Finder'!$C$7,$A205)),ISNUMBER(SEARCH('Task Finder'!$C$7,$B205)),ISNUMBER(SEARCH('Task Finder'!$C$7,$C205)),ISNUMBER(SEARCH('Task Finder'!$C$7,$D205)),ISNUMBER(SEARCH('Task Finder'!$C$7,$K205)))),TRUE))))))))))</f>
        <v/>
      </c>
      <c r="Q205" s="150">
        <f>IF($F205="High","High Priority","")</f>
        <v/>
      </c>
      <c r="R205" s="150">
        <f>IF(AND($I205&lt;&gt;"",$I205&lt;TODAY()),"Overdue","")</f>
        <v/>
      </c>
      <c r="S205" s="150">
        <f>IF(AND($I205&lt;&gt;"",$I205&gt;=TODAY(),$I205&lt;=TODAY()+7),"Due This Week","")</f>
        <v/>
      </c>
      <c r="T205" s="150">
        <f>IF(AND($H205&lt;&gt;"",$M205&lt;=VLOOKUP(Home!$C$7,Lists!$N$2:$O$6,2,FALSE)),$H205&amp;" Task","")</f>
        <v/>
      </c>
      <c r="U205" s="150">
        <f>IF($G205=Home!$E$7,"Fits Current Energy","")</f>
        <v/>
      </c>
      <c r="V205" s="150">
        <f>IF($Q205&lt;&gt;""," • "&amp;$Q205,"")&amp;IF($R205&lt;&gt;""," • "&amp;$R205,"")&amp;IF($S205&lt;&gt;""," • "&amp;$S205,"")&amp;IF($T205&lt;&gt;""," • "&amp;$T205,"")&amp;IF($U205&lt;&gt;""," • "&amp;$U205,"")&amp;" • No Blockers"</f>
        <v/>
      </c>
    </row>
    <row r="206">
      <c r="A206" s="19" t="n"/>
      <c r="B206" s="19" t="n"/>
      <c r="C206" s="19" t="n"/>
      <c r="D206" s="19" t="n"/>
      <c r="E206" s="19" t="n"/>
      <c r="F206" s="19" t="n"/>
      <c r="G206" s="19" t="n"/>
      <c r="H206" s="19" t="n"/>
      <c r="I206" s="19" t="n"/>
      <c r="J206" s="19" t="n"/>
      <c r="K206" s="19" t="n"/>
      <c r="L206" s="125" t="n"/>
      <c r="M206" s="88">
        <f>IF($D206="","",IFERROR(VLOOKUP($H206,Lists!$N$2:$O$6,2,FALSE),0))</f>
        <v/>
      </c>
      <c r="N206" s="88">
        <f>IF($D206="","",IF(OR($E206="Blocked",$E206="Done",$E206="Archive"),-9999,IF(AND($E206="Waiting",SUMPRODUCT((($E$5:$E$500="Next")+($E$5:$E$500="In Progress")+($E$5:$E$500="Captured"))*($D$5:$D$500&lt;&gt;""))&gt;0),-500,VLOOKUP($F206,Lists!$L$2:$M$4,2,FALSE)+IF($E206="In Progress",10,0)+IF(AND($I206&lt;&gt;"",$I206&lt;TODAY()),25,0)+IF(AND($I206&lt;&gt;"",$I206&gt;=TODAY(),$I206&lt;=TODAY()+7),15,0)+IF($H206="",0,IF($M206&lt;=VLOOKUP(Home!$C$7,Lists!$N$2:$O$6,2,FALSE),20,-10))+IF($G206=Home!$E$7,15,IF(Home!$E$7="",0,-5))-ROW()/100000)))</f>
        <v/>
      </c>
      <c r="O206" s="88">
        <f>IF($D206="","",IF($N206&lt;=-500,"Not recommended right now",IF($E206="Waiting","Nothing else actionable right now — Waiting on: "&amp;IF($K206="","this item",$K206),MID($V206,4,9999))))</f>
        <v/>
      </c>
      <c r="P206" s="88">
        <f>IF($D206="","",IF('Task Finder'!$C$6="High Priority",AND($F206="High",$E206&lt;&gt;"Done",$E206&lt;&gt;"Archive"),IF('Task Finder'!$C$6="Due This Week",AND($I206&lt;&gt;"",$I206&gt;=TODAY(),$I206&lt;=TODAY()+7,$E206&lt;&gt;"Done"),IF('Task Finder'!$C$6="Quick Wins (15 mins or less)",AND($M206&lt;=15,$E206&lt;&gt;"Done",$E206&lt;&gt;"Blocked"),IF('Task Finder'!$C$6="Deep Thinking",AND($G206="Deep Thinking",$E206&lt;&gt;"Done"),IF('Task Finder'!$C$6="Processing",AND($G206="Processing",$E206&lt;&gt;"Done"),IF('Task Finder'!$C$6="Blocked",$E206="Blocked",IF('Task Finder'!$C$6="Waiting",$E206="Waiting",IF('Task Finder'!$C$6="Recently Updated",AND($L206&lt;&gt;"",$L206&gt;=TODAY()-7),IF('Task Finder'!$C$6="Keyword",AND('Task Finder'!$C$7&lt;&gt;"",OR(ISNUMBER(SEARCH('Task Finder'!$C$7,$A206)),ISNUMBER(SEARCH('Task Finder'!$C$7,$B206)),ISNUMBER(SEARCH('Task Finder'!$C$7,$C206)),ISNUMBER(SEARCH('Task Finder'!$C$7,$D206)),ISNUMBER(SEARCH('Task Finder'!$C$7,$K206)))),TRUE))))))))))</f>
        <v/>
      </c>
      <c r="Q206" s="150">
        <f>IF($F206="High","High Priority","")</f>
        <v/>
      </c>
      <c r="R206" s="150">
        <f>IF(AND($I206&lt;&gt;"",$I206&lt;TODAY()),"Overdue","")</f>
        <v/>
      </c>
      <c r="S206" s="150">
        <f>IF(AND($I206&lt;&gt;"",$I206&gt;=TODAY(),$I206&lt;=TODAY()+7),"Due This Week","")</f>
        <v/>
      </c>
      <c r="T206" s="150">
        <f>IF(AND($H206&lt;&gt;"",$M206&lt;=VLOOKUP(Home!$C$7,Lists!$N$2:$O$6,2,FALSE)),$H206&amp;" Task","")</f>
        <v/>
      </c>
      <c r="U206" s="150">
        <f>IF($G206=Home!$E$7,"Fits Current Energy","")</f>
        <v/>
      </c>
      <c r="V206" s="150">
        <f>IF($Q206&lt;&gt;""," • "&amp;$Q206,"")&amp;IF($R206&lt;&gt;""," • "&amp;$R206,"")&amp;IF($S206&lt;&gt;""," • "&amp;$S206,"")&amp;IF($T206&lt;&gt;""," • "&amp;$T206,"")&amp;IF($U206&lt;&gt;""," • "&amp;$U206,"")&amp;" • No Blockers"</f>
        <v/>
      </c>
    </row>
    <row r="207">
      <c r="A207" s="19" t="n"/>
      <c r="B207" s="19" t="n"/>
      <c r="C207" s="19" t="n"/>
      <c r="D207" s="19" t="n"/>
      <c r="E207" s="19" t="n"/>
      <c r="F207" s="19" t="n"/>
      <c r="G207" s="19" t="n"/>
      <c r="H207" s="19" t="n"/>
      <c r="I207" s="19" t="n"/>
      <c r="J207" s="19" t="n"/>
      <c r="K207" s="19" t="n"/>
      <c r="L207" s="125" t="n"/>
      <c r="M207" s="88">
        <f>IF($D207="","",IFERROR(VLOOKUP($H207,Lists!$N$2:$O$6,2,FALSE),0))</f>
        <v/>
      </c>
      <c r="N207" s="88">
        <f>IF($D207="","",IF(OR($E207="Blocked",$E207="Done",$E207="Archive"),-9999,IF(AND($E207="Waiting",SUMPRODUCT((($E$5:$E$500="Next")+($E$5:$E$500="In Progress")+($E$5:$E$500="Captured"))*($D$5:$D$500&lt;&gt;""))&gt;0),-500,VLOOKUP($F207,Lists!$L$2:$M$4,2,FALSE)+IF($E207="In Progress",10,0)+IF(AND($I207&lt;&gt;"",$I207&lt;TODAY()),25,0)+IF(AND($I207&lt;&gt;"",$I207&gt;=TODAY(),$I207&lt;=TODAY()+7),15,0)+IF($H207="",0,IF($M207&lt;=VLOOKUP(Home!$C$7,Lists!$N$2:$O$6,2,FALSE),20,-10))+IF($G207=Home!$E$7,15,IF(Home!$E$7="",0,-5))-ROW()/100000)))</f>
        <v/>
      </c>
      <c r="O207" s="88">
        <f>IF($D207="","",IF($N207&lt;=-500,"Not recommended right now",IF($E207="Waiting","Nothing else actionable right now — Waiting on: "&amp;IF($K207="","this item",$K207),MID($V207,4,9999))))</f>
        <v/>
      </c>
      <c r="P207" s="88">
        <f>IF($D207="","",IF('Task Finder'!$C$6="High Priority",AND($F207="High",$E207&lt;&gt;"Done",$E207&lt;&gt;"Archive"),IF('Task Finder'!$C$6="Due This Week",AND($I207&lt;&gt;"",$I207&gt;=TODAY(),$I207&lt;=TODAY()+7,$E207&lt;&gt;"Done"),IF('Task Finder'!$C$6="Quick Wins (15 mins or less)",AND($M207&lt;=15,$E207&lt;&gt;"Done",$E207&lt;&gt;"Blocked"),IF('Task Finder'!$C$6="Deep Thinking",AND($G207="Deep Thinking",$E207&lt;&gt;"Done"),IF('Task Finder'!$C$6="Processing",AND($G207="Processing",$E207&lt;&gt;"Done"),IF('Task Finder'!$C$6="Blocked",$E207="Blocked",IF('Task Finder'!$C$6="Waiting",$E207="Waiting",IF('Task Finder'!$C$6="Recently Updated",AND($L207&lt;&gt;"",$L207&gt;=TODAY()-7),IF('Task Finder'!$C$6="Keyword",AND('Task Finder'!$C$7&lt;&gt;"",OR(ISNUMBER(SEARCH('Task Finder'!$C$7,$A207)),ISNUMBER(SEARCH('Task Finder'!$C$7,$B207)),ISNUMBER(SEARCH('Task Finder'!$C$7,$C207)),ISNUMBER(SEARCH('Task Finder'!$C$7,$D207)),ISNUMBER(SEARCH('Task Finder'!$C$7,$K207)))),TRUE))))))))))</f>
        <v/>
      </c>
      <c r="Q207" s="150">
        <f>IF($F207="High","High Priority","")</f>
        <v/>
      </c>
      <c r="R207" s="150">
        <f>IF(AND($I207&lt;&gt;"",$I207&lt;TODAY()),"Overdue","")</f>
        <v/>
      </c>
      <c r="S207" s="150">
        <f>IF(AND($I207&lt;&gt;"",$I207&gt;=TODAY(),$I207&lt;=TODAY()+7),"Due This Week","")</f>
        <v/>
      </c>
      <c r="T207" s="150">
        <f>IF(AND($H207&lt;&gt;"",$M207&lt;=VLOOKUP(Home!$C$7,Lists!$N$2:$O$6,2,FALSE)),$H207&amp;" Task","")</f>
        <v/>
      </c>
      <c r="U207" s="150">
        <f>IF($G207=Home!$E$7,"Fits Current Energy","")</f>
        <v/>
      </c>
      <c r="V207" s="150">
        <f>IF($Q207&lt;&gt;""," • "&amp;$Q207,"")&amp;IF($R207&lt;&gt;""," • "&amp;$R207,"")&amp;IF($S207&lt;&gt;""," • "&amp;$S207,"")&amp;IF($T207&lt;&gt;""," • "&amp;$T207,"")&amp;IF($U207&lt;&gt;""," • "&amp;$U207,"")&amp;" • No Blockers"</f>
        <v/>
      </c>
    </row>
    <row r="208">
      <c r="A208" s="19" t="n"/>
      <c r="B208" s="19" t="n"/>
      <c r="C208" s="19" t="n"/>
      <c r="D208" s="19" t="n"/>
      <c r="E208" s="19" t="n"/>
      <c r="F208" s="19" t="n"/>
      <c r="G208" s="19" t="n"/>
      <c r="H208" s="19" t="n"/>
      <c r="I208" s="19" t="n"/>
      <c r="J208" s="19" t="n"/>
      <c r="K208" s="19" t="n"/>
      <c r="L208" s="125" t="n"/>
      <c r="M208" s="88">
        <f>IF($D208="","",IFERROR(VLOOKUP($H208,Lists!$N$2:$O$6,2,FALSE),0))</f>
        <v/>
      </c>
      <c r="N208" s="88">
        <f>IF($D208="","",IF(OR($E208="Blocked",$E208="Done",$E208="Archive"),-9999,IF(AND($E208="Waiting",SUMPRODUCT((($E$5:$E$500="Next")+($E$5:$E$500="In Progress")+($E$5:$E$500="Captured"))*($D$5:$D$500&lt;&gt;""))&gt;0),-500,VLOOKUP($F208,Lists!$L$2:$M$4,2,FALSE)+IF($E208="In Progress",10,0)+IF(AND($I208&lt;&gt;"",$I208&lt;TODAY()),25,0)+IF(AND($I208&lt;&gt;"",$I208&gt;=TODAY(),$I208&lt;=TODAY()+7),15,0)+IF($H208="",0,IF($M208&lt;=VLOOKUP(Home!$C$7,Lists!$N$2:$O$6,2,FALSE),20,-10))+IF($G208=Home!$E$7,15,IF(Home!$E$7="",0,-5))-ROW()/100000)))</f>
        <v/>
      </c>
      <c r="O208" s="88">
        <f>IF($D208="","",IF($N208&lt;=-500,"Not recommended right now",IF($E208="Waiting","Nothing else actionable right now — Waiting on: "&amp;IF($K208="","this item",$K208),MID($V208,4,9999))))</f>
        <v/>
      </c>
      <c r="P208" s="88">
        <f>IF($D208="","",IF('Task Finder'!$C$6="High Priority",AND($F208="High",$E208&lt;&gt;"Done",$E208&lt;&gt;"Archive"),IF('Task Finder'!$C$6="Due This Week",AND($I208&lt;&gt;"",$I208&gt;=TODAY(),$I208&lt;=TODAY()+7,$E208&lt;&gt;"Done"),IF('Task Finder'!$C$6="Quick Wins (15 mins or less)",AND($M208&lt;=15,$E208&lt;&gt;"Done",$E208&lt;&gt;"Blocked"),IF('Task Finder'!$C$6="Deep Thinking",AND($G208="Deep Thinking",$E208&lt;&gt;"Done"),IF('Task Finder'!$C$6="Processing",AND($G208="Processing",$E208&lt;&gt;"Done"),IF('Task Finder'!$C$6="Blocked",$E208="Blocked",IF('Task Finder'!$C$6="Waiting",$E208="Waiting",IF('Task Finder'!$C$6="Recently Updated",AND($L208&lt;&gt;"",$L208&gt;=TODAY()-7),IF('Task Finder'!$C$6="Keyword",AND('Task Finder'!$C$7&lt;&gt;"",OR(ISNUMBER(SEARCH('Task Finder'!$C$7,$A208)),ISNUMBER(SEARCH('Task Finder'!$C$7,$B208)),ISNUMBER(SEARCH('Task Finder'!$C$7,$C208)),ISNUMBER(SEARCH('Task Finder'!$C$7,$D208)),ISNUMBER(SEARCH('Task Finder'!$C$7,$K208)))),TRUE))))))))))</f>
        <v/>
      </c>
      <c r="Q208" s="150">
        <f>IF($F208="High","High Priority","")</f>
        <v/>
      </c>
      <c r="R208" s="150">
        <f>IF(AND($I208&lt;&gt;"",$I208&lt;TODAY()),"Overdue","")</f>
        <v/>
      </c>
      <c r="S208" s="150">
        <f>IF(AND($I208&lt;&gt;"",$I208&gt;=TODAY(),$I208&lt;=TODAY()+7),"Due This Week","")</f>
        <v/>
      </c>
      <c r="T208" s="150">
        <f>IF(AND($H208&lt;&gt;"",$M208&lt;=VLOOKUP(Home!$C$7,Lists!$N$2:$O$6,2,FALSE)),$H208&amp;" Task","")</f>
        <v/>
      </c>
      <c r="U208" s="150">
        <f>IF($G208=Home!$E$7,"Fits Current Energy","")</f>
        <v/>
      </c>
      <c r="V208" s="150">
        <f>IF($Q208&lt;&gt;""," • "&amp;$Q208,"")&amp;IF($R208&lt;&gt;""," • "&amp;$R208,"")&amp;IF($S208&lt;&gt;""," • "&amp;$S208,"")&amp;IF($T208&lt;&gt;""," • "&amp;$T208,"")&amp;IF($U208&lt;&gt;""," • "&amp;$U208,"")&amp;" • No Blockers"</f>
        <v/>
      </c>
    </row>
    <row r="209">
      <c r="A209" s="19" t="n"/>
      <c r="B209" s="19" t="n"/>
      <c r="C209" s="19" t="n"/>
      <c r="D209" s="19" t="n"/>
      <c r="E209" s="19" t="n"/>
      <c r="F209" s="19" t="n"/>
      <c r="G209" s="19" t="n"/>
      <c r="H209" s="19" t="n"/>
      <c r="I209" s="19" t="n"/>
      <c r="J209" s="19" t="n"/>
      <c r="K209" s="19" t="n"/>
      <c r="L209" s="125" t="n"/>
      <c r="M209" s="88">
        <f>IF($D209="","",IFERROR(VLOOKUP($H209,Lists!$N$2:$O$6,2,FALSE),0))</f>
        <v/>
      </c>
      <c r="N209" s="88">
        <f>IF($D209="","",IF(OR($E209="Blocked",$E209="Done",$E209="Archive"),-9999,IF(AND($E209="Waiting",SUMPRODUCT((($E$5:$E$500="Next")+($E$5:$E$500="In Progress")+($E$5:$E$500="Captured"))*($D$5:$D$500&lt;&gt;""))&gt;0),-500,VLOOKUP($F209,Lists!$L$2:$M$4,2,FALSE)+IF($E209="In Progress",10,0)+IF(AND($I209&lt;&gt;"",$I209&lt;TODAY()),25,0)+IF(AND($I209&lt;&gt;"",$I209&gt;=TODAY(),$I209&lt;=TODAY()+7),15,0)+IF($H209="",0,IF($M209&lt;=VLOOKUP(Home!$C$7,Lists!$N$2:$O$6,2,FALSE),20,-10))+IF($G209=Home!$E$7,15,IF(Home!$E$7="",0,-5))-ROW()/100000)))</f>
        <v/>
      </c>
      <c r="O209" s="88">
        <f>IF($D209="","",IF($N209&lt;=-500,"Not recommended right now",IF($E209="Waiting","Nothing else actionable right now — Waiting on: "&amp;IF($K209="","this item",$K209),MID($V209,4,9999))))</f>
        <v/>
      </c>
      <c r="P209" s="88">
        <f>IF($D209="","",IF('Task Finder'!$C$6="High Priority",AND($F209="High",$E209&lt;&gt;"Done",$E209&lt;&gt;"Archive"),IF('Task Finder'!$C$6="Due This Week",AND($I209&lt;&gt;"",$I209&gt;=TODAY(),$I209&lt;=TODAY()+7,$E209&lt;&gt;"Done"),IF('Task Finder'!$C$6="Quick Wins (15 mins or less)",AND($M209&lt;=15,$E209&lt;&gt;"Done",$E209&lt;&gt;"Blocked"),IF('Task Finder'!$C$6="Deep Thinking",AND($G209="Deep Thinking",$E209&lt;&gt;"Done"),IF('Task Finder'!$C$6="Processing",AND($G209="Processing",$E209&lt;&gt;"Done"),IF('Task Finder'!$C$6="Blocked",$E209="Blocked",IF('Task Finder'!$C$6="Waiting",$E209="Waiting",IF('Task Finder'!$C$6="Recently Updated",AND($L209&lt;&gt;"",$L209&gt;=TODAY()-7),IF('Task Finder'!$C$6="Keyword",AND('Task Finder'!$C$7&lt;&gt;"",OR(ISNUMBER(SEARCH('Task Finder'!$C$7,$A209)),ISNUMBER(SEARCH('Task Finder'!$C$7,$B209)),ISNUMBER(SEARCH('Task Finder'!$C$7,$C209)),ISNUMBER(SEARCH('Task Finder'!$C$7,$D209)),ISNUMBER(SEARCH('Task Finder'!$C$7,$K209)))),TRUE))))))))))</f>
        <v/>
      </c>
      <c r="Q209" s="150">
        <f>IF($F209="High","High Priority","")</f>
        <v/>
      </c>
      <c r="R209" s="150">
        <f>IF(AND($I209&lt;&gt;"",$I209&lt;TODAY()),"Overdue","")</f>
        <v/>
      </c>
      <c r="S209" s="150">
        <f>IF(AND($I209&lt;&gt;"",$I209&gt;=TODAY(),$I209&lt;=TODAY()+7),"Due This Week","")</f>
        <v/>
      </c>
      <c r="T209" s="150">
        <f>IF(AND($H209&lt;&gt;"",$M209&lt;=VLOOKUP(Home!$C$7,Lists!$N$2:$O$6,2,FALSE)),$H209&amp;" Task","")</f>
        <v/>
      </c>
      <c r="U209" s="150">
        <f>IF($G209=Home!$E$7,"Fits Current Energy","")</f>
        <v/>
      </c>
      <c r="V209" s="150">
        <f>IF($Q209&lt;&gt;""," • "&amp;$Q209,"")&amp;IF($R209&lt;&gt;""," • "&amp;$R209,"")&amp;IF($S209&lt;&gt;""," • "&amp;$S209,"")&amp;IF($T209&lt;&gt;""," • "&amp;$T209,"")&amp;IF($U209&lt;&gt;""," • "&amp;$U209,"")&amp;" • No Blockers"</f>
        <v/>
      </c>
    </row>
    <row r="210">
      <c r="A210" s="19" t="n"/>
      <c r="B210" s="19" t="n"/>
      <c r="C210" s="19" t="n"/>
      <c r="D210" s="19" t="n"/>
      <c r="E210" s="19" t="n"/>
      <c r="F210" s="19" t="n"/>
      <c r="G210" s="19" t="n"/>
      <c r="H210" s="19" t="n"/>
      <c r="I210" s="19" t="n"/>
      <c r="J210" s="19" t="n"/>
      <c r="K210" s="19" t="n"/>
      <c r="L210" s="125" t="n"/>
      <c r="M210" s="88">
        <f>IF($D210="","",IFERROR(VLOOKUP($H210,Lists!$N$2:$O$6,2,FALSE),0))</f>
        <v/>
      </c>
      <c r="N210" s="88">
        <f>IF($D210="","",IF(OR($E210="Blocked",$E210="Done",$E210="Archive"),-9999,IF(AND($E210="Waiting",SUMPRODUCT((($E$5:$E$500="Next")+($E$5:$E$500="In Progress")+($E$5:$E$500="Captured"))*($D$5:$D$500&lt;&gt;""))&gt;0),-500,VLOOKUP($F210,Lists!$L$2:$M$4,2,FALSE)+IF($E210="In Progress",10,0)+IF(AND($I210&lt;&gt;"",$I210&lt;TODAY()),25,0)+IF(AND($I210&lt;&gt;"",$I210&gt;=TODAY(),$I210&lt;=TODAY()+7),15,0)+IF($H210="",0,IF($M210&lt;=VLOOKUP(Home!$C$7,Lists!$N$2:$O$6,2,FALSE),20,-10))+IF($G210=Home!$E$7,15,IF(Home!$E$7="",0,-5))-ROW()/100000)))</f>
        <v/>
      </c>
      <c r="O210" s="88">
        <f>IF($D210="","",IF($N210&lt;=-500,"Not recommended right now",IF($E210="Waiting","Nothing else actionable right now — Waiting on: "&amp;IF($K210="","this item",$K210),MID($V210,4,9999))))</f>
        <v/>
      </c>
      <c r="P210" s="88">
        <f>IF($D210="","",IF('Task Finder'!$C$6="High Priority",AND($F210="High",$E210&lt;&gt;"Done",$E210&lt;&gt;"Archive"),IF('Task Finder'!$C$6="Due This Week",AND($I210&lt;&gt;"",$I210&gt;=TODAY(),$I210&lt;=TODAY()+7,$E210&lt;&gt;"Done"),IF('Task Finder'!$C$6="Quick Wins (15 mins or less)",AND($M210&lt;=15,$E210&lt;&gt;"Done",$E210&lt;&gt;"Blocked"),IF('Task Finder'!$C$6="Deep Thinking",AND($G210="Deep Thinking",$E210&lt;&gt;"Done"),IF('Task Finder'!$C$6="Processing",AND($G210="Processing",$E210&lt;&gt;"Done"),IF('Task Finder'!$C$6="Blocked",$E210="Blocked",IF('Task Finder'!$C$6="Waiting",$E210="Waiting",IF('Task Finder'!$C$6="Recently Updated",AND($L210&lt;&gt;"",$L210&gt;=TODAY()-7),IF('Task Finder'!$C$6="Keyword",AND('Task Finder'!$C$7&lt;&gt;"",OR(ISNUMBER(SEARCH('Task Finder'!$C$7,$A210)),ISNUMBER(SEARCH('Task Finder'!$C$7,$B210)),ISNUMBER(SEARCH('Task Finder'!$C$7,$C210)),ISNUMBER(SEARCH('Task Finder'!$C$7,$D210)),ISNUMBER(SEARCH('Task Finder'!$C$7,$K210)))),TRUE))))))))))</f>
        <v/>
      </c>
      <c r="Q210" s="150">
        <f>IF($F210="High","High Priority","")</f>
        <v/>
      </c>
      <c r="R210" s="150">
        <f>IF(AND($I210&lt;&gt;"",$I210&lt;TODAY()),"Overdue","")</f>
        <v/>
      </c>
      <c r="S210" s="150">
        <f>IF(AND($I210&lt;&gt;"",$I210&gt;=TODAY(),$I210&lt;=TODAY()+7),"Due This Week","")</f>
        <v/>
      </c>
      <c r="T210" s="150">
        <f>IF(AND($H210&lt;&gt;"",$M210&lt;=VLOOKUP(Home!$C$7,Lists!$N$2:$O$6,2,FALSE)),$H210&amp;" Task","")</f>
        <v/>
      </c>
      <c r="U210" s="150">
        <f>IF($G210=Home!$E$7,"Fits Current Energy","")</f>
        <v/>
      </c>
      <c r="V210" s="150">
        <f>IF($Q210&lt;&gt;""," • "&amp;$Q210,"")&amp;IF($R210&lt;&gt;""," • "&amp;$R210,"")&amp;IF($S210&lt;&gt;""," • "&amp;$S210,"")&amp;IF($T210&lt;&gt;""," • "&amp;$T210,"")&amp;IF($U210&lt;&gt;""," • "&amp;$U210,"")&amp;" • No Blockers"</f>
        <v/>
      </c>
    </row>
    <row r="211">
      <c r="A211" s="19" t="n"/>
      <c r="B211" s="19" t="n"/>
      <c r="C211" s="19" t="n"/>
      <c r="D211" s="19" t="n"/>
      <c r="E211" s="19" t="n"/>
      <c r="F211" s="19" t="n"/>
      <c r="G211" s="19" t="n"/>
      <c r="H211" s="19" t="n"/>
      <c r="I211" s="19" t="n"/>
      <c r="J211" s="19" t="n"/>
      <c r="K211" s="19" t="n"/>
      <c r="L211" s="125" t="n"/>
      <c r="M211" s="88">
        <f>IF($D211="","",IFERROR(VLOOKUP($H211,Lists!$N$2:$O$6,2,FALSE),0))</f>
        <v/>
      </c>
      <c r="N211" s="88">
        <f>IF($D211="","",IF(OR($E211="Blocked",$E211="Done",$E211="Archive"),-9999,IF(AND($E211="Waiting",SUMPRODUCT((($E$5:$E$500="Next")+($E$5:$E$500="In Progress")+($E$5:$E$500="Captured"))*($D$5:$D$500&lt;&gt;""))&gt;0),-500,VLOOKUP($F211,Lists!$L$2:$M$4,2,FALSE)+IF($E211="In Progress",10,0)+IF(AND($I211&lt;&gt;"",$I211&lt;TODAY()),25,0)+IF(AND($I211&lt;&gt;"",$I211&gt;=TODAY(),$I211&lt;=TODAY()+7),15,0)+IF($H211="",0,IF($M211&lt;=VLOOKUP(Home!$C$7,Lists!$N$2:$O$6,2,FALSE),20,-10))+IF($G211=Home!$E$7,15,IF(Home!$E$7="",0,-5))-ROW()/100000)))</f>
        <v/>
      </c>
      <c r="O211" s="88">
        <f>IF($D211="","",IF($N211&lt;=-500,"Not recommended right now",IF($E211="Waiting","Nothing else actionable right now — Waiting on: "&amp;IF($K211="","this item",$K211),MID($V211,4,9999))))</f>
        <v/>
      </c>
      <c r="P211" s="88">
        <f>IF($D211="","",IF('Task Finder'!$C$6="High Priority",AND($F211="High",$E211&lt;&gt;"Done",$E211&lt;&gt;"Archive"),IF('Task Finder'!$C$6="Due This Week",AND($I211&lt;&gt;"",$I211&gt;=TODAY(),$I211&lt;=TODAY()+7,$E211&lt;&gt;"Done"),IF('Task Finder'!$C$6="Quick Wins (15 mins or less)",AND($M211&lt;=15,$E211&lt;&gt;"Done",$E211&lt;&gt;"Blocked"),IF('Task Finder'!$C$6="Deep Thinking",AND($G211="Deep Thinking",$E211&lt;&gt;"Done"),IF('Task Finder'!$C$6="Processing",AND($G211="Processing",$E211&lt;&gt;"Done"),IF('Task Finder'!$C$6="Blocked",$E211="Blocked",IF('Task Finder'!$C$6="Waiting",$E211="Waiting",IF('Task Finder'!$C$6="Recently Updated",AND($L211&lt;&gt;"",$L211&gt;=TODAY()-7),IF('Task Finder'!$C$6="Keyword",AND('Task Finder'!$C$7&lt;&gt;"",OR(ISNUMBER(SEARCH('Task Finder'!$C$7,$A211)),ISNUMBER(SEARCH('Task Finder'!$C$7,$B211)),ISNUMBER(SEARCH('Task Finder'!$C$7,$C211)),ISNUMBER(SEARCH('Task Finder'!$C$7,$D211)),ISNUMBER(SEARCH('Task Finder'!$C$7,$K211)))),TRUE))))))))))</f>
        <v/>
      </c>
      <c r="Q211" s="150">
        <f>IF($F211="High","High Priority","")</f>
        <v/>
      </c>
      <c r="R211" s="150">
        <f>IF(AND($I211&lt;&gt;"",$I211&lt;TODAY()),"Overdue","")</f>
        <v/>
      </c>
      <c r="S211" s="150">
        <f>IF(AND($I211&lt;&gt;"",$I211&gt;=TODAY(),$I211&lt;=TODAY()+7),"Due This Week","")</f>
        <v/>
      </c>
      <c r="T211" s="150">
        <f>IF(AND($H211&lt;&gt;"",$M211&lt;=VLOOKUP(Home!$C$7,Lists!$N$2:$O$6,2,FALSE)),$H211&amp;" Task","")</f>
        <v/>
      </c>
      <c r="U211" s="150">
        <f>IF($G211=Home!$E$7,"Fits Current Energy","")</f>
        <v/>
      </c>
      <c r="V211" s="150">
        <f>IF($Q211&lt;&gt;""," • "&amp;$Q211,"")&amp;IF($R211&lt;&gt;""," • "&amp;$R211,"")&amp;IF($S211&lt;&gt;""," • "&amp;$S211,"")&amp;IF($T211&lt;&gt;""," • "&amp;$T211,"")&amp;IF($U211&lt;&gt;""," • "&amp;$U211,"")&amp;" • No Blockers"</f>
        <v/>
      </c>
    </row>
    <row r="212">
      <c r="A212" s="19" t="n"/>
      <c r="B212" s="19" t="n"/>
      <c r="C212" s="19" t="n"/>
      <c r="D212" s="19" t="n"/>
      <c r="E212" s="19" t="n"/>
      <c r="F212" s="19" t="n"/>
      <c r="G212" s="19" t="n"/>
      <c r="H212" s="19" t="n"/>
      <c r="I212" s="19" t="n"/>
      <c r="J212" s="19" t="n"/>
      <c r="K212" s="19" t="n"/>
      <c r="L212" s="125" t="n"/>
      <c r="M212" s="88">
        <f>IF($D212="","",IFERROR(VLOOKUP($H212,Lists!$N$2:$O$6,2,FALSE),0))</f>
        <v/>
      </c>
      <c r="N212" s="88">
        <f>IF($D212="","",IF(OR($E212="Blocked",$E212="Done",$E212="Archive"),-9999,IF(AND($E212="Waiting",SUMPRODUCT((($E$5:$E$500="Next")+($E$5:$E$500="In Progress")+($E$5:$E$500="Captured"))*($D$5:$D$500&lt;&gt;""))&gt;0),-500,VLOOKUP($F212,Lists!$L$2:$M$4,2,FALSE)+IF($E212="In Progress",10,0)+IF(AND($I212&lt;&gt;"",$I212&lt;TODAY()),25,0)+IF(AND($I212&lt;&gt;"",$I212&gt;=TODAY(),$I212&lt;=TODAY()+7),15,0)+IF($H212="",0,IF($M212&lt;=VLOOKUP(Home!$C$7,Lists!$N$2:$O$6,2,FALSE),20,-10))+IF($G212=Home!$E$7,15,IF(Home!$E$7="",0,-5))-ROW()/100000)))</f>
        <v/>
      </c>
      <c r="O212" s="88">
        <f>IF($D212="","",IF($N212&lt;=-500,"Not recommended right now",IF($E212="Waiting","Nothing else actionable right now — Waiting on: "&amp;IF($K212="","this item",$K212),MID($V212,4,9999))))</f>
        <v/>
      </c>
      <c r="P212" s="88">
        <f>IF($D212="","",IF('Task Finder'!$C$6="High Priority",AND($F212="High",$E212&lt;&gt;"Done",$E212&lt;&gt;"Archive"),IF('Task Finder'!$C$6="Due This Week",AND($I212&lt;&gt;"",$I212&gt;=TODAY(),$I212&lt;=TODAY()+7,$E212&lt;&gt;"Done"),IF('Task Finder'!$C$6="Quick Wins (15 mins or less)",AND($M212&lt;=15,$E212&lt;&gt;"Done",$E212&lt;&gt;"Blocked"),IF('Task Finder'!$C$6="Deep Thinking",AND($G212="Deep Thinking",$E212&lt;&gt;"Done"),IF('Task Finder'!$C$6="Processing",AND($G212="Processing",$E212&lt;&gt;"Done"),IF('Task Finder'!$C$6="Blocked",$E212="Blocked",IF('Task Finder'!$C$6="Waiting",$E212="Waiting",IF('Task Finder'!$C$6="Recently Updated",AND($L212&lt;&gt;"",$L212&gt;=TODAY()-7),IF('Task Finder'!$C$6="Keyword",AND('Task Finder'!$C$7&lt;&gt;"",OR(ISNUMBER(SEARCH('Task Finder'!$C$7,$A212)),ISNUMBER(SEARCH('Task Finder'!$C$7,$B212)),ISNUMBER(SEARCH('Task Finder'!$C$7,$C212)),ISNUMBER(SEARCH('Task Finder'!$C$7,$D212)),ISNUMBER(SEARCH('Task Finder'!$C$7,$K212)))),TRUE))))))))))</f>
        <v/>
      </c>
      <c r="Q212" s="150">
        <f>IF($F212="High","High Priority","")</f>
        <v/>
      </c>
      <c r="R212" s="150">
        <f>IF(AND($I212&lt;&gt;"",$I212&lt;TODAY()),"Overdue","")</f>
        <v/>
      </c>
      <c r="S212" s="150">
        <f>IF(AND($I212&lt;&gt;"",$I212&gt;=TODAY(),$I212&lt;=TODAY()+7),"Due This Week","")</f>
        <v/>
      </c>
      <c r="T212" s="150">
        <f>IF(AND($H212&lt;&gt;"",$M212&lt;=VLOOKUP(Home!$C$7,Lists!$N$2:$O$6,2,FALSE)),$H212&amp;" Task","")</f>
        <v/>
      </c>
      <c r="U212" s="150">
        <f>IF($G212=Home!$E$7,"Fits Current Energy","")</f>
        <v/>
      </c>
      <c r="V212" s="150">
        <f>IF($Q212&lt;&gt;""," • "&amp;$Q212,"")&amp;IF($R212&lt;&gt;""," • "&amp;$R212,"")&amp;IF($S212&lt;&gt;""," • "&amp;$S212,"")&amp;IF($T212&lt;&gt;""," • "&amp;$T212,"")&amp;IF($U212&lt;&gt;""," • "&amp;$U212,"")&amp;" • No Blockers"</f>
        <v/>
      </c>
    </row>
    <row r="213">
      <c r="A213" s="19" t="n"/>
      <c r="B213" s="19" t="n"/>
      <c r="C213" s="19" t="n"/>
      <c r="D213" s="19" t="n"/>
      <c r="E213" s="19" t="n"/>
      <c r="F213" s="19" t="n"/>
      <c r="G213" s="19" t="n"/>
      <c r="H213" s="19" t="n"/>
      <c r="I213" s="19" t="n"/>
      <c r="J213" s="19" t="n"/>
      <c r="K213" s="19" t="n"/>
      <c r="L213" s="125" t="n"/>
      <c r="M213" s="88">
        <f>IF($D213="","",IFERROR(VLOOKUP($H213,Lists!$N$2:$O$6,2,FALSE),0))</f>
        <v/>
      </c>
      <c r="N213" s="88">
        <f>IF($D213="","",IF(OR($E213="Blocked",$E213="Done",$E213="Archive"),-9999,IF(AND($E213="Waiting",SUMPRODUCT((($E$5:$E$500="Next")+($E$5:$E$500="In Progress")+($E$5:$E$500="Captured"))*($D$5:$D$500&lt;&gt;""))&gt;0),-500,VLOOKUP($F213,Lists!$L$2:$M$4,2,FALSE)+IF($E213="In Progress",10,0)+IF(AND($I213&lt;&gt;"",$I213&lt;TODAY()),25,0)+IF(AND($I213&lt;&gt;"",$I213&gt;=TODAY(),$I213&lt;=TODAY()+7),15,0)+IF($H213="",0,IF($M213&lt;=VLOOKUP(Home!$C$7,Lists!$N$2:$O$6,2,FALSE),20,-10))+IF($G213=Home!$E$7,15,IF(Home!$E$7="",0,-5))-ROW()/100000)))</f>
        <v/>
      </c>
      <c r="O213" s="88">
        <f>IF($D213="","",IF($N213&lt;=-500,"Not recommended right now",IF($E213="Waiting","Nothing else actionable right now — Waiting on: "&amp;IF($K213="","this item",$K213),MID($V213,4,9999))))</f>
        <v/>
      </c>
      <c r="P213" s="88">
        <f>IF($D213="","",IF('Task Finder'!$C$6="High Priority",AND($F213="High",$E213&lt;&gt;"Done",$E213&lt;&gt;"Archive"),IF('Task Finder'!$C$6="Due This Week",AND($I213&lt;&gt;"",$I213&gt;=TODAY(),$I213&lt;=TODAY()+7,$E213&lt;&gt;"Done"),IF('Task Finder'!$C$6="Quick Wins (15 mins or less)",AND($M213&lt;=15,$E213&lt;&gt;"Done",$E213&lt;&gt;"Blocked"),IF('Task Finder'!$C$6="Deep Thinking",AND($G213="Deep Thinking",$E213&lt;&gt;"Done"),IF('Task Finder'!$C$6="Processing",AND($G213="Processing",$E213&lt;&gt;"Done"),IF('Task Finder'!$C$6="Blocked",$E213="Blocked",IF('Task Finder'!$C$6="Waiting",$E213="Waiting",IF('Task Finder'!$C$6="Recently Updated",AND($L213&lt;&gt;"",$L213&gt;=TODAY()-7),IF('Task Finder'!$C$6="Keyword",AND('Task Finder'!$C$7&lt;&gt;"",OR(ISNUMBER(SEARCH('Task Finder'!$C$7,$A213)),ISNUMBER(SEARCH('Task Finder'!$C$7,$B213)),ISNUMBER(SEARCH('Task Finder'!$C$7,$C213)),ISNUMBER(SEARCH('Task Finder'!$C$7,$D213)),ISNUMBER(SEARCH('Task Finder'!$C$7,$K213)))),TRUE))))))))))</f>
        <v/>
      </c>
      <c r="Q213" s="150">
        <f>IF($F213="High","High Priority","")</f>
        <v/>
      </c>
      <c r="R213" s="150">
        <f>IF(AND($I213&lt;&gt;"",$I213&lt;TODAY()),"Overdue","")</f>
        <v/>
      </c>
      <c r="S213" s="150">
        <f>IF(AND($I213&lt;&gt;"",$I213&gt;=TODAY(),$I213&lt;=TODAY()+7),"Due This Week","")</f>
        <v/>
      </c>
      <c r="T213" s="150">
        <f>IF(AND($H213&lt;&gt;"",$M213&lt;=VLOOKUP(Home!$C$7,Lists!$N$2:$O$6,2,FALSE)),$H213&amp;" Task","")</f>
        <v/>
      </c>
      <c r="U213" s="150">
        <f>IF($G213=Home!$E$7,"Fits Current Energy","")</f>
        <v/>
      </c>
      <c r="V213" s="150">
        <f>IF($Q213&lt;&gt;""," • "&amp;$Q213,"")&amp;IF($R213&lt;&gt;""," • "&amp;$R213,"")&amp;IF($S213&lt;&gt;""," • "&amp;$S213,"")&amp;IF($T213&lt;&gt;""," • "&amp;$T213,"")&amp;IF($U213&lt;&gt;""," • "&amp;$U213,"")&amp;" • No Blockers"</f>
        <v/>
      </c>
    </row>
    <row r="214">
      <c r="A214" s="19" t="n"/>
      <c r="B214" s="19" t="n"/>
      <c r="C214" s="19" t="n"/>
      <c r="D214" s="19" t="n"/>
      <c r="E214" s="19" t="n"/>
      <c r="F214" s="19" t="n"/>
      <c r="G214" s="19" t="n"/>
      <c r="H214" s="19" t="n"/>
      <c r="I214" s="19" t="n"/>
      <c r="J214" s="19" t="n"/>
      <c r="K214" s="19" t="n"/>
      <c r="L214" s="125" t="n"/>
      <c r="M214" s="88">
        <f>IF($D214="","",IFERROR(VLOOKUP($H214,Lists!$N$2:$O$6,2,FALSE),0))</f>
        <v/>
      </c>
      <c r="N214" s="88">
        <f>IF($D214="","",IF(OR($E214="Blocked",$E214="Done",$E214="Archive"),-9999,IF(AND($E214="Waiting",SUMPRODUCT((($E$5:$E$500="Next")+($E$5:$E$500="In Progress")+($E$5:$E$500="Captured"))*($D$5:$D$500&lt;&gt;""))&gt;0),-500,VLOOKUP($F214,Lists!$L$2:$M$4,2,FALSE)+IF($E214="In Progress",10,0)+IF(AND($I214&lt;&gt;"",$I214&lt;TODAY()),25,0)+IF(AND($I214&lt;&gt;"",$I214&gt;=TODAY(),$I214&lt;=TODAY()+7),15,0)+IF($H214="",0,IF($M214&lt;=VLOOKUP(Home!$C$7,Lists!$N$2:$O$6,2,FALSE),20,-10))+IF($G214=Home!$E$7,15,IF(Home!$E$7="",0,-5))-ROW()/100000)))</f>
        <v/>
      </c>
      <c r="O214" s="88">
        <f>IF($D214="","",IF($N214&lt;=-500,"Not recommended right now",IF($E214="Waiting","Nothing else actionable right now — Waiting on: "&amp;IF($K214="","this item",$K214),MID($V214,4,9999))))</f>
        <v/>
      </c>
      <c r="P214" s="88">
        <f>IF($D214="","",IF('Task Finder'!$C$6="High Priority",AND($F214="High",$E214&lt;&gt;"Done",$E214&lt;&gt;"Archive"),IF('Task Finder'!$C$6="Due This Week",AND($I214&lt;&gt;"",$I214&gt;=TODAY(),$I214&lt;=TODAY()+7,$E214&lt;&gt;"Done"),IF('Task Finder'!$C$6="Quick Wins (15 mins or less)",AND($M214&lt;=15,$E214&lt;&gt;"Done",$E214&lt;&gt;"Blocked"),IF('Task Finder'!$C$6="Deep Thinking",AND($G214="Deep Thinking",$E214&lt;&gt;"Done"),IF('Task Finder'!$C$6="Processing",AND($G214="Processing",$E214&lt;&gt;"Done"),IF('Task Finder'!$C$6="Blocked",$E214="Blocked",IF('Task Finder'!$C$6="Waiting",$E214="Waiting",IF('Task Finder'!$C$6="Recently Updated",AND($L214&lt;&gt;"",$L214&gt;=TODAY()-7),IF('Task Finder'!$C$6="Keyword",AND('Task Finder'!$C$7&lt;&gt;"",OR(ISNUMBER(SEARCH('Task Finder'!$C$7,$A214)),ISNUMBER(SEARCH('Task Finder'!$C$7,$B214)),ISNUMBER(SEARCH('Task Finder'!$C$7,$C214)),ISNUMBER(SEARCH('Task Finder'!$C$7,$D214)),ISNUMBER(SEARCH('Task Finder'!$C$7,$K214)))),TRUE))))))))))</f>
        <v/>
      </c>
      <c r="Q214" s="150">
        <f>IF($F214="High","High Priority","")</f>
        <v/>
      </c>
      <c r="R214" s="150">
        <f>IF(AND($I214&lt;&gt;"",$I214&lt;TODAY()),"Overdue","")</f>
        <v/>
      </c>
      <c r="S214" s="150">
        <f>IF(AND($I214&lt;&gt;"",$I214&gt;=TODAY(),$I214&lt;=TODAY()+7),"Due This Week","")</f>
        <v/>
      </c>
      <c r="T214" s="150">
        <f>IF(AND($H214&lt;&gt;"",$M214&lt;=VLOOKUP(Home!$C$7,Lists!$N$2:$O$6,2,FALSE)),$H214&amp;" Task","")</f>
        <v/>
      </c>
      <c r="U214" s="150">
        <f>IF($G214=Home!$E$7,"Fits Current Energy","")</f>
        <v/>
      </c>
      <c r="V214" s="150">
        <f>IF($Q214&lt;&gt;""," • "&amp;$Q214,"")&amp;IF($R214&lt;&gt;""," • "&amp;$R214,"")&amp;IF($S214&lt;&gt;""," • "&amp;$S214,"")&amp;IF($T214&lt;&gt;""," • "&amp;$T214,"")&amp;IF($U214&lt;&gt;""," • "&amp;$U214,"")&amp;" • No Blockers"</f>
        <v/>
      </c>
    </row>
    <row r="215">
      <c r="A215" s="19" t="n"/>
      <c r="B215" s="19" t="n"/>
      <c r="C215" s="19" t="n"/>
      <c r="D215" s="19" t="n"/>
      <c r="E215" s="19" t="n"/>
      <c r="F215" s="19" t="n"/>
      <c r="G215" s="19" t="n"/>
      <c r="H215" s="19" t="n"/>
      <c r="I215" s="19" t="n"/>
      <c r="J215" s="19" t="n"/>
      <c r="K215" s="19" t="n"/>
      <c r="L215" s="125" t="n"/>
      <c r="M215" s="88">
        <f>IF($D215="","",IFERROR(VLOOKUP($H215,Lists!$N$2:$O$6,2,FALSE),0))</f>
        <v/>
      </c>
      <c r="N215" s="88">
        <f>IF($D215="","",IF(OR($E215="Blocked",$E215="Done",$E215="Archive"),-9999,IF(AND($E215="Waiting",SUMPRODUCT((($E$5:$E$500="Next")+($E$5:$E$500="In Progress")+($E$5:$E$500="Captured"))*($D$5:$D$500&lt;&gt;""))&gt;0),-500,VLOOKUP($F215,Lists!$L$2:$M$4,2,FALSE)+IF($E215="In Progress",10,0)+IF(AND($I215&lt;&gt;"",$I215&lt;TODAY()),25,0)+IF(AND($I215&lt;&gt;"",$I215&gt;=TODAY(),$I215&lt;=TODAY()+7),15,0)+IF($H215="",0,IF($M215&lt;=VLOOKUP(Home!$C$7,Lists!$N$2:$O$6,2,FALSE),20,-10))+IF($G215=Home!$E$7,15,IF(Home!$E$7="",0,-5))-ROW()/100000)))</f>
        <v/>
      </c>
      <c r="O215" s="88">
        <f>IF($D215="","",IF($N215&lt;=-500,"Not recommended right now",IF($E215="Waiting","Nothing else actionable right now — Waiting on: "&amp;IF($K215="","this item",$K215),MID($V215,4,9999))))</f>
        <v/>
      </c>
      <c r="P215" s="88">
        <f>IF($D215="","",IF('Task Finder'!$C$6="High Priority",AND($F215="High",$E215&lt;&gt;"Done",$E215&lt;&gt;"Archive"),IF('Task Finder'!$C$6="Due This Week",AND($I215&lt;&gt;"",$I215&gt;=TODAY(),$I215&lt;=TODAY()+7,$E215&lt;&gt;"Done"),IF('Task Finder'!$C$6="Quick Wins (15 mins or less)",AND($M215&lt;=15,$E215&lt;&gt;"Done",$E215&lt;&gt;"Blocked"),IF('Task Finder'!$C$6="Deep Thinking",AND($G215="Deep Thinking",$E215&lt;&gt;"Done"),IF('Task Finder'!$C$6="Processing",AND($G215="Processing",$E215&lt;&gt;"Done"),IF('Task Finder'!$C$6="Blocked",$E215="Blocked",IF('Task Finder'!$C$6="Waiting",$E215="Waiting",IF('Task Finder'!$C$6="Recently Updated",AND($L215&lt;&gt;"",$L215&gt;=TODAY()-7),IF('Task Finder'!$C$6="Keyword",AND('Task Finder'!$C$7&lt;&gt;"",OR(ISNUMBER(SEARCH('Task Finder'!$C$7,$A215)),ISNUMBER(SEARCH('Task Finder'!$C$7,$B215)),ISNUMBER(SEARCH('Task Finder'!$C$7,$C215)),ISNUMBER(SEARCH('Task Finder'!$C$7,$D215)),ISNUMBER(SEARCH('Task Finder'!$C$7,$K215)))),TRUE))))))))))</f>
        <v/>
      </c>
      <c r="Q215" s="150">
        <f>IF($F215="High","High Priority","")</f>
        <v/>
      </c>
      <c r="R215" s="150">
        <f>IF(AND($I215&lt;&gt;"",$I215&lt;TODAY()),"Overdue","")</f>
        <v/>
      </c>
      <c r="S215" s="150">
        <f>IF(AND($I215&lt;&gt;"",$I215&gt;=TODAY(),$I215&lt;=TODAY()+7),"Due This Week","")</f>
        <v/>
      </c>
      <c r="T215" s="150">
        <f>IF(AND($H215&lt;&gt;"",$M215&lt;=VLOOKUP(Home!$C$7,Lists!$N$2:$O$6,2,FALSE)),$H215&amp;" Task","")</f>
        <v/>
      </c>
      <c r="U215" s="150">
        <f>IF($G215=Home!$E$7,"Fits Current Energy","")</f>
        <v/>
      </c>
      <c r="V215" s="150">
        <f>IF($Q215&lt;&gt;""," • "&amp;$Q215,"")&amp;IF($R215&lt;&gt;""," • "&amp;$R215,"")&amp;IF($S215&lt;&gt;""," • "&amp;$S215,"")&amp;IF($T215&lt;&gt;""," • "&amp;$T215,"")&amp;IF($U215&lt;&gt;""," • "&amp;$U215,"")&amp;" • No Blockers"</f>
        <v/>
      </c>
    </row>
    <row r="216">
      <c r="A216" s="19" t="n"/>
      <c r="B216" s="19" t="n"/>
      <c r="C216" s="19" t="n"/>
      <c r="D216" s="19" t="n"/>
      <c r="E216" s="19" t="n"/>
      <c r="F216" s="19" t="n"/>
      <c r="G216" s="19" t="n"/>
      <c r="H216" s="19" t="n"/>
      <c r="I216" s="19" t="n"/>
      <c r="J216" s="19" t="n"/>
      <c r="K216" s="19" t="n"/>
      <c r="L216" s="125" t="n"/>
      <c r="M216" s="88">
        <f>IF($D216="","",IFERROR(VLOOKUP($H216,Lists!$N$2:$O$6,2,FALSE),0))</f>
        <v/>
      </c>
      <c r="N216" s="88">
        <f>IF($D216="","",IF(OR($E216="Blocked",$E216="Done",$E216="Archive"),-9999,IF(AND($E216="Waiting",SUMPRODUCT((($E$5:$E$500="Next")+($E$5:$E$500="In Progress")+($E$5:$E$500="Captured"))*($D$5:$D$500&lt;&gt;""))&gt;0),-500,VLOOKUP($F216,Lists!$L$2:$M$4,2,FALSE)+IF($E216="In Progress",10,0)+IF(AND($I216&lt;&gt;"",$I216&lt;TODAY()),25,0)+IF(AND($I216&lt;&gt;"",$I216&gt;=TODAY(),$I216&lt;=TODAY()+7),15,0)+IF($H216="",0,IF($M216&lt;=VLOOKUP(Home!$C$7,Lists!$N$2:$O$6,2,FALSE),20,-10))+IF($G216=Home!$E$7,15,IF(Home!$E$7="",0,-5))-ROW()/100000)))</f>
        <v/>
      </c>
      <c r="O216" s="88">
        <f>IF($D216="","",IF($N216&lt;=-500,"Not recommended right now",IF($E216="Waiting","Nothing else actionable right now — Waiting on: "&amp;IF($K216="","this item",$K216),MID($V216,4,9999))))</f>
        <v/>
      </c>
      <c r="P216" s="88">
        <f>IF($D216="","",IF('Task Finder'!$C$6="High Priority",AND($F216="High",$E216&lt;&gt;"Done",$E216&lt;&gt;"Archive"),IF('Task Finder'!$C$6="Due This Week",AND($I216&lt;&gt;"",$I216&gt;=TODAY(),$I216&lt;=TODAY()+7,$E216&lt;&gt;"Done"),IF('Task Finder'!$C$6="Quick Wins (15 mins or less)",AND($M216&lt;=15,$E216&lt;&gt;"Done",$E216&lt;&gt;"Blocked"),IF('Task Finder'!$C$6="Deep Thinking",AND($G216="Deep Thinking",$E216&lt;&gt;"Done"),IF('Task Finder'!$C$6="Processing",AND($G216="Processing",$E216&lt;&gt;"Done"),IF('Task Finder'!$C$6="Blocked",$E216="Blocked",IF('Task Finder'!$C$6="Waiting",$E216="Waiting",IF('Task Finder'!$C$6="Recently Updated",AND($L216&lt;&gt;"",$L216&gt;=TODAY()-7),IF('Task Finder'!$C$6="Keyword",AND('Task Finder'!$C$7&lt;&gt;"",OR(ISNUMBER(SEARCH('Task Finder'!$C$7,$A216)),ISNUMBER(SEARCH('Task Finder'!$C$7,$B216)),ISNUMBER(SEARCH('Task Finder'!$C$7,$C216)),ISNUMBER(SEARCH('Task Finder'!$C$7,$D216)),ISNUMBER(SEARCH('Task Finder'!$C$7,$K216)))),TRUE))))))))))</f>
        <v/>
      </c>
      <c r="Q216" s="150">
        <f>IF($F216="High","High Priority","")</f>
        <v/>
      </c>
      <c r="R216" s="150">
        <f>IF(AND($I216&lt;&gt;"",$I216&lt;TODAY()),"Overdue","")</f>
        <v/>
      </c>
      <c r="S216" s="150">
        <f>IF(AND($I216&lt;&gt;"",$I216&gt;=TODAY(),$I216&lt;=TODAY()+7),"Due This Week","")</f>
        <v/>
      </c>
      <c r="T216" s="150">
        <f>IF(AND($H216&lt;&gt;"",$M216&lt;=VLOOKUP(Home!$C$7,Lists!$N$2:$O$6,2,FALSE)),$H216&amp;" Task","")</f>
        <v/>
      </c>
      <c r="U216" s="150">
        <f>IF($G216=Home!$E$7,"Fits Current Energy","")</f>
        <v/>
      </c>
      <c r="V216" s="150">
        <f>IF($Q216&lt;&gt;""," • "&amp;$Q216,"")&amp;IF($R216&lt;&gt;""," • "&amp;$R216,"")&amp;IF($S216&lt;&gt;""," • "&amp;$S216,"")&amp;IF($T216&lt;&gt;""," • "&amp;$T216,"")&amp;IF($U216&lt;&gt;""," • "&amp;$U216,"")&amp;" • No Blockers"</f>
        <v/>
      </c>
    </row>
    <row r="217">
      <c r="A217" s="19" t="n"/>
      <c r="B217" s="19" t="n"/>
      <c r="C217" s="19" t="n"/>
      <c r="D217" s="19" t="n"/>
      <c r="E217" s="19" t="n"/>
      <c r="F217" s="19" t="n"/>
      <c r="G217" s="19" t="n"/>
      <c r="H217" s="19" t="n"/>
      <c r="I217" s="19" t="n"/>
      <c r="J217" s="19" t="n"/>
      <c r="K217" s="19" t="n"/>
      <c r="L217" s="125" t="n"/>
      <c r="M217" s="88">
        <f>IF($D217="","",IFERROR(VLOOKUP($H217,Lists!$N$2:$O$6,2,FALSE),0))</f>
        <v/>
      </c>
      <c r="N217" s="88">
        <f>IF($D217="","",IF(OR($E217="Blocked",$E217="Done",$E217="Archive"),-9999,IF(AND($E217="Waiting",SUMPRODUCT((($E$5:$E$500="Next")+($E$5:$E$500="In Progress")+($E$5:$E$500="Captured"))*($D$5:$D$500&lt;&gt;""))&gt;0),-500,VLOOKUP($F217,Lists!$L$2:$M$4,2,FALSE)+IF($E217="In Progress",10,0)+IF(AND($I217&lt;&gt;"",$I217&lt;TODAY()),25,0)+IF(AND($I217&lt;&gt;"",$I217&gt;=TODAY(),$I217&lt;=TODAY()+7),15,0)+IF($H217="",0,IF($M217&lt;=VLOOKUP(Home!$C$7,Lists!$N$2:$O$6,2,FALSE),20,-10))+IF($G217=Home!$E$7,15,IF(Home!$E$7="",0,-5))-ROW()/100000)))</f>
        <v/>
      </c>
      <c r="O217" s="88">
        <f>IF($D217="","",IF($N217&lt;=-500,"Not recommended right now",IF($E217="Waiting","Nothing else actionable right now — Waiting on: "&amp;IF($K217="","this item",$K217),MID($V217,4,9999))))</f>
        <v/>
      </c>
      <c r="P217" s="88">
        <f>IF($D217="","",IF('Task Finder'!$C$6="High Priority",AND($F217="High",$E217&lt;&gt;"Done",$E217&lt;&gt;"Archive"),IF('Task Finder'!$C$6="Due This Week",AND($I217&lt;&gt;"",$I217&gt;=TODAY(),$I217&lt;=TODAY()+7,$E217&lt;&gt;"Done"),IF('Task Finder'!$C$6="Quick Wins (15 mins or less)",AND($M217&lt;=15,$E217&lt;&gt;"Done",$E217&lt;&gt;"Blocked"),IF('Task Finder'!$C$6="Deep Thinking",AND($G217="Deep Thinking",$E217&lt;&gt;"Done"),IF('Task Finder'!$C$6="Processing",AND($G217="Processing",$E217&lt;&gt;"Done"),IF('Task Finder'!$C$6="Blocked",$E217="Blocked",IF('Task Finder'!$C$6="Waiting",$E217="Waiting",IF('Task Finder'!$C$6="Recently Updated",AND($L217&lt;&gt;"",$L217&gt;=TODAY()-7),IF('Task Finder'!$C$6="Keyword",AND('Task Finder'!$C$7&lt;&gt;"",OR(ISNUMBER(SEARCH('Task Finder'!$C$7,$A217)),ISNUMBER(SEARCH('Task Finder'!$C$7,$B217)),ISNUMBER(SEARCH('Task Finder'!$C$7,$C217)),ISNUMBER(SEARCH('Task Finder'!$C$7,$D217)),ISNUMBER(SEARCH('Task Finder'!$C$7,$K217)))),TRUE))))))))))</f>
        <v/>
      </c>
      <c r="Q217" s="150">
        <f>IF($F217="High","High Priority","")</f>
        <v/>
      </c>
      <c r="R217" s="150">
        <f>IF(AND($I217&lt;&gt;"",$I217&lt;TODAY()),"Overdue","")</f>
        <v/>
      </c>
      <c r="S217" s="150">
        <f>IF(AND($I217&lt;&gt;"",$I217&gt;=TODAY(),$I217&lt;=TODAY()+7),"Due This Week","")</f>
        <v/>
      </c>
      <c r="T217" s="150">
        <f>IF(AND($H217&lt;&gt;"",$M217&lt;=VLOOKUP(Home!$C$7,Lists!$N$2:$O$6,2,FALSE)),$H217&amp;" Task","")</f>
        <v/>
      </c>
      <c r="U217" s="150">
        <f>IF($G217=Home!$E$7,"Fits Current Energy","")</f>
        <v/>
      </c>
      <c r="V217" s="150">
        <f>IF($Q217&lt;&gt;""," • "&amp;$Q217,"")&amp;IF($R217&lt;&gt;""," • "&amp;$R217,"")&amp;IF($S217&lt;&gt;""," • "&amp;$S217,"")&amp;IF($T217&lt;&gt;""," • "&amp;$T217,"")&amp;IF($U217&lt;&gt;""," • "&amp;$U217,"")&amp;" • No Blockers"</f>
        <v/>
      </c>
    </row>
    <row r="218">
      <c r="A218" s="19" t="n"/>
      <c r="B218" s="19" t="n"/>
      <c r="C218" s="19" t="n"/>
      <c r="D218" s="19" t="n"/>
      <c r="E218" s="19" t="n"/>
      <c r="F218" s="19" t="n"/>
      <c r="G218" s="19" t="n"/>
      <c r="H218" s="19" t="n"/>
      <c r="I218" s="19" t="n"/>
      <c r="J218" s="19" t="n"/>
      <c r="K218" s="19" t="n"/>
      <c r="L218" s="125" t="n"/>
      <c r="M218" s="88">
        <f>IF($D218="","",IFERROR(VLOOKUP($H218,Lists!$N$2:$O$6,2,FALSE),0))</f>
        <v/>
      </c>
      <c r="N218" s="88">
        <f>IF($D218="","",IF(OR($E218="Blocked",$E218="Done",$E218="Archive"),-9999,IF(AND($E218="Waiting",SUMPRODUCT((($E$5:$E$500="Next")+($E$5:$E$500="In Progress")+($E$5:$E$500="Captured"))*($D$5:$D$500&lt;&gt;""))&gt;0),-500,VLOOKUP($F218,Lists!$L$2:$M$4,2,FALSE)+IF($E218="In Progress",10,0)+IF(AND($I218&lt;&gt;"",$I218&lt;TODAY()),25,0)+IF(AND($I218&lt;&gt;"",$I218&gt;=TODAY(),$I218&lt;=TODAY()+7),15,0)+IF($H218="",0,IF($M218&lt;=VLOOKUP(Home!$C$7,Lists!$N$2:$O$6,2,FALSE),20,-10))+IF($G218=Home!$E$7,15,IF(Home!$E$7="",0,-5))-ROW()/100000)))</f>
        <v/>
      </c>
      <c r="O218" s="88">
        <f>IF($D218="","",IF($N218&lt;=-500,"Not recommended right now",IF($E218="Waiting","Nothing else actionable right now — Waiting on: "&amp;IF($K218="","this item",$K218),MID($V218,4,9999))))</f>
        <v/>
      </c>
      <c r="P218" s="88">
        <f>IF($D218="","",IF('Task Finder'!$C$6="High Priority",AND($F218="High",$E218&lt;&gt;"Done",$E218&lt;&gt;"Archive"),IF('Task Finder'!$C$6="Due This Week",AND($I218&lt;&gt;"",$I218&gt;=TODAY(),$I218&lt;=TODAY()+7,$E218&lt;&gt;"Done"),IF('Task Finder'!$C$6="Quick Wins (15 mins or less)",AND($M218&lt;=15,$E218&lt;&gt;"Done",$E218&lt;&gt;"Blocked"),IF('Task Finder'!$C$6="Deep Thinking",AND($G218="Deep Thinking",$E218&lt;&gt;"Done"),IF('Task Finder'!$C$6="Processing",AND($G218="Processing",$E218&lt;&gt;"Done"),IF('Task Finder'!$C$6="Blocked",$E218="Blocked",IF('Task Finder'!$C$6="Waiting",$E218="Waiting",IF('Task Finder'!$C$6="Recently Updated",AND($L218&lt;&gt;"",$L218&gt;=TODAY()-7),IF('Task Finder'!$C$6="Keyword",AND('Task Finder'!$C$7&lt;&gt;"",OR(ISNUMBER(SEARCH('Task Finder'!$C$7,$A218)),ISNUMBER(SEARCH('Task Finder'!$C$7,$B218)),ISNUMBER(SEARCH('Task Finder'!$C$7,$C218)),ISNUMBER(SEARCH('Task Finder'!$C$7,$D218)),ISNUMBER(SEARCH('Task Finder'!$C$7,$K218)))),TRUE))))))))))</f>
        <v/>
      </c>
      <c r="Q218" s="150">
        <f>IF($F218="High","High Priority","")</f>
        <v/>
      </c>
      <c r="R218" s="150">
        <f>IF(AND($I218&lt;&gt;"",$I218&lt;TODAY()),"Overdue","")</f>
        <v/>
      </c>
      <c r="S218" s="150">
        <f>IF(AND($I218&lt;&gt;"",$I218&gt;=TODAY(),$I218&lt;=TODAY()+7),"Due This Week","")</f>
        <v/>
      </c>
      <c r="T218" s="150">
        <f>IF(AND($H218&lt;&gt;"",$M218&lt;=VLOOKUP(Home!$C$7,Lists!$N$2:$O$6,2,FALSE)),$H218&amp;" Task","")</f>
        <v/>
      </c>
      <c r="U218" s="150">
        <f>IF($G218=Home!$E$7,"Fits Current Energy","")</f>
        <v/>
      </c>
      <c r="V218" s="150">
        <f>IF($Q218&lt;&gt;""," • "&amp;$Q218,"")&amp;IF($R218&lt;&gt;""," • "&amp;$R218,"")&amp;IF($S218&lt;&gt;""," • "&amp;$S218,"")&amp;IF($T218&lt;&gt;""," • "&amp;$T218,"")&amp;IF($U218&lt;&gt;""," • "&amp;$U218,"")&amp;" • No Blockers"</f>
        <v/>
      </c>
    </row>
    <row r="219">
      <c r="A219" s="19" t="n"/>
      <c r="B219" s="19" t="n"/>
      <c r="C219" s="19" t="n"/>
      <c r="D219" s="19" t="n"/>
      <c r="E219" s="19" t="n"/>
      <c r="F219" s="19" t="n"/>
      <c r="G219" s="19" t="n"/>
      <c r="H219" s="19" t="n"/>
      <c r="I219" s="19" t="n"/>
      <c r="J219" s="19" t="n"/>
      <c r="K219" s="19" t="n"/>
      <c r="L219" s="125" t="n"/>
      <c r="M219" s="88">
        <f>IF($D219="","",IFERROR(VLOOKUP($H219,Lists!$N$2:$O$6,2,FALSE),0))</f>
        <v/>
      </c>
      <c r="N219" s="88">
        <f>IF($D219="","",IF(OR($E219="Blocked",$E219="Done",$E219="Archive"),-9999,IF(AND($E219="Waiting",SUMPRODUCT((($E$5:$E$500="Next")+($E$5:$E$500="In Progress")+($E$5:$E$500="Captured"))*($D$5:$D$500&lt;&gt;""))&gt;0),-500,VLOOKUP($F219,Lists!$L$2:$M$4,2,FALSE)+IF($E219="In Progress",10,0)+IF(AND($I219&lt;&gt;"",$I219&lt;TODAY()),25,0)+IF(AND($I219&lt;&gt;"",$I219&gt;=TODAY(),$I219&lt;=TODAY()+7),15,0)+IF($H219="",0,IF($M219&lt;=VLOOKUP(Home!$C$7,Lists!$N$2:$O$6,2,FALSE),20,-10))+IF($G219=Home!$E$7,15,IF(Home!$E$7="",0,-5))-ROW()/100000)))</f>
        <v/>
      </c>
      <c r="O219" s="88">
        <f>IF($D219="","",IF($N219&lt;=-500,"Not recommended right now",IF($E219="Waiting","Nothing else actionable right now — Waiting on: "&amp;IF($K219="","this item",$K219),MID($V219,4,9999))))</f>
        <v/>
      </c>
      <c r="P219" s="88">
        <f>IF($D219="","",IF('Task Finder'!$C$6="High Priority",AND($F219="High",$E219&lt;&gt;"Done",$E219&lt;&gt;"Archive"),IF('Task Finder'!$C$6="Due This Week",AND($I219&lt;&gt;"",$I219&gt;=TODAY(),$I219&lt;=TODAY()+7,$E219&lt;&gt;"Done"),IF('Task Finder'!$C$6="Quick Wins (15 mins or less)",AND($M219&lt;=15,$E219&lt;&gt;"Done",$E219&lt;&gt;"Blocked"),IF('Task Finder'!$C$6="Deep Thinking",AND($G219="Deep Thinking",$E219&lt;&gt;"Done"),IF('Task Finder'!$C$6="Processing",AND($G219="Processing",$E219&lt;&gt;"Done"),IF('Task Finder'!$C$6="Blocked",$E219="Blocked",IF('Task Finder'!$C$6="Waiting",$E219="Waiting",IF('Task Finder'!$C$6="Recently Updated",AND($L219&lt;&gt;"",$L219&gt;=TODAY()-7),IF('Task Finder'!$C$6="Keyword",AND('Task Finder'!$C$7&lt;&gt;"",OR(ISNUMBER(SEARCH('Task Finder'!$C$7,$A219)),ISNUMBER(SEARCH('Task Finder'!$C$7,$B219)),ISNUMBER(SEARCH('Task Finder'!$C$7,$C219)),ISNUMBER(SEARCH('Task Finder'!$C$7,$D219)),ISNUMBER(SEARCH('Task Finder'!$C$7,$K219)))),TRUE))))))))))</f>
        <v/>
      </c>
      <c r="Q219" s="150">
        <f>IF($F219="High","High Priority","")</f>
        <v/>
      </c>
      <c r="R219" s="150">
        <f>IF(AND($I219&lt;&gt;"",$I219&lt;TODAY()),"Overdue","")</f>
        <v/>
      </c>
      <c r="S219" s="150">
        <f>IF(AND($I219&lt;&gt;"",$I219&gt;=TODAY(),$I219&lt;=TODAY()+7),"Due This Week","")</f>
        <v/>
      </c>
      <c r="T219" s="150">
        <f>IF(AND($H219&lt;&gt;"",$M219&lt;=VLOOKUP(Home!$C$7,Lists!$N$2:$O$6,2,FALSE)),$H219&amp;" Task","")</f>
        <v/>
      </c>
      <c r="U219" s="150">
        <f>IF($G219=Home!$E$7,"Fits Current Energy","")</f>
        <v/>
      </c>
      <c r="V219" s="150">
        <f>IF($Q219&lt;&gt;""," • "&amp;$Q219,"")&amp;IF($R219&lt;&gt;""," • "&amp;$R219,"")&amp;IF($S219&lt;&gt;""," • "&amp;$S219,"")&amp;IF($T219&lt;&gt;""," • "&amp;$T219,"")&amp;IF($U219&lt;&gt;""," • "&amp;$U219,"")&amp;" • No Blockers"</f>
        <v/>
      </c>
    </row>
    <row r="220">
      <c r="A220" s="19" t="n"/>
      <c r="B220" s="19" t="n"/>
      <c r="C220" s="19" t="n"/>
      <c r="D220" s="19" t="n"/>
      <c r="E220" s="19" t="n"/>
      <c r="F220" s="19" t="n"/>
      <c r="G220" s="19" t="n"/>
      <c r="H220" s="19" t="n"/>
      <c r="I220" s="19" t="n"/>
      <c r="J220" s="19" t="n"/>
      <c r="K220" s="19" t="n"/>
      <c r="L220" s="125" t="n"/>
      <c r="M220" s="88">
        <f>IF($D220="","",IFERROR(VLOOKUP($H220,Lists!$N$2:$O$6,2,FALSE),0))</f>
        <v/>
      </c>
      <c r="N220" s="88">
        <f>IF($D220="","",IF(OR($E220="Blocked",$E220="Done",$E220="Archive"),-9999,IF(AND($E220="Waiting",SUMPRODUCT((($E$5:$E$500="Next")+($E$5:$E$500="In Progress")+($E$5:$E$500="Captured"))*($D$5:$D$500&lt;&gt;""))&gt;0),-500,VLOOKUP($F220,Lists!$L$2:$M$4,2,FALSE)+IF($E220="In Progress",10,0)+IF(AND($I220&lt;&gt;"",$I220&lt;TODAY()),25,0)+IF(AND($I220&lt;&gt;"",$I220&gt;=TODAY(),$I220&lt;=TODAY()+7),15,0)+IF($H220="",0,IF($M220&lt;=VLOOKUP(Home!$C$7,Lists!$N$2:$O$6,2,FALSE),20,-10))+IF($G220=Home!$E$7,15,IF(Home!$E$7="",0,-5))-ROW()/100000)))</f>
        <v/>
      </c>
      <c r="O220" s="88">
        <f>IF($D220="","",IF($N220&lt;=-500,"Not recommended right now",IF($E220="Waiting","Nothing else actionable right now — Waiting on: "&amp;IF($K220="","this item",$K220),MID($V220,4,9999))))</f>
        <v/>
      </c>
      <c r="P220" s="88">
        <f>IF($D220="","",IF('Task Finder'!$C$6="High Priority",AND($F220="High",$E220&lt;&gt;"Done",$E220&lt;&gt;"Archive"),IF('Task Finder'!$C$6="Due This Week",AND($I220&lt;&gt;"",$I220&gt;=TODAY(),$I220&lt;=TODAY()+7,$E220&lt;&gt;"Done"),IF('Task Finder'!$C$6="Quick Wins (15 mins or less)",AND($M220&lt;=15,$E220&lt;&gt;"Done",$E220&lt;&gt;"Blocked"),IF('Task Finder'!$C$6="Deep Thinking",AND($G220="Deep Thinking",$E220&lt;&gt;"Done"),IF('Task Finder'!$C$6="Processing",AND($G220="Processing",$E220&lt;&gt;"Done"),IF('Task Finder'!$C$6="Blocked",$E220="Blocked",IF('Task Finder'!$C$6="Waiting",$E220="Waiting",IF('Task Finder'!$C$6="Recently Updated",AND($L220&lt;&gt;"",$L220&gt;=TODAY()-7),IF('Task Finder'!$C$6="Keyword",AND('Task Finder'!$C$7&lt;&gt;"",OR(ISNUMBER(SEARCH('Task Finder'!$C$7,$A220)),ISNUMBER(SEARCH('Task Finder'!$C$7,$B220)),ISNUMBER(SEARCH('Task Finder'!$C$7,$C220)),ISNUMBER(SEARCH('Task Finder'!$C$7,$D220)),ISNUMBER(SEARCH('Task Finder'!$C$7,$K220)))),TRUE))))))))))</f>
        <v/>
      </c>
      <c r="Q220" s="150">
        <f>IF($F220="High","High Priority","")</f>
        <v/>
      </c>
      <c r="R220" s="150">
        <f>IF(AND($I220&lt;&gt;"",$I220&lt;TODAY()),"Overdue","")</f>
        <v/>
      </c>
      <c r="S220" s="150">
        <f>IF(AND($I220&lt;&gt;"",$I220&gt;=TODAY(),$I220&lt;=TODAY()+7),"Due This Week","")</f>
        <v/>
      </c>
      <c r="T220" s="150">
        <f>IF(AND($H220&lt;&gt;"",$M220&lt;=VLOOKUP(Home!$C$7,Lists!$N$2:$O$6,2,FALSE)),$H220&amp;" Task","")</f>
        <v/>
      </c>
      <c r="U220" s="150">
        <f>IF($G220=Home!$E$7,"Fits Current Energy","")</f>
        <v/>
      </c>
      <c r="V220" s="150">
        <f>IF($Q220&lt;&gt;""," • "&amp;$Q220,"")&amp;IF($R220&lt;&gt;""," • "&amp;$R220,"")&amp;IF($S220&lt;&gt;""," • "&amp;$S220,"")&amp;IF($T220&lt;&gt;""," • "&amp;$T220,"")&amp;IF($U220&lt;&gt;""," • "&amp;$U220,"")&amp;" • No Blockers"</f>
        <v/>
      </c>
    </row>
    <row r="221">
      <c r="A221" s="19" t="n"/>
      <c r="B221" s="19" t="n"/>
      <c r="C221" s="19" t="n"/>
      <c r="D221" s="19" t="n"/>
      <c r="E221" s="19" t="n"/>
      <c r="F221" s="19" t="n"/>
      <c r="G221" s="19" t="n"/>
      <c r="H221" s="19" t="n"/>
      <c r="I221" s="19" t="n"/>
      <c r="J221" s="19" t="n"/>
      <c r="K221" s="19" t="n"/>
      <c r="L221" s="125" t="n"/>
      <c r="M221" s="88">
        <f>IF($D221="","",IFERROR(VLOOKUP($H221,Lists!$N$2:$O$6,2,FALSE),0))</f>
        <v/>
      </c>
      <c r="N221" s="88">
        <f>IF($D221="","",IF(OR($E221="Blocked",$E221="Done",$E221="Archive"),-9999,IF(AND($E221="Waiting",SUMPRODUCT((($E$5:$E$500="Next")+($E$5:$E$500="In Progress")+($E$5:$E$500="Captured"))*($D$5:$D$500&lt;&gt;""))&gt;0),-500,VLOOKUP($F221,Lists!$L$2:$M$4,2,FALSE)+IF($E221="In Progress",10,0)+IF(AND($I221&lt;&gt;"",$I221&lt;TODAY()),25,0)+IF(AND($I221&lt;&gt;"",$I221&gt;=TODAY(),$I221&lt;=TODAY()+7),15,0)+IF($H221="",0,IF($M221&lt;=VLOOKUP(Home!$C$7,Lists!$N$2:$O$6,2,FALSE),20,-10))+IF($G221=Home!$E$7,15,IF(Home!$E$7="",0,-5))-ROW()/100000)))</f>
        <v/>
      </c>
      <c r="O221" s="88">
        <f>IF($D221="","",IF($N221&lt;=-500,"Not recommended right now",IF($E221="Waiting","Nothing else actionable right now — Waiting on: "&amp;IF($K221="","this item",$K221),MID($V221,4,9999))))</f>
        <v/>
      </c>
      <c r="P221" s="88">
        <f>IF($D221="","",IF('Task Finder'!$C$6="High Priority",AND($F221="High",$E221&lt;&gt;"Done",$E221&lt;&gt;"Archive"),IF('Task Finder'!$C$6="Due This Week",AND($I221&lt;&gt;"",$I221&gt;=TODAY(),$I221&lt;=TODAY()+7,$E221&lt;&gt;"Done"),IF('Task Finder'!$C$6="Quick Wins (15 mins or less)",AND($M221&lt;=15,$E221&lt;&gt;"Done",$E221&lt;&gt;"Blocked"),IF('Task Finder'!$C$6="Deep Thinking",AND($G221="Deep Thinking",$E221&lt;&gt;"Done"),IF('Task Finder'!$C$6="Processing",AND($G221="Processing",$E221&lt;&gt;"Done"),IF('Task Finder'!$C$6="Blocked",$E221="Blocked",IF('Task Finder'!$C$6="Waiting",$E221="Waiting",IF('Task Finder'!$C$6="Recently Updated",AND($L221&lt;&gt;"",$L221&gt;=TODAY()-7),IF('Task Finder'!$C$6="Keyword",AND('Task Finder'!$C$7&lt;&gt;"",OR(ISNUMBER(SEARCH('Task Finder'!$C$7,$A221)),ISNUMBER(SEARCH('Task Finder'!$C$7,$B221)),ISNUMBER(SEARCH('Task Finder'!$C$7,$C221)),ISNUMBER(SEARCH('Task Finder'!$C$7,$D221)),ISNUMBER(SEARCH('Task Finder'!$C$7,$K221)))),TRUE))))))))))</f>
        <v/>
      </c>
      <c r="Q221" s="150">
        <f>IF($F221="High","High Priority","")</f>
        <v/>
      </c>
      <c r="R221" s="150">
        <f>IF(AND($I221&lt;&gt;"",$I221&lt;TODAY()),"Overdue","")</f>
        <v/>
      </c>
      <c r="S221" s="150">
        <f>IF(AND($I221&lt;&gt;"",$I221&gt;=TODAY(),$I221&lt;=TODAY()+7),"Due This Week","")</f>
        <v/>
      </c>
      <c r="T221" s="150">
        <f>IF(AND($H221&lt;&gt;"",$M221&lt;=VLOOKUP(Home!$C$7,Lists!$N$2:$O$6,2,FALSE)),$H221&amp;" Task","")</f>
        <v/>
      </c>
      <c r="U221" s="150">
        <f>IF($G221=Home!$E$7,"Fits Current Energy","")</f>
        <v/>
      </c>
      <c r="V221" s="150">
        <f>IF($Q221&lt;&gt;""," • "&amp;$Q221,"")&amp;IF($R221&lt;&gt;""," • "&amp;$R221,"")&amp;IF($S221&lt;&gt;""," • "&amp;$S221,"")&amp;IF($T221&lt;&gt;""," • "&amp;$T221,"")&amp;IF($U221&lt;&gt;""," • "&amp;$U221,"")&amp;" • No Blockers"</f>
        <v/>
      </c>
    </row>
    <row r="222">
      <c r="A222" s="19" t="n"/>
      <c r="B222" s="19" t="n"/>
      <c r="C222" s="19" t="n"/>
      <c r="D222" s="19" t="n"/>
      <c r="E222" s="19" t="n"/>
      <c r="F222" s="19" t="n"/>
      <c r="G222" s="19" t="n"/>
      <c r="H222" s="19" t="n"/>
      <c r="I222" s="19" t="n"/>
      <c r="J222" s="19" t="n"/>
      <c r="K222" s="19" t="n"/>
      <c r="L222" s="125" t="n"/>
      <c r="M222" s="88">
        <f>IF($D222="","",IFERROR(VLOOKUP($H222,Lists!$N$2:$O$6,2,FALSE),0))</f>
        <v/>
      </c>
      <c r="N222" s="88">
        <f>IF($D222="","",IF(OR($E222="Blocked",$E222="Done",$E222="Archive"),-9999,IF(AND($E222="Waiting",SUMPRODUCT((($E$5:$E$500="Next")+($E$5:$E$500="In Progress")+($E$5:$E$500="Captured"))*($D$5:$D$500&lt;&gt;""))&gt;0),-500,VLOOKUP($F222,Lists!$L$2:$M$4,2,FALSE)+IF($E222="In Progress",10,0)+IF(AND($I222&lt;&gt;"",$I222&lt;TODAY()),25,0)+IF(AND($I222&lt;&gt;"",$I222&gt;=TODAY(),$I222&lt;=TODAY()+7),15,0)+IF($H222="",0,IF($M222&lt;=VLOOKUP(Home!$C$7,Lists!$N$2:$O$6,2,FALSE),20,-10))+IF($G222=Home!$E$7,15,IF(Home!$E$7="",0,-5))-ROW()/100000)))</f>
        <v/>
      </c>
      <c r="O222" s="88">
        <f>IF($D222="","",IF($N222&lt;=-500,"Not recommended right now",IF($E222="Waiting","Nothing else actionable right now — Waiting on: "&amp;IF($K222="","this item",$K222),MID($V222,4,9999))))</f>
        <v/>
      </c>
      <c r="P222" s="88">
        <f>IF($D222="","",IF('Task Finder'!$C$6="High Priority",AND($F222="High",$E222&lt;&gt;"Done",$E222&lt;&gt;"Archive"),IF('Task Finder'!$C$6="Due This Week",AND($I222&lt;&gt;"",$I222&gt;=TODAY(),$I222&lt;=TODAY()+7,$E222&lt;&gt;"Done"),IF('Task Finder'!$C$6="Quick Wins (15 mins or less)",AND($M222&lt;=15,$E222&lt;&gt;"Done",$E222&lt;&gt;"Blocked"),IF('Task Finder'!$C$6="Deep Thinking",AND($G222="Deep Thinking",$E222&lt;&gt;"Done"),IF('Task Finder'!$C$6="Processing",AND($G222="Processing",$E222&lt;&gt;"Done"),IF('Task Finder'!$C$6="Blocked",$E222="Blocked",IF('Task Finder'!$C$6="Waiting",$E222="Waiting",IF('Task Finder'!$C$6="Recently Updated",AND($L222&lt;&gt;"",$L222&gt;=TODAY()-7),IF('Task Finder'!$C$6="Keyword",AND('Task Finder'!$C$7&lt;&gt;"",OR(ISNUMBER(SEARCH('Task Finder'!$C$7,$A222)),ISNUMBER(SEARCH('Task Finder'!$C$7,$B222)),ISNUMBER(SEARCH('Task Finder'!$C$7,$C222)),ISNUMBER(SEARCH('Task Finder'!$C$7,$D222)),ISNUMBER(SEARCH('Task Finder'!$C$7,$K222)))),TRUE))))))))))</f>
        <v/>
      </c>
      <c r="Q222" s="150">
        <f>IF($F222="High","High Priority","")</f>
        <v/>
      </c>
      <c r="R222" s="150">
        <f>IF(AND($I222&lt;&gt;"",$I222&lt;TODAY()),"Overdue","")</f>
        <v/>
      </c>
      <c r="S222" s="150">
        <f>IF(AND($I222&lt;&gt;"",$I222&gt;=TODAY(),$I222&lt;=TODAY()+7),"Due This Week","")</f>
        <v/>
      </c>
      <c r="T222" s="150">
        <f>IF(AND($H222&lt;&gt;"",$M222&lt;=VLOOKUP(Home!$C$7,Lists!$N$2:$O$6,2,FALSE)),$H222&amp;" Task","")</f>
        <v/>
      </c>
      <c r="U222" s="150">
        <f>IF($G222=Home!$E$7,"Fits Current Energy","")</f>
        <v/>
      </c>
      <c r="V222" s="150">
        <f>IF($Q222&lt;&gt;""," • "&amp;$Q222,"")&amp;IF($R222&lt;&gt;""," • "&amp;$R222,"")&amp;IF($S222&lt;&gt;""," • "&amp;$S222,"")&amp;IF($T222&lt;&gt;""," • "&amp;$T222,"")&amp;IF($U222&lt;&gt;""," • "&amp;$U222,"")&amp;" • No Blockers"</f>
        <v/>
      </c>
    </row>
    <row r="223">
      <c r="A223" s="19" t="n"/>
      <c r="B223" s="19" t="n"/>
      <c r="C223" s="19" t="n"/>
      <c r="D223" s="19" t="n"/>
      <c r="E223" s="19" t="n"/>
      <c r="F223" s="19" t="n"/>
      <c r="G223" s="19" t="n"/>
      <c r="H223" s="19" t="n"/>
      <c r="I223" s="19" t="n"/>
      <c r="J223" s="19" t="n"/>
      <c r="K223" s="19" t="n"/>
      <c r="L223" s="125" t="n"/>
      <c r="M223" s="88">
        <f>IF($D223="","",IFERROR(VLOOKUP($H223,Lists!$N$2:$O$6,2,FALSE),0))</f>
        <v/>
      </c>
      <c r="N223" s="88">
        <f>IF($D223="","",IF(OR($E223="Blocked",$E223="Done",$E223="Archive"),-9999,IF(AND($E223="Waiting",SUMPRODUCT((($E$5:$E$500="Next")+($E$5:$E$500="In Progress")+($E$5:$E$500="Captured"))*($D$5:$D$500&lt;&gt;""))&gt;0),-500,VLOOKUP($F223,Lists!$L$2:$M$4,2,FALSE)+IF($E223="In Progress",10,0)+IF(AND($I223&lt;&gt;"",$I223&lt;TODAY()),25,0)+IF(AND($I223&lt;&gt;"",$I223&gt;=TODAY(),$I223&lt;=TODAY()+7),15,0)+IF($H223="",0,IF($M223&lt;=VLOOKUP(Home!$C$7,Lists!$N$2:$O$6,2,FALSE),20,-10))+IF($G223=Home!$E$7,15,IF(Home!$E$7="",0,-5))-ROW()/100000)))</f>
        <v/>
      </c>
      <c r="O223" s="88">
        <f>IF($D223="","",IF($N223&lt;=-500,"Not recommended right now",IF($E223="Waiting","Nothing else actionable right now — Waiting on: "&amp;IF($K223="","this item",$K223),MID($V223,4,9999))))</f>
        <v/>
      </c>
      <c r="P223" s="88">
        <f>IF($D223="","",IF('Task Finder'!$C$6="High Priority",AND($F223="High",$E223&lt;&gt;"Done",$E223&lt;&gt;"Archive"),IF('Task Finder'!$C$6="Due This Week",AND($I223&lt;&gt;"",$I223&gt;=TODAY(),$I223&lt;=TODAY()+7,$E223&lt;&gt;"Done"),IF('Task Finder'!$C$6="Quick Wins (15 mins or less)",AND($M223&lt;=15,$E223&lt;&gt;"Done",$E223&lt;&gt;"Blocked"),IF('Task Finder'!$C$6="Deep Thinking",AND($G223="Deep Thinking",$E223&lt;&gt;"Done"),IF('Task Finder'!$C$6="Processing",AND($G223="Processing",$E223&lt;&gt;"Done"),IF('Task Finder'!$C$6="Blocked",$E223="Blocked",IF('Task Finder'!$C$6="Waiting",$E223="Waiting",IF('Task Finder'!$C$6="Recently Updated",AND($L223&lt;&gt;"",$L223&gt;=TODAY()-7),IF('Task Finder'!$C$6="Keyword",AND('Task Finder'!$C$7&lt;&gt;"",OR(ISNUMBER(SEARCH('Task Finder'!$C$7,$A223)),ISNUMBER(SEARCH('Task Finder'!$C$7,$B223)),ISNUMBER(SEARCH('Task Finder'!$C$7,$C223)),ISNUMBER(SEARCH('Task Finder'!$C$7,$D223)),ISNUMBER(SEARCH('Task Finder'!$C$7,$K223)))),TRUE))))))))))</f>
        <v/>
      </c>
      <c r="Q223" s="150">
        <f>IF($F223="High","High Priority","")</f>
        <v/>
      </c>
      <c r="R223" s="150">
        <f>IF(AND($I223&lt;&gt;"",$I223&lt;TODAY()),"Overdue","")</f>
        <v/>
      </c>
      <c r="S223" s="150">
        <f>IF(AND($I223&lt;&gt;"",$I223&gt;=TODAY(),$I223&lt;=TODAY()+7),"Due This Week","")</f>
        <v/>
      </c>
      <c r="T223" s="150">
        <f>IF(AND($H223&lt;&gt;"",$M223&lt;=VLOOKUP(Home!$C$7,Lists!$N$2:$O$6,2,FALSE)),$H223&amp;" Task","")</f>
        <v/>
      </c>
      <c r="U223" s="150">
        <f>IF($G223=Home!$E$7,"Fits Current Energy","")</f>
        <v/>
      </c>
      <c r="V223" s="150">
        <f>IF($Q223&lt;&gt;""," • "&amp;$Q223,"")&amp;IF($R223&lt;&gt;""," • "&amp;$R223,"")&amp;IF($S223&lt;&gt;""," • "&amp;$S223,"")&amp;IF($T223&lt;&gt;""," • "&amp;$T223,"")&amp;IF($U223&lt;&gt;""," • "&amp;$U223,"")&amp;" • No Blockers"</f>
        <v/>
      </c>
    </row>
    <row r="224">
      <c r="A224" s="19" t="n"/>
      <c r="B224" s="19" t="n"/>
      <c r="C224" s="19" t="n"/>
      <c r="D224" s="19" t="n"/>
      <c r="E224" s="19" t="n"/>
      <c r="F224" s="19" t="n"/>
      <c r="G224" s="19" t="n"/>
      <c r="H224" s="19" t="n"/>
      <c r="I224" s="19" t="n"/>
      <c r="J224" s="19" t="n"/>
      <c r="K224" s="19" t="n"/>
      <c r="L224" s="125" t="n"/>
      <c r="M224" s="88">
        <f>IF($D224="","",IFERROR(VLOOKUP($H224,Lists!$N$2:$O$6,2,FALSE),0))</f>
        <v/>
      </c>
      <c r="N224" s="88">
        <f>IF($D224="","",IF(OR($E224="Blocked",$E224="Done",$E224="Archive"),-9999,IF(AND($E224="Waiting",SUMPRODUCT((($E$5:$E$500="Next")+($E$5:$E$500="In Progress")+($E$5:$E$500="Captured"))*($D$5:$D$500&lt;&gt;""))&gt;0),-500,VLOOKUP($F224,Lists!$L$2:$M$4,2,FALSE)+IF($E224="In Progress",10,0)+IF(AND($I224&lt;&gt;"",$I224&lt;TODAY()),25,0)+IF(AND($I224&lt;&gt;"",$I224&gt;=TODAY(),$I224&lt;=TODAY()+7),15,0)+IF($H224="",0,IF($M224&lt;=VLOOKUP(Home!$C$7,Lists!$N$2:$O$6,2,FALSE),20,-10))+IF($G224=Home!$E$7,15,IF(Home!$E$7="",0,-5))-ROW()/100000)))</f>
        <v/>
      </c>
      <c r="O224" s="88">
        <f>IF($D224="","",IF($N224&lt;=-500,"Not recommended right now",IF($E224="Waiting","Nothing else actionable right now — Waiting on: "&amp;IF($K224="","this item",$K224),MID($V224,4,9999))))</f>
        <v/>
      </c>
      <c r="P224" s="88">
        <f>IF($D224="","",IF('Task Finder'!$C$6="High Priority",AND($F224="High",$E224&lt;&gt;"Done",$E224&lt;&gt;"Archive"),IF('Task Finder'!$C$6="Due This Week",AND($I224&lt;&gt;"",$I224&gt;=TODAY(),$I224&lt;=TODAY()+7,$E224&lt;&gt;"Done"),IF('Task Finder'!$C$6="Quick Wins (15 mins or less)",AND($M224&lt;=15,$E224&lt;&gt;"Done",$E224&lt;&gt;"Blocked"),IF('Task Finder'!$C$6="Deep Thinking",AND($G224="Deep Thinking",$E224&lt;&gt;"Done"),IF('Task Finder'!$C$6="Processing",AND($G224="Processing",$E224&lt;&gt;"Done"),IF('Task Finder'!$C$6="Blocked",$E224="Blocked",IF('Task Finder'!$C$6="Waiting",$E224="Waiting",IF('Task Finder'!$C$6="Recently Updated",AND($L224&lt;&gt;"",$L224&gt;=TODAY()-7),IF('Task Finder'!$C$6="Keyword",AND('Task Finder'!$C$7&lt;&gt;"",OR(ISNUMBER(SEARCH('Task Finder'!$C$7,$A224)),ISNUMBER(SEARCH('Task Finder'!$C$7,$B224)),ISNUMBER(SEARCH('Task Finder'!$C$7,$C224)),ISNUMBER(SEARCH('Task Finder'!$C$7,$D224)),ISNUMBER(SEARCH('Task Finder'!$C$7,$K224)))),TRUE))))))))))</f>
        <v/>
      </c>
      <c r="Q224" s="150">
        <f>IF($F224="High","High Priority","")</f>
        <v/>
      </c>
      <c r="R224" s="150">
        <f>IF(AND($I224&lt;&gt;"",$I224&lt;TODAY()),"Overdue","")</f>
        <v/>
      </c>
      <c r="S224" s="150">
        <f>IF(AND($I224&lt;&gt;"",$I224&gt;=TODAY(),$I224&lt;=TODAY()+7),"Due This Week","")</f>
        <v/>
      </c>
      <c r="T224" s="150">
        <f>IF(AND($H224&lt;&gt;"",$M224&lt;=VLOOKUP(Home!$C$7,Lists!$N$2:$O$6,2,FALSE)),$H224&amp;" Task","")</f>
        <v/>
      </c>
      <c r="U224" s="150">
        <f>IF($G224=Home!$E$7,"Fits Current Energy","")</f>
        <v/>
      </c>
      <c r="V224" s="150">
        <f>IF($Q224&lt;&gt;""," • "&amp;$Q224,"")&amp;IF($R224&lt;&gt;""," • "&amp;$R224,"")&amp;IF($S224&lt;&gt;""," • "&amp;$S224,"")&amp;IF($T224&lt;&gt;""," • "&amp;$T224,"")&amp;IF($U224&lt;&gt;""," • "&amp;$U224,"")&amp;" • No Blockers"</f>
        <v/>
      </c>
    </row>
    <row r="225">
      <c r="A225" s="19" t="n"/>
      <c r="B225" s="19" t="n"/>
      <c r="C225" s="19" t="n"/>
      <c r="D225" s="19" t="n"/>
      <c r="E225" s="19" t="n"/>
      <c r="F225" s="19" t="n"/>
      <c r="G225" s="19" t="n"/>
      <c r="H225" s="19" t="n"/>
      <c r="I225" s="19" t="n"/>
      <c r="J225" s="19" t="n"/>
      <c r="K225" s="19" t="n"/>
      <c r="L225" s="125" t="n"/>
      <c r="M225" s="88">
        <f>IF($D225="","",IFERROR(VLOOKUP($H225,Lists!$N$2:$O$6,2,FALSE),0))</f>
        <v/>
      </c>
      <c r="N225" s="88">
        <f>IF($D225="","",IF(OR($E225="Blocked",$E225="Done",$E225="Archive"),-9999,IF(AND($E225="Waiting",SUMPRODUCT((($E$5:$E$500="Next")+($E$5:$E$500="In Progress")+($E$5:$E$500="Captured"))*($D$5:$D$500&lt;&gt;""))&gt;0),-500,VLOOKUP($F225,Lists!$L$2:$M$4,2,FALSE)+IF($E225="In Progress",10,0)+IF(AND($I225&lt;&gt;"",$I225&lt;TODAY()),25,0)+IF(AND($I225&lt;&gt;"",$I225&gt;=TODAY(),$I225&lt;=TODAY()+7),15,0)+IF($H225="",0,IF($M225&lt;=VLOOKUP(Home!$C$7,Lists!$N$2:$O$6,2,FALSE),20,-10))+IF($G225=Home!$E$7,15,IF(Home!$E$7="",0,-5))-ROW()/100000)))</f>
        <v/>
      </c>
      <c r="O225" s="88">
        <f>IF($D225="","",IF($N225&lt;=-500,"Not recommended right now",IF($E225="Waiting","Nothing else actionable right now — Waiting on: "&amp;IF($K225="","this item",$K225),MID($V225,4,9999))))</f>
        <v/>
      </c>
      <c r="P225" s="88">
        <f>IF($D225="","",IF('Task Finder'!$C$6="High Priority",AND($F225="High",$E225&lt;&gt;"Done",$E225&lt;&gt;"Archive"),IF('Task Finder'!$C$6="Due This Week",AND($I225&lt;&gt;"",$I225&gt;=TODAY(),$I225&lt;=TODAY()+7,$E225&lt;&gt;"Done"),IF('Task Finder'!$C$6="Quick Wins (15 mins or less)",AND($M225&lt;=15,$E225&lt;&gt;"Done",$E225&lt;&gt;"Blocked"),IF('Task Finder'!$C$6="Deep Thinking",AND($G225="Deep Thinking",$E225&lt;&gt;"Done"),IF('Task Finder'!$C$6="Processing",AND($G225="Processing",$E225&lt;&gt;"Done"),IF('Task Finder'!$C$6="Blocked",$E225="Blocked",IF('Task Finder'!$C$6="Waiting",$E225="Waiting",IF('Task Finder'!$C$6="Recently Updated",AND($L225&lt;&gt;"",$L225&gt;=TODAY()-7),IF('Task Finder'!$C$6="Keyword",AND('Task Finder'!$C$7&lt;&gt;"",OR(ISNUMBER(SEARCH('Task Finder'!$C$7,$A225)),ISNUMBER(SEARCH('Task Finder'!$C$7,$B225)),ISNUMBER(SEARCH('Task Finder'!$C$7,$C225)),ISNUMBER(SEARCH('Task Finder'!$C$7,$D225)),ISNUMBER(SEARCH('Task Finder'!$C$7,$K225)))),TRUE))))))))))</f>
        <v/>
      </c>
      <c r="Q225" s="150">
        <f>IF($F225="High","High Priority","")</f>
        <v/>
      </c>
      <c r="R225" s="150">
        <f>IF(AND($I225&lt;&gt;"",$I225&lt;TODAY()),"Overdue","")</f>
        <v/>
      </c>
      <c r="S225" s="150">
        <f>IF(AND($I225&lt;&gt;"",$I225&gt;=TODAY(),$I225&lt;=TODAY()+7),"Due This Week","")</f>
        <v/>
      </c>
      <c r="T225" s="150">
        <f>IF(AND($H225&lt;&gt;"",$M225&lt;=VLOOKUP(Home!$C$7,Lists!$N$2:$O$6,2,FALSE)),$H225&amp;" Task","")</f>
        <v/>
      </c>
      <c r="U225" s="150">
        <f>IF($G225=Home!$E$7,"Fits Current Energy","")</f>
        <v/>
      </c>
      <c r="V225" s="150">
        <f>IF($Q225&lt;&gt;""," • "&amp;$Q225,"")&amp;IF($R225&lt;&gt;""," • "&amp;$R225,"")&amp;IF($S225&lt;&gt;""," • "&amp;$S225,"")&amp;IF($T225&lt;&gt;""," • "&amp;$T225,"")&amp;IF($U225&lt;&gt;""," • "&amp;$U225,"")&amp;" • No Blockers"</f>
        <v/>
      </c>
    </row>
    <row r="226">
      <c r="A226" s="19" t="n"/>
      <c r="B226" s="19" t="n"/>
      <c r="C226" s="19" t="n"/>
      <c r="D226" s="19" t="n"/>
      <c r="E226" s="19" t="n"/>
      <c r="F226" s="19" t="n"/>
      <c r="G226" s="19" t="n"/>
      <c r="H226" s="19" t="n"/>
      <c r="I226" s="19" t="n"/>
      <c r="J226" s="19" t="n"/>
      <c r="K226" s="19" t="n"/>
      <c r="L226" s="125" t="n"/>
      <c r="M226" s="88">
        <f>IF($D226="","",IFERROR(VLOOKUP($H226,Lists!$N$2:$O$6,2,FALSE),0))</f>
        <v/>
      </c>
      <c r="N226" s="88">
        <f>IF($D226="","",IF(OR($E226="Blocked",$E226="Done",$E226="Archive"),-9999,IF(AND($E226="Waiting",SUMPRODUCT((($E$5:$E$500="Next")+($E$5:$E$500="In Progress")+($E$5:$E$500="Captured"))*($D$5:$D$500&lt;&gt;""))&gt;0),-500,VLOOKUP($F226,Lists!$L$2:$M$4,2,FALSE)+IF($E226="In Progress",10,0)+IF(AND($I226&lt;&gt;"",$I226&lt;TODAY()),25,0)+IF(AND($I226&lt;&gt;"",$I226&gt;=TODAY(),$I226&lt;=TODAY()+7),15,0)+IF($H226="",0,IF($M226&lt;=VLOOKUP(Home!$C$7,Lists!$N$2:$O$6,2,FALSE),20,-10))+IF($G226=Home!$E$7,15,IF(Home!$E$7="",0,-5))-ROW()/100000)))</f>
        <v/>
      </c>
      <c r="O226" s="88">
        <f>IF($D226="","",IF($N226&lt;=-500,"Not recommended right now",IF($E226="Waiting","Nothing else actionable right now — Waiting on: "&amp;IF($K226="","this item",$K226),MID($V226,4,9999))))</f>
        <v/>
      </c>
      <c r="P226" s="88">
        <f>IF($D226="","",IF('Task Finder'!$C$6="High Priority",AND($F226="High",$E226&lt;&gt;"Done",$E226&lt;&gt;"Archive"),IF('Task Finder'!$C$6="Due This Week",AND($I226&lt;&gt;"",$I226&gt;=TODAY(),$I226&lt;=TODAY()+7,$E226&lt;&gt;"Done"),IF('Task Finder'!$C$6="Quick Wins (15 mins or less)",AND($M226&lt;=15,$E226&lt;&gt;"Done",$E226&lt;&gt;"Blocked"),IF('Task Finder'!$C$6="Deep Thinking",AND($G226="Deep Thinking",$E226&lt;&gt;"Done"),IF('Task Finder'!$C$6="Processing",AND($G226="Processing",$E226&lt;&gt;"Done"),IF('Task Finder'!$C$6="Blocked",$E226="Blocked",IF('Task Finder'!$C$6="Waiting",$E226="Waiting",IF('Task Finder'!$C$6="Recently Updated",AND($L226&lt;&gt;"",$L226&gt;=TODAY()-7),IF('Task Finder'!$C$6="Keyword",AND('Task Finder'!$C$7&lt;&gt;"",OR(ISNUMBER(SEARCH('Task Finder'!$C$7,$A226)),ISNUMBER(SEARCH('Task Finder'!$C$7,$B226)),ISNUMBER(SEARCH('Task Finder'!$C$7,$C226)),ISNUMBER(SEARCH('Task Finder'!$C$7,$D226)),ISNUMBER(SEARCH('Task Finder'!$C$7,$K226)))),TRUE))))))))))</f>
        <v/>
      </c>
      <c r="Q226" s="150">
        <f>IF($F226="High","High Priority","")</f>
        <v/>
      </c>
      <c r="R226" s="150">
        <f>IF(AND($I226&lt;&gt;"",$I226&lt;TODAY()),"Overdue","")</f>
        <v/>
      </c>
      <c r="S226" s="150">
        <f>IF(AND($I226&lt;&gt;"",$I226&gt;=TODAY(),$I226&lt;=TODAY()+7),"Due This Week","")</f>
        <v/>
      </c>
      <c r="T226" s="150">
        <f>IF(AND($H226&lt;&gt;"",$M226&lt;=VLOOKUP(Home!$C$7,Lists!$N$2:$O$6,2,FALSE)),$H226&amp;" Task","")</f>
        <v/>
      </c>
      <c r="U226" s="150">
        <f>IF($G226=Home!$E$7,"Fits Current Energy","")</f>
        <v/>
      </c>
      <c r="V226" s="150">
        <f>IF($Q226&lt;&gt;""," • "&amp;$Q226,"")&amp;IF($R226&lt;&gt;""," • "&amp;$R226,"")&amp;IF($S226&lt;&gt;""," • "&amp;$S226,"")&amp;IF($T226&lt;&gt;""," • "&amp;$T226,"")&amp;IF($U226&lt;&gt;""," • "&amp;$U226,"")&amp;" • No Blockers"</f>
        <v/>
      </c>
    </row>
    <row r="227">
      <c r="A227" s="19" t="n"/>
      <c r="B227" s="19" t="n"/>
      <c r="C227" s="19" t="n"/>
      <c r="D227" s="19" t="n"/>
      <c r="E227" s="19" t="n"/>
      <c r="F227" s="19" t="n"/>
      <c r="G227" s="19" t="n"/>
      <c r="H227" s="19" t="n"/>
      <c r="I227" s="19" t="n"/>
      <c r="J227" s="19" t="n"/>
      <c r="K227" s="19" t="n"/>
      <c r="L227" s="125" t="n"/>
      <c r="M227" s="88">
        <f>IF($D227="","",IFERROR(VLOOKUP($H227,Lists!$N$2:$O$6,2,FALSE),0))</f>
        <v/>
      </c>
      <c r="N227" s="88">
        <f>IF($D227="","",IF(OR($E227="Blocked",$E227="Done",$E227="Archive"),-9999,IF(AND($E227="Waiting",SUMPRODUCT((($E$5:$E$500="Next")+($E$5:$E$500="In Progress")+($E$5:$E$500="Captured"))*($D$5:$D$500&lt;&gt;""))&gt;0),-500,VLOOKUP($F227,Lists!$L$2:$M$4,2,FALSE)+IF($E227="In Progress",10,0)+IF(AND($I227&lt;&gt;"",$I227&lt;TODAY()),25,0)+IF(AND($I227&lt;&gt;"",$I227&gt;=TODAY(),$I227&lt;=TODAY()+7),15,0)+IF($H227="",0,IF($M227&lt;=VLOOKUP(Home!$C$7,Lists!$N$2:$O$6,2,FALSE),20,-10))+IF($G227=Home!$E$7,15,IF(Home!$E$7="",0,-5))-ROW()/100000)))</f>
        <v/>
      </c>
      <c r="O227" s="88">
        <f>IF($D227="","",IF($N227&lt;=-500,"Not recommended right now",IF($E227="Waiting","Nothing else actionable right now — Waiting on: "&amp;IF($K227="","this item",$K227),MID($V227,4,9999))))</f>
        <v/>
      </c>
      <c r="P227" s="88">
        <f>IF($D227="","",IF('Task Finder'!$C$6="High Priority",AND($F227="High",$E227&lt;&gt;"Done",$E227&lt;&gt;"Archive"),IF('Task Finder'!$C$6="Due This Week",AND($I227&lt;&gt;"",$I227&gt;=TODAY(),$I227&lt;=TODAY()+7,$E227&lt;&gt;"Done"),IF('Task Finder'!$C$6="Quick Wins (15 mins or less)",AND($M227&lt;=15,$E227&lt;&gt;"Done",$E227&lt;&gt;"Blocked"),IF('Task Finder'!$C$6="Deep Thinking",AND($G227="Deep Thinking",$E227&lt;&gt;"Done"),IF('Task Finder'!$C$6="Processing",AND($G227="Processing",$E227&lt;&gt;"Done"),IF('Task Finder'!$C$6="Blocked",$E227="Blocked",IF('Task Finder'!$C$6="Waiting",$E227="Waiting",IF('Task Finder'!$C$6="Recently Updated",AND($L227&lt;&gt;"",$L227&gt;=TODAY()-7),IF('Task Finder'!$C$6="Keyword",AND('Task Finder'!$C$7&lt;&gt;"",OR(ISNUMBER(SEARCH('Task Finder'!$C$7,$A227)),ISNUMBER(SEARCH('Task Finder'!$C$7,$B227)),ISNUMBER(SEARCH('Task Finder'!$C$7,$C227)),ISNUMBER(SEARCH('Task Finder'!$C$7,$D227)),ISNUMBER(SEARCH('Task Finder'!$C$7,$K227)))),TRUE))))))))))</f>
        <v/>
      </c>
      <c r="Q227" s="150">
        <f>IF($F227="High","High Priority","")</f>
        <v/>
      </c>
      <c r="R227" s="150">
        <f>IF(AND($I227&lt;&gt;"",$I227&lt;TODAY()),"Overdue","")</f>
        <v/>
      </c>
      <c r="S227" s="150">
        <f>IF(AND($I227&lt;&gt;"",$I227&gt;=TODAY(),$I227&lt;=TODAY()+7),"Due This Week","")</f>
        <v/>
      </c>
      <c r="T227" s="150">
        <f>IF(AND($H227&lt;&gt;"",$M227&lt;=VLOOKUP(Home!$C$7,Lists!$N$2:$O$6,2,FALSE)),$H227&amp;" Task","")</f>
        <v/>
      </c>
      <c r="U227" s="150">
        <f>IF($G227=Home!$E$7,"Fits Current Energy","")</f>
        <v/>
      </c>
      <c r="V227" s="150">
        <f>IF($Q227&lt;&gt;""," • "&amp;$Q227,"")&amp;IF($R227&lt;&gt;""," • "&amp;$R227,"")&amp;IF($S227&lt;&gt;""," • "&amp;$S227,"")&amp;IF($T227&lt;&gt;""," • "&amp;$T227,"")&amp;IF($U227&lt;&gt;""," • "&amp;$U227,"")&amp;" • No Blockers"</f>
        <v/>
      </c>
    </row>
    <row r="228">
      <c r="A228" s="19" t="n"/>
      <c r="B228" s="19" t="n"/>
      <c r="C228" s="19" t="n"/>
      <c r="D228" s="19" t="n"/>
      <c r="E228" s="19" t="n"/>
      <c r="F228" s="19" t="n"/>
      <c r="G228" s="19" t="n"/>
      <c r="H228" s="19" t="n"/>
      <c r="I228" s="19" t="n"/>
      <c r="J228" s="19" t="n"/>
      <c r="K228" s="19" t="n"/>
      <c r="L228" s="125" t="n"/>
      <c r="M228" s="88">
        <f>IF($D228="","",IFERROR(VLOOKUP($H228,Lists!$N$2:$O$6,2,FALSE),0))</f>
        <v/>
      </c>
      <c r="N228" s="88">
        <f>IF($D228="","",IF(OR($E228="Blocked",$E228="Done",$E228="Archive"),-9999,IF(AND($E228="Waiting",SUMPRODUCT((($E$5:$E$500="Next")+($E$5:$E$500="In Progress")+($E$5:$E$500="Captured"))*($D$5:$D$500&lt;&gt;""))&gt;0),-500,VLOOKUP($F228,Lists!$L$2:$M$4,2,FALSE)+IF($E228="In Progress",10,0)+IF(AND($I228&lt;&gt;"",$I228&lt;TODAY()),25,0)+IF(AND($I228&lt;&gt;"",$I228&gt;=TODAY(),$I228&lt;=TODAY()+7),15,0)+IF($H228="",0,IF($M228&lt;=VLOOKUP(Home!$C$7,Lists!$N$2:$O$6,2,FALSE),20,-10))+IF($G228=Home!$E$7,15,IF(Home!$E$7="",0,-5))-ROW()/100000)))</f>
        <v/>
      </c>
      <c r="O228" s="88">
        <f>IF($D228="","",IF($N228&lt;=-500,"Not recommended right now",IF($E228="Waiting","Nothing else actionable right now — Waiting on: "&amp;IF($K228="","this item",$K228),MID($V228,4,9999))))</f>
        <v/>
      </c>
      <c r="P228" s="88">
        <f>IF($D228="","",IF('Task Finder'!$C$6="High Priority",AND($F228="High",$E228&lt;&gt;"Done",$E228&lt;&gt;"Archive"),IF('Task Finder'!$C$6="Due This Week",AND($I228&lt;&gt;"",$I228&gt;=TODAY(),$I228&lt;=TODAY()+7,$E228&lt;&gt;"Done"),IF('Task Finder'!$C$6="Quick Wins (15 mins or less)",AND($M228&lt;=15,$E228&lt;&gt;"Done",$E228&lt;&gt;"Blocked"),IF('Task Finder'!$C$6="Deep Thinking",AND($G228="Deep Thinking",$E228&lt;&gt;"Done"),IF('Task Finder'!$C$6="Processing",AND($G228="Processing",$E228&lt;&gt;"Done"),IF('Task Finder'!$C$6="Blocked",$E228="Blocked",IF('Task Finder'!$C$6="Waiting",$E228="Waiting",IF('Task Finder'!$C$6="Recently Updated",AND($L228&lt;&gt;"",$L228&gt;=TODAY()-7),IF('Task Finder'!$C$6="Keyword",AND('Task Finder'!$C$7&lt;&gt;"",OR(ISNUMBER(SEARCH('Task Finder'!$C$7,$A228)),ISNUMBER(SEARCH('Task Finder'!$C$7,$B228)),ISNUMBER(SEARCH('Task Finder'!$C$7,$C228)),ISNUMBER(SEARCH('Task Finder'!$C$7,$D228)),ISNUMBER(SEARCH('Task Finder'!$C$7,$K228)))),TRUE))))))))))</f>
        <v/>
      </c>
      <c r="Q228" s="150">
        <f>IF($F228="High","High Priority","")</f>
        <v/>
      </c>
      <c r="R228" s="150">
        <f>IF(AND($I228&lt;&gt;"",$I228&lt;TODAY()),"Overdue","")</f>
        <v/>
      </c>
      <c r="S228" s="150">
        <f>IF(AND($I228&lt;&gt;"",$I228&gt;=TODAY(),$I228&lt;=TODAY()+7),"Due This Week","")</f>
        <v/>
      </c>
      <c r="T228" s="150">
        <f>IF(AND($H228&lt;&gt;"",$M228&lt;=VLOOKUP(Home!$C$7,Lists!$N$2:$O$6,2,FALSE)),$H228&amp;" Task","")</f>
        <v/>
      </c>
      <c r="U228" s="150">
        <f>IF($G228=Home!$E$7,"Fits Current Energy","")</f>
        <v/>
      </c>
      <c r="V228" s="150">
        <f>IF($Q228&lt;&gt;""," • "&amp;$Q228,"")&amp;IF($R228&lt;&gt;""," • "&amp;$R228,"")&amp;IF($S228&lt;&gt;""," • "&amp;$S228,"")&amp;IF($T228&lt;&gt;""," • "&amp;$T228,"")&amp;IF($U228&lt;&gt;""," • "&amp;$U228,"")&amp;" • No Blockers"</f>
        <v/>
      </c>
    </row>
    <row r="229">
      <c r="A229" s="19" t="n"/>
      <c r="B229" s="19" t="n"/>
      <c r="C229" s="19" t="n"/>
      <c r="D229" s="19" t="n"/>
      <c r="E229" s="19" t="n"/>
      <c r="F229" s="19" t="n"/>
      <c r="G229" s="19" t="n"/>
      <c r="H229" s="19" t="n"/>
      <c r="I229" s="19" t="n"/>
      <c r="J229" s="19" t="n"/>
      <c r="K229" s="19" t="n"/>
      <c r="L229" s="125" t="n"/>
      <c r="M229" s="88">
        <f>IF($D229="","",IFERROR(VLOOKUP($H229,Lists!$N$2:$O$6,2,FALSE),0))</f>
        <v/>
      </c>
      <c r="N229" s="88">
        <f>IF($D229="","",IF(OR($E229="Blocked",$E229="Done",$E229="Archive"),-9999,IF(AND($E229="Waiting",SUMPRODUCT((($E$5:$E$500="Next")+($E$5:$E$500="In Progress")+($E$5:$E$500="Captured"))*($D$5:$D$500&lt;&gt;""))&gt;0),-500,VLOOKUP($F229,Lists!$L$2:$M$4,2,FALSE)+IF($E229="In Progress",10,0)+IF(AND($I229&lt;&gt;"",$I229&lt;TODAY()),25,0)+IF(AND($I229&lt;&gt;"",$I229&gt;=TODAY(),$I229&lt;=TODAY()+7),15,0)+IF($H229="",0,IF($M229&lt;=VLOOKUP(Home!$C$7,Lists!$N$2:$O$6,2,FALSE),20,-10))+IF($G229=Home!$E$7,15,IF(Home!$E$7="",0,-5))-ROW()/100000)))</f>
        <v/>
      </c>
      <c r="O229" s="88">
        <f>IF($D229="","",IF($N229&lt;=-500,"Not recommended right now",IF($E229="Waiting","Nothing else actionable right now — Waiting on: "&amp;IF($K229="","this item",$K229),MID($V229,4,9999))))</f>
        <v/>
      </c>
      <c r="P229" s="88">
        <f>IF($D229="","",IF('Task Finder'!$C$6="High Priority",AND($F229="High",$E229&lt;&gt;"Done",$E229&lt;&gt;"Archive"),IF('Task Finder'!$C$6="Due This Week",AND($I229&lt;&gt;"",$I229&gt;=TODAY(),$I229&lt;=TODAY()+7,$E229&lt;&gt;"Done"),IF('Task Finder'!$C$6="Quick Wins (15 mins or less)",AND($M229&lt;=15,$E229&lt;&gt;"Done",$E229&lt;&gt;"Blocked"),IF('Task Finder'!$C$6="Deep Thinking",AND($G229="Deep Thinking",$E229&lt;&gt;"Done"),IF('Task Finder'!$C$6="Processing",AND($G229="Processing",$E229&lt;&gt;"Done"),IF('Task Finder'!$C$6="Blocked",$E229="Blocked",IF('Task Finder'!$C$6="Waiting",$E229="Waiting",IF('Task Finder'!$C$6="Recently Updated",AND($L229&lt;&gt;"",$L229&gt;=TODAY()-7),IF('Task Finder'!$C$6="Keyword",AND('Task Finder'!$C$7&lt;&gt;"",OR(ISNUMBER(SEARCH('Task Finder'!$C$7,$A229)),ISNUMBER(SEARCH('Task Finder'!$C$7,$B229)),ISNUMBER(SEARCH('Task Finder'!$C$7,$C229)),ISNUMBER(SEARCH('Task Finder'!$C$7,$D229)),ISNUMBER(SEARCH('Task Finder'!$C$7,$K229)))),TRUE))))))))))</f>
        <v/>
      </c>
      <c r="Q229" s="150">
        <f>IF($F229="High","High Priority","")</f>
        <v/>
      </c>
      <c r="R229" s="150">
        <f>IF(AND($I229&lt;&gt;"",$I229&lt;TODAY()),"Overdue","")</f>
        <v/>
      </c>
      <c r="S229" s="150">
        <f>IF(AND($I229&lt;&gt;"",$I229&gt;=TODAY(),$I229&lt;=TODAY()+7),"Due This Week","")</f>
        <v/>
      </c>
      <c r="T229" s="150">
        <f>IF(AND($H229&lt;&gt;"",$M229&lt;=VLOOKUP(Home!$C$7,Lists!$N$2:$O$6,2,FALSE)),$H229&amp;" Task","")</f>
        <v/>
      </c>
      <c r="U229" s="150">
        <f>IF($G229=Home!$E$7,"Fits Current Energy","")</f>
        <v/>
      </c>
      <c r="V229" s="150">
        <f>IF($Q229&lt;&gt;""," • "&amp;$Q229,"")&amp;IF($R229&lt;&gt;""," • "&amp;$R229,"")&amp;IF($S229&lt;&gt;""," • "&amp;$S229,"")&amp;IF($T229&lt;&gt;""," • "&amp;$T229,"")&amp;IF($U229&lt;&gt;""," • "&amp;$U229,"")&amp;" • No Blockers"</f>
        <v/>
      </c>
    </row>
    <row r="230">
      <c r="A230" s="19" t="n"/>
      <c r="B230" s="19" t="n"/>
      <c r="C230" s="19" t="n"/>
      <c r="D230" s="19" t="n"/>
      <c r="E230" s="19" t="n"/>
      <c r="F230" s="19" t="n"/>
      <c r="G230" s="19" t="n"/>
      <c r="H230" s="19" t="n"/>
      <c r="I230" s="19" t="n"/>
      <c r="J230" s="19" t="n"/>
      <c r="K230" s="19" t="n"/>
      <c r="L230" s="125" t="n"/>
      <c r="M230" s="88">
        <f>IF($D230="","",IFERROR(VLOOKUP($H230,Lists!$N$2:$O$6,2,FALSE),0))</f>
        <v/>
      </c>
      <c r="N230" s="88">
        <f>IF($D230="","",IF(OR($E230="Blocked",$E230="Done",$E230="Archive"),-9999,IF(AND($E230="Waiting",SUMPRODUCT((($E$5:$E$500="Next")+($E$5:$E$500="In Progress")+($E$5:$E$500="Captured"))*($D$5:$D$500&lt;&gt;""))&gt;0),-500,VLOOKUP($F230,Lists!$L$2:$M$4,2,FALSE)+IF($E230="In Progress",10,0)+IF(AND($I230&lt;&gt;"",$I230&lt;TODAY()),25,0)+IF(AND($I230&lt;&gt;"",$I230&gt;=TODAY(),$I230&lt;=TODAY()+7),15,0)+IF($H230="",0,IF($M230&lt;=VLOOKUP(Home!$C$7,Lists!$N$2:$O$6,2,FALSE),20,-10))+IF($G230=Home!$E$7,15,IF(Home!$E$7="",0,-5))-ROW()/100000)))</f>
        <v/>
      </c>
      <c r="O230" s="88">
        <f>IF($D230="","",IF($N230&lt;=-500,"Not recommended right now",IF($E230="Waiting","Nothing else actionable right now — Waiting on: "&amp;IF($K230="","this item",$K230),MID($V230,4,9999))))</f>
        <v/>
      </c>
      <c r="P230" s="88">
        <f>IF($D230="","",IF('Task Finder'!$C$6="High Priority",AND($F230="High",$E230&lt;&gt;"Done",$E230&lt;&gt;"Archive"),IF('Task Finder'!$C$6="Due This Week",AND($I230&lt;&gt;"",$I230&gt;=TODAY(),$I230&lt;=TODAY()+7,$E230&lt;&gt;"Done"),IF('Task Finder'!$C$6="Quick Wins (15 mins or less)",AND($M230&lt;=15,$E230&lt;&gt;"Done",$E230&lt;&gt;"Blocked"),IF('Task Finder'!$C$6="Deep Thinking",AND($G230="Deep Thinking",$E230&lt;&gt;"Done"),IF('Task Finder'!$C$6="Processing",AND($G230="Processing",$E230&lt;&gt;"Done"),IF('Task Finder'!$C$6="Blocked",$E230="Blocked",IF('Task Finder'!$C$6="Waiting",$E230="Waiting",IF('Task Finder'!$C$6="Recently Updated",AND($L230&lt;&gt;"",$L230&gt;=TODAY()-7),IF('Task Finder'!$C$6="Keyword",AND('Task Finder'!$C$7&lt;&gt;"",OR(ISNUMBER(SEARCH('Task Finder'!$C$7,$A230)),ISNUMBER(SEARCH('Task Finder'!$C$7,$B230)),ISNUMBER(SEARCH('Task Finder'!$C$7,$C230)),ISNUMBER(SEARCH('Task Finder'!$C$7,$D230)),ISNUMBER(SEARCH('Task Finder'!$C$7,$K230)))),TRUE))))))))))</f>
        <v/>
      </c>
      <c r="Q230" s="150">
        <f>IF($F230="High","High Priority","")</f>
        <v/>
      </c>
      <c r="R230" s="150">
        <f>IF(AND($I230&lt;&gt;"",$I230&lt;TODAY()),"Overdue","")</f>
        <v/>
      </c>
      <c r="S230" s="150">
        <f>IF(AND($I230&lt;&gt;"",$I230&gt;=TODAY(),$I230&lt;=TODAY()+7),"Due This Week","")</f>
        <v/>
      </c>
      <c r="T230" s="150">
        <f>IF(AND($H230&lt;&gt;"",$M230&lt;=VLOOKUP(Home!$C$7,Lists!$N$2:$O$6,2,FALSE)),$H230&amp;" Task","")</f>
        <v/>
      </c>
      <c r="U230" s="150">
        <f>IF($G230=Home!$E$7,"Fits Current Energy","")</f>
        <v/>
      </c>
      <c r="V230" s="150">
        <f>IF($Q230&lt;&gt;""," • "&amp;$Q230,"")&amp;IF($R230&lt;&gt;""," • "&amp;$R230,"")&amp;IF($S230&lt;&gt;""," • "&amp;$S230,"")&amp;IF($T230&lt;&gt;""," • "&amp;$T230,"")&amp;IF($U230&lt;&gt;""," • "&amp;$U230,"")&amp;" • No Blockers"</f>
        <v/>
      </c>
    </row>
    <row r="231">
      <c r="A231" s="19" t="n"/>
      <c r="B231" s="19" t="n"/>
      <c r="C231" s="19" t="n"/>
      <c r="D231" s="19" t="n"/>
      <c r="E231" s="19" t="n"/>
      <c r="F231" s="19" t="n"/>
      <c r="G231" s="19" t="n"/>
      <c r="H231" s="19" t="n"/>
      <c r="I231" s="19" t="n"/>
      <c r="J231" s="19" t="n"/>
      <c r="K231" s="19" t="n"/>
      <c r="L231" s="125" t="n"/>
      <c r="M231" s="88">
        <f>IF($D231="","",IFERROR(VLOOKUP($H231,Lists!$N$2:$O$6,2,FALSE),0))</f>
        <v/>
      </c>
      <c r="N231" s="88">
        <f>IF($D231="","",IF(OR($E231="Blocked",$E231="Done",$E231="Archive"),-9999,IF(AND($E231="Waiting",SUMPRODUCT((($E$5:$E$500="Next")+($E$5:$E$500="In Progress")+($E$5:$E$500="Captured"))*($D$5:$D$500&lt;&gt;""))&gt;0),-500,VLOOKUP($F231,Lists!$L$2:$M$4,2,FALSE)+IF($E231="In Progress",10,0)+IF(AND($I231&lt;&gt;"",$I231&lt;TODAY()),25,0)+IF(AND($I231&lt;&gt;"",$I231&gt;=TODAY(),$I231&lt;=TODAY()+7),15,0)+IF($H231="",0,IF($M231&lt;=VLOOKUP(Home!$C$7,Lists!$N$2:$O$6,2,FALSE),20,-10))+IF($G231=Home!$E$7,15,IF(Home!$E$7="",0,-5))-ROW()/100000)))</f>
        <v/>
      </c>
      <c r="O231" s="88">
        <f>IF($D231="","",IF($N231&lt;=-500,"Not recommended right now",IF($E231="Waiting","Nothing else actionable right now — Waiting on: "&amp;IF($K231="","this item",$K231),MID($V231,4,9999))))</f>
        <v/>
      </c>
      <c r="P231" s="88">
        <f>IF($D231="","",IF('Task Finder'!$C$6="High Priority",AND($F231="High",$E231&lt;&gt;"Done",$E231&lt;&gt;"Archive"),IF('Task Finder'!$C$6="Due This Week",AND($I231&lt;&gt;"",$I231&gt;=TODAY(),$I231&lt;=TODAY()+7,$E231&lt;&gt;"Done"),IF('Task Finder'!$C$6="Quick Wins (15 mins or less)",AND($M231&lt;=15,$E231&lt;&gt;"Done",$E231&lt;&gt;"Blocked"),IF('Task Finder'!$C$6="Deep Thinking",AND($G231="Deep Thinking",$E231&lt;&gt;"Done"),IF('Task Finder'!$C$6="Processing",AND($G231="Processing",$E231&lt;&gt;"Done"),IF('Task Finder'!$C$6="Blocked",$E231="Blocked",IF('Task Finder'!$C$6="Waiting",$E231="Waiting",IF('Task Finder'!$C$6="Recently Updated",AND($L231&lt;&gt;"",$L231&gt;=TODAY()-7),IF('Task Finder'!$C$6="Keyword",AND('Task Finder'!$C$7&lt;&gt;"",OR(ISNUMBER(SEARCH('Task Finder'!$C$7,$A231)),ISNUMBER(SEARCH('Task Finder'!$C$7,$B231)),ISNUMBER(SEARCH('Task Finder'!$C$7,$C231)),ISNUMBER(SEARCH('Task Finder'!$C$7,$D231)),ISNUMBER(SEARCH('Task Finder'!$C$7,$K231)))),TRUE))))))))))</f>
        <v/>
      </c>
      <c r="Q231" s="150">
        <f>IF($F231="High","High Priority","")</f>
        <v/>
      </c>
      <c r="R231" s="150">
        <f>IF(AND($I231&lt;&gt;"",$I231&lt;TODAY()),"Overdue","")</f>
        <v/>
      </c>
      <c r="S231" s="150">
        <f>IF(AND($I231&lt;&gt;"",$I231&gt;=TODAY(),$I231&lt;=TODAY()+7),"Due This Week","")</f>
        <v/>
      </c>
      <c r="T231" s="150">
        <f>IF(AND($H231&lt;&gt;"",$M231&lt;=VLOOKUP(Home!$C$7,Lists!$N$2:$O$6,2,FALSE)),$H231&amp;" Task","")</f>
        <v/>
      </c>
      <c r="U231" s="150">
        <f>IF($G231=Home!$E$7,"Fits Current Energy","")</f>
        <v/>
      </c>
      <c r="V231" s="150">
        <f>IF($Q231&lt;&gt;""," • "&amp;$Q231,"")&amp;IF($R231&lt;&gt;""," • "&amp;$R231,"")&amp;IF($S231&lt;&gt;""," • "&amp;$S231,"")&amp;IF($T231&lt;&gt;""," • "&amp;$T231,"")&amp;IF($U231&lt;&gt;""," • "&amp;$U231,"")&amp;" • No Blockers"</f>
        <v/>
      </c>
    </row>
    <row r="232">
      <c r="A232" s="19" t="n"/>
      <c r="B232" s="19" t="n"/>
      <c r="C232" s="19" t="n"/>
      <c r="D232" s="19" t="n"/>
      <c r="E232" s="19" t="n"/>
      <c r="F232" s="19" t="n"/>
      <c r="G232" s="19" t="n"/>
      <c r="H232" s="19" t="n"/>
      <c r="I232" s="19" t="n"/>
      <c r="J232" s="19" t="n"/>
      <c r="K232" s="19" t="n"/>
      <c r="L232" s="125" t="n"/>
      <c r="M232" s="88">
        <f>IF($D232="","",IFERROR(VLOOKUP($H232,Lists!$N$2:$O$6,2,FALSE),0))</f>
        <v/>
      </c>
      <c r="N232" s="88">
        <f>IF($D232="","",IF(OR($E232="Blocked",$E232="Done",$E232="Archive"),-9999,IF(AND($E232="Waiting",SUMPRODUCT((($E$5:$E$500="Next")+($E$5:$E$500="In Progress")+($E$5:$E$500="Captured"))*($D$5:$D$500&lt;&gt;""))&gt;0),-500,VLOOKUP($F232,Lists!$L$2:$M$4,2,FALSE)+IF($E232="In Progress",10,0)+IF(AND($I232&lt;&gt;"",$I232&lt;TODAY()),25,0)+IF(AND($I232&lt;&gt;"",$I232&gt;=TODAY(),$I232&lt;=TODAY()+7),15,0)+IF($H232="",0,IF($M232&lt;=VLOOKUP(Home!$C$7,Lists!$N$2:$O$6,2,FALSE),20,-10))+IF($G232=Home!$E$7,15,IF(Home!$E$7="",0,-5))-ROW()/100000)))</f>
        <v/>
      </c>
      <c r="O232" s="88">
        <f>IF($D232="","",IF($N232&lt;=-500,"Not recommended right now",IF($E232="Waiting","Nothing else actionable right now — Waiting on: "&amp;IF($K232="","this item",$K232),MID($V232,4,9999))))</f>
        <v/>
      </c>
      <c r="P232" s="88">
        <f>IF($D232="","",IF('Task Finder'!$C$6="High Priority",AND($F232="High",$E232&lt;&gt;"Done",$E232&lt;&gt;"Archive"),IF('Task Finder'!$C$6="Due This Week",AND($I232&lt;&gt;"",$I232&gt;=TODAY(),$I232&lt;=TODAY()+7,$E232&lt;&gt;"Done"),IF('Task Finder'!$C$6="Quick Wins (15 mins or less)",AND($M232&lt;=15,$E232&lt;&gt;"Done",$E232&lt;&gt;"Blocked"),IF('Task Finder'!$C$6="Deep Thinking",AND($G232="Deep Thinking",$E232&lt;&gt;"Done"),IF('Task Finder'!$C$6="Processing",AND($G232="Processing",$E232&lt;&gt;"Done"),IF('Task Finder'!$C$6="Blocked",$E232="Blocked",IF('Task Finder'!$C$6="Waiting",$E232="Waiting",IF('Task Finder'!$C$6="Recently Updated",AND($L232&lt;&gt;"",$L232&gt;=TODAY()-7),IF('Task Finder'!$C$6="Keyword",AND('Task Finder'!$C$7&lt;&gt;"",OR(ISNUMBER(SEARCH('Task Finder'!$C$7,$A232)),ISNUMBER(SEARCH('Task Finder'!$C$7,$B232)),ISNUMBER(SEARCH('Task Finder'!$C$7,$C232)),ISNUMBER(SEARCH('Task Finder'!$C$7,$D232)),ISNUMBER(SEARCH('Task Finder'!$C$7,$K232)))),TRUE))))))))))</f>
        <v/>
      </c>
      <c r="Q232" s="150">
        <f>IF($F232="High","High Priority","")</f>
        <v/>
      </c>
      <c r="R232" s="150">
        <f>IF(AND($I232&lt;&gt;"",$I232&lt;TODAY()),"Overdue","")</f>
        <v/>
      </c>
      <c r="S232" s="150">
        <f>IF(AND($I232&lt;&gt;"",$I232&gt;=TODAY(),$I232&lt;=TODAY()+7),"Due This Week","")</f>
        <v/>
      </c>
      <c r="T232" s="150">
        <f>IF(AND($H232&lt;&gt;"",$M232&lt;=VLOOKUP(Home!$C$7,Lists!$N$2:$O$6,2,FALSE)),$H232&amp;" Task","")</f>
        <v/>
      </c>
      <c r="U232" s="150">
        <f>IF($G232=Home!$E$7,"Fits Current Energy","")</f>
        <v/>
      </c>
      <c r="V232" s="150">
        <f>IF($Q232&lt;&gt;""," • "&amp;$Q232,"")&amp;IF($R232&lt;&gt;""," • "&amp;$R232,"")&amp;IF($S232&lt;&gt;""," • "&amp;$S232,"")&amp;IF($T232&lt;&gt;""," • "&amp;$T232,"")&amp;IF($U232&lt;&gt;""," • "&amp;$U232,"")&amp;" • No Blockers"</f>
        <v/>
      </c>
    </row>
    <row r="233">
      <c r="A233" s="19" t="n"/>
      <c r="B233" s="19" t="n"/>
      <c r="C233" s="19" t="n"/>
      <c r="D233" s="19" t="n"/>
      <c r="E233" s="19" t="n"/>
      <c r="F233" s="19" t="n"/>
      <c r="G233" s="19" t="n"/>
      <c r="H233" s="19" t="n"/>
      <c r="I233" s="19" t="n"/>
      <c r="J233" s="19" t="n"/>
      <c r="K233" s="19" t="n"/>
      <c r="L233" s="125" t="n"/>
      <c r="M233" s="88">
        <f>IF($D233="","",IFERROR(VLOOKUP($H233,Lists!$N$2:$O$6,2,FALSE),0))</f>
        <v/>
      </c>
      <c r="N233" s="88">
        <f>IF($D233="","",IF(OR($E233="Blocked",$E233="Done",$E233="Archive"),-9999,IF(AND($E233="Waiting",SUMPRODUCT((($E$5:$E$500="Next")+($E$5:$E$500="In Progress")+($E$5:$E$500="Captured"))*($D$5:$D$500&lt;&gt;""))&gt;0),-500,VLOOKUP($F233,Lists!$L$2:$M$4,2,FALSE)+IF($E233="In Progress",10,0)+IF(AND($I233&lt;&gt;"",$I233&lt;TODAY()),25,0)+IF(AND($I233&lt;&gt;"",$I233&gt;=TODAY(),$I233&lt;=TODAY()+7),15,0)+IF($H233="",0,IF($M233&lt;=VLOOKUP(Home!$C$7,Lists!$N$2:$O$6,2,FALSE),20,-10))+IF($G233=Home!$E$7,15,IF(Home!$E$7="",0,-5))-ROW()/100000)))</f>
        <v/>
      </c>
      <c r="O233" s="88">
        <f>IF($D233="","",IF($N233&lt;=-500,"Not recommended right now",IF($E233="Waiting","Nothing else actionable right now — Waiting on: "&amp;IF($K233="","this item",$K233),MID($V233,4,9999))))</f>
        <v/>
      </c>
      <c r="P233" s="88">
        <f>IF($D233="","",IF('Task Finder'!$C$6="High Priority",AND($F233="High",$E233&lt;&gt;"Done",$E233&lt;&gt;"Archive"),IF('Task Finder'!$C$6="Due This Week",AND($I233&lt;&gt;"",$I233&gt;=TODAY(),$I233&lt;=TODAY()+7,$E233&lt;&gt;"Done"),IF('Task Finder'!$C$6="Quick Wins (15 mins or less)",AND($M233&lt;=15,$E233&lt;&gt;"Done",$E233&lt;&gt;"Blocked"),IF('Task Finder'!$C$6="Deep Thinking",AND($G233="Deep Thinking",$E233&lt;&gt;"Done"),IF('Task Finder'!$C$6="Processing",AND($G233="Processing",$E233&lt;&gt;"Done"),IF('Task Finder'!$C$6="Blocked",$E233="Blocked",IF('Task Finder'!$C$6="Waiting",$E233="Waiting",IF('Task Finder'!$C$6="Recently Updated",AND($L233&lt;&gt;"",$L233&gt;=TODAY()-7),IF('Task Finder'!$C$6="Keyword",AND('Task Finder'!$C$7&lt;&gt;"",OR(ISNUMBER(SEARCH('Task Finder'!$C$7,$A233)),ISNUMBER(SEARCH('Task Finder'!$C$7,$B233)),ISNUMBER(SEARCH('Task Finder'!$C$7,$C233)),ISNUMBER(SEARCH('Task Finder'!$C$7,$D233)),ISNUMBER(SEARCH('Task Finder'!$C$7,$K233)))),TRUE))))))))))</f>
        <v/>
      </c>
      <c r="Q233" s="150">
        <f>IF($F233="High","High Priority","")</f>
        <v/>
      </c>
      <c r="R233" s="150">
        <f>IF(AND($I233&lt;&gt;"",$I233&lt;TODAY()),"Overdue","")</f>
        <v/>
      </c>
      <c r="S233" s="150">
        <f>IF(AND($I233&lt;&gt;"",$I233&gt;=TODAY(),$I233&lt;=TODAY()+7),"Due This Week","")</f>
        <v/>
      </c>
      <c r="T233" s="150">
        <f>IF(AND($H233&lt;&gt;"",$M233&lt;=VLOOKUP(Home!$C$7,Lists!$N$2:$O$6,2,FALSE)),$H233&amp;" Task","")</f>
        <v/>
      </c>
      <c r="U233" s="150">
        <f>IF($G233=Home!$E$7,"Fits Current Energy","")</f>
        <v/>
      </c>
      <c r="V233" s="150">
        <f>IF($Q233&lt;&gt;""," • "&amp;$Q233,"")&amp;IF($R233&lt;&gt;""," • "&amp;$R233,"")&amp;IF($S233&lt;&gt;""," • "&amp;$S233,"")&amp;IF($T233&lt;&gt;""," • "&amp;$T233,"")&amp;IF($U233&lt;&gt;""," • "&amp;$U233,"")&amp;" • No Blockers"</f>
        <v/>
      </c>
    </row>
    <row r="234">
      <c r="A234" s="19" t="n"/>
      <c r="B234" s="19" t="n"/>
      <c r="C234" s="19" t="n"/>
      <c r="D234" s="19" t="n"/>
      <c r="E234" s="19" t="n"/>
      <c r="F234" s="19" t="n"/>
      <c r="G234" s="19" t="n"/>
      <c r="H234" s="19" t="n"/>
      <c r="I234" s="19" t="n"/>
      <c r="J234" s="19" t="n"/>
      <c r="K234" s="19" t="n"/>
      <c r="L234" s="125" t="n"/>
      <c r="M234" s="88">
        <f>IF($D234="","",IFERROR(VLOOKUP($H234,Lists!$N$2:$O$6,2,FALSE),0))</f>
        <v/>
      </c>
      <c r="N234" s="88">
        <f>IF($D234="","",IF(OR($E234="Blocked",$E234="Done",$E234="Archive"),-9999,IF(AND($E234="Waiting",SUMPRODUCT((($E$5:$E$500="Next")+($E$5:$E$500="In Progress")+($E$5:$E$500="Captured"))*($D$5:$D$500&lt;&gt;""))&gt;0),-500,VLOOKUP($F234,Lists!$L$2:$M$4,2,FALSE)+IF($E234="In Progress",10,0)+IF(AND($I234&lt;&gt;"",$I234&lt;TODAY()),25,0)+IF(AND($I234&lt;&gt;"",$I234&gt;=TODAY(),$I234&lt;=TODAY()+7),15,0)+IF($H234="",0,IF($M234&lt;=VLOOKUP(Home!$C$7,Lists!$N$2:$O$6,2,FALSE),20,-10))+IF($G234=Home!$E$7,15,IF(Home!$E$7="",0,-5))-ROW()/100000)))</f>
        <v/>
      </c>
      <c r="O234" s="88">
        <f>IF($D234="","",IF($N234&lt;=-500,"Not recommended right now",IF($E234="Waiting","Nothing else actionable right now — Waiting on: "&amp;IF($K234="","this item",$K234),MID($V234,4,9999))))</f>
        <v/>
      </c>
      <c r="P234" s="88">
        <f>IF($D234="","",IF('Task Finder'!$C$6="High Priority",AND($F234="High",$E234&lt;&gt;"Done",$E234&lt;&gt;"Archive"),IF('Task Finder'!$C$6="Due This Week",AND($I234&lt;&gt;"",$I234&gt;=TODAY(),$I234&lt;=TODAY()+7,$E234&lt;&gt;"Done"),IF('Task Finder'!$C$6="Quick Wins (15 mins or less)",AND($M234&lt;=15,$E234&lt;&gt;"Done",$E234&lt;&gt;"Blocked"),IF('Task Finder'!$C$6="Deep Thinking",AND($G234="Deep Thinking",$E234&lt;&gt;"Done"),IF('Task Finder'!$C$6="Processing",AND($G234="Processing",$E234&lt;&gt;"Done"),IF('Task Finder'!$C$6="Blocked",$E234="Blocked",IF('Task Finder'!$C$6="Waiting",$E234="Waiting",IF('Task Finder'!$C$6="Recently Updated",AND($L234&lt;&gt;"",$L234&gt;=TODAY()-7),IF('Task Finder'!$C$6="Keyword",AND('Task Finder'!$C$7&lt;&gt;"",OR(ISNUMBER(SEARCH('Task Finder'!$C$7,$A234)),ISNUMBER(SEARCH('Task Finder'!$C$7,$B234)),ISNUMBER(SEARCH('Task Finder'!$C$7,$C234)),ISNUMBER(SEARCH('Task Finder'!$C$7,$D234)),ISNUMBER(SEARCH('Task Finder'!$C$7,$K234)))),TRUE))))))))))</f>
        <v/>
      </c>
      <c r="Q234" s="150">
        <f>IF($F234="High","High Priority","")</f>
        <v/>
      </c>
      <c r="R234" s="150">
        <f>IF(AND($I234&lt;&gt;"",$I234&lt;TODAY()),"Overdue","")</f>
        <v/>
      </c>
      <c r="S234" s="150">
        <f>IF(AND($I234&lt;&gt;"",$I234&gt;=TODAY(),$I234&lt;=TODAY()+7),"Due This Week","")</f>
        <v/>
      </c>
      <c r="T234" s="150">
        <f>IF(AND($H234&lt;&gt;"",$M234&lt;=VLOOKUP(Home!$C$7,Lists!$N$2:$O$6,2,FALSE)),$H234&amp;" Task","")</f>
        <v/>
      </c>
      <c r="U234" s="150">
        <f>IF($G234=Home!$E$7,"Fits Current Energy","")</f>
        <v/>
      </c>
      <c r="V234" s="150">
        <f>IF($Q234&lt;&gt;""," • "&amp;$Q234,"")&amp;IF($R234&lt;&gt;""," • "&amp;$R234,"")&amp;IF($S234&lt;&gt;""," • "&amp;$S234,"")&amp;IF($T234&lt;&gt;""," • "&amp;$T234,"")&amp;IF($U234&lt;&gt;""," • "&amp;$U234,"")&amp;" • No Blockers"</f>
        <v/>
      </c>
    </row>
    <row r="235">
      <c r="A235" s="19" t="n"/>
      <c r="B235" s="19" t="n"/>
      <c r="C235" s="19" t="n"/>
      <c r="D235" s="19" t="n"/>
      <c r="E235" s="19" t="n"/>
      <c r="F235" s="19" t="n"/>
      <c r="G235" s="19" t="n"/>
      <c r="H235" s="19" t="n"/>
      <c r="I235" s="19" t="n"/>
      <c r="J235" s="19" t="n"/>
      <c r="K235" s="19" t="n"/>
      <c r="L235" s="125" t="n"/>
      <c r="M235" s="88">
        <f>IF($D235="","",IFERROR(VLOOKUP($H235,Lists!$N$2:$O$6,2,FALSE),0))</f>
        <v/>
      </c>
      <c r="N235" s="88">
        <f>IF($D235="","",IF(OR($E235="Blocked",$E235="Done",$E235="Archive"),-9999,IF(AND($E235="Waiting",SUMPRODUCT((($E$5:$E$500="Next")+($E$5:$E$500="In Progress")+($E$5:$E$500="Captured"))*($D$5:$D$500&lt;&gt;""))&gt;0),-500,VLOOKUP($F235,Lists!$L$2:$M$4,2,FALSE)+IF($E235="In Progress",10,0)+IF(AND($I235&lt;&gt;"",$I235&lt;TODAY()),25,0)+IF(AND($I235&lt;&gt;"",$I235&gt;=TODAY(),$I235&lt;=TODAY()+7),15,0)+IF($H235="",0,IF($M235&lt;=VLOOKUP(Home!$C$7,Lists!$N$2:$O$6,2,FALSE),20,-10))+IF($G235=Home!$E$7,15,IF(Home!$E$7="",0,-5))-ROW()/100000)))</f>
        <v/>
      </c>
      <c r="O235" s="88">
        <f>IF($D235="","",IF($N235&lt;=-500,"Not recommended right now",IF($E235="Waiting","Nothing else actionable right now — Waiting on: "&amp;IF($K235="","this item",$K235),MID($V235,4,9999))))</f>
        <v/>
      </c>
      <c r="P235" s="88">
        <f>IF($D235="","",IF('Task Finder'!$C$6="High Priority",AND($F235="High",$E235&lt;&gt;"Done",$E235&lt;&gt;"Archive"),IF('Task Finder'!$C$6="Due This Week",AND($I235&lt;&gt;"",$I235&gt;=TODAY(),$I235&lt;=TODAY()+7,$E235&lt;&gt;"Done"),IF('Task Finder'!$C$6="Quick Wins (15 mins or less)",AND($M235&lt;=15,$E235&lt;&gt;"Done",$E235&lt;&gt;"Blocked"),IF('Task Finder'!$C$6="Deep Thinking",AND($G235="Deep Thinking",$E235&lt;&gt;"Done"),IF('Task Finder'!$C$6="Processing",AND($G235="Processing",$E235&lt;&gt;"Done"),IF('Task Finder'!$C$6="Blocked",$E235="Blocked",IF('Task Finder'!$C$6="Waiting",$E235="Waiting",IF('Task Finder'!$C$6="Recently Updated",AND($L235&lt;&gt;"",$L235&gt;=TODAY()-7),IF('Task Finder'!$C$6="Keyword",AND('Task Finder'!$C$7&lt;&gt;"",OR(ISNUMBER(SEARCH('Task Finder'!$C$7,$A235)),ISNUMBER(SEARCH('Task Finder'!$C$7,$B235)),ISNUMBER(SEARCH('Task Finder'!$C$7,$C235)),ISNUMBER(SEARCH('Task Finder'!$C$7,$D235)),ISNUMBER(SEARCH('Task Finder'!$C$7,$K235)))),TRUE))))))))))</f>
        <v/>
      </c>
      <c r="Q235" s="150">
        <f>IF($F235="High","High Priority","")</f>
        <v/>
      </c>
      <c r="R235" s="150">
        <f>IF(AND($I235&lt;&gt;"",$I235&lt;TODAY()),"Overdue","")</f>
        <v/>
      </c>
      <c r="S235" s="150">
        <f>IF(AND($I235&lt;&gt;"",$I235&gt;=TODAY(),$I235&lt;=TODAY()+7),"Due This Week","")</f>
        <v/>
      </c>
      <c r="T235" s="150">
        <f>IF(AND($H235&lt;&gt;"",$M235&lt;=VLOOKUP(Home!$C$7,Lists!$N$2:$O$6,2,FALSE)),$H235&amp;" Task","")</f>
        <v/>
      </c>
      <c r="U235" s="150">
        <f>IF($G235=Home!$E$7,"Fits Current Energy","")</f>
        <v/>
      </c>
      <c r="V235" s="150">
        <f>IF($Q235&lt;&gt;""," • "&amp;$Q235,"")&amp;IF($R235&lt;&gt;""," • "&amp;$R235,"")&amp;IF($S235&lt;&gt;""," • "&amp;$S235,"")&amp;IF($T235&lt;&gt;""," • "&amp;$T235,"")&amp;IF($U235&lt;&gt;""," • "&amp;$U235,"")&amp;" • No Blockers"</f>
        <v/>
      </c>
    </row>
    <row r="236">
      <c r="A236" s="19" t="n"/>
      <c r="B236" s="19" t="n"/>
      <c r="C236" s="19" t="n"/>
      <c r="D236" s="19" t="n"/>
      <c r="E236" s="19" t="n"/>
      <c r="F236" s="19" t="n"/>
      <c r="G236" s="19" t="n"/>
      <c r="H236" s="19" t="n"/>
      <c r="I236" s="19" t="n"/>
      <c r="J236" s="19" t="n"/>
      <c r="K236" s="19" t="n"/>
      <c r="L236" s="125" t="n"/>
      <c r="M236" s="88">
        <f>IF($D236="","",IFERROR(VLOOKUP($H236,Lists!$N$2:$O$6,2,FALSE),0))</f>
        <v/>
      </c>
      <c r="N236" s="88">
        <f>IF($D236="","",IF(OR($E236="Blocked",$E236="Done",$E236="Archive"),-9999,IF(AND($E236="Waiting",SUMPRODUCT((($E$5:$E$500="Next")+($E$5:$E$500="In Progress")+($E$5:$E$500="Captured"))*($D$5:$D$500&lt;&gt;""))&gt;0),-500,VLOOKUP($F236,Lists!$L$2:$M$4,2,FALSE)+IF($E236="In Progress",10,0)+IF(AND($I236&lt;&gt;"",$I236&lt;TODAY()),25,0)+IF(AND($I236&lt;&gt;"",$I236&gt;=TODAY(),$I236&lt;=TODAY()+7),15,0)+IF($H236="",0,IF($M236&lt;=VLOOKUP(Home!$C$7,Lists!$N$2:$O$6,2,FALSE),20,-10))+IF($G236=Home!$E$7,15,IF(Home!$E$7="",0,-5))-ROW()/100000)))</f>
        <v/>
      </c>
      <c r="O236" s="88">
        <f>IF($D236="","",IF($N236&lt;=-500,"Not recommended right now",IF($E236="Waiting","Nothing else actionable right now — Waiting on: "&amp;IF($K236="","this item",$K236),MID($V236,4,9999))))</f>
        <v/>
      </c>
      <c r="P236" s="88">
        <f>IF($D236="","",IF('Task Finder'!$C$6="High Priority",AND($F236="High",$E236&lt;&gt;"Done",$E236&lt;&gt;"Archive"),IF('Task Finder'!$C$6="Due This Week",AND($I236&lt;&gt;"",$I236&gt;=TODAY(),$I236&lt;=TODAY()+7,$E236&lt;&gt;"Done"),IF('Task Finder'!$C$6="Quick Wins (15 mins or less)",AND($M236&lt;=15,$E236&lt;&gt;"Done",$E236&lt;&gt;"Blocked"),IF('Task Finder'!$C$6="Deep Thinking",AND($G236="Deep Thinking",$E236&lt;&gt;"Done"),IF('Task Finder'!$C$6="Processing",AND($G236="Processing",$E236&lt;&gt;"Done"),IF('Task Finder'!$C$6="Blocked",$E236="Blocked",IF('Task Finder'!$C$6="Waiting",$E236="Waiting",IF('Task Finder'!$C$6="Recently Updated",AND($L236&lt;&gt;"",$L236&gt;=TODAY()-7),IF('Task Finder'!$C$6="Keyword",AND('Task Finder'!$C$7&lt;&gt;"",OR(ISNUMBER(SEARCH('Task Finder'!$C$7,$A236)),ISNUMBER(SEARCH('Task Finder'!$C$7,$B236)),ISNUMBER(SEARCH('Task Finder'!$C$7,$C236)),ISNUMBER(SEARCH('Task Finder'!$C$7,$D236)),ISNUMBER(SEARCH('Task Finder'!$C$7,$K236)))),TRUE))))))))))</f>
        <v/>
      </c>
      <c r="Q236" s="150">
        <f>IF($F236="High","High Priority","")</f>
        <v/>
      </c>
      <c r="R236" s="150">
        <f>IF(AND($I236&lt;&gt;"",$I236&lt;TODAY()),"Overdue","")</f>
        <v/>
      </c>
      <c r="S236" s="150">
        <f>IF(AND($I236&lt;&gt;"",$I236&gt;=TODAY(),$I236&lt;=TODAY()+7),"Due This Week","")</f>
        <v/>
      </c>
      <c r="T236" s="150">
        <f>IF(AND($H236&lt;&gt;"",$M236&lt;=VLOOKUP(Home!$C$7,Lists!$N$2:$O$6,2,FALSE)),$H236&amp;" Task","")</f>
        <v/>
      </c>
      <c r="U236" s="150">
        <f>IF($G236=Home!$E$7,"Fits Current Energy","")</f>
        <v/>
      </c>
      <c r="V236" s="150">
        <f>IF($Q236&lt;&gt;""," • "&amp;$Q236,"")&amp;IF($R236&lt;&gt;""," • "&amp;$R236,"")&amp;IF($S236&lt;&gt;""," • "&amp;$S236,"")&amp;IF($T236&lt;&gt;""," • "&amp;$T236,"")&amp;IF($U236&lt;&gt;""," • "&amp;$U236,"")&amp;" • No Blockers"</f>
        <v/>
      </c>
    </row>
    <row r="237">
      <c r="A237" s="19" t="n"/>
      <c r="B237" s="19" t="n"/>
      <c r="C237" s="19" t="n"/>
      <c r="D237" s="19" t="n"/>
      <c r="E237" s="19" t="n"/>
      <c r="F237" s="19" t="n"/>
      <c r="G237" s="19" t="n"/>
      <c r="H237" s="19" t="n"/>
      <c r="I237" s="19" t="n"/>
      <c r="J237" s="19" t="n"/>
      <c r="K237" s="19" t="n"/>
      <c r="L237" s="125" t="n"/>
      <c r="M237" s="88">
        <f>IF($D237="","",IFERROR(VLOOKUP($H237,Lists!$N$2:$O$6,2,FALSE),0))</f>
        <v/>
      </c>
      <c r="N237" s="88">
        <f>IF($D237="","",IF(OR($E237="Blocked",$E237="Done",$E237="Archive"),-9999,IF(AND($E237="Waiting",SUMPRODUCT((($E$5:$E$500="Next")+($E$5:$E$500="In Progress")+($E$5:$E$500="Captured"))*($D$5:$D$500&lt;&gt;""))&gt;0),-500,VLOOKUP($F237,Lists!$L$2:$M$4,2,FALSE)+IF($E237="In Progress",10,0)+IF(AND($I237&lt;&gt;"",$I237&lt;TODAY()),25,0)+IF(AND($I237&lt;&gt;"",$I237&gt;=TODAY(),$I237&lt;=TODAY()+7),15,0)+IF($H237="",0,IF($M237&lt;=VLOOKUP(Home!$C$7,Lists!$N$2:$O$6,2,FALSE),20,-10))+IF($G237=Home!$E$7,15,IF(Home!$E$7="",0,-5))-ROW()/100000)))</f>
        <v/>
      </c>
      <c r="O237" s="88">
        <f>IF($D237="","",IF($N237&lt;=-500,"Not recommended right now",IF($E237="Waiting","Nothing else actionable right now — Waiting on: "&amp;IF($K237="","this item",$K237),MID($V237,4,9999))))</f>
        <v/>
      </c>
      <c r="P237" s="88">
        <f>IF($D237="","",IF('Task Finder'!$C$6="High Priority",AND($F237="High",$E237&lt;&gt;"Done",$E237&lt;&gt;"Archive"),IF('Task Finder'!$C$6="Due This Week",AND($I237&lt;&gt;"",$I237&gt;=TODAY(),$I237&lt;=TODAY()+7,$E237&lt;&gt;"Done"),IF('Task Finder'!$C$6="Quick Wins (15 mins or less)",AND($M237&lt;=15,$E237&lt;&gt;"Done",$E237&lt;&gt;"Blocked"),IF('Task Finder'!$C$6="Deep Thinking",AND($G237="Deep Thinking",$E237&lt;&gt;"Done"),IF('Task Finder'!$C$6="Processing",AND($G237="Processing",$E237&lt;&gt;"Done"),IF('Task Finder'!$C$6="Blocked",$E237="Blocked",IF('Task Finder'!$C$6="Waiting",$E237="Waiting",IF('Task Finder'!$C$6="Recently Updated",AND($L237&lt;&gt;"",$L237&gt;=TODAY()-7),IF('Task Finder'!$C$6="Keyword",AND('Task Finder'!$C$7&lt;&gt;"",OR(ISNUMBER(SEARCH('Task Finder'!$C$7,$A237)),ISNUMBER(SEARCH('Task Finder'!$C$7,$B237)),ISNUMBER(SEARCH('Task Finder'!$C$7,$C237)),ISNUMBER(SEARCH('Task Finder'!$C$7,$D237)),ISNUMBER(SEARCH('Task Finder'!$C$7,$K237)))),TRUE))))))))))</f>
        <v/>
      </c>
      <c r="Q237" s="150">
        <f>IF($F237="High","High Priority","")</f>
        <v/>
      </c>
      <c r="R237" s="150">
        <f>IF(AND($I237&lt;&gt;"",$I237&lt;TODAY()),"Overdue","")</f>
        <v/>
      </c>
      <c r="S237" s="150">
        <f>IF(AND($I237&lt;&gt;"",$I237&gt;=TODAY(),$I237&lt;=TODAY()+7),"Due This Week","")</f>
        <v/>
      </c>
      <c r="T237" s="150">
        <f>IF(AND($H237&lt;&gt;"",$M237&lt;=VLOOKUP(Home!$C$7,Lists!$N$2:$O$6,2,FALSE)),$H237&amp;" Task","")</f>
        <v/>
      </c>
      <c r="U237" s="150">
        <f>IF($G237=Home!$E$7,"Fits Current Energy","")</f>
        <v/>
      </c>
      <c r="V237" s="150">
        <f>IF($Q237&lt;&gt;""," • "&amp;$Q237,"")&amp;IF($R237&lt;&gt;""," • "&amp;$R237,"")&amp;IF($S237&lt;&gt;""," • "&amp;$S237,"")&amp;IF($T237&lt;&gt;""," • "&amp;$T237,"")&amp;IF($U237&lt;&gt;""," • "&amp;$U237,"")&amp;" • No Blockers"</f>
        <v/>
      </c>
    </row>
    <row r="238">
      <c r="A238" s="19" t="n"/>
      <c r="B238" s="19" t="n"/>
      <c r="C238" s="19" t="n"/>
      <c r="D238" s="19" t="n"/>
      <c r="E238" s="19" t="n"/>
      <c r="F238" s="19" t="n"/>
      <c r="G238" s="19" t="n"/>
      <c r="H238" s="19" t="n"/>
      <c r="I238" s="19" t="n"/>
      <c r="J238" s="19" t="n"/>
      <c r="K238" s="19" t="n"/>
      <c r="L238" s="125" t="n"/>
      <c r="M238" s="88">
        <f>IF($D238="","",IFERROR(VLOOKUP($H238,Lists!$N$2:$O$6,2,FALSE),0))</f>
        <v/>
      </c>
      <c r="N238" s="88">
        <f>IF($D238="","",IF(OR($E238="Blocked",$E238="Done",$E238="Archive"),-9999,IF(AND($E238="Waiting",SUMPRODUCT((($E$5:$E$500="Next")+($E$5:$E$500="In Progress")+($E$5:$E$500="Captured"))*($D$5:$D$500&lt;&gt;""))&gt;0),-500,VLOOKUP($F238,Lists!$L$2:$M$4,2,FALSE)+IF($E238="In Progress",10,0)+IF(AND($I238&lt;&gt;"",$I238&lt;TODAY()),25,0)+IF(AND($I238&lt;&gt;"",$I238&gt;=TODAY(),$I238&lt;=TODAY()+7),15,0)+IF($H238="",0,IF($M238&lt;=VLOOKUP(Home!$C$7,Lists!$N$2:$O$6,2,FALSE),20,-10))+IF($G238=Home!$E$7,15,IF(Home!$E$7="",0,-5))-ROW()/100000)))</f>
        <v/>
      </c>
      <c r="O238" s="88">
        <f>IF($D238="","",IF($N238&lt;=-500,"Not recommended right now",IF($E238="Waiting","Nothing else actionable right now — Waiting on: "&amp;IF($K238="","this item",$K238),MID($V238,4,9999))))</f>
        <v/>
      </c>
      <c r="P238" s="88">
        <f>IF($D238="","",IF('Task Finder'!$C$6="High Priority",AND($F238="High",$E238&lt;&gt;"Done",$E238&lt;&gt;"Archive"),IF('Task Finder'!$C$6="Due This Week",AND($I238&lt;&gt;"",$I238&gt;=TODAY(),$I238&lt;=TODAY()+7,$E238&lt;&gt;"Done"),IF('Task Finder'!$C$6="Quick Wins (15 mins or less)",AND($M238&lt;=15,$E238&lt;&gt;"Done",$E238&lt;&gt;"Blocked"),IF('Task Finder'!$C$6="Deep Thinking",AND($G238="Deep Thinking",$E238&lt;&gt;"Done"),IF('Task Finder'!$C$6="Processing",AND($G238="Processing",$E238&lt;&gt;"Done"),IF('Task Finder'!$C$6="Blocked",$E238="Blocked",IF('Task Finder'!$C$6="Waiting",$E238="Waiting",IF('Task Finder'!$C$6="Recently Updated",AND($L238&lt;&gt;"",$L238&gt;=TODAY()-7),IF('Task Finder'!$C$6="Keyword",AND('Task Finder'!$C$7&lt;&gt;"",OR(ISNUMBER(SEARCH('Task Finder'!$C$7,$A238)),ISNUMBER(SEARCH('Task Finder'!$C$7,$B238)),ISNUMBER(SEARCH('Task Finder'!$C$7,$C238)),ISNUMBER(SEARCH('Task Finder'!$C$7,$D238)),ISNUMBER(SEARCH('Task Finder'!$C$7,$K238)))),TRUE))))))))))</f>
        <v/>
      </c>
      <c r="Q238" s="150">
        <f>IF($F238="High","High Priority","")</f>
        <v/>
      </c>
      <c r="R238" s="150">
        <f>IF(AND($I238&lt;&gt;"",$I238&lt;TODAY()),"Overdue","")</f>
        <v/>
      </c>
      <c r="S238" s="150">
        <f>IF(AND($I238&lt;&gt;"",$I238&gt;=TODAY(),$I238&lt;=TODAY()+7),"Due This Week","")</f>
        <v/>
      </c>
      <c r="T238" s="150">
        <f>IF(AND($H238&lt;&gt;"",$M238&lt;=VLOOKUP(Home!$C$7,Lists!$N$2:$O$6,2,FALSE)),$H238&amp;" Task","")</f>
        <v/>
      </c>
      <c r="U238" s="150">
        <f>IF($G238=Home!$E$7,"Fits Current Energy","")</f>
        <v/>
      </c>
      <c r="V238" s="150">
        <f>IF($Q238&lt;&gt;""," • "&amp;$Q238,"")&amp;IF($R238&lt;&gt;""," • "&amp;$R238,"")&amp;IF($S238&lt;&gt;""," • "&amp;$S238,"")&amp;IF($T238&lt;&gt;""," • "&amp;$T238,"")&amp;IF($U238&lt;&gt;""," • "&amp;$U238,"")&amp;" • No Blockers"</f>
        <v/>
      </c>
    </row>
    <row r="239">
      <c r="A239" s="19" t="n"/>
      <c r="B239" s="19" t="n"/>
      <c r="C239" s="19" t="n"/>
      <c r="D239" s="19" t="n"/>
      <c r="E239" s="19" t="n"/>
      <c r="F239" s="19" t="n"/>
      <c r="G239" s="19" t="n"/>
      <c r="H239" s="19" t="n"/>
      <c r="I239" s="19" t="n"/>
      <c r="J239" s="19" t="n"/>
      <c r="K239" s="19" t="n"/>
      <c r="L239" s="125" t="n"/>
      <c r="M239" s="88">
        <f>IF($D239="","",IFERROR(VLOOKUP($H239,Lists!$N$2:$O$6,2,FALSE),0))</f>
        <v/>
      </c>
      <c r="N239" s="88">
        <f>IF($D239="","",IF(OR($E239="Blocked",$E239="Done",$E239="Archive"),-9999,IF(AND($E239="Waiting",SUMPRODUCT((($E$5:$E$500="Next")+($E$5:$E$500="In Progress")+($E$5:$E$500="Captured"))*($D$5:$D$500&lt;&gt;""))&gt;0),-500,VLOOKUP($F239,Lists!$L$2:$M$4,2,FALSE)+IF($E239="In Progress",10,0)+IF(AND($I239&lt;&gt;"",$I239&lt;TODAY()),25,0)+IF(AND($I239&lt;&gt;"",$I239&gt;=TODAY(),$I239&lt;=TODAY()+7),15,0)+IF($H239="",0,IF($M239&lt;=VLOOKUP(Home!$C$7,Lists!$N$2:$O$6,2,FALSE),20,-10))+IF($G239=Home!$E$7,15,IF(Home!$E$7="",0,-5))-ROW()/100000)))</f>
        <v/>
      </c>
      <c r="O239" s="88">
        <f>IF($D239="","",IF($N239&lt;=-500,"Not recommended right now",IF($E239="Waiting","Nothing else actionable right now — Waiting on: "&amp;IF($K239="","this item",$K239),MID($V239,4,9999))))</f>
        <v/>
      </c>
      <c r="P239" s="88">
        <f>IF($D239="","",IF('Task Finder'!$C$6="High Priority",AND($F239="High",$E239&lt;&gt;"Done",$E239&lt;&gt;"Archive"),IF('Task Finder'!$C$6="Due This Week",AND($I239&lt;&gt;"",$I239&gt;=TODAY(),$I239&lt;=TODAY()+7,$E239&lt;&gt;"Done"),IF('Task Finder'!$C$6="Quick Wins (15 mins or less)",AND($M239&lt;=15,$E239&lt;&gt;"Done",$E239&lt;&gt;"Blocked"),IF('Task Finder'!$C$6="Deep Thinking",AND($G239="Deep Thinking",$E239&lt;&gt;"Done"),IF('Task Finder'!$C$6="Processing",AND($G239="Processing",$E239&lt;&gt;"Done"),IF('Task Finder'!$C$6="Blocked",$E239="Blocked",IF('Task Finder'!$C$6="Waiting",$E239="Waiting",IF('Task Finder'!$C$6="Recently Updated",AND($L239&lt;&gt;"",$L239&gt;=TODAY()-7),IF('Task Finder'!$C$6="Keyword",AND('Task Finder'!$C$7&lt;&gt;"",OR(ISNUMBER(SEARCH('Task Finder'!$C$7,$A239)),ISNUMBER(SEARCH('Task Finder'!$C$7,$B239)),ISNUMBER(SEARCH('Task Finder'!$C$7,$C239)),ISNUMBER(SEARCH('Task Finder'!$C$7,$D239)),ISNUMBER(SEARCH('Task Finder'!$C$7,$K239)))),TRUE))))))))))</f>
        <v/>
      </c>
      <c r="Q239" s="150">
        <f>IF($F239="High","High Priority","")</f>
        <v/>
      </c>
      <c r="R239" s="150">
        <f>IF(AND($I239&lt;&gt;"",$I239&lt;TODAY()),"Overdue","")</f>
        <v/>
      </c>
      <c r="S239" s="150">
        <f>IF(AND($I239&lt;&gt;"",$I239&gt;=TODAY(),$I239&lt;=TODAY()+7),"Due This Week","")</f>
        <v/>
      </c>
      <c r="T239" s="150">
        <f>IF(AND($H239&lt;&gt;"",$M239&lt;=VLOOKUP(Home!$C$7,Lists!$N$2:$O$6,2,FALSE)),$H239&amp;" Task","")</f>
        <v/>
      </c>
      <c r="U239" s="150">
        <f>IF($G239=Home!$E$7,"Fits Current Energy","")</f>
        <v/>
      </c>
      <c r="V239" s="150">
        <f>IF($Q239&lt;&gt;""," • "&amp;$Q239,"")&amp;IF($R239&lt;&gt;""," • "&amp;$R239,"")&amp;IF($S239&lt;&gt;""," • "&amp;$S239,"")&amp;IF($T239&lt;&gt;""," • "&amp;$T239,"")&amp;IF($U239&lt;&gt;""," • "&amp;$U239,"")&amp;" • No Blockers"</f>
        <v/>
      </c>
    </row>
    <row r="240">
      <c r="A240" s="19" t="n"/>
      <c r="B240" s="19" t="n"/>
      <c r="C240" s="19" t="n"/>
      <c r="D240" s="19" t="n"/>
      <c r="E240" s="19" t="n"/>
      <c r="F240" s="19" t="n"/>
      <c r="G240" s="19" t="n"/>
      <c r="H240" s="19" t="n"/>
      <c r="I240" s="19" t="n"/>
      <c r="J240" s="19" t="n"/>
      <c r="K240" s="19" t="n"/>
      <c r="L240" s="125" t="n"/>
      <c r="M240" s="88">
        <f>IF($D240="","",IFERROR(VLOOKUP($H240,Lists!$N$2:$O$6,2,FALSE),0))</f>
        <v/>
      </c>
      <c r="N240" s="88">
        <f>IF($D240="","",IF(OR($E240="Blocked",$E240="Done",$E240="Archive"),-9999,IF(AND($E240="Waiting",SUMPRODUCT((($E$5:$E$500="Next")+($E$5:$E$500="In Progress")+($E$5:$E$500="Captured"))*($D$5:$D$500&lt;&gt;""))&gt;0),-500,VLOOKUP($F240,Lists!$L$2:$M$4,2,FALSE)+IF($E240="In Progress",10,0)+IF(AND($I240&lt;&gt;"",$I240&lt;TODAY()),25,0)+IF(AND($I240&lt;&gt;"",$I240&gt;=TODAY(),$I240&lt;=TODAY()+7),15,0)+IF($H240="",0,IF($M240&lt;=VLOOKUP(Home!$C$7,Lists!$N$2:$O$6,2,FALSE),20,-10))+IF($G240=Home!$E$7,15,IF(Home!$E$7="",0,-5))-ROW()/100000)))</f>
        <v/>
      </c>
      <c r="O240" s="88">
        <f>IF($D240="","",IF($N240&lt;=-500,"Not recommended right now",IF($E240="Waiting","Nothing else actionable right now — Waiting on: "&amp;IF($K240="","this item",$K240),MID($V240,4,9999))))</f>
        <v/>
      </c>
      <c r="P240" s="88">
        <f>IF($D240="","",IF('Task Finder'!$C$6="High Priority",AND($F240="High",$E240&lt;&gt;"Done",$E240&lt;&gt;"Archive"),IF('Task Finder'!$C$6="Due This Week",AND($I240&lt;&gt;"",$I240&gt;=TODAY(),$I240&lt;=TODAY()+7,$E240&lt;&gt;"Done"),IF('Task Finder'!$C$6="Quick Wins (15 mins or less)",AND($M240&lt;=15,$E240&lt;&gt;"Done",$E240&lt;&gt;"Blocked"),IF('Task Finder'!$C$6="Deep Thinking",AND($G240="Deep Thinking",$E240&lt;&gt;"Done"),IF('Task Finder'!$C$6="Processing",AND($G240="Processing",$E240&lt;&gt;"Done"),IF('Task Finder'!$C$6="Blocked",$E240="Blocked",IF('Task Finder'!$C$6="Waiting",$E240="Waiting",IF('Task Finder'!$C$6="Recently Updated",AND($L240&lt;&gt;"",$L240&gt;=TODAY()-7),IF('Task Finder'!$C$6="Keyword",AND('Task Finder'!$C$7&lt;&gt;"",OR(ISNUMBER(SEARCH('Task Finder'!$C$7,$A240)),ISNUMBER(SEARCH('Task Finder'!$C$7,$B240)),ISNUMBER(SEARCH('Task Finder'!$C$7,$C240)),ISNUMBER(SEARCH('Task Finder'!$C$7,$D240)),ISNUMBER(SEARCH('Task Finder'!$C$7,$K240)))),TRUE))))))))))</f>
        <v/>
      </c>
      <c r="Q240" s="150">
        <f>IF($F240="High","High Priority","")</f>
        <v/>
      </c>
      <c r="R240" s="150">
        <f>IF(AND($I240&lt;&gt;"",$I240&lt;TODAY()),"Overdue","")</f>
        <v/>
      </c>
      <c r="S240" s="150">
        <f>IF(AND($I240&lt;&gt;"",$I240&gt;=TODAY(),$I240&lt;=TODAY()+7),"Due This Week","")</f>
        <v/>
      </c>
      <c r="T240" s="150">
        <f>IF(AND($H240&lt;&gt;"",$M240&lt;=VLOOKUP(Home!$C$7,Lists!$N$2:$O$6,2,FALSE)),$H240&amp;" Task","")</f>
        <v/>
      </c>
      <c r="U240" s="150">
        <f>IF($G240=Home!$E$7,"Fits Current Energy","")</f>
        <v/>
      </c>
      <c r="V240" s="150">
        <f>IF($Q240&lt;&gt;""," • "&amp;$Q240,"")&amp;IF($R240&lt;&gt;""," • "&amp;$R240,"")&amp;IF($S240&lt;&gt;""," • "&amp;$S240,"")&amp;IF($T240&lt;&gt;""," • "&amp;$T240,"")&amp;IF($U240&lt;&gt;""," • "&amp;$U240,"")&amp;" • No Blockers"</f>
        <v/>
      </c>
    </row>
    <row r="241">
      <c r="A241" s="19" t="n"/>
      <c r="B241" s="19" t="n"/>
      <c r="C241" s="19" t="n"/>
      <c r="D241" s="19" t="n"/>
      <c r="E241" s="19" t="n"/>
      <c r="F241" s="19" t="n"/>
      <c r="G241" s="19" t="n"/>
      <c r="H241" s="19" t="n"/>
      <c r="I241" s="19" t="n"/>
      <c r="J241" s="19" t="n"/>
      <c r="K241" s="19" t="n"/>
      <c r="L241" s="125" t="n"/>
      <c r="M241" s="88">
        <f>IF($D241="","",IFERROR(VLOOKUP($H241,Lists!$N$2:$O$6,2,FALSE),0))</f>
        <v/>
      </c>
      <c r="N241" s="88">
        <f>IF($D241="","",IF(OR($E241="Blocked",$E241="Done",$E241="Archive"),-9999,IF(AND($E241="Waiting",SUMPRODUCT((($E$5:$E$500="Next")+($E$5:$E$500="In Progress")+($E$5:$E$500="Captured"))*($D$5:$D$500&lt;&gt;""))&gt;0),-500,VLOOKUP($F241,Lists!$L$2:$M$4,2,FALSE)+IF($E241="In Progress",10,0)+IF(AND($I241&lt;&gt;"",$I241&lt;TODAY()),25,0)+IF(AND($I241&lt;&gt;"",$I241&gt;=TODAY(),$I241&lt;=TODAY()+7),15,0)+IF($H241="",0,IF($M241&lt;=VLOOKUP(Home!$C$7,Lists!$N$2:$O$6,2,FALSE),20,-10))+IF($G241=Home!$E$7,15,IF(Home!$E$7="",0,-5))-ROW()/100000)))</f>
        <v/>
      </c>
      <c r="O241" s="88">
        <f>IF($D241="","",IF($N241&lt;=-500,"Not recommended right now",IF($E241="Waiting","Nothing else actionable right now — Waiting on: "&amp;IF($K241="","this item",$K241),MID($V241,4,9999))))</f>
        <v/>
      </c>
      <c r="P241" s="88">
        <f>IF($D241="","",IF('Task Finder'!$C$6="High Priority",AND($F241="High",$E241&lt;&gt;"Done",$E241&lt;&gt;"Archive"),IF('Task Finder'!$C$6="Due This Week",AND($I241&lt;&gt;"",$I241&gt;=TODAY(),$I241&lt;=TODAY()+7,$E241&lt;&gt;"Done"),IF('Task Finder'!$C$6="Quick Wins (15 mins or less)",AND($M241&lt;=15,$E241&lt;&gt;"Done",$E241&lt;&gt;"Blocked"),IF('Task Finder'!$C$6="Deep Thinking",AND($G241="Deep Thinking",$E241&lt;&gt;"Done"),IF('Task Finder'!$C$6="Processing",AND($G241="Processing",$E241&lt;&gt;"Done"),IF('Task Finder'!$C$6="Blocked",$E241="Blocked",IF('Task Finder'!$C$6="Waiting",$E241="Waiting",IF('Task Finder'!$C$6="Recently Updated",AND($L241&lt;&gt;"",$L241&gt;=TODAY()-7),IF('Task Finder'!$C$6="Keyword",AND('Task Finder'!$C$7&lt;&gt;"",OR(ISNUMBER(SEARCH('Task Finder'!$C$7,$A241)),ISNUMBER(SEARCH('Task Finder'!$C$7,$B241)),ISNUMBER(SEARCH('Task Finder'!$C$7,$C241)),ISNUMBER(SEARCH('Task Finder'!$C$7,$D241)),ISNUMBER(SEARCH('Task Finder'!$C$7,$K241)))),TRUE))))))))))</f>
        <v/>
      </c>
      <c r="Q241" s="150">
        <f>IF($F241="High","High Priority","")</f>
        <v/>
      </c>
      <c r="R241" s="150">
        <f>IF(AND($I241&lt;&gt;"",$I241&lt;TODAY()),"Overdue","")</f>
        <v/>
      </c>
      <c r="S241" s="150">
        <f>IF(AND($I241&lt;&gt;"",$I241&gt;=TODAY(),$I241&lt;=TODAY()+7),"Due This Week","")</f>
        <v/>
      </c>
      <c r="T241" s="150">
        <f>IF(AND($H241&lt;&gt;"",$M241&lt;=VLOOKUP(Home!$C$7,Lists!$N$2:$O$6,2,FALSE)),$H241&amp;" Task","")</f>
        <v/>
      </c>
      <c r="U241" s="150">
        <f>IF($G241=Home!$E$7,"Fits Current Energy","")</f>
        <v/>
      </c>
      <c r="V241" s="150">
        <f>IF($Q241&lt;&gt;""," • "&amp;$Q241,"")&amp;IF($R241&lt;&gt;""," • "&amp;$R241,"")&amp;IF($S241&lt;&gt;""," • "&amp;$S241,"")&amp;IF($T241&lt;&gt;""," • "&amp;$T241,"")&amp;IF($U241&lt;&gt;""," • "&amp;$U241,"")&amp;" • No Blockers"</f>
        <v/>
      </c>
    </row>
    <row r="242">
      <c r="A242" s="19" t="n"/>
      <c r="B242" s="19" t="n"/>
      <c r="C242" s="19" t="n"/>
      <c r="D242" s="19" t="n"/>
      <c r="E242" s="19" t="n"/>
      <c r="F242" s="19" t="n"/>
      <c r="G242" s="19" t="n"/>
      <c r="H242" s="19" t="n"/>
      <c r="I242" s="19" t="n"/>
      <c r="J242" s="19" t="n"/>
      <c r="K242" s="19" t="n"/>
      <c r="L242" s="125" t="n"/>
      <c r="M242" s="88">
        <f>IF($D242="","",IFERROR(VLOOKUP($H242,Lists!$N$2:$O$6,2,FALSE),0))</f>
        <v/>
      </c>
      <c r="N242" s="88">
        <f>IF($D242="","",IF(OR($E242="Blocked",$E242="Done",$E242="Archive"),-9999,IF(AND($E242="Waiting",SUMPRODUCT((($E$5:$E$500="Next")+($E$5:$E$500="In Progress")+($E$5:$E$500="Captured"))*($D$5:$D$500&lt;&gt;""))&gt;0),-500,VLOOKUP($F242,Lists!$L$2:$M$4,2,FALSE)+IF($E242="In Progress",10,0)+IF(AND($I242&lt;&gt;"",$I242&lt;TODAY()),25,0)+IF(AND($I242&lt;&gt;"",$I242&gt;=TODAY(),$I242&lt;=TODAY()+7),15,0)+IF($H242="",0,IF($M242&lt;=VLOOKUP(Home!$C$7,Lists!$N$2:$O$6,2,FALSE),20,-10))+IF($G242=Home!$E$7,15,IF(Home!$E$7="",0,-5))-ROW()/100000)))</f>
        <v/>
      </c>
      <c r="O242" s="88">
        <f>IF($D242="","",IF($N242&lt;=-500,"Not recommended right now",IF($E242="Waiting","Nothing else actionable right now — Waiting on: "&amp;IF($K242="","this item",$K242),MID($V242,4,9999))))</f>
        <v/>
      </c>
      <c r="P242" s="88">
        <f>IF($D242="","",IF('Task Finder'!$C$6="High Priority",AND($F242="High",$E242&lt;&gt;"Done",$E242&lt;&gt;"Archive"),IF('Task Finder'!$C$6="Due This Week",AND($I242&lt;&gt;"",$I242&gt;=TODAY(),$I242&lt;=TODAY()+7,$E242&lt;&gt;"Done"),IF('Task Finder'!$C$6="Quick Wins (15 mins or less)",AND($M242&lt;=15,$E242&lt;&gt;"Done",$E242&lt;&gt;"Blocked"),IF('Task Finder'!$C$6="Deep Thinking",AND($G242="Deep Thinking",$E242&lt;&gt;"Done"),IF('Task Finder'!$C$6="Processing",AND($G242="Processing",$E242&lt;&gt;"Done"),IF('Task Finder'!$C$6="Blocked",$E242="Blocked",IF('Task Finder'!$C$6="Waiting",$E242="Waiting",IF('Task Finder'!$C$6="Recently Updated",AND($L242&lt;&gt;"",$L242&gt;=TODAY()-7),IF('Task Finder'!$C$6="Keyword",AND('Task Finder'!$C$7&lt;&gt;"",OR(ISNUMBER(SEARCH('Task Finder'!$C$7,$A242)),ISNUMBER(SEARCH('Task Finder'!$C$7,$B242)),ISNUMBER(SEARCH('Task Finder'!$C$7,$C242)),ISNUMBER(SEARCH('Task Finder'!$C$7,$D242)),ISNUMBER(SEARCH('Task Finder'!$C$7,$K242)))),TRUE))))))))))</f>
        <v/>
      </c>
      <c r="Q242" s="150">
        <f>IF($F242="High","High Priority","")</f>
        <v/>
      </c>
      <c r="R242" s="150">
        <f>IF(AND($I242&lt;&gt;"",$I242&lt;TODAY()),"Overdue","")</f>
        <v/>
      </c>
      <c r="S242" s="150">
        <f>IF(AND($I242&lt;&gt;"",$I242&gt;=TODAY(),$I242&lt;=TODAY()+7),"Due This Week","")</f>
        <v/>
      </c>
      <c r="T242" s="150">
        <f>IF(AND($H242&lt;&gt;"",$M242&lt;=VLOOKUP(Home!$C$7,Lists!$N$2:$O$6,2,FALSE)),$H242&amp;" Task","")</f>
        <v/>
      </c>
      <c r="U242" s="150">
        <f>IF($G242=Home!$E$7,"Fits Current Energy","")</f>
        <v/>
      </c>
      <c r="V242" s="150">
        <f>IF($Q242&lt;&gt;""," • "&amp;$Q242,"")&amp;IF($R242&lt;&gt;""," • "&amp;$R242,"")&amp;IF($S242&lt;&gt;""," • "&amp;$S242,"")&amp;IF($T242&lt;&gt;""," • "&amp;$T242,"")&amp;IF($U242&lt;&gt;""," • "&amp;$U242,"")&amp;" • No Blockers"</f>
        <v/>
      </c>
    </row>
    <row r="243">
      <c r="A243" s="19" t="n"/>
      <c r="B243" s="19" t="n"/>
      <c r="C243" s="19" t="n"/>
      <c r="D243" s="19" t="n"/>
      <c r="E243" s="19" t="n"/>
      <c r="F243" s="19" t="n"/>
      <c r="G243" s="19" t="n"/>
      <c r="H243" s="19" t="n"/>
      <c r="I243" s="19" t="n"/>
      <c r="J243" s="19" t="n"/>
      <c r="K243" s="19" t="n"/>
      <c r="L243" s="125" t="n"/>
      <c r="M243" s="88">
        <f>IF($D243="","",IFERROR(VLOOKUP($H243,Lists!$N$2:$O$6,2,FALSE),0))</f>
        <v/>
      </c>
      <c r="N243" s="88">
        <f>IF($D243="","",IF(OR($E243="Blocked",$E243="Done",$E243="Archive"),-9999,IF(AND($E243="Waiting",SUMPRODUCT((($E$5:$E$500="Next")+($E$5:$E$500="In Progress")+($E$5:$E$500="Captured"))*($D$5:$D$500&lt;&gt;""))&gt;0),-500,VLOOKUP($F243,Lists!$L$2:$M$4,2,FALSE)+IF($E243="In Progress",10,0)+IF(AND($I243&lt;&gt;"",$I243&lt;TODAY()),25,0)+IF(AND($I243&lt;&gt;"",$I243&gt;=TODAY(),$I243&lt;=TODAY()+7),15,0)+IF($H243="",0,IF($M243&lt;=VLOOKUP(Home!$C$7,Lists!$N$2:$O$6,2,FALSE),20,-10))+IF($G243=Home!$E$7,15,IF(Home!$E$7="",0,-5))-ROW()/100000)))</f>
        <v/>
      </c>
      <c r="O243" s="88">
        <f>IF($D243="","",IF($N243&lt;=-500,"Not recommended right now",IF($E243="Waiting","Nothing else actionable right now — Waiting on: "&amp;IF($K243="","this item",$K243),MID($V243,4,9999))))</f>
        <v/>
      </c>
      <c r="P243" s="88">
        <f>IF($D243="","",IF('Task Finder'!$C$6="High Priority",AND($F243="High",$E243&lt;&gt;"Done",$E243&lt;&gt;"Archive"),IF('Task Finder'!$C$6="Due This Week",AND($I243&lt;&gt;"",$I243&gt;=TODAY(),$I243&lt;=TODAY()+7,$E243&lt;&gt;"Done"),IF('Task Finder'!$C$6="Quick Wins (15 mins or less)",AND($M243&lt;=15,$E243&lt;&gt;"Done",$E243&lt;&gt;"Blocked"),IF('Task Finder'!$C$6="Deep Thinking",AND($G243="Deep Thinking",$E243&lt;&gt;"Done"),IF('Task Finder'!$C$6="Processing",AND($G243="Processing",$E243&lt;&gt;"Done"),IF('Task Finder'!$C$6="Blocked",$E243="Blocked",IF('Task Finder'!$C$6="Waiting",$E243="Waiting",IF('Task Finder'!$C$6="Recently Updated",AND($L243&lt;&gt;"",$L243&gt;=TODAY()-7),IF('Task Finder'!$C$6="Keyword",AND('Task Finder'!$C$7&lt;&gt;"",OR(ISNUMBER(SEARCH('Task Finder'!$C$7,$A243)),ISNUMBER(SEARCH('Task Finder'!$C$7,$B243)),ISNUMBER(SEARCH('Task Finder'!$C$7,$C243)),ISNUMBER(SEARCH('Task Finder'!$C$7,$D243)),ISNUMBER(SEARCH('Task Finder'!$C$7,$K243)))),TRUE))))))))))</f>
        <v/>
      </c>
      <c r="Q243" s="150">
        <f>IF($F243="High","High Priority","")</f>
        <v/>
      </c>
      <c r="R243" s="150">
        <f>IF(AND($I243&lt;&gt;"",$I243&lt;TODAY()),"Overdue","")</f>
        <v/>
      </c>
      <c r="S243" s="150">
        <f>IF(AND($I243&lt;&gt;"",$I243&gt;=TODAY(),$I243&lt;=TODAY()+7),"Due This Week","")</f>
        <v/>
      </c>
      <c r="T243" s="150">
        <f>IF(AND($H243&lt;&gt;"",$M243&lt;=VLOOKUP(Home!$C$7,Lists!$N$2:$O$6,2,FALSE)),$H243&amp;" Task","")</f>
        <v/>
      </c>
      <c r="U243" s="150">
        <f>IF($G243=Home!$E$7,"Fits Current Energy","")</f>
        <v/>
      </c>
      <c r="V243" s="150">
        <f>IF($Q243&lt;&gt;""," • "&amp;$Q243,"")&amp;IF($R243&lt;&gt;""," • "&amp;$R243,"")&amp;IF($S243&lt;&gt;""," • "&amp;$S243,"")&amp;IF($T243&lt;&gt;""," • "&amp;$T243,"")&amp;IF($U243&lt;&gt;""," • "&amp;$U243,"")&amp;" • No Blockers"</f>
        <v/>
      </c>
    </row>
    <row r="244">
      <c r="A244" s="19" t="n"/>
      <c r="B244" s="19" t="n"/>
      <c r="C244" s="19" t="n"/>
      <c r="D244" s="19" t="n"/>
      <c r="E244" s="19" t="n"/>
      <c r="F244" s="19" t="n"/>
      <c r="G244" s="19" t="n"/>
      <c r="H244" s="19" t="n"/>
      <c r="I244" s="19" t="n"/>
      <c r="J244" s="19" t="n"/>
      <c r="K244" s="19" t="n"/>
      <c r="L244" s="125" t="n"/>
      <c r="M244" s="88">
        <f>IF($D244="","",IFERROR(VLOOKUP($H244,Lists!$N$2:$O$6,2,FALSE),0))</f>
        <v/>
      </c>
      <c r="N244" s="88">
        <f>IF($D244="","",IF(OR($E244="Blocked",$E244="Done",$E244="Archive"),-9999,IF(AND($E244="Waiting",SUMPRODUCT((($E$5:$E$500="Next")+($E$5:$E$500="In Progress")+($E$5:$E$500="Captured"))*($D$5:$D$500&lt;&gt;""))&gt;0),-500,VLOOKUP($F244,Lists!$L$2:$M$4,2,FALSE)+IF($E244="In Progress",10,0)+IF(AND($I244&lt;&gt;"",$I244&lt;TODAY()),25,0)+IF(AND($I244&lt;&gt;"",$I244&gt;=TODAY(),$I244&lt;=TODAY()+7),15,0)+IF($H244="",0,IF($M244&lt;=VLOOKUP(Home!$C$7,Lists!$N$2:$O$6,2,FALSE),20,-10))+IF($G244=Home!$E$7,15,IF(Home!$E$7="",0,-5))-ROW()/100000)))</f>
        <v/>
      </c>
      <c r="O244" s="88">
        <f>IF($D244="","",IF($N244&lt;=-500,"Not recommended right now",IF($E244="Waiting","Nothing else actionable right now — Waiting on: "&amp;IF($K244="","this item",$K244),MID($V244,4,9999))))</f>
        <v/>
      </c>
      <c r="P244" s="88">
        <f>IF($D244="","",IF('Task Finder'!$C$6="High Priority",AND($F244="High",$E244&lt;&gt;"Done",$E244&lt;&gt;"Archive"),IF('Task Finder'!$C$6="Due This Week",AND($I244&lt;&gt;"",$I244&gt;=TODAY(),$I244&lt;=TODAY()+7,$E244&lt;&gt;"Done"),IF('Task Finder'!$C$6="Quick Wins (15 mins or less)",AND($M244&lt;=15,$E244&lt;&gt;"Done",$E244&lt;&gt;"Blocked"),IF('Task Finder'!$C$6="Deep Thinking",AND($G244="Deep Thinking",$E244&lt;&gt;"Done"),IF('Task Finder'!$C$6="Processing",AND($G244="Processing",$E244&lt;&gt;"Done"),IF('Task Finder'!$C$6="Blocked",$E244="Blocked",IF('Task Finder'!$C$6="Waiting",$E244="Waiting",IF('Task Finder'!$C$6="Recently Updated",AND($L244&lt;&gt;"",$L244&gt;=TODAY()-7),IF('Task Finder'!$C$6="Keyword",AND('Task Finder'!$C$7&lt;&gt;"",OR(ISNUMBER(SEARCH('Task Finder'!$C$7,$A244)),ISNUMBER(SEARCH('Task Finder'!$C$7,$B244)),ISNUMBER(SEARCH('Task Finder'!$C$7,$C244)),ISNUMBER(SEARCH('Task Finder'!$C$7,$D244)),ISNUMBER(SEARCH('Task Finder'!$C$7,$K244)))),TRUE))))))))))</f>
        <v/>
      </c>
      <c r="Q244" s="150">
        <f>IF($F244="High","High Priority","")</f>
        <v/>
      </c>
      <c r="R244" s="150">
        <f>IF(AND($I244&lt;&gt;"",$I244&lt;TODAY()),"Overdue","")</f>
        <v/>
      </c>
      <c r="S244" s="150">
        <f>IF(AND($I244&lt;&gt;"",$I244&gt;=TODAY(),$I244&lt;=TODAY()+7),"Due This Week","")</f>
        <v/>
      </c>
      <c r="T244" s="150">
        <f>IF(AND($H244&lt;&gt;"",$M244&lt;=VLOOKUP(Home!$C$7,Lists!$N$2:$O$6,2,FALSE)),$H244&amp;" Task","")</f>
        <v/>
      </c>
      <c r="U244" s="150">
        <f>IF($G244=Home!$E$7,"Fits Current Energy","")</f>
        <v/>
      </c>
      <c r="V244" s="150">
        <f>IF($Q244&lt;&gt;""," • "&amp;$Q244,"")&amp;IF($R244&lt;&gt;""," • "&amp;$R244,"")&amp;IF($S244&lt;&gt;""," • "&amp;$S244,"")&amp;IF($T244&lt;&gt;""," • "&amp;$T244,"")&amp;IF($U244&lt;&gt;""," • "&amp;$U244,"")&amp;" • No Blockers"</f>
        <v/>
      </c>
    </row>
    <row r="245">
      <c r="A245" s="19" t="n"/>
      <c r="B245" s="19" t="n"/>
      <c r="C245" s="19" t="n"/>
      <c r="D245" s="19" t="n"/>
      <c r="E245" s="19" t="n"/>
      <c r="F245" s="19" t="n"/>
      <c r="G245" s="19" t="n"/>
      <c r="H245" s="19" t="n"/>
      <c r="I245" s="19" t="n"/>
      <c r="J245" s="19" t="n"/>
      <c r="K245" s="19" t="n"/>
      <c r="L245" s="125" t="n"/>
      <c r="M245" s="88">
        <f>IF($D245="","",IFERROR(VLOOKUP($H245,Lists!$N$2:$O$6,2,FALSE),0))</f>
        <v/>
      </c>
      <c r="N245" s="88">
        <f>IF($D245="","",IF(OR($E245="Blocked",$E245="Done",$E245="Archive"),-9999,IF(AND($E245="Waiting",SUMPRODUCT((($E$5:$E$500="Next")+($E$5:$E$500="In Progress")+($E$5:$E$500="Captured"))*($D$5:$D$500&lt;&gt;""))&gt;0),-500,VLOOKUP($F245,Lists!$L$2:$M$4,2,FALSE)+IF($E245="In Progress",10,0)+IF(AND($I245&lt;&gt;"",$I245&lt;TODAY()),25,0)+IF(AND($I245&lt;&gt;"",$I245&gt;=TODAY(),$I245&lt;=TODAY()+7),15,0)+IF($H245="",0,IF($M245&lt;=VLOOKUP(Home!$C$7,Lists!$N$2:$O$6,2,FALSE),20,-10))+IF($G245=Home!$E$7,15,IF(Home!$E$7="",0,-5))-ROW()/100000)))</f>
        <v/>
      </c>
      <c r="O245" s="88">
        <f>IF($D245="","",IF($N245&lt;=-500,"Not recommended right now",IF($E245="Waiting","Nothing else actionable right now — Waiting on: "&amp;IF($K245="","this item",$K245),MID($V245,4,9999))))</f>
        <v/>
      </c>
      <c r="P245" s="88">
        <f>IF($D245="","",IF('Task Finder'!$C$6="High Priority",AND($F245="High",$E245&lt;&gt;"Done",$E245&lt;&gt;"Archive"),IF('Task Finder'!$C$6="Due This Week",AND($I245&lt;&gt;"",$I245&gt;=TODAY(),$I245&lt;=TODAY()+7,$E245&lt;&gt;"Done"),IF('Task Finder'!$C$6="Quick Wins (15 mins or less)",AND($M245&lt;=15,$E245&lt;&gt;"Done",$E245&lt;&gt;"Blocked"),IF('Task Finder'!$C$6="Deep Thinking",AND($G245="Deep Thinking",$E245&lt;&gt;"Done"),IF('Task Finder'!$C$6="Processing",AND($G245="Processing",$E245&lt;&gt;"Done"),IF('Task Finder'!$C$6="Blocked",$E245="Blocked",IF('Task Finder'!$C$6="Waiting",$E245="Waiting",IF('Task Finder'!$C$6="Recently Updated",AND($L245&lt;&gt;"",$L245&gt;=TODAY()-7),IF('Task Finder'!$C$6="Keyword",AND('Task Finder'!$C$7&lt;&gt;"",OR(ISNUMBER(SEARCH('Task Finder'!$C$7,$A245)),ISNUMBER(SEARCH('Task Finder'!$C$7,$B245)),ISNUMBER(SEARCH('Task Finder'!$C$7,$C245)),ISNUMBER(SEARCH('Task Finder'!$C$7,$D245)),ISNUMBER(SEARCH('Task Finder'!$C$7,$K245)))),TRUE))))))))))</f>
        <v/>
      </c>
      <c r="Q245" s="150">
        <f>IF($F245="High","High Priority","")</f>
        <v/>
      </c>
      <c r="R245" s="150">
        <f>IF(AND($I245&lt;&gt;"",$I245&lt;TODAY()),"Overdue","")</f>
        <v/>
      </c>
      <c r="S245" s="150">
        <f>IF(AND($I245&lt;&gt;"",$I245&gt;=TODAY(),$I245&lt;=TODAY()+7),"Due This Week","")</f>
        <v/>
      </c>
      <c r="T245" s="150">
        <f>IF(AND($H245&lt;&gt;"",$M245&lt;=VLOOKUP(Home!$C$7,Lists!$N$2:$O$6,2,FALSE)),$H245&amp;" Task","")</f>
        <v/>
      </c>
      <c r="U245" s="150">
        <f>IF($G245=Home!$E$7,"Fits Current Energy","")</f>
        <v/>
      </c>
      <c r="V245" s="150">
        <f>IF($Q245&lt;&gt;""," • "&amp;$Q245,"")&amp;IF($R245&lt;&gt;""," • "&amp;$R245,"")&amp;IF($S245&lt;&gt;""," • "&amp;$S245,"")&amp;IF($T245&lt;&gt;""," • "&amp;$T245,"")&amp;IF($U245&lt;&gt;""," • "&amp;$U245,"")&amp;" • No Blockers"</f>
        <v/>
      </c>
    </row>
    <row r="246">
      <c r="A246" s="19" t="n"/>
      <c r="B246" s="19" t="n"/>
      <c r="C246" s="19" t="n"/>
      <c r="D246" s="19" t="n"/>
      <c r="E246" s="19" t="n"/>
      <c r="F246" s="19" t="n"/>
      <c r="G246" s="19" t="n"/>
      <c r="H246" s="19" t="n"/>
      <c r="I246" s="19" t="n"/>
      <c r="J246" s="19" t="n"/>
      <c r="K246" s="19" t="n"/>
      <c r="L246" s="125" t="n"/>
      <c r="M246" s="88">
        <f>IF($D246="","",IFERROR(VLOOKUP($H246,Lists!$N$2:$O$6,2,FALSE),0))</f>
        <v/>
      </c>
      <c r="N246" s="88">
        <f>IF($D246="","",IF(OR($E246="Blocked",$E246="Done",$E246="Archive"),-9999,IF(AND($E246="Waiting",SUMPRODUCT((($E$5:$E$500="Next")+($E$5:$E$500="In Progress")+($E$5:$E$500="Captured"))*($D$5:$D$500&lt;&gt;""))&gt;0),-500,VLOOKUP($F246,Lists!$L$2:$M$4,2,FALSE)+IF($E246="In Progress",10,0)+IF(AND($I246&lt;&gt;"",$I246&lt;TODAY()),25,0)+IF(AND($I246&lt;&gt;"",$I246&gt;=TODAY(),$I246&lt;=TODAY()+7),15,0)+IF($H246="",0,IF($M246&lt;=VLOOKUP(Home!$C$7,Lists!$N$2:$O$6,2,FALSE),20,-10))+IF($G246=Home!$E$7,15,IF(Home!$E$7="",0,-5))-ROW()/100000)))</f>
        <v/>
      </c>
      <c r="O246" s="88">
        <f>IF($D246="","",IF($N246&lt;=-500,"Not recommended right now",IF($E246="Waiting","Nothing else actionable right now — Waiting on: "&amp;IF($K246="","this item",$K246),MID($V246,4,9999))))</f>
        <v/>
      </c>
      <c r="P246" s="88">
        <f>IF($D246="","",IF('Task Finder'!$C$6="High Priority",AND($F246="High",$E246&lt;&gt;"Done",$E246&lt;&gt;"Archive"),IF('Task Finder'!$C$6="Due This Week",AND($I246&lt;&gt;"",$I246&gt;=TODAY(),$I246&lt;=TODAY()+7,$E246&lt;&gt;"Done"),IF('Task Finder'!$C$6="Quick Wins (15 mins or less)",AND($M246&lt;=15,$E246&lt;&gt;"Done",$E246&lt;&gt;"Blocked"),IF('Task Finder'!$C$6="Deep Thinking",AND($G246="Deep Thinking",$E246&lt;&gt;"Done"),IF('Task Finder'!$C$6="Processing",AND($G246="Processing",$E246&lt;&gt;"Done"),IF('Task Finder'!$C$6="Blocked",$E246="Blocked",IF('Task Finder'!$C$6="Waiting",$E246="Waiting",IF('Task Finder'!$C$6="Recently Updated",AND($L246&lt;&gt;"",$L246&gt;=TODAY()-7),IF('Task Finder'!$C$6="Keyword",AND('Task Finder'!$C$7&lt;&gt;"",OR(ISNUMBER(SEARCH('Task Finder'!$C$7,$A246)),ISNUMBER(SEARCH('Task Finder'!$C$7,$B246)),ISNUMBER(SEARCH('Task Finder'!$C$7,$C246)),ISNUMBER(SEARCH('Task Finder'!$C$7,$D246)),ISNUMBER(SEARCH('Task Finder'!$C$7,$K246)))),TRUE))))))))))</f>
        <v/>
      </c>
      <c r="Q246" s="150">
        <f>IF($F246="High","High Priority","")</f>
        <v/>
      </c>
      <c r="R246" s="150">
        <f>IF(AND($I246&lt;&gt;"",$I246&lt;TODAY()),"Overdue","")</f>
        <v/>
      </c>
      <c r="S246" s="150">
        <f>IF(AND($I246&lt;&gt;"",$I246&gt;=TODAY(),$I246&lt;=TODAY()+7),"Due This Week","")</f>
        <v/>
      </c>
      <c r="T246" s="150">
        <f>IF(AND($H246&lt;&gt;"",$M246&lt;=VLOOKUP(Home!$C$7,Lists!$N$2:$O$6,2,FALSE)),$H246&amp;" Task","")</f>
        <v/>
      </c>
      <c r="U246" s="150">
        <f>IF($G246=Home!$E$7,"Fits Current Energy","")</f>
        <v/>
      </c>
      <c r="V246" s="150">
        <f>IF($Q246&lt;&gt;""," • "&amp;$Q246,"")&amp;IF($R246&lt;&gt;""," • "&amp;$R246,"")&amp;IF($S246&lt;&gt;""," • "&amp;$S246,"")&amp;IF($T246&lt;&gt;""," • "&amp;$T246,"")&amp;IF($U246&lt;&gt;""," • "&amp;$U246,"")&amp;" • No Blockers"</f>
        <v/>
      </c>
    </row>
    <row r="247">
      <c r="A247" s="19" t="n"/>
      <c r="B247" s="19" t="n"/>
      <c r="C247" s="19" t="n"/>
      <c r="D247" s="19" t="n"/>
      <c r="E247" s="19" t="n"/>
      <c r="F247" s="19" t="n"/>
      <c r="G247" s="19" t="n"/>
      <c r="H247" s="19" t="n"/>
      <c r="I247" s="19" t="n"/>
      <c r="J247" s="19" t="n"/>
      <c r="K247" s="19" t="n"/>
      <c r="L247" s="125" t="n"/>
      <c r="M247" s="88">
        <f>IF($D247="","",IFERROR(VLOOKUP($H247,Lists!$N$2:$O$6,2,FALSE),0))</f>
        <v/>
      </c>
      <c r="N247" s="88">
        <f>IF($D247="","",IF(OR($E247="Blocked",$E247="Done",$E247="Archive"),-9999,IF(AND($E247="Waiting",SUMPRODUCT((($E$5:$E$500="Next")+($E$5:$E$500="In Progress")+($E$5:$E$500="Captured"))*($D$5:$D$500&lt;&gt;""))&gt;0),-500,VLOOKUP($F247,Lists!$L$2:$M$4,2,FALSE)+IF($E247="In Progress",10,0)+IF(AND($I247&lt;&gt;"",$I247&lt;TODAY()),25,0)+IF(AND($I247&lt;&gt;"",$I247&gt;=TODAY(),$I247&lt;=TODAY()+7),15,0)+IF($H247="",0,IF($M247&lt;=VLOOKUP(Home!$C$7,Lists!$N$2:$O$6,2,FALSE),20,-10))+IF($G247=Home!$E$7,15,IF(Home!$E$7="",0,-5))-ROW()/100000)))</f>
        <v/>
      </c>
      <c r="O247" s="88">
        <f>IF($D247="","",IF($N247&lt;=-500,"Not recommended right now",IF($E247="Waiting","Nothing else actionable right now — Waiting on: "&amp;IF($K247="","this item",$K247),MID($V247,4,9999))))</f>
        <v/>
      </c>
      <c r="P247" s="88">
        <f>IF($D247="","",IF('Task Finder'!$C$6="High Priority",AND($F247="High",$E247&lt;&gt;"Done",$E247&lt;&gt;"Archive"),IF('Task Finder'!$C$6="Due This Week",AND($I247&lt;&gt;"",$I247&gt;=TODAY(),$I247&lt;=TODAY()+7,$E247&lt;&gt;"Done"),IF('Task Finder'!$C$6="Quick Wins (15 mins or less)",AND($M247&lt;=15,$E247&lt;&gt;"Done",$E247&lt;&gt;"Blocked"),IF('Task Finder'!$C$6="Deep Thinking",AND($G247="Deep Thinking",$E247&lt;&gt;"Done"),IF('Task Finder'!$C$6="Processing",AND($G247="Processing",$E247&lt;&gt;"Done"),IF('Task Finder'!$C$6="Blocked",$E247="Blocked",IF('Task Finder'!$C$6="Waiting",$E247="Waiting",IF('Task Finder'!$C$6="Recently Updated",AND($L247&lt;&gt;"",$L247&gt;=TODAY()-7),IF('Task Finder'!$C$6="Keyword",AND('Task Finder'!$C$7&lt;&gt;"",OR(ISNUMBER(SEARCH('Task Finder'!$C$7,$A247)),ISNUMBER(SEARCH('Task Finder'!$C$7,$B247)),ISNUMBER(SEARCH('Task Finder'!$C$7,$C247)),ISNUMBER(SEARCH('Task Finder'!$C$7,$D247)),ISNUMBER(SEARCH('Task Finder'!$C$7,$K247)))),TRUE))))))))))</f>
        <v/>
      </c>
      <c r="Q247" s="150">
        <f>IF($F247="High","High Priority","")</f>
        <v/>
      </c>
      <c r="R247" s="150">
        <f>IF(AND($I247&lt;&gt;"",$I247&lt;TODAY()),"Overdue","")</f>
        <v/>
      </c>
      <c r="S247" s="150">
        <f>IF(AND($I247&lt;&gt;"",$I247&gt;=TODAY(),$I247&lt;=TODAY()+7),"Due This Week","")</f>
        <v/>
      </c>
      <c r="T247" s="150">
        <f>IF(AND($H247&lt;&gt;"",$M247&lt;=VLOOKUP(Home!$C$7,Lists!$N$2:$O$6,2,FALSE)),$H247&amp;" Task","")</f>
        <v/>
      </c>
      <c r="U247" s="150">
        <f>IF($G247=Home!$E$7,"Fits Current Energy","")</f>
        <v/>
      </c>
      <c r="V247" s="150">
        <f>IF($Q247&lt;&gt;""," • "&amp;$Q247,"")&amp;IF($R247&lt;&gt;""," • "&amp;$R247,"")&amp;IF($S247&lt;&gt;""," • "&amp;$S247,"")&amp;IF($T247&lt;&gt;""," • "&amp;$T247,"")&amp;IF($U247&lt;&gt;""," • "&amp;$U247,"")&amp;" • No Blockers"</f>
        <v/>
      </c>
    </row>
    <row r="248">
      <c r="A248" s="19" t="n"/>
      <c r="B248" s="19" t="n"/>
      <c r="C248" s="19" t="n"/>
      <c r="D248" s="19" t="n"/>
      <c r="E248" s="19" t="n"/>
      <c r="F248" s="19" t="n"/>
      <c r="G248" s="19" t="n"/>
      <c r="H248" s="19" t="n"/>
      <c r="I248" s="19" t="n"/>
      <c r="J248" s="19" t="n"/>
      <c r="K248" s="19" t="n"/>
      <c r="L248" s="125" t="n"/>
      <c r="M248" s="88">
        <f>IF($D248="","",IFERROR(VLOOKUP($H248,Lists!$N$2:$O$6,2,FALSE),0))</f>
        <v/>
      </c>
      <c r="N248" s="88">
        <f>IF($D248="","",IF(OR($E248="Blocked",$E248="Done",$E248="Archive"),-9999,IF(AND($E248="Waiting",SUMPRODUCT((($E$5:$E$500="Next")+($E$5:$E$500="In Progress")+($E$5:$E$500="Captured"))*($D$5:$D$500&lt;&gt;""))&gt;0),-500,VLOOKUP($F248,Lists!$L$2:$M$4,2,FALSE)+IF($E248="In Progress",10,0)+IF(AND($I248&lt;&gt;"",$I248&lt;TODAY()),25,0)+IF(AND($I248&lt;&gt;"",$I248&gt;=TODAY(),$I248&lt;=TODAY()+7),15,0)+IF($H248="",0,IF($M248&lt;=VLOOKUP(Home!$C$7,Lists!$N$2:$O$6,2,FALSE),20,-10))+IF($G248=Home!$E$7,15,IF(Home!$E$7="",0,-5))-ROW()/100000)))</f>
        <v/>
      </c>
      <c r="O248" s="88">
        <f>IF($D248="","",IF($N248&lt;=-500,"Not recommended right now",IF($E248="Waiting","Nothing else actionable right now — Waiting on: "&amp;IF($K248="","this item",$K248),MID($V248,4,9999))))</f>
        <v/>
      </c>
      <c r="P248" s="88">
        <f>IF($D248="","",IF('Task Finder'!$C$6="High Priority",AND($F248="High",$E248&lt;&gt;"Done",$E248&lt;&gt;"Archive"),IF('Task Finder'!$C$6="Due This Week",AND($I248&lt;&gt;"",$I248&gt;=TODAY(),$I248&lt;=TODAY()+7,$E248&lt;&gt;"Done"),IF('Task Finder'!$C$6="Quick Wins (15 mins or less)",AND($M248&lt;=15,$E248&lt;&gt;"Done",$E248&lt;&gt;"Blocked"),IF('Task Finder'!$C$6="Deep Thinking",AND($G248="Deep Thinking",$E248&lt;&gt;"Done"),IF('Task Finder'!$C$6="Processing",AND($G248="Processing",$E248&lt;&gt;"Done"),IF('Task Finder'!$C$6="Blocked",$E248="Blocked",IF('Task Finder'!$C$6="Waiting",$E248="Waiting",IF('Task Finder'!$C$6="Recently Updated",AND($L248&lt;&gt;"",$L248&gt;=TODAY()-7),IF('Task Finder'!$C$6="Keyword",AND('Task Finder'!$C$7&lt;&gt;"",OR(ISNUMBER(SEARCH('Task Finder'!$C$7,$A248)),ISNUMBER(SEARCH('Task Finder'!$C$7,$B248)),ISNUMBER(SEARCH('Task Finder'!$C$7,$C248)),ISNUMBER(SEARCH('Task Finder'!$C$7,$D248)),ISNUMBER(SEARCH('Task Finder'!$C$7,$K248)))),TRUE))))))))))</f>
        <v/>
      </c>
      <c r="Q248" s="150">
        <f>IF($F248="High","High Priority","")</f>
        <v/>
      </c>
      <c r="R248" s="150">
        <f>IF(AND($I248&lt;&gt;"",$I248&lt;TODAY()),"Overdue","")</f>
        <v/>
      </c>
      <c r="S248" s="150">
        <f>IF(AND($I248&lt;&gt;"",$I248&gt;=TODAY(),$I248&lt;=TODAY()+7),"Due This Week","")</f>
        <v/>
      </c>
      <c r="T248" s="150">
        <f>IF(AND($H248&lt;&gt;"",$M248&lt;=VLOOKUP(Home!$C$7,Lists!$N$2:$O$6,2,FALSE)),$H248&amp;" Task","")</f>
        <v/>
      </c>
      <c r="U248" s="150">
        <f>IF($G248=Home!$E$7,"Fits Current Energy","")</f>
        <v/>
      </c>
      <c r="V248" s="150">
        <f>IF($Q248&lt;&gt;""," • "&amp;$Q248,"")&amp;IF($R248&lt;&gt;""," • "&amp;$R248,"")&amp;IF($S248&lt;&gt;""," • "&amp;$S248,"")&amp;IF($T248&lt;&gt;""," • "&amp;$T248,"")&amp;IF($U248&lt;&gt;""," • "&amp;$U248,"")&amp;" • No Blockers"</f>
        <v/>
      </c>
    </row>
    <row r="249">
      <c r="A249" s="19" t="n"/>
      <c r="B249" s="19" t="n"/>
      <c r="C249" s="19" t="n"/>
      <c r="D249" s="19" t="n"/>
      <c r="E249" s="19" t="n"/>
      <c r="F249" s="19" t="n"/>
      <c r="G249" s="19" t="n"/>
      <c r="H249" s="19" t="n"/>
      <c r="I249" s="19" t="n"/>
      <c r="J249" s="19" t="n"/>
      <c r="K249" s="19" t="n"/>
      <c r="L249" s="125" t="n"/>
      <c r="M249" s="88">
        <f>IF($D249="","",IFERROR(VLOOKUP($H249,Lists!$N$2:$O$6,2,FALSE),0))</f>
        <v/>
      </c>
      <c r="N249" s="88">
        <f>IF($D249="","",IF(OR($E249="Blocked",$E249="Done",$E249="Archive"),-9999,IF(AND($E249="Waiting",SUMPRODUCT((($E$5:$E$500="Next")+($E$5:$E$500="In Progress")+($E$5:$E$500="Captured"))*($D$5:$D$500&lt;&gt;""))&gt;0),-500,VLOOKUP($F249,Lists!$L$2:$M$4,2,FALSE)+IF($E249="In Progress",10,0)+IF(AND($I249&lt;&gt;"",$I249&lt;TODAY()),25,0)+IF(AND($I249&lt;&gt;"",$I249&gt;=TODAY(),$I249&lt;=TODAY()+7),15,0)+IF($H249="",0,IF($M249&lt;=VLOOKUP(Home!$C$7,Lists!$N$2:$O$6,2,FALSE),20,-10))+IF($G249=Home!$E$7,15,IF(Home!$E$7="",0,-5))-ROW()/100000)))</f>
        <v/>
      </c>
      <c r="O249" s="88">
        <f>IF($D249="","",IF($N249&lt;=-500,"Not recommended right now",IF($E249="Waiting","Nothing else actionable right now — Waiting on: "&amp;IF($K249="","this item",$K249),MID($V249,4,9999))))</f>
        <v/>
      </c>
      <c r="P249" s="88">
        <f>IF($D249="","",IF('Task Finder'!$C$6="High Priority",AND($F249="High",$E249&lt;&gt;"Done",$E249&lt;&gt;"Archive"),IF('Task Finder'!$C$6="Due This Week",AND($I249&lt;&gt;"",$I249&gt;=TODAY(),$I249&lt;=TODAY()+7,$E249&lt;&gt;"Done"),IF('Task Finder'!$C$6="Quick Wins (15 mins or less)",AND($M249&lt;=15,$E249&lt;&gt;"Done",$E249&lt;&gt;"Blocked"),IF('Task Finder'!$C$6="Deep Thinking",AND($G249="Deep Thinking",$E249&lt;&gt;"Done"),IF('Task Finder'!$C$6="Processing",AND($G249="Processing",$E249&lt;&gt;"Done"),IF('Task Finder'!$C$6="Blocked",$E249="Blocked",IF('Task Finder'!$C$6="Waiting",$E249="Waiting",IF('Task Finder'!$C$6="Recently Updated",AND($L249&lt;&gt;"",$L249&gt;=TODAY()-7),IF('Task Finder'!$C$6="Keyword",AND('Task Finder'!$C$7&lt;&gt;"",OR(ISNUMBER(SEARCH('Task Finder'!$C$7,$A249)),ISNUMBER(SEARCH('Task Finder'!$C$7,$B249)),ISNUMBER(SEARCH('Task Finder'!$C$7,$C249)),ISNUMBER(SEARCH('Task Finder'!$C$7,$D249)),ISNUMBER(SEARCH('Task Finder'!$C$7,$K249)))),TRUE))))))))))</f>
        <v/>
      </c>
      <c r="Q249" s="150">
        <f>IF($F249="High","High Priority","")</f>
        <v/>
      </c>
      <c r="R249" s="150">
        <f>IF(AND($I249&lt;&gt;"",$I249&lt;TODAY()),"Overdue","")</f>
        <v/>
      </c>
      <c r="S249" s="150">
        <f>IF(AND($I249&lt;&gt;"",$I249&gt;=TODAY(),$I249&lt;=TODAY()+7),"Due This Week","")</f>
        <v/>
      </c>
      <c r="T249" s="150">
        <f>IF(AND($H249&lt;&gt;"",$M249&lt;=VLOOKUP(Home!$C$7,Lists!$N$2:$O$6,2,FALSE)),$H249&amp;" Task","")</f>
        <v/>
      </c>
      <c r="U249" s="150">
        <f>IF($G249=Home!$E$7,"Fits Current Energy","")</f>
        <v/>
      </c>
      <c r="V249" s="150">
        <f>IF($Q249&lt;&gt;""," • "&amp;$Q249,"")&amp;IF($R249&lt;&gt;""," • "&amp;$R249,"")&amp;IF($S249&lt;&gt;""," • "&amp;$S249,"")&amp;IF($T249&lt;&gt;""," • "&amp;$T249,"")&amp;IF($U249&lt;&gt;""," • "&amp;$U249,"")&amp;" • No Blockers"</f>
        <v/>
      </c>
    </row>
    <row r="250">
      <c r="A250" s="19" t="n"/>
      <c r="B250" s="19" t="n"/>
      <c r="C250" s="19" t="n"/>
      <c r="D250" s="19" t="n"/>
      <c r="E250" s="19" t="n"/>
      <c r="F250" s="19" t="n"/>
      <c r="G250" s="19" t="n"/>
      <c r="H250" s="19" t="n"/>
      <c r="I250" s="19" t="n"/>
      <c r="J250" s="19" t="n"/>
      <c r="K250" s="19" t="n"/>
      <c r="L250" s="125" t="n"/>
      <c r="M250" s="88">
        <f>IF($D250="","",IFERROR(VLOOKUP($H250,Lists!$N$2:$O$6,2,FALSE),0))</f>
        <v/>
      </c>
      <c r="N250" s="88">
        <f>IF($D250="","",IF(OR($E250="Blocked",$E250="Done",$E250="Archive"),-9999,IF(AND($E250="Waiting",SUMPRODUCT((($E$5:$E$500="Next")+($E$5:$E$500="In Progress")+($E$5:$E$500="Captured"))*($D$5:$D$500&lt;&gt;""))&gt;0),-500,VLOOKUP($F250,Lists!$L$2:$M$4,2,FALSE)+IF($E250="In Progress",10,0)+IF(AND($I250&lt;&gt;"",$I250&lt;TODAY()),25,0)+IF(AND($I250&lt;&gt;"",$I250&gt;=TODAY(),$I250&lt;=TODAY()+7),15,0)+IF($H250="",0,IF($M250&lt;=VLOOKUP(Home!$C$7,Lists!$N$2:$O$6,2,FALSE),20,-10))+IF($G250=Home!$E$7,15,IF(Home!$E$7="",0,-5))-ROW()/100000)))</f>
        <v/>
      </c>
      <c r="O250" s="88">
        <f>IF($D250="","",IF($N250&lt;=-500,"Not recommended right now",IF($E250="Waiting","Nothing else actionable right now — Waiting on: "&amp;IF($K250="","this item",$K250),MID($V250,4,9999))))</f>
        <v/>
      </c>
      <c r="P250" s="88">
        <f>IF($D250="","",IF('Task Finder'!$C$6="High Priority",AND($F250="High",$E250&lt;&gt;"Done",$E250&lt;&gt;"Archive"),IF('Task Finder'!$C$6="Due This Week",AND($I250&lt;&gt;"",$I250&gt;=TODAY(),$I250&lt;=TODAY()+7,$E250&lt;&gt;"Done"),IF('Task Finder'!$C$6="Quick Wins (15 mins or less)",AND($M250&lt;=15,$E250&lt;&gt;"Done",$E250&lt;&gt;"Blocked"),IF('Task Finder'!$C$6="Deep Thinking",AND($G250="Deep Thinking",$E250&lt;&gt;"Done"),IF('Task Finder'!$C$6="Processing",AND($G250="Processing",$E250&lt;&gt;"Done"),IF('Task Finder'!$C$6="Blocked",$E250="Blocked",IF('Task Finder'!$C$6="Waiting",$E250="Waiting",IF('Task Finder'!$C$6="Recently Updated",AND($L250&lt;&gt;"",$L250&gt;=TODAY()-7),IF('Task Finder'!$C$6="Keyword",AND('Task Finder'!$C$7&lt;&gt;"",OR(ISNUMBER(SEARCH('Task Finder'!$C$7,$A250)),ISNUMBER(SEARCH('Task Finder'!$C$7,$B250)),ISNUMBER(SEARCH('Task Finder'!$C$7,$C250)),ISNUMBER(SEARCH('Task Finder'!$C$7,$D250)),ISNUMBER(SEARCH('Task Finder'!$C$7,$K250)))),TRUE))))))))))</f>
        <v/>
      </c>
      <c r="Q250" s="150">
        <f>IF($F250="High","High Priority","")</f>
        <v/>
      </c>
      <c r="R250" s="150">
        <f>IF(AND($I250&lt;&gt;"",$I250&lt;TODAY()),"Overdue","")</f>
        <v/>
      </c>
      <c r="S250" s="150">
        <f>IF(AND($I250&lt;&gt;"",$I250&gt;=TODAY(),$I250&lt;=TODAY()+7),"Due This Week","")</f>
        <v/>
      </c>
      <c r="T250" s="150">
        <f>IF(AND($H250&lt;&gt;"",$M250&lt;=VLOOKUP(Home!$C$7,Lists!$N$2:$O$6,2,FALSE)),$H250&amp;" Task","")</f>
        <v/>
      </c>
      <c r="U250" s="150">
        <f>IF($G250=Home!$E$7,"Fits Current Energy","")</f>
        <v/>
      </c>
      <c r="V250" s="150">
        <f>IF($Q250&lt;&gt;""," • "&amp;$Q250,"")&amp;IF($R250&lt;&gt;""," • "&amp;$R250,"")&amp;IF($S250&lt;&gt;""," • "&amp;$S250,"")&amp;IF($T250&lt;&gt;""," • "&amp;$T250,"")&amp;IF($U250&lt;&gt;""," • "&amp;$U250,"")&amp;" • No Blockers"</f>
        <v/>
      </c>
    </row>
    <row r="251">
      <c r="A251" s="19" t="n"/>
      <c r="B251" s="19" t="n"/>
      <c r="C251" s="19" t="n"/>
      <c r="D251" s="19" t="n"/>
      <c r="E251" s="19" t="n"/>
      <c r="F251" s="19" t="n"/>
      <c r="G251" s="19" t="n"/>
      <c r="H251" s="19" t="n"/>
      <c r="I251" s="19" t="n"/>
      <c r="J251" s="19" t="n"/>
      <c r="K251" s="19" t="n"/>
      <c r="L251" s="125" t="n"/>
      <c r="M251" s="88">
        <f>IF($D251="","",IFERROR(VLOOKUP($H251,Lists!$N$2:$O$6,2,FALSE),0))</f>
        <v/>
      </c>
      <c r="N251" s="88">
        <f>IF($D251="","",IF(OR($E251="Blocked",$E251="Done",$E251="Archive"),-9999,IF(AND($E251="Waiting",SUMPRODUCT((($E$5:$E$500="Next")+($E$5:$E$500="In Progress")+($E$5:$E$500="Captured"))*($D$5:$D$500&lt;&gt;""))&gt;0),-500,VLOOKUP($F251,Lists!$L$2:$M$4,2,FALSE)+IF($E251="In Progress",10,0)+IF(AND($I251&lt;&gt;"",$I251&lt;TODAY()),25,0)+IF(AND($I251&lt;&gt;"",$I251&gt;=TODAY(),$I251&lt;=TODAY()+7),15,0)+IF($H251="",0,IF($M251&lt;=VLOOKUP(Home!$C$7,Lists!$N$2:$O$6,2,FALSE),20,-10))+IF($G251=Home!$E$7,15,IF(Home!$E$7="",0,-5))-ROW()/100000)))</f>
        <v/>
      </c>
      <c r="O251" s="88">
        <f>IF($D251="","",IF($N251&lt;=-500,"Not recommended right now",IF($E251="Waiting","Nothing else actionable right now — Waiting on: "&amp;IF($K251="","this item",$K251),MID($V251,4,9999))))</f>
        <v/>
      </c>
      <c r="P251" s="88">
        <f>IF($D251="","",IF('Task Finder'!$C$6="High Priority",AND($F251="High",$E251&lt;&gt;"Done",$E251&lt;&gt;"Archive"),IF('Task Finder'!$C$6="Due This Week",AND($I251&lt;&gt;"",$I251&gt;=TODAY(),$I251&lt;=TODAY()+7,$E251&lt;&gt;"Done"),IF('Task Finder'!$C$6="Quick Wins (15 mins or less)",AND($M251&lt;=15,$E251&lt;&gt;"Done",$E251&lt;&gt;"Blocked"),IF('Task Finder'!$C$6="Deep Thinking",AND($G251="Deep Thinking",$E251&lt;&gt;"Done"),IF('Task Finder'!$C$6="Processing",AND($G251="Processing",$E251&lt;&gt;"Done"),IF('Task Finder'!$C$6="Blocked",$E251="Blocked",IF('Task Finder'!$C$6="Waiting",$E251="Waiting",IF('Task Finder'!$C$6="Recently Updated",AND($L251&lt;&gt;"",$L251&gt;=TODAY()-7),IF('Task Finder'!$C$6="Keyword",AND('Task Finder'!$C$7&lt;&gt;"",OR(ISNUMBER(SEARCH('Task Finder'!$C$7,$A251)),ISNUMBER(SEARCH('Task Finder'!$C$7,$B251)),ISNUMBER(SEARCH('Task Finder'!$C$7,$C251)),ISNUMBER(SEARCH('Task Finder'!$C$7,$D251)),ISNUMBER(SEARCH('Task Finder'!$C$7,$K251)))),TRUE))))))))))</f>
        <v/>
      </c>
      <c r="Q251" s="150">
        <f>IF($F251="High","High Priority","")</f>
        <v/>
      </c>
      <c r="R251" s="150">
        <f>IF(AND($I251&lt;&gt;"",$I251&lt;TODAY()),"Overdue","")</f>
        <v/>
      </c>
      <c r="S251" s="150">
        <f>IF(AND($I251&lt;&gt;"",$I251&gt;=TODAY(),$I251&lt;=TODAY()+7),"Due This Week","")</f>
        <v/>
      </c>
      <c r="T251" s="150">
        <f>IF(AND($H251&lt;&gt;"",$M251&lt;=VLOOKUP(Home!$C$7,Lists!$N$2:$O$6,2,FALSE)),$H251&amp;" Task","")</f>
        <v/>
      </c>
      <c r="U251" s="150">
        <f>IF($G251=Home!$E$7,"Fits Current Energy","")</f>
        <v/>
      </c>
      <c r="V251" s="150">
        <f>IF($Q251&lt;&gt;""," • "&amp;$Q251,"")&amp;IF($R251&lt;&gt;""," • "&amp;$R251,"")&amp;IF($S251&lt;&gt;""," • "&amp;$S251,"")&amp;IF($T251&lt;&gt;""," • "&amp;$T251,"")&amp;IF($U251&lt;&gt;""," • "&amp;$U251,"")&amp;" • No Blockers"</f>
        <v/>
      </c>
    </row>
    <row r="252">
      <c r="A252" s="19" t="n"/>
      <c r="B252" s="19" t="n"/>
      <c r="C252" s="19" t="n"/>
      <c r="D252" s="19" t="n"/>
      <c r="E252" s="19" t="n"/>
      <c r="F252" s="19" t="n"/>
      <c r="G252" s="19" t="n"/>
      <c r="H252" s="19" t="n"/>
      <c r="I252" s="19" t="n"/>
      <c r="J252" s="19" t="n"/>
      <c r="K252" s="19" t="n"/>
      <c r="L252" s="125" t="n"/>
      <c r="M252" s="88">
        <f>IF($D252="","",IFERROR(VLOOKUP($H252,Lists!$N$2:$O$6,2,FALSE),0))</f>
        <v/>
      </c>
      <c r="N252" s="88">
        <f>IF($D252="","",IF(OR($E252="Blocked",$E252="Done",$E252="Archive"),-9999,IF(AND($E252="Waiting",SUMPRODUCT((($E$5:$E$500="Next")+($E$5:$E$500="In Progress")+($E$5:$E$500="Captured"))*($D$5:$D$500&lt;&gt;""))&gt;0),-500,VLOOKUP($F252,Lists!$L$2:$M$4,2,FALSE)+IF($E252="In Progress",10,0)+IF(AND($I252&lt;&gt;"",$I252&lt;TODAY()),25,0)+IF(AND($I252&lt;&gt;"",$I252&gt;=TODAY(),$I252&lt;=TODAY()+7),15,0)+IF($H252="",0,IF($M252&lt;=VLOOKUP(Home!$C$7,Lists!$N$2:$O$6,2,FALSE),20,-10))+IF($G252=Home!$E$7,15,IF(Home!$E$7="",0,-5))-ROW()/100000)))</f>
        <v/>
      </c>
      <c r="O252" s="88">
        <f>IF($D252="","",IF($N252&lt;=-500,"Not recommended right now",IF($E252="Waiting","Nothing else actionable right now — Waiting on: "&amp;IF($K252="","this item",$K252),MID($V252,4,9999))))</f>
        <v/>
      </c>
      <c r="P252" s="88">
        <f>IF($D252="","",IF('Task Finder'!$C$6="High Priority",AND($F252="High",$E252&lt;&gt;"Done",$E252&lt;&gt;"Archive"),IF('Task Finder'!$C$6="Due This Week",AND($I252&lt;&gt;"",$I252&gt;=TODAY(),$I252&lt;=TODAY()+7,$E252&lt;&gt;"Done"),IF('Task Finder'!$C$6="Quick Wins (15 mins or less)",AND($M252&lt;=15,$E252&lt;&gt;"Done",$E252&lt;&gt;"Blocked"),IF('Task Finder'!$C$6="Deep Thinking",AND($G252="Deep Thinking",$E252&lt;&gt;"Done"),IF('Task Finder'!$C$6="Processing",AND($G252="Processing",$E252&lt;&gt;"Done"),IF('Task Finder'!$C$6="Blocked",$E252="Blocked",IF('Task Finder'!$C$6="Waiting",$E252="Waiting",IF('Task Finder'!$C$6="Recently Updated",AND($L252&lt;&gt;"",$L252&gt;=TODAY()-7),IF('Task Finder'!$C$6="Keyword",AND('Task Finder'!$C$7&lt;&gt;"",OR(ISNUMBER(SEARCH('Task Finder'!$C$7,$A252)),ISNUMBER(SEARCH('Task Finder'!$C$7,$B252)),ISNUMBER(SEARCH('Task Finder'!$C$7,$C252)),ISNUMBER(SEARCH('Task Finder'!$C$7,$D252)),ISNUMBER(SEARCH('Task Finder'!$C$7,$K252)))),TRUE))))))))))</f>
        <v/>
      </c>
      <c r="Q252" s="150">
        <f>IF($F252="High","High Priority","")</f>
        <v/>
      </c>
      <c r="R252" s="150">
        <f>IF(AND($I252&lt;&gt;"",$I252&lt;TODAY()),"Overdue","")</f>
        <v/>
      </c>
      <c r="S252" s="150">
        <f>IF(AND($I252&lt;&gt;"",$I252&gt;=TODAY(),$I252&lt;=TODAY()+7),"Due This Week","")</f>
        <v/>
      </c>
      <c r="T252" s="150">
        <f>IF(AND($H252&lt;&gt;"",$M252&lt;=VLOOKUP(Home!$C$7,Lists!$N$2:$O$6,2,FALSE)),$H252&amp;" Task","")</f>
        <v/>
      </c>
      <c r="U252" s="150">
        <f>IF($G252=Home!$E$7,"Fits Current Energy","")</f>
        <v/>
      </c>
      <c r="V252" s="150">
        <f>IF($Q252&lt;&gt;""," • "&amp;$Q252,"")&amp;IF($R252&lt;&gt;""," • "&amp;$R252,"")&amp;IF($S252&lt;&gt;""," • "&amp;$S252,"")&amp;IF($T252&lt;&gt;""," • "&amp;$T252,"")&amp;IF($U252&lt;&gt;""," • "&amp;$U252,"")&amp;" • No Blockers"</f>
        <v/>
      </c>
    </row>
    <row r="253">
      <c r="A253" s="19" t="n"/>
      <c r="B253" s="19" t="n"/>
      <c r="C253" s="19" t="n"/>
      <c r="D253" s="19" t="n"/>
      <c r="E253" s="19" t="n"/>
      <c r="F253" s="19" t="n"/>
      <c r="G253" s="19" t="n"/>
      <c r="H253" s="19" t="n"/>
      <c r="I253" s="19" t="n"/>
      <c r="J253" s="19" t="n"/>
      <c r="K253" s="19" t="n"/>
      <c r="L253" s="125" t="n"/>
      <c r="M253" s="88">
        <f>IF($D253="","",IFERROR(VLOOKUP($H253,Lists!$N$2:$O$6,2,FALSE),0))</f>
        <v/>
      </c>
      <c r="N253" s="88">
        <f>IF($D253="","",IF(OR($E253="Blocked",$E253="Done",$E253="Archive"),-9999,IF(AND($E253="Waiting",SUMPRODUCT((($E$5:$E$500="Next")+($E$5:$E$500="In Progress")+($E$5:$E$500="Captured"))*($D$5:$D$500&lt;&gt;""))&gt;0),-500,VLOOKUP($F253,Lists!$L$2:$M$4,2,FALSE)+IF($E253="In Progress",10,0)+IF(AND($I253&lt;&gt;"",$I253&lt;TODAY()),25,0)+IF(AND($I253&lt;&gt;"",$I253&gt;=TODAY(),$I253&lt;=TODAY()+7),15,0)+IF($H253="",0,IF($M253&lt;=VLOOKUP(Home!$C$7,Lists!$N$2:$O$6,2,FALSE),20,-10))+IF($G253=Home!$E$7,15,IF(Home!$E$7="",0,-5))-ROW()/100000)))</f>
        <v/>
      </c>
      <c r="O253" s="88">
        <f>IF($D253="","",IF($N253&lt;=-500,"Not recommended right now",IF($E253="Waiting","Nothing else actionable right now — Waiting on: "&amp;IF($K253="","this item",$K253),MID($V253,4,9999))))</f>
        <v/>
      </c>
      <c r="P253" s="88">
        <f>IF($D253="","",IF('Task Finder'!$C$6="High Priority",AND($F253="High",$E253&lt;&gt;"Done",$E253&lt;&gt;"Archive"),IF('Task Finder'!$C$6="Due This Week",AND($I253&lt;&gt;"",$I253&gt;=TODAY(),$I253&lt;=TODAY()+7,$E253&lt;&gt;"Done"),IF('Task Finder'!$C$6="Quick Wins (15 mins or less)",AND($M253&lt;=15,$E253&lt;&gt;"Done",$E253&lt;&gt;"Blocked"),IF('Task Finder'!$C$6="Deep Thinking",AND($G253="Deep Thinking",$E253&lt;&gt;"Done"),IF('Task Finder'!$C$6="Processing",AND($G253="Processing",$E253&lt;&gt;"Done"),IF('Task Finder'!$C$6="Blocked",$E253="Blocked",IF('Task Finder'!$C$6="Waiting",$E253="Waiting",IF('Task Finder'!$C$6="Recently Updated",AND($L253&lt;&gt;"",$L253&gt;=TODAY()-7),IF('Task Finder'!$C$6="Keyword",AND('Task Finder'!$C$7&lt;&gt;"",OR(ISNUMBER(SEARCH('Task Finder'!$C$7,$A253)),ISNUMBER(SEARCH('Task Finder'!$C$7,$B253)),ISNUMBER(SEARCH('Task Finder'!$C$7,$C253)),ISNUMBER(SEARCH('Task Finder'!$C$7,$D253)),ISNUMBER(SEARCH('Task Finder'!$C$7,$K253)))),TRUE))))))))))</f>
        <v/>
      </c>
      <c r="Q253" s="150">
        <f>IF($F253="High","High Priority","")</f>
        <v/>
      </c>
      <c r="R253" s="150">
        <f>IF(AND($I253&lt;&gt;"",$I253&lt;TODAY()),"Overdue","")</f>
        <v/>
      </c>
      <c r="S253" s="150">
        <f>IF(AND($I253&lt;&gt;"",$I253&gt;=TODAY(),$I253&lt;=TODAY()+7),"Due This Week","")</f>
        <v/>
      </c>
      <c r="T253" s="150">
        <f>IF(AND($H253&lt;&gt;"",$M253&lt;=VLOOKUP(Home!$C$7,Lists!$N$2:$O$6,2,FALSE)),$H253&amp;" Task","")</f>
        <v/>
      </c>
      <c r="U253" s="150">
        <f>IF($G253=Home!$E$7,"Fits Current Energy","")</f>
        <v/>
      </c>
      <c r="V253" s="150">
        <f>IF($Q253&lt;&gt;""," • "&amp;$Q253,"")&amp;IF($R253&lt;&gt;""," • "&amp;$R253,"")&amp;IF($S253&lt;&gt;""," • "&amp;$S253,"")&amp;IF($T253&lt;&gt;""," • "&amp;$T253,"")&amp;IF($U253&lt;&gt;""," • "&amp;$U253,"")&amp;" • No Blockers"</f>
        <v/>
      </c>
    </row>
    <row r="254">
      <c r="A254" s="19" t="n"/>
      <c r="B254" s="19" t="n"/>
      <c r="C254" s="19" t="n"/>
      <c r="D254" s="19" t="n"/>
      <c r="E254" s="19" t="n"/>
      <c r="F254" s="19" t="n"/>
      <c r="G254" s="19" t="n"/>
      <c r="H254" s="19" t="n"/>
      <c r="I254" s="19" t="n"/>
      <c r="J254" s="19" t="n"/>
      <c r="K254" s="19" t="n"/>
      <c r="L254" s="125" t="n"/>
      <c r="M254" s="88">
        <f>IF($D254="","",IFERROR(VLOOKUP($H254,Lists!$N$2:$O$6,2,FALSE),0))</f>
        <v/>
      </c>
      <c r="N254" s="88">
        <f>IF($D254="","",IF(OR($E254="Blocked",$E254="Done",$E254="Archive"),-9999,IF(AND($E254="Waiting",SUMPRODUCT((($E$5:$E$500="Next")+($E$5:$E$500="In Progress")+($E$5:$E$500="Captured"))*($D$5:$D$500&lt;&gt;""))&gt;0),-500,VLOOKUP($F254,Lists!$L$2:$M$4,2,FALSE)+IF($E254="In Progress",10,0)+IF(AND($I254&lt;&gt;"",$I254&lt;TODAY()),25,0)+IF(AND($I254&lt;&gt;"",$I254&gt;=TODAY(),$I254&lt;=TODAY()+7),15,0)+IF($H254="",0,IF($M254&lt;=VLOOKUP(Home!$C$7,Lists!$N$2:$O$6,2,FALSE),20,-10))+IF($G254=Home!$E$7,15,IF(Home!$E$7="",0,-5))-ROW()/100000)))</f>
        <v/>
      </c>
      <c r="O254" s="88">
        <f>IF($D254="","",IF($N254&lt;=-500,"Not recommended right now",IF($E254="Waiting","Nothing else actionable right now — Waiting on: "&amp;IF($K254="","this item",$K254),MID($V254,4,9999))))</f>
        <v/>
      </c>
      <c r="P254" s="88">
        <f>IF($D254="","",IF('Task Finder'!$C$6="High Priority",AND($F254="High",$E254&lt;&gt;"Done",$E254&lt;&gt;"Archive"),IF('Task Finder'!$C$6="Due This Week",AND($I254&lt;&gt;"",$I254&gt;=TODAY(),$I254&lt;=TODAY()+7,$E254&lt;&gt;"Done"),IF('Task Finder'!$C$6="Quick Wins (15 mins or less)",AND($M254&lt;=15,$E254&lt;&gt;"Done",$E254&lt;&gt;"Blocked"),IF('Task Finder'!$C$6="Deep Thinking",AND($G254="Deep Thinking",$E254&lt;&gt;"Done"),IF('Task Finder'!$C$6="Processing",AND($G254="Processing",$E254&lt;&gt;"Done"),IF('Task Finder'!$C$6="Blocked",$E254="Blocked",IF('Task Finder'!$C$6="Waiting",$E254="Waiting",IF('Task Finder'!$C$6="Recently Updated",AND($L254&lt;&gt;"",$L254&gt;=TODAY()-7),IF('Task Finder'!$C$6="Keyword",AND('Task Finder'!$C$7&lt;&gt;"",OR(ISNUMBER(SEARCH('Task Finder'!$C$7,$A254)),ISNUMBER(SEARCH('Task Finder'!$C$7,$B254)),ISNUMBER(SEARCH('Task Finder'!$C$7,$C254)),ISNUMBER(SEARCH('Task Finder'!$C$7,$D254)),ISNUMBER(SEARCH('Task Finder'!$C$7,$K254)))),TRUE))))))))))</f>
        <v/>
      </c>
      <c r="Q254" s="150">
        <f>IF($F254="High","High Priority","")</f>
        <v/>
      </c>
      <c r="R254" s="150">
        <f>IF(AND($I254&lt;&gt;"",$I254&lt;TODAY()),"Overdue","")</f>
        <v/>
      </c>
      <c r="S254" s="150">
        <f>IF(AND($I254&lt;&gt;"",$I254&gt;=TODAY(),$I254&lt;=TODAY()+7),"Due This Week","")</f>
        <v/>
      </c>
      <c r="T254" s="150">
        <f>IF(AND($H254&lt;&gt;"",$M254&lt;=VLOOKUP(Home!$C$7,Lists!$N$2:$O$6,2,FALSE)),$H254&amp;" Task","")</f>
        <v/>
      </c>
      <c r="U254" s="150">
        <f>IF($G254=Home!$E$7,"Fits Current Energy","")</f>
        <v/>
      </c>
      <c r="V254" s="150">
        <f>IF($Q254&lt;&gt;""," • "&amp;$Q254,"")&amp;IF($R254&lt;&gt;""," • "&amp;$R254,"")&amp;IF($S254&lt;&gt;""," • "&amp;$S254,"")&amp;IF($T254&lt;&gt;""," • "&amp;$T254,"")&amp;IF($U254&lt;&gt;""," • "&amp;$U254,"")&amp;" • No Blockers"</f>
        <v/>
      </c>
    </row>
    <row r="255">
      <c r="A255" s="19" t="n"/>
      <c r="B255" s="19" t="n"/>
      <c r="C255" s="19" t="n"/>
      <c r="D255" s="19" t="n"/>
      <c r="E255" s="19" t="n"/>
      <c r="F255" s="19" t="n"/>
      <c r="G255" s="19" t="n"/>
      <c r="H255" s="19" t="n"/>
      <c r="I255" s="19" t="n"/>
      <c r="J255" s="19" t="n"/>
      <c r="K255" s="19" t="n"/>
      <c r="L255" s="125" t="n"/>
      <c r="M255" s="88">
        <f>IF($D255="","",IFERROR(VLOOKUP($H255,Lists!$N$2:$O$6,2,FALSE),0))</f>
        <v/>
      </c>
      <c r="N255" s="88">
        <f>IF($D255="","",IF(OR($E255="Blocked",$E255="Done",$E255="Archive"),-9999,IF(AND($E255="Waiting",SUMPRODUCT((($E$5:$E$500="Next")+($E$5:$E$500="In Progress")+($E$5:$E$500="Captured"))*($D$5:$D$500&lt;&gt;""))&gt;0),-500,VLOOKUP($F255,Lists!$L$2:$M$4,2,FALSE)+IF($E255="In Progress",10,0)+IF(AND($I255&lt;&gt;"",$I255&lt;TODAY()),25,0)+IF(AND($I255&lt;&gt;"",$I255&gt;=TODAY(),$I255&lt;=TODAY()+7),15,0)+IF($H255="",0,IF($M255&lt;=VLOOKUP(Home!$C$7,Lists!$N$2:$O$6,2,FALSE),20,-10))+IF($G255=Home!$E$7,15,IF(Home!$E$7="",0,-5))-ROW()/100000)))</f>
        <v/>
      </c>
      <c r="O255" s="88">
        <f>IF($D255="","",IF($N255&lt;=-500,"Not recommended right now",IF($E255="Waiting","Nothing else actionable right now — Waiting on: "&amp;IF($K255="","this item",$K255),MID($V255,4,9999))))</f>
        <v/>
      </c>
      <c r="P255" s="88">
        <f>IF($D255="","",IF('Task Finder'!$C$6="High Priority",AND($F255="High",$E255&lt;&gt;"Done",$E255&lt;&gt;"Archive"),IF('Task Finder'!$C$6="Due This Week",AND($I255&lt;&gt;"",$I255&gt;=TODAY(),$I255&lt;=TODAY()+7,$E255&lt;&gt;"Done"),IF('Task Finder'!$C$6="Quick Wins (15 mins or less)",AND($M255&lt;=15,$E255&lt;&gt;"Done",$E255&lt;&gt;"Blocked"),IF('Task Finder'!$C$6="Deep Thinking",AND($G255="Deep Thinking",$E255&lt;&gt;"Done"),IF('Task Finder'!$C$6="Processing",AND($G255="Processing",$E255&lt;&gt;"Done"),IF('Task Finder'!$C$6="Blocked",$E255="Blocked",IF('Task Finder'!$C$6="Waiting",$E255="Waiting",IF('Task Finder'!$C$6="Recently Updated",AND($L255&lt;&gt;"",$L255&gt;=TODAY()-7),IF('Task Finder'!$C$6="Keyword",AND('Task Finder'!$C$7&lt;&gt;"",OR(ISNUMBER(SEARCH('Task Finder'!$C$7,$A255)),ISNUMBER(SEARCH('Task Finder'!$C$7,$B255)),ISNUMBER(SEARCH('Task Finder'!$C$7,$C255)),ISNUMBER(SEARCH('Task Finder'!$C$7,$D255)),ISNUMBER(SEARCH('Task Finder'!$C$7,$K255)))),TRUE))))))))))</f>
        <v/>
      </c>
      <c r="Q255" s="150">
        <f>IF($F255="High","High Priority","")</f>
        <v/>
      </c>
      <c r="R255" s="150">
        <f>IF(AND($I255&lt;&gt;"",$I255&lt;TODAY()),"Overdue","")</f>
        <v/>
      </c>
      <c r="S255" s="150">
        <f>IF(AND($I255&lt;&gt;"",$I255&gt;=TODAY(),$I255&lt;=TODAY()+7),"Due This Week","")</f>
        <v/>
      </c>
      <c r="T255" s="150">
        <f>IF(AND($H255&lt;&gt;"",$M255&lt;=VLOOKUP(Home!$C$7,Lists!$N$2:$O$6,2,FALSE)),$H255&amp;" Task","")</f>
        <v/>
      </c>
      <c r="U255" s="150">
        <f>IF($G255=Home!$E$7,"Fits Current Energy","")</f>
        <v/>
      </c>
      <c r="V255" s="150">
        <f>IF($Q255&lt;&gt;""," • "&amp;$Q255,"")&amp;IF($R255&lt;&gt;""," • "&amp;$R255,"")&amp;IF($S255&lt;&gt;""," • "&amp;$S255,"")&amp;IF($T255&lt;&gt;""," • "&amp;$T255,"")&amp;IF($U255&lt;&gt;""," • "&amp;$U255,"")&amp;" • No Blockers"</f>
        <v/>
      </c>
    </row>
    <row r="256">
      <c r="A256" s="19" t="n"/>
      <c r="B256" s="19" t="n"/>
      <c r="C256" s="19" t="n"/>
      <c r="D256" s="19" t="n"/>
      <c r="E256" s="19" t="n"/>
      <c r="F256" s="19" t="n"/>
      <c r="G256" s="19" t="n"/>
      <c r="H256" s="19" t="n"/>
      <c r="I256" s="19" t="n"/>
      <c r="J256" s="19" t="n"/>
      <c r="K256" s="19" t="n"/>
      <c r="L256" s="125" t="n"/>
      <c r="M256" s="88">
        <f>IF($D256="","",IFERROR(VLOOKUP($H256,Lists!$N$2:$O$6,2,FALSE),0))</f>
        <v/>
      </c>
      <c r="N256" s="88">
        <f>IF($D256="","",IF(OR($E256="Blocked",$E256="Done",$E256="Archive"),-9999,IF(AND($E256="Waiting",SUMPRODUCT((($E$5:$E$500="Next")+($E$5:$E$500="In Progress")+($E$5:$E$500="Captured"))*($D$5:$D$500&lt;&gt;""))&gt;0),-500,VLOOKUP($F256,Lists!$L$2:$M$4,2,FALSE)+IF($E256="In Progress",10,0)+IF(AND($I256&lt;&gt;"",$I256&lt;TODAY()),25,0)+IF(AND($I256&lt;&gt;"",$I256&gt;=TODAY(),$I256&lt;=TODAY()+7),15,0)+IF($H256="",0,IF($M256&lt;=VLOOKUP(Home!$C$7,Lists!$N$2:$O$6,2,FALSE),20,-10))+IF($G256=Home!$E$7,15,IF(Home!$E$7="",0,-5))-ROW()/100000)))</f>
        <v/>
      </c>
      <c r="O256" s="88">
        <f>IF($D256="","",IF($N256&lt;=-500,"Not recommended right now",IF($E256="Waiting","Nothing else actionable right now — Waiting on: "&amp;IF($K256="","this item",$K256),MID($V256,4,9999))))</f>
        <v/>
      </c>
      <c r="P256" s="88">
        <f>IF($D256="","",IF('Task Finder'!$C$6="High Priority",AND($F256="High",$E256&lt;&gt;"Done",$E256&lt;&gt;"Archive"),IF('Task Finder'!$C$6="Due This Week",AND($I256&lt;&gt;"",$I256&gt;=TODAY(),$I256&lt;=TODAY()+7,$E256&lt;&gt;"Done"),IF('Task Finder'!$C$6="Quick Wins (15 mins or less)",AND($M256&lt;=15,$E256&lt;&gt;"Done",$E256&lt;&gt;"Blocked"),IF('Task Finder'!$C$6="Deep Thinking",AND($G256="Deep Thinking",$E256&lt;&gt;"Done"),IF('Task Finder'!$C$6="Processing",AND($G256="Processing",$E256&lt;&gt;"Done"),IF('Task Finder'!$C$6="Blocked",$E256="Blocked",IF('Task Finder'!$C$6="Waiting",$E256="Waiting",IF('Task Finder'!$C$6="Recently Updated",AND($L256&lt;&gt;"",$L256&gt;=TODAY()-7),IF('Task Finder'!$C$6="Keyword",AND('Task Finder'!$C$7&lt;&gt;"",OR(ISNUMBER(SEARCH('Task Finder'!$C$7,$A256)),ISNUMBER(SEARCH('Task Finder'!$C$7,$B256)),ISNUMBER(SEARCH('Task Finder'!$C$7,$C256)),ISNUMBER(SEARCH('Task Finder'!$C$7,$D256)),ISNUMBER(SEARCH('Task Finder'!$C$7,$K256)))),TRUE))))))))))</f>
        <v/>
      </c>
      <c r="Q256" s="150">
        <f>IF($F256="High","High Priority","")</f>
        <v/>
      </c>
      <c r="R256" s="150">
        <f>IF(AND($I256&lt;&gt;"",$I256&lt;TODAY()),"Overdue","")</f>
        <v/>
      </c>
      <c r="S256" s="150">
        <f>IF(AND($I256&lt;&gt;"",$I256&gt;=TODAY(),$I256&lt;=TODAY()+7),"Due This Week","")</f>
        <v/>
      </c>
      <c r="T256" s="150">
        <f>IF(AND($H256&lt;&gt;"",$M256&lt;=VLOOKUP(Home!$C$7,Lists!$N$2:$O$6,2,FALSE)),$H256&amp;" Task","")</f>
        <v/>
      </c>
      <c r="U256" s="150">
        <f>IF($G256=Home!$E$7,"Fits Current Energy","")</f>
        <v/>
      </c>
      <c r="V256" s="150">
        <f>IF($Q256&lt;&gt;""," • "&amp;$Q256,"")&amp;IF($R256&lt;&gt;""," • "&amp;$R256,"")&amp;IF($S256&lt;&gt;""," • "&amp;$S256,"")&amp;IF($T256&lt;&gt;""," • "&amp;$T256,"")&amp;IF($U256&lt;&gt;""," • "&amp;$U256,"")&amp;" • No Blockers"</f>
        <v/>
      </c>
    </row>
    <row r="257">
      <c r="A257" s="19" t="n"/>
      <c r="B257" s="19" t="n"/>
      <c r="C257" s="19" t="n"/>
      <c r="D257" s="19" t="n"/>
      <c r="E257" s="19" t="n"/>
      <c r="F257" s="19" t="n"/>
      <c r="G257" s="19" t="n"/>
      <c r="H257" s="19" t="n"/>
      <c r="I257" s="19" t="n"/>
      <c r="J257" s="19" t="n"/>
      <c r="K257" s="19" t="n"/>
      <c r="L257" s="125" t="n"/>
      <c r="M257" s="88">
        <f>IF($D257="","",IFERROR(VLOOKUP($H257,Lists!$N$2:$O$6,2,FALSE),0))</f>
        <v/>
      </c>
      <c r="N257" s="88">
        <f>IF($D257="","",IF(OR($E257="Blocked",$E257="Done",$E257="Archive"),-9999,IF(AND($E257="Waiting",SUMPRODUCT((($E$5:$E$500="Next")+($E$5:$E$500="In Progress")+($E$5:$E$500="Captured"))*($D$5:$D$500&lt;&gt;""))&gt;0),-500,VLOOKUP($F257,Lists!$L$2:$M$4,2,FALSE)+IF($E257="In Progress",10,0)+IF(AND($I257&lt;&gt;"",$I257&lt;TODAY()),25,0)+IF(AND($I257&lt;&gt;"",$I257&gt;=TODAY(),$I257&lt;=TODAY()+7),15,0)+IF($H257="",0,IF($M257&lt;=VLOOKUP(Home!$C$7,Lists!$N$2:$O$6,2,FALSE),20,-10))+IF($G257=Home!$E$7,15,IF(Home!$E$7="",0,-5))-ROW()/100000)))</f>
        <v/>
      </c>
      <c r="O257" s="88">
        <f>IF($D257="","",IF($N257&lt;=-500,"Not recommended right now",IF($E257="Waiting","Nothing else actionable right now — Waiting on: "&amp;IF($K257="","this item",$K257),MID($V257,4,9999))))</f>
        <v/>
      </c>
      <c r="P257" s="88">
        <f>IF($D257="","",IF('Task Finder'!$C$6="High Priority",AND($F257="High",$E257&lt;&gt;"Done",$E257&lt;&gt;"Archive"),IF('Task Finder'!$C$6="Due This Week",AND($I257&lt;&gt;"",$I257&gt;=TODAY(),$I257&lt;=TODAY()+7,$E257&lt;&gt;"Done"),IF('Task Finder'!$C$6="Quick Wins (15 mins or less)",AND($M257&lt;=15,$E257&lt;&gt;"Done",$E257&lt;&gt;"Blocked"),IF('Task Finder'!$C$6="Deep Thinking",AND($G257="Deep Thinking",$E257&lt;&gt;"Done"),IF('Task Finder'!$C$6="Processing",AND($G257="Processing",$E257&lt;&gt;"Done"),IF('Task Finder'!$C$6="Blocked",$E257="Blocked",IF('Task Finder'!$C$6="Waiting",$E257="Waiting",IF('Task Finder'!$C$6="Recently Updated",AND($L257&lt;&gt;"",$L257&gt;=TODAY()-7),IF('Task Finder'!$C$6="Keyword",AND('Task Finder'!$C$7&lt;&gt;"",OR(ISNUMBER(SEARCH('Task Finder'!$C$7,$A257)),ISNUMBER(SEARCH('Task Finder'!$C$7,$B257)),ISNUMBER(SEARCH('Task Finder'!$C$7,$C257)),ISNUMBER(SEARCH('Task Finder'!$C$7,$D257)),ISNUMBER(SEARCH('Task Finder'!$C$7,$K257)))),TRUE))))))))))</f>
        <v/>
      </c>
      <c r="Q257" s="150">
        <f>IF($F257="High","High Priority","")</f>
        <v/>
      </c>
      <c r="R257" s="150">
        <f>IF(AND($I257&lt;&gt;"",$I257&lt;TODAY()),"Overdue","")</f>
        <v/>
      </c>
      <c r="S257" s="150">
        <f>IF(AND($I257&lt;&gt;"",$I257&gt;=TODAY(),$I257&lt;=TODAY()+7),"Due This Week","")</f>
        <v/>
      </c>
      <c r="T257" s="150">
        <f>IF(AND($H257&lt;&gt;"",$M257&lt;=VLOOKUP(Home!$C$7,Lists!$N$2:$O$6,2,FALSE)),$H257&amp;" Task","")</f>
        <v/>
      </c>
      <c r="U257" s="150">
        <f>IF($G257=Home!$E$7,"Fits Current Energy","")</f>
        <v/>
      </c>
      <c r="V257" s="150">
        <f>IF($Q257&lt;&gt;""," • "&amp;$Q257,"")&amp;IF($R257&lt;&gt;""," • "&amp;$R257,"")&amp;IF($S257&lt;&gt;""," • "&amp;$S257,"")&amp;IF($T257&lt;&gt;""," • "&amp;$T257,"")&amp;IF($U257&lt;&gt;""," • "&amp;$U257,"")&amp;" • No Blockers"</f>
        <v/>
      </c>
    </row>
    <row r="258">
      <c r="A258" s="19" t="n"/>
      <c r="B258" s="19" t="n"/>
      <c r="C258" s="19" t="n"/>
      <c r="D258" s="19" t="n"/>
      <c r="E258" s="19" t="n"/>
      <c r="F258" s="19" t="n"/>
      <c r="G258" s="19" t="n"/>
      <c r="H258" s="19" t="n"/>
      <c r="I258" s="19" t="n"/>
      <c r="J258" s="19" t="n"/>
      <c r="K258" s="19" t="n"/>
      <c r="L258" s="125" t="n"/>
      <c r="M258" s="88">
        <f>IF($D258="","",IFERROR(VLOOKUP($H258,Lists!$N$2:$O$6,2,FALSE),0))</f>
        <v/>
      </c>
      <c r="N258" s="88">
        <f>IF($D258="","",IF(OR($E258="Blocked",$E258="Done",$E258="Archive"),-9999,IF(AND($E258="Waiting",SUMPRODUCT((($E$5:$E$500="Next")+($E$5:$E$500="In Progress")+($E$5:$E$500="Captured"))*($D$5:$D$500&lt;&gt;""))&gt;0),-500,VLOOKUP($F258,Lists!$L$2:$M$4,2,FALSE)+IF($E258="In Progress",10,0)+IF(AND($I258&lt;&gt;"",$I258&lt;TODAY()),25,0)+IF(AND($I258&lt;&gt;"",$I258&gt;=TODAY(),$I258&lt;=TODAY()+7),15,0)+IF($H258="",0,IF($M258&lt;=VLOOKUP(Home!$C$7,Lists!$N$2:$O$6,2,FALSE),20,-10))+IF($G258=Home!$E$7,15,IF(Home!$E$7="",0,-5))-ROW()/100000)))</f>
        <v/>
      </c>
      <c r="O258" s="88">
        <f>IF($D258="","",IF($N258&lt;=-500,"Not recommended right now",IF($E258="Waiting","Nothing else actionable right now — Waiting on: "&amp;IF($K258="","this item",$K258),MID($V258,4,9999))))</f>
        <v/>
      </c>
      <c r="P258" s="88">
        <f>IF($D258="","",IF('Task Finder'!$C$6="High Priority",AND($F258="High",$E258&lt;&gt;"Done",$E258&lt;&gt;"Archive"),IF('Task Finder'!$C$6="Due This Week",AND($I258&lt;&gt;"",$I258&gt;=TODAY(),$I258&lt;=TODAY()+7,$E258&lt;&gt;"Done"),IF('Task Finder'!$C$6="Quick Wins (15 mins or less)",AND($M258&lt;=15,$E258&lt;&gt;"Done",$E258&lt;&gt;"Blocked"),IF('Task Finder'!$C$6="Deep Thinking",AND($G258="Deep Thinking",$E258&lt;&gt;"Done"),IF('Task Finder'!$C$6="Processing",AND($G258="Processing",$E258&lt;&gt;"Done"),IF('Task Finder'!$C$6="Blocked",$E258="Blocked",IF('Task Finder'!$C$6="Waiting",$E258="Waiting",IF('Task Finder'!$C$6="Recently Updated",AND($L258&lt;&gt;"",$L258&gt;=TODAY()-7),IF('Task Finder'!$C$6="Keyword",AND('Task Finder'!$C$7&lt;&gt;"",OR(ISNUMBER(SEARCH('Task Finder'!$C$7,$A258)),ISNUMBER(SEARCH('Task Finder'!$C$7,$B258)),ISNUMBER(SEARCH('Task Finder'!$C$7,$C258)),ISNUMBER(SEARCH('Task Finder'!$C$7,$D258)),ISNUMBER(SEARCH('Task Finder'!$C$7,$K258)))),TRUE))))))))))</f>
        <v/>
      </c>
      <c r="Q258" s="150">
        <f>IF($F258="High","High Priority","")</f>
        <v/>
      </c>
      <c r="R258" s="150">
        <f>IF(AND($I258&lt;&gt;"",$I258&lt;TODAY()),"Overdue","")</f>
        <v/>
      </c>
      <c r="S258" s="150">
        <f>IF(AND($I258&lt;&gt;"",$I258&gt;=TODAY(),$I258&lt;=TODAY()+7),"Due This Week","")</f>
        <v/>
      </c>
      <c r="T258" s="150">
        <f>IF(AND($H258&lt;&gt;"",$M258&lt;=VLOOKUP(Home!$C$7,Lists!$N$2:$O$6,2,FALSE)),$H258&amp;" Task","")</f>
        <v/>
      </c>
      <c r="U258" s="150">
        <f>IF($G258=Home!$E$7,"Fits Current Energy","")</f>
        <v/>
      </c>
      <c r="V258" s="150">
        <f>IF($Q258&lt;&gt;""," • "&amp;$Q258,"")&amp;IF($R258&lt;&gt;""," • "&amp;$R258,"")&amp;IF($S258&lt;&gt;""," • "&amp;$S258,"")&amp;IF($T258&lt;&gt;""," • "&amp;$T258,"")&amp;IF($U258&lt;&gt;""," • "&amp;$U258,"")&amp;" • No Blockers"</f>
        <v/>
      </c>
    </row>
    <row r="259">
      <c r="A259" s="19" t="n"/>
      <c r="B259" s="19" t="n"/>
      <c r="C259" s="19" t="n"/>
      <c r="D259" s="19" t="n"/>
      <c r="E259" s="19" t="n"/>
      <c r="F259" s="19" t="n"/>
      <c r="G259" s="19" t="n"/>
      <c r="H259" s="19" t="n"/>
      <c r="I259" s="19" t="n"/>
      <c r="J259" s="19" t="n"/>
      <c r="K259" s="19" t="n"/>
      <c r="L259" s="125" t="n"/>
      <c r="M259" s="88">
        <f>IF($D259="","",IFERROR(VLOOKUP($H259,Lists!$N$2:$O$6,2,FALSE),0))</f>
        <v/>
      </c>
      <c r="N259" s="88">
        <f>IF($D259="","",IF(OR($E259="Blocked",$E259="Done",$E259="Archive"),-9999,IF(AND($E259="Waiting",SUMPRODUCT((($E$5:$E$500="Next")+($E$5:$E$500="In Progress")+($E$5:$E$500="Captured"))*($D$5:$D$500&lt;&gt;""))&gt;0),-500,VLOOKUP($F259,Lists!$L$2:$M$4,2,FALSE)+IF($E259="In Progress",10,0)+IF(AND($I259&lt;&gt;"",$I259&lt;TODAY()),25,0)+IF(AND($I259&lt;&gt;"",$I259&gt;=TODAY(),$I259&lt;=TODAY()+7),15,0)+IF($H259="",0,IF($M259&lt;=VLOOKUP(Home!$C$7,Lists!$N$2:$O$6,2,FALSE),20,-10))+IF($G259=Home!$E$7,15,IF(Home!$E$7="",0,-5))-ROW()/100000)))</f>
        <v/>
      </c>
      <c r="O259" s="88">
        <f>IF($D259="","",IF($N259&lt;=-500,"Not recommended right now",IF($E259="Waiting","Nothing else actionable right now — Waiting on: "&amp;IF($K259="","this item",$K259),MID($V259,4,9999))))</f>
        <v/>
      </c>
      <c r="P259" s="88">
        <f>IF($D259="","",IF('Task Finder'!$C$6="High Priority",AND($F259="High",$E259&lt;&gt;"Done",$E259&lt;&gt;"Archive"),IF('Task Finder'!$C$6="Due This Week",AND($I259&lt;&gt;"",$I259&gt;=TODAY(),$I259&lt;=TODAY()+7,$E259&lt;&gt;"Done"),IF('Task Finder'!$C$6="Quick Wins (15 mins or less)",AND($M259&lt;=15,$E259&lt;&gt;"Done",$E259&lt;&gt;"Blocked"),IF('Task Finder'!$C$6="Deep Thinking",AND($G259="Deep Thinking",$E259&lt;&gt;"Done"),IF('Task Finder'!$C$6="Processing",AND($G259="Processing",$E259&lt;&gt;"Done"),IF('Task Finder'!$C$6="Blocked",$E259="Blocked",IF('Task Finder'!$C$6="Waiting",$E259="Waiting",IF('Task Finder'!$C$6="Recently Updated",AND($L259&lt;&gt;"",$L259&gt;=TODAY()-7),IF('Task Finder'!$C$6="Keyword",AND('Task Finder'!$C$7&lt;&gt;"",OR(ISNUMBER(SEARCH('Task Finder'!$C$7,$A259)),ISNUMBER(SEARCH('Task Finder'!$C$7,$B259)),ISNUMBER(SEARCH('Task Finder'!$C$7,$C259)),ISNUMBER(SEARCH('Task Finder'!$C$7,$D259)),ISNUMBER(SEARCH('Task Finder'!$C$7,$K259)))),TRUE))))))))))</f>
        <v/>
      </c>
      <c r="Q259" s="150">
        <f>IF($F259="High","High Priority","")</f>
        <v/>
      </c>
      <c r="R259" s="150">
        <f>IF(AND($I259&lt;&gt;"",$I259&lt;TODAY()),"Overdue","")</f>
        <v/>
      </c>
      <c r="S259" s="150">
        <f>IF(AND($I259&lt;&gt;"",$I259&gt;=TODAY(),$I259&lt;=TODAY()+7),"Due This Week","")</f>
        <v/>
      </c>
      <c r="T259" s="150">
        <f>IF(AND($H259&lt;&gt;"",$M259&lt;=VLOOKUP(Home!$C$7,Lists!$N$2:$O$6,2,FALSE)),$H259&amp;" Task","")</f>
        <v/>
      </c>
      <c r="U259" s="150">
        <f>IF($G259=Home!$E$7,"Fits Current Energy","")</f>
        <v/>
      </c>
      <c r="V259" s="150">
        <f>IF($Q259&lt;&gt;""," • "&amp;$Q259,"")&amp;IF($R259&lt;&gt;""," • "&amp;$R259,"")&amp;IF($S259&lt;&gt;""," • "&amp;$S259,"")&amp;IF($T259&lt;&gt;""," • "&amp;$T259,"")&amp;IF($U259&lt;&gt;""," • "&amp;$U259,"")&amp;" • No Blockers"</f>
        <v/>
      </c>
    </row>
    <row r="260">
      <c r="A260" s="19" t="n"/>
      <c r="B260" s="19" t="n"/>
      <c r="C260" s="19" t="n"/>
      <c r="D260" s="19" t="n"/>
      <c r="E260" s="19" t="n"/>
      <c r="F260" s="19" t="n"/>
      <c r="G260" s="19" t="n"/>
      <c r="H260" s="19" t="n"/>
      <c r="I260" s="19" t="n"/>
      <c r="J260" s="19" t="n"/>
      <c r="K260" s="19" t="n"/>
      <c r="L260" s="125" t="n"/>
      <c r="M260" s="88">
        <f>IF($D260="","",IFERROR(VLOOKUP($H260,Lists!$N$2:$O$6,2,FALSE),0))</f>
        <v/>
      </c>
      <c r="N260" s="88">
        <f>IF($D260="","",IF(OR($E260="Blocked",$E260="Done",$E260="Archive"),-9999,IF(AND($E260="Waiting",SUMPRODUCT((($E$5:$E$500="Next")+($E$5:$E$500="In Progress")+($E$5:$E$500="Captured"))*($D$5:$D$500&lt;&gt;""))&gt;0),-500,VLOOKUP($F260,Lists!$L$2:$M$4,2,FALSE)+IF($E260="In Progress",10,0)+IF(AND($I260&lt;&gt;"",$I260&lt;TODAY()),25,0)+IF(AND($I260&lt;&gt;"",$I260&gt;=TODAY(),$I260&lt;=TODAY()+7),15,0)+IF($H260="",0,IF($M260&lt;=VLOOKUP(Home!$C$7,Lists!$N$2:$O$6,2,FALSE),20,-10))+IF($G260=Home!$E$7,15,IF(Home!$E$7="",0,-5))-ROW()/100000)))</f>
        <v/>
      </c>
      <c r="O260" s="88">
        <f>IF($D260="","",IF($N260&lt;=-500,"Not recommended right now",IF($E260="Waiting","Nothing else actionable right now — Waiting on: "&amp;IF($K260="","this item",$K260),MID($V260,4,9999))))</f>
        <v/>
      </c>
      <c r="P260" s="88">
        <f>IF($D260="","",IF('Task Finder'!$C$6="High Priority",AND($F260="High",$E260&lt;&gt;"Done",$E260&lt;&gt;"Archive"),IF('Task Finder'!$C$6="Due This Week",AND($I260&lt;&gt;"",$I260&gt;=TODAY(),$I260&lt;=TODAY()+7,$E260&lt;&gt;"Done"),IF('Task Finder'!$C$6="Quick Wins (15 mins or less)",AND($M260&lt;=15,$E260&lt;&gt;"Done",$E260&lt;&gt;"Blocked"),IF('Task Finder'!$C$6="Deep Thinking",AND($G260="Deep Thinking",$E260&lt;&gt;"Done"),IF('Task Finder'!$C$6="Processing",AND($G260="Processing",$E260&lt;&gt;"Done"),IF('Task Finder'!$C$6="Blocked",$E260="Blocked",IF('Task Finder'!$C$6="Waiting",$E260="Waiting",IF('Task Finder'!$C$6="Recently Updated",AND($L260&lt;&gt;"",$L260&gt;=TODAY()-7),IF('Task Finder'!$C$6="Keyword",AND('Task Finder'!$C$7&lt;&gt;"",OR(ISNUMBER(SEARCH('Task Finder'!$C$7,$A260)),ISNUMBER(SEARCH('Task Finder'!$C$7,$B260)),ISNUMBER(SEARCH('Task Finder'!$C$7,$C260)),ISNUMBER(SEARCH('Task Finder'!$C$7,$D260)),ISNUMBER(SEARCH('Task Finder'!$C$7,$K260)))),TRUE))))))))))</f>
        <v/>
      </c>
      <c r="Q260" s="150">
        <f>IF($F260="High","High Priority","")</f>
        <v/>
      </c>
      <c r="R260" s="150">
        <f>IF(AND($I260&lt;&gt;"",$I260&lt;TODAY()),"Overdue","")</f>
        <v/>
      </c>
      <c r="S260" s="150">
        <f>IF(AND($I260&lt;&gt;"",$I260&gt;=TODAY(),$I260&lt;=TODAY()+7),"Due This Week","")</f>
        <v/>
      </c>
      <c r="T260" s="150">
        <f>IF(AND($H260&lt;&gt;"",$M260&lt;=VLOOKUP(Home!$C$7,Lists!$N$2:$O$6,2,FALSE)),$H260&amp;" Task","")</f>
        <v/>
      </c>
      <c r="U260" s="150">
        <f>IF($G260=Home!$E$7,"Fits Current Energy","")</f>
        <v/>
      </c>
      <c r="V260" s="150">
        <f>IF($Q260&lt;&gt;""," • "&amp;$Q260,"")&amp;IF($R260&lt;&gt;""," • "&amp;$R260,"")&amp;IF($S260&lt;&gt;""," • "&amp;$S260,"")&amp;IF($T260&lt;&gt;""," • "&amp;$T260,"")&amp;IF($U260&lt;&gt;""," • "&amp;$U260,"")&amp;" • No Blockers"</f>
        <v/>
      </c>
    </row>
    <row r="261">
      <c r="A261" s="19" t="n"/>
      <c r="B261" s="19" t="n"/>
      <c r="C261" s="19" t="n"/>
      <c r="D261" s="19" t="n"/>
      <c r="E261" s="19" t="n"/>
      <c r="F261" s="19" t="n"/>
      <c r="G261" s="19" t="n"/>
      <c r="H261" s="19" t="n"/>
      <c r="I261" s="19" t="n"/>
      <c r="J261" s="19" t="n"/>
      <c r="K261" s="19" t="n"/>
      <c r="L261" s="125" t="n"/>
      <c r="M261" s="88">
        <f>IF($D261="","",IFERROR(VLOOKUP($H261,Lists!$N$2:$O$6,2,FALSE),0))</f>
        <v/>
      </c>
      <c r="N261" s="88">
        <f>IF($D261="","",IF(OR($E261="Blocked",$E261="Done",$E261="Archive"),-9999,IF(AND($E261="Waiting",SUMPRODUCT((($E$5:$E$500="Next")+($E$5:$E$500="In Progress")+($E$5:$E$500="Captured"))*($D$5:$D$500&lt;&gt;""))&gt;0),-500,VLOOKUP($F261,Lists!$L$2:$M$4,2,FALSE)+IF($E261="In Progress",10,0)+IF(AND($I261&lt;&gt;"",$I261&lt;TODAY()),25,0)+IF(AND($I261&lt;&gt;"",$I261&gt;=TODAY(),$I261&lt;=TODAY()+7),15,0)+IF($H261="",0,IF($M261&lt;=VLOOKUP(Home!$C$7,Lists!$N$2:$O$6,2,FALSE),20,-10))+IF($G261=Home!$E$7,15,IF(Home!$E$7="",0,-5))-ROW()/100000)))</f>
        <v/>
      </c>
      <c r="O261" s="88">
        <f>IF($D261="","",IF($N261&lt;=-500,"Not recommended right now",IF($E261="Waiting","Nothing else actionable right now — Waiting on: "&amp;IF($K261="","this item",$K261),MID($V261,4,9999))))</f>
        <v/>
      </c>
      <c r="P261" s="88">
        <f>IF($D261="","",IF('Task Finder'!$C$6="High Priority",AND($F261="High",$E261&lt;&gt;"Done",$E261&lt;&gt;"Archive"),IF('Task Finder'!$C$6="Due This Week",AND($I261&lt;&gt;"",$I261&gt;=TODAY(),$I261&lt;=TODAY()+7,$E261&lt;&gt;"Done"),IF('Task Finder'!$C$6="Quick Wins (15 mins or less)",AND($M261&lt;=15,$E261&lt;&gt;"Done",$E261&lt;&gt;"Blocked"),IF('Task Finder'!$C$6="Deep Thinking",AND($G261="Deep Thinking",$E261&lt;&gt;"Done"),IF('Task Finder'!$C$6="Processing",AND($G261="Processing",$E261&lt;&gt;"Done"),IF('Task Finder'!$C$6="Blocked",$E261="Blocked",IF('Task Finder'!$C$6="Waiting",$E261="Waiting",IF('Task Finder'!$C$6="Recently Updated",AND($L261&lt;&gt;"",$L261&gt;=TODAY()-7),IF('Task Finder'!$C$6="Keyword",AND('Task Finder'!$C$7&lt;&gt;"",OR(ISNUMBER(SEARCH('Task Finder'!$C$7,$A261)),ISNUMBER(SEARCH('Task Finder'!$C$7,$B261)),ISNUMBER(SEARCH('Task Finder'!$C$7,$C261)),ISNUMBER(SEARCH('Task Finder'!$C$7,$D261)),ISNUMBER(SEARCH('Task Finder'!$C$7,$K261)))),TRUE))))))))))</f>
        <v/>
      </c>
      <c r="Q261" s="150">
        <f>IF($F261="High","High Priority","")</f>
        <v/>
      </c>
      <c r="R261" s="150">
        <f>IF(AND($I261&lt;&gt;"",$I261&lt;TODAY()),"Overdue","")</f>
        <v/>
      </c>
      <c r="S261" s="150">
        <f>IF(AND($I261&lt;&gt;"",$I261&gt;=TODAY(),$I261&lt;=TODAY()+7),"Due This Week","")</f>
        <v/>
      </c>
      <c r="T261" s="150">
        <f>IF(AND($H261&lt;&gt;"",$M261&lt;=VLOOKUP(Home!$C$7,Lists!$N$2:$O$6,2,FALSE)),$H261&amp;" Task","")</f>
        <v/>
      </c>
      <c r="U261" s="150">
        <f>IF($G261=Home!$E$7,"Fits Current Energy","")</f>
        <v/>
      </c>
      <c r="V261" s="150">
        <f>IF($Q261&lt;&gt;""," • "&amp;$Q261,"")&amp;IF($R261&lt;&gt;""," • "&amp;$R261,"")&amp;IF($S261&lt;&gt;""," • "&amp;$S261,"")&amp;IF($T261&lt;&gt;""," • "&amp;$T261,"")&amp;IF($U261&lt;&gt;""," • "&amp;$U261,"")&amp;" • No Blockers"</f>
        <v/>
      </c>
    </row>
    <row r="262">
      <c r="A262" s="19" t="n"/>
      <c r="B262" s="19" t="n"/>
      <c r="C262" s="19" t="n"/>
      <c r="D262" s="19" t="n"/>
      <c r="E262" s="19" t="n"/>
      <c r="F262" s="19" t="n"/>
      <c r="G262" s="19" t="n"/>
      <c r="H262" s="19" t="n"/>
      <c r="I262" s="19" t="n"/>
      <c r="J262" s="19" t="n"/>
      <c r="K262" s="19" t="n"/>
      <c r="L262" s="125" t="n"/>
      <c r="M262" s="88">
        <f>IF($D262="","",IFERROR(VLOOKUP($H262,Lists!$N$2:$O$6,2,FALSE),0))</f>
        <v/>
      </c>
      <c r="N262" s="88">
        <f>IF($D262="","",IF(OR($E262="Blocked",$E262="Done",$E262="Archive"),-9999,IF(AND($E262="Waiting",SUMPRODUCT((($E$5:$E$500="Next")+($E$5:$E$500="In Progress")+($E$5:$E$500="Captured"))*($D$5:$D$500&lt;&gt;""))&gt;0),-500,VLOOKUP($F262,Lists!$L$2:$M$4,2,FALSE)+IF($E262="In Progress",10,0)+IF(AND($I262&lt;&gt;"",$I262&lt;TODAY()),25,0)+IF(AND($I262&lt;&gt;"",$I262&gt;=TODAY(),$I262&lt;=TODAY()+7),15,0)+IF($H262="",0,IF($M262&lt;=VLOOKUP(Home!$C$7,Lists!$N$2:$O$6,2,FALSE),20,-10))+IF($G262=Home!$E$7,15,IF(Home!$E$7="",0,-5))-ROW()/100000)))</f>
        <v/>
      </c>
      <c r="O262" s="88">
        <f>IF($D262="","",IF($N262&lt;=-500,"Not recommended right now",IF($E262="Waiting","Nothing else actionable right now — Waiting on: "&amp;IF($K262="","this item",$K262),MID($V262,4,9999))))</f>
        <v/>
      </c>
      <c r="P262" s="88">
        <f>IF($D262="","",IF('Task Finder'!$C$6="High Priority",AND($F262="High",$E262&lt;&gt;"Done",$E262&lt;&gt;"Archive"),IF('Task Finder'!$C$6="Due This Week",AND($I262&lt;&gt;"",$I262&gt;=TODAY(),$I262&lt;=TODAY()+7,$E262&lt;&gt;"Done"),IF('Task Finder'!$C$6="Quick Wins (15 mins or less)",AND($M262&lt;=15,$E262&lt;&gt;"Done",$E262&lt;&gt;"Blocked"),IF('Task Finder'!$C$6="Deep Thinking",AND($G262="Deep Thinking",$E262&lt;&gt;"Done"),IF('Task Finder'!$C$6="Processing",AND($G262="Processing",$E262&lt;&gt;"Done"),IF('Task Finder'!$C$6="Blocked",$E262="Blocked",IF('Task Finder'!$C$6="Waiting",$E262="Waiting",IF('Task Finder'!$C$6="Recently Updated",AND($L262&lt;&gt;"",$L262&gt;=TODAY()-7),IF('Task Finder'!$C$6="Keyword",AND('Task Finder'!$C$7&lt;&gt;"",OR(ISNUMBER(SEARCH('Task Finder'!$C$7,$A262)),ISNUMBER(SEARCH('Task Finder'!$C$7,$B262)),ISNUMBER(SEARCH('Task Finder'!$C$7,$C262)),ISNUMBER(SEARCH('Task Finder'!$C$7,$D262)),ISNUMBER(SEARCH('Task Finder'!$C$7,$K262)))),TRUE))))))))))</f>
        <v/>
      </c>
      <c r="Q262" s="150">
        <f>IF($F262="High","High Priority","")</f>
        <v/>
      </c>
      <c r="R262" s="150">
        <f>IF(AND($I262&lt;&gt;"",$I262&lt;TODAY()),"Overdue","")</f>
        <v/>
      </c>
      <c r="S262" s="150">
        <f>IF(AND($I262&lt;&gt;"",$I262&gt;=TODAY(),$I262&lt;=TODAY()+7),"Due This Week","")</f>
        <v/>
      </c>
      <c r="T262" s="150">
        <f>IF(AND($H262&lt;&gt;"",$M262&lt;=VLOOKUP(Home!$C$7,Lists!$N$2:$O$6,2,FALSE)),$H262&amp;" Task","")</f>
        <v/>
      </c>
      <c r="U262" s="150">
        <f>IF($G262=Home!$E$7,"Fits Current Energy","")</f>
        <v/>
      </c>
      <c r="V262" s="150">
        <f>IF($Q262&lt;&gt;""," • "&amp;$Q262,"")&amp;IF($R262&lt;&gt;""," • "&amp;$R262,"")&amp;IF($S262&lt;&gt;""," • "&amp;$S262,"")&amp;IF($T262&lt;&gt;""," • "&amp;$T262,"")&amp;IF($U262&lt;&gt;""," • "&amp;$U262,"")&amp;" • No Blockers"</f>
        <v/>
      </c>
    </row>
    <row r="263">
      <c r="A263" s="19" t="n"/>
      <c r="B263" s="19" t="n"/>
      <c r="C263" s="19" t="n"/>
      <c r="D263" s="19" t="n"/>
      <c r="E263" s="19" t="n"/>
      <c r="F263" s="19" t="n"/>
      <c r="G263" s="19" t="n"/>
      <c r="H263" s="19" t="n"/>
      <c r="I263" s="19" t="n"/>
      <c r="J263" s="19" t="n"/>
      <c r="K263" s="19" t="n"/>
      <c r="L263" s="125" t="n"/>
      <c r="M263" s="88">
        <f>IF($D263="","",IFERROR(VLOOKUP($H263,Lists!$N$2:$O$6,2,FALSE),0))</f>
        <v/>
      </c>
      <c r="N263" s="88">
        <f>IF($D263="","",IF(OR($E263="Blocked",$E263="Done",$E263="Archive"),-9999,IF(AND($E263="Waiting",SUMPRODUCT((($E$5:$E$500="Next")+($E$5:$E$500="In Progress")+($E$5:$E$500="Captured"))*($D$5:$D$500&lt;&gt;""))&gt;0),-500,VLOOKUP($F263,Lists!$L$2:$M$4,2,FALSE)+IF($E263="In Progress",10,0)+IF(AND($I263&lt;&gt;"",$I263&lt;TODAY()),25,0)+IF(AND($I263&lt;&gt;"",$I263&gt;=TODAY(),$I263&lt;=TODAY()+7),15,0)+IF($H263="",0,IF($M263&lt;=VLOOKUP(Home!$C$7,Lists!$N$2:$O$6,2,FALSE),20,-10))+IF($G263=Home!$E$7,15,IF(Home!$E$7="",0,-5))-ROW()/100000)))</f>
        <v/>
      </c>
      <c r="O263" s="88">
        <f>IF($D263="","",IF($N263&lt;=-500,"Not recommended right now",IF($E263="Waiting","Nothing else actionable right now — Waiting on: "&amp;IF($K263="","this item",$K263),MID($V263,4,9999))))</f>
        <v/>
      </c>
      <c r="P263" s="88">
        <f>IF($D263="","",IF('Task Finder'!$C$6="High Priority",AND($F263="High",$E263&lt;&gt;"Done",$E263&lt;&gt;"Archive"),IF('Task Finder'!$C$6="Due This Week",AND($I263&lt;&gt;"",$I263&gt;=TODAY(),$I263&lt;=TODAY()+7,$E263&lt;&gt;"Done"),IF('Task Finder'!$C$6="Quick Wins (15 mins or less)",AND($M263&lt;=15,$E263&lt;&gt;"Done",$E263&lt;&gt;"Blocked"),IF('Task Finder'!$C$6="Deep Thinking",AND($G263="Deep Thinking",$E263&lt;&gt;"Done"),IF('Task Finder'!$C$6="Processing",AND($G263="Processing",$E263&lt;&gt;"Done"),IF('Task Finder'!$C$6="Blocked",$E263="Blocked",IF('Task Finder'!$C$6="Waiting",$E263="Waiting",IF('Task Finder'!$C$6="Recently Updated",AND($L263&lt;&gt;"",$L263&gt;=TODAY()-7),IF('Task Finder'!$C$6="Keyword",AND('Task Finder'!$C$7&lt;&gt;"",OR(ISNUMBER(SEARCH('Task Finder'!$C$7,$A263)),ISNUMBER(SEARCH('Task Finder'!$C$7,$B263)),ISNUMBER(SEARCH('Task Finder'!$C$7,$C263)),ISNUMBER(SEARCH('Task Finder'!$C$7,$D263)),ISNUMBER(SEARCH('Task Finder'!$C$7,$K263)))),TRUE))))))))))</f>
        <v/>
      </c>
      <c r="Q263" s="150">
        <f>IF($F263="High","High Priority","")</f>
        <v/>
      </c>
      <c r="R263" s="150">
        <f>IF(AND($I263&lt;&gt;"",$I263&lt;TODAY()),"Overdue","")</f>
        <v/>
      </c>
      <c r="S263" s="150">
        <f>IF(AND($I263&lt;&gt;"",$I263&gt;=TODAY(),$I263&lt;=TODAY()+7),"Due This Week","")</f>
        <v/>
      </c>
      <c r="T263" s="150">
        <f>IF(AND($H263&lt;&gt;"",$M263&lt;=VLOOKUP(Home!$C$7,Lists!$N$2:$O$6,2,FALSE)),$H263&amp;" Task","")</f>
        <v/>
      </c>
      <c r="U263" s="150">
        <f>IF($G263=Home!$E$7,"Fits Current Energy","")</f>
        <v/>
      </c>
      <c r="V263" s="150">
        <f>IF($Q263&lt;&gt;""," • "&amp;$Q263,"")&amp;IF($R263&lt;&gt;""," • "&amp;$R263,"")&amp;IF($S263&lt;&gt;""," • "&amp;$S263,"")&amp;IF($T263&lt;&gt;""," • "&amp;$T263,"")&amp;IF($U263&lt;&gt;""," • "&amp;$U263,"")&amp;" • No Blockers"</f>
        <v/>
      </c>
    </row>
    <row r="264">
      <c r="A264" s="19" t="n"/>
      <c r="B264" s="19" t="n"/>
      <c r="C264" s="19" t="n"/>
      <c r="D264" s="19" t="n"/>
      <c r="E264" s="19" t="n"/>
      <c r="F264" s="19" t="n"/>
      <c r="G264" s="19" t="n"/>
      <c r="H264" s="19" t="n"/>
      <c r="I264" s="19" t="n"/>
      <c r="J264" s="19" t="n"/>
      <c r="K264" s="19" t="n"/>
      <c r="L264" s="125" t="n"/>
      <c r="M264" s="88">
        <f>IF($D264="","",IFERROR(VLOOKUP($H264,Lists!$N$2:$O$6,2,FALSE),0))</f>
        <v/>
      </c>
      <c r="N264" s="88">
        <f>IF($D264="","",IF(OR($E264="Blocked",$E264="Done",$E264="Archive"),-9999,IF(AND($E264="Waiting",SUMPRODUCT((($E$5:$E$500="Next")+($E$5:$E$500="In Progress")+($E$5:$E$500="Captured"))*($D$5:$D$500&lt;&gt;""))&gt;0),-500,VLOOKUP($F264,Lists!$L$2:$M$4,2,FALSE)+IF($E264="In Progress",10,0)+IF(AND($I264&lt;&gt;"",$I264&lt;TODAY()),25,0)+IF(AND($I264&lt;&gt;"",$I264&gt;=TODAY(),$I264&lt;=TODAY()+7),15,0)+IF($H264="",0,IF($M264&lt;=VLOOKUP(Home!$C$7,Lists!$N$2:$O$6,2,FALSE),20,-10))+IF($G264=Home!$E$7,15,IF(Home!$E$7="",0,-5))-ROW()/100000)))</f>
        <v/>
      </c>
      <c r="O264" s="88">
        <f>IF($D264="","",IF($N264&lt;=-500,"Not recommended right now",IF($E264="Waiting","Nothing else actionable right now — Waiting on: "&amp;IF($K264="","this item",$K264),MID($V264,4,9999))))</f>
        <v/>
      </c>
      <c r="P264" s="88">
        <f>IF($D264="","",IF('Task Finder'!$C$6="High Priority",AND($F264="High",$E264&lt;&gt;"Done",$E264&lt;&gt;"Archive"),IF('Task Finder'!$C$6="Due This Week",AND($I264&lt;&gt;"",$I264&gt;=TODAY(),$I264&lt;=TODAY()+7,$E264&lt;&gt;"Done"),IF('Task Finder'!$C$6="Quick Wins (15 mins or less)",AND($M264&lt;=15,$E264&lt;&gt;"Done",$E264&lt;&gt;"Blocked"),IF('Task Finder'!$C$6="Deep Thinking",AND($G264="Deep Thinking",$E264&lt;&gt;"Done"),IF('Task Finder'!$C$6="Processing",AND($G264="Processing",$E264&lt;&gt;"Done"),IF('Task Finder'!$C$6="Blocked",$E264="Blocked",IF('Task Finder'!$C$6="Waiting",$E264="Waiting",IF('Task Finder'!$C$6="Recently Updated",AND($L264&lt;&gt;"",$L264&gt;=TODAY()-7),IF('Task Finder'!$C$6="Keyword",AND('Task Finder'!$C$7&lt;&gt;"",OR(ISNUMBER(SEARCH('Task Finder'!$C$7,$A264)),ISNUMBER(SEARCH('Task Finder'!$C$7,$B264)),ISNUMBER(SEARCH('Task Finder'!$C$7,$C264)),ISNUMBER(SEARCH('Task Finder'!$C$7,$D264)),ISNUMBER(SEARCH('Task Finder'!$C$7,$K264)))),TRUE))))))))))</f>
        <v/>
      </c>
      <c r="Q264" s="150">
        <f>IF($F264="High","High Priority","")</f>
        <v/>
      </c>
      <c r="R264" s="150">
        <f>IF(AND($I264&lt;&gt;"",$I264&lt;TODAY()),"Overdue","")</f>
        <v/>
      </c>
      <c r="S264" s="150">
        <f>IF(AND($I264&lt;&gt;"",$I264&gt;=TODAY(),$I264&lt;=TODAY()+7),"Due This Week","")</f>
        <v/>
      </c>
      <c r="T264" s="150">
        <f>IF(AND($H264&lt;&gt;"",$M264&lt;=VLOOKUP(Home!$C$7,Lists!$N$2:$O$6,2,FALSE)),$H264&amp;" Task","")</f>
        <v/>
      </c>
      <c r="U264" s="150">
        <f>IF($G264=Home!$E$7,"Fits Current Energy","")</f>
        <v/>
      </c>
      <c r="V264" s="150">
        <f>IF($Q264&lt;&gt;""," • "&amp;$Q264,"")&amp;IF($R264&lt;&gt;""," • "&amp;$R264,"")&amp;IF($S264&lt;&gt;""," • "&amp;$S264,"")&amp;IF($T264&lt;&gt;""," • "&amp;$T264,"")&amp;IF($U264&lt;&gt;""," • "&amp;$U264,"")&amp;" • No Blockers"</f>
        <v/>
      </c>
    </row>
    <row r="265">
      <c r="A265" s="19" t="n"/>
      <c r="B265" s="19" t="n"/>
      <c r="C265" s="19" t="n"/>
      <c r="D265" s="19" t="n"/>
      <c r="E265" s="19" t="n"/>
      <c r="F265" s="19" t="n"/>
      <c r="G265" s="19" t="n"/>
      <c r="H265" s="19" t="n"/>
      <c r="I265" s="19" t="n"/>
      <c r="J265" s="19" t="n"/>
      <c r="K265" s="19" t="n"/>
      <c r="L265" s="125" t="n"/>
      <c r="M265" s="88">
        <f>IF($D265="","",IFERROR(VLOOKUP($H265,Lists!$N$2:$O$6,2,FALSE),0))</f>
        <v/>
      </c>
      <c r="N265" s="88">
        <f>IF($D265="","",IF(OR($E265="Blocked",$E265="Done",$E265="Archive"),-9999,IF(AND($E265="Waiting",SUMPRODUCT((($E$5:$E$500="Next")+($E$5:$E$500="In Progress")+($E$5:$E$500="Captured"))*($D$5:$D$500&lt;&gt;""))&gt;0),-500,VLOOKUP($F265,Lists!$L$2:$M$4,2,FALSE)+IF($E265="In Progress",10,0)+IF(AND($I265&lt;&gt;"",$I265&lt;TODAY()),25,0)+IF(AND($I265&lt;&gt;"",$I265&gt;=TODAY(),$I265&lt;=TODAY()+7),15,0)+IF($H265="",0,IF($M265&lt;=VLOOKUP(Home!$C$7,Lists!$N$2:$O$6,2,FALSE),20,-10))+IF($G265=Home!$E$7,15,IF(Home!$E$7="",0,-5))-ROW()/100000)))</f>
        <v/>
      </c>
      <c r="O265" s="88">
        <f>IF($D265="","",IF($N265&lt;=-500,"Not recommended right now",IF($E265="Waiting","Nothing else actionable right now — Waiting on: "&amp;IF($K265="","this item",$K265),MID($V265,4,9999))))</f>
        <v/>
      </c>
      <c r="P265" s="88">
        <f>IF($D265="","",IF('Task Finder'!$C$6="High Priority",AND($F265="High",$E265&lt;&gt;"Done",$E265&lt;&gt;"Archive"),IF('Task Finder'!$C$6="Due This Week",AND($I265&lt;&gt;"",$I265&gt;=TODAY(),$I265&lt;=TODAY()+7,$E265&lt;&gt;"Done"),IF('Task Finder'!$C$6="Quick Wins (15 mins or less)",AND($M265&lt;=15,$E265&lt;&gt;"Done",$E265&lt;&gt;"Blocked"),IF('Task Finder'!$C$6="Deep Thinking",AND($G265="Deep Thinking",$E265&lt;&gt;"Done"),IF('Task Finder'!$C$6="Processing",AND($G265="Processing",$E265&lt;&gt;"Done"),IF('Task Finder'!$C$6="Blocked",$E265="Blocked",IF('Task Finder'!$C$6="Waiting",$E265="Waiting",IF('Task Finder'!$C$6="Recently Updated",AND($L265&lt;&gt;"",$L265&gt;=TODAY()-7),IF('Task Finder'!$C$6="Keyword",AND('Task Finder'!$C$7&lt;&gt;"",OR(ISNUMBER(SEARCH('Task Finder'!$C$7,$A265)),ISNUMBER(SEARCH('Task Finder'!$C$7,$B265)),ISNUMBER(SEARCH('Task Finder'!$C$7,$C265)),ISNUMBER(SEARCH('Task Finder'!$C$7,$D265)),ISNUMBER(SEARCH('Task Finder'!$C$7,$K265)))),TRUE))))))))))</f>
        <v/>
      </c>
      <c r="Q265" s="150">
        <f>IF($F265="High","High Priority","")</f>
        <v/>
      </c>
      <c r="R265" s="150">
        <f>IF(AND($I265&lt;&gt;"",$I265&lt;TODAY()),"Overdue","")</f>
        <v/>
      </c>
      <c r="S265" s="150">
        <f>IF(AND($I265&lt;&gt;"",$I265&gt;=TODAY(),$I265&lt;=TODAY()+7),"Due This Week","")</f>
        <v/>
      </c>
      <c r="T265" s="150">
        <f>IF(AND($H265&lt;&gt;"",$M265&lt;=VLOOKUP(Home!$C$7,Lists!$N$2:$O$6,2,FALSE)),$H265&amp;" Task","")</f>
        <v/>
      </c>
      <c r="U265" s="150">
        <f>IF($G265=Home!$E$7,"Fits Current Energy","")</f>
        <v/>
      </c>
      <c r="V265" s="150">
        <f>IF($Q265&lt;&gt;""," • "&amp;$Q265,"")&amp;IF($R265&lt;&gt;""," • "&amp;$R265,"")&amp;IF($S265&lt;&gt;""," • "&amp;$S265,"")&amp;IF($T265&lt;&gt;""," • "&amp;$T265,"")&amp;IF($U265&lt;&gt;""," • "&amp;$U265,"")&amp;" • No Blockers"</f>
        <v/>
      </c>
    </row>
    <row r="266">
      <c r="A266" s="19" t="n"/>
      <c r="B266" s="19" t="n"/>
      <c r="C266" s="19" t="n"/>
      <c r="D266" s="19" t="n"/>
      <c r="E266" s="19" t="n"/>
      <c r="F266" s="19" t="n"/>
      <c r="G266" s="19" t="n"/>
      <c r="H266" s="19" t="n"/>
      <c r="I266" s="19" t="n"/>
      <c r="J266" s="19" t="n"/>
      <c r="K266" s="19" t="n"/>
      <c r="L266" s="125" t="n"/>
      <c r="M266" s="88">
        <f>IF($D266="","",IFERROR(VLOOKUP($H266,Lists!$N$2:$O$6,2,FALSE),0))</f>
        <v/>
      </c>
      <c r="N266" s="88">
        <f>IF($D266="","",IF(OR($E266="Blocked",$E266="Done",$E266="Archive"),-9999,IF(AND($E266="Waiting",SUMPRODUCT((($E$5:$E$500="Next")+($E$5:$E$500="In Progress")+($E$5:$E$500="Captured"))*($D$5:$D$500&lt;&gt;""))&gt;0),-500,VLOOKUP($F266,Lists!$L$2:$M$4,2,FALSE)+IF($E266="In Progress",10,0)+IF(AND($I266&lt;&gt;"",$I266&lt;TODAY()),25,0)+IF(AND($I266&lt;&gt;"",$I266&gt;=TODAY(),$I266&lt;=TODAY()+7),15,0)+IF($H266="",0,IF($M266&lt;=VLOOKUP(Home!$C$7,Lists!$N$2:$O$6,2,FALSE),20,-10))+IF($G266=Home!$E$7,15,IF(Home!$E$7="",0,-5))-ROW()/100000)))</f>
        <v/>
      </c>
      <c r="O266" s="88">
        <f>IF($D266="","",IF($N266&lt;=-500,"Not recommended right now",IF($E266="Waiting","Nothing else actionable right now — Waiting on: "&amp;IF($K266="","this item",$K266),MID($V266,4,9999))))</f>
        <v/>
      </c>
      <c r="P266" s="88">
        <f>IF($D266="","",IF('Task Finder'!$C$6="High Priority",AND($F266="High",$E266&lt;&gt;"Done",$E266&lt;&gt;"Archive"),IF('Task Finder'!$C$6="Due This Week",AND($I266&lt;&gt;"",$I266&gt;=TODAY(),$I266&lt;=TODAY()+7,$E266&lt;&gt;"Done"),IF('Task Finder'!$C$6="Quick Wins (15 mins or less)",AND($M266&lt;=15,$E266&lt;&gt;"Done",$E266&lt;&gt;"Blocked"),IF('Task Finder'!$C$6="Deep Thinking",AND($G266="Deep Thinking",$E266&lt;&gt;"Done"),IF('Task Finder'!$C$6="Processing",AND($G266="Processing",$E266&lt;&gt;"Done"),IF('Task Finder'!$C$6="Blocked",$E266="Blocked",IF('Task Finder'!$C$6="Waiting",$E266="Waiting",IF('Task Finder'!$C$6="Recently Updated",AND($L266&lt;&gt;"",$L266&gt;=TODAY()-7),IF('Task Finder'!$C$6="Keyword",AND('Task Finder'!$C$7&lt;&gt;"",OR(ISNUMBER(SEARCH('Task Finder'!$C$7,$A266)),ISNUMBER(SEARCH('Task Finder'!$C$7,$B266)),ISNUMBER(SEARCH('Task Finder'!$C$7,$C266)),ISNUMBER(SEARCH('Task Finder'!$C$7,$D266)),ISNUMBER(SEARCH('Task Finder'!$C$7,$K266)))),TRUE))))))))))</f>
        <v/>
      </c>
      <c r="Q266" s="150">
        <f>IF($F266="High","High Priority","")</f>
        <v/>
      </c>
      <c r="R266" s="150">
        <f>IF(AND($I266&lt;&gt;"",$I266&lt;TODAY()),"Overdue","")</f>
        <v/>
      </c>
      <c r="S266" s="150">
        <f>IF(AND($I266&lt;&gt;"",$I266&gt;=TODAY(),$I266&lt;=TODAY()+7),"Due This Week","")</f>
        <v/>
      </c>
      <c r="T266" s="150">
        <f>IF(AND($H266&lt;&gt;"",$M266&lt;=VLOOKUP(Home!$C$7,Lists!$N$2:$O$6,2,FALSE)),$H266&amp;" Task","")</f>
        <v/>
      </c>
      <c r="U266" s="150">
        <f>IF($G266=Home!$E$7,"Fits Current Energy","")</f>
        <v/>
      </c>
      <c r="V266" s="150">
        <f>IF($Q266&lt;&gt;""," • "&amp;$Q266,"")&amp;IF($R266&lt;&gt;""," • "&amp;$R266,"")&amp;IF($S266&lt;&gt;""," • "&amp;$S266,"")&amp;IF($T266&lt;&gt;""," • "&amp;$T266,"")&amp;IF($U266&lt;&gt;""," • "&amp;$U266,"")&amp;" • No Blockers"</f>
        <v/>
      </c>
    </row>
    <row r="267">
      <c r="A267" s="19" t="n"/>
      <c r="B267" s="19" t="n"/>
      <c r="C267" s="19" t="n"/>
      <c r="D267" s="19" t="n"/>
      <c r="E267" s="19" t="n"/>
      <c r="F267" s="19" t="n"/>
      <c r="G267" s="19" t="n"/>
      <c r="H267" s="19" t="n"/>
      <c r="I267" s="19" t="n"/>
      <c r="J267" s="19" t="n"/>
      <c r="K267" s="19" t="n"/>
      <c r="L267" s="125" t="n"/>
      <c r="M267" s="88">
        <f>IF($D267="","",IFERROR(VLOOKUP($H267,Lists!$N$2:$O$6,2,FALSE),0))</f>
        <v/>
      </c>
      <c r="N267" s="88">
        <f>IF($D267="","",IF(OR($E267="Blocked",$E267="Done",$E267="Archive"),-9999,IF(AND($E267="Waiting",SUMPRODUCT((($E$5:$E$500="Next")+($E$5:$E$500="In Progress")+($E$5:$E$500="Captured"))*($D$5:$D$500&lt;&gt;""))&gt;0),-500,VLOOKUP($F267,Lists!$L$2:$M$4,2,FALSE)+IF($E267="In Progress",10,0)+IF(AND($I267&lt;&gt;"",$I267&lt;TODAY()),25,0)+IF(AND($I267&lt;&gt;"",$I267&gt;=TODAY(),$I267&lt;=TODAY()+7),15,0)+IF($H267="",0,IF($M267&lt;=VLOOKUP(Home!$C$7,Lists!$N$2:$O$6,2,FALSE),20,-10))+IF($G267=Home!$E$7,15,IF(Home!$E$7="",0,-5))-ROW()/100000)))</f>
        <v/>
      </c>
      <c r="O267" s="88">
        <f>IF($D267="","",IF($N267&lt;=-500,"Not recommended right now",IF($E267="Waiting","Nothing else actionable right now — Waiting on: "&amp;IF($K267="","this item",$K267),MID($V267,4,9999))))</f>
        <v/>
      </c>
      <c r="P267" s="88">
        <f>IF($D267="","",IF('Task Finder'!$C$6="High Priority",AND($F267="High",$E267&lt;&gt;"Done",$E267&lt;&gt;"Archive"),IF('Task Finder'!$C$6="Due This Week",AND($I267&lt;&gt;"",$I267&gt;=TODAY(),$I267&lt;=TODAY()+7,$E267&lt;&gt;"Done"),IF('Task Finder'!$C$6="Quick Wins (15 mins or less)",AND($M267&lt;=15,$E267&lt;&gt;"Done",$E267&lt;&gt;"Blocked"),IF('Task Finder'!$C$6="Deep Thinking",AND($G267="Deep Thinking",$E267&lt;&gt;"Done"),IF('Task Finder'!$C$6="Processing",AND($G267="Processing",$E267&lt;&gt;"Done"),IF('Task Finder'!$C$6="Blocked",$E267="Blocked",IF('Task Finder'!$C$6="Waiting",$E267="Waiting",IF('Task Finder'!$C$6="Recently Updated",AND($L267&lt;&gt;"",$L267&gt;=TODAY()-7),IF('Task Finder'!$C$6="Keyword",AND('Task Finder'!$C$7&lt;&gt;"",OR(ISNUMBER(SEARCH('Task Finder'!$C$7,$A267)),ISNUMBER(SEARCH('Task Finder'!$C$7,$B267)),ISNUMBER(SEARCH('Task Finder'!$C$7,$C267)),ISNUMBER(SEARCH('Task Finder'!$C$7,$D267)),ISNUMBER(SEARCH('Task Finder'!$C$7,$K267)))),TRUE))))))))))</f>
        <v/>
      </c>
      <c r="Q267" s="150">
        <f>IF($F267="High","High Priority","")</f>
        <v/>
      </c>
      <c r="R267" s="150">
        <f>IF(AND($I267&lt;&gt;"",$I267&lt;TODAY()),"Overdue","")</f>
        <v/>
      </c>
      <c r="S267" s="150">
        <f>IF(AND($I267&lt;&gt;"",$I267&gt;=TODAY(),$I267&lt;=TODAY()+7),"Due This Week","")</f>
        <v/>
      </c>
      <c r="T267" s="150">
        <f>IF(AND($H267&lt;&gt;"",$M267&lt;=VLOOKUP(Home!$C$7,Lists!$N$2:$O$6,2,FALSE)),$H267&amp;" Task","")</f>
        <v/>
      </c>
      <c r="U267" s="150">
        <f>IF($G267=Home!$E$7,"Fits Current Energy","")</f>
        <v/>
      </c>
      <c r="V267" s="150">
        <f>IF($Q267&lt;&gt;""," • "&amp;$Q267,"")&amp;IF($R267&lt;&gt;""," • "&amp;$R267,"")&amp;IF($S267&lt;&gt;""," • "&amp;$S267,"")&amp;IF($T267&lt;&gt;""," • "&amp;$T267,"")&amp;IF($U267&lt;&gt;""," • "&amp;$U267,"")&amp;" • No Blockers"</f>
        <v/>
      </c>
    </row>
    <row r="268">
      <c r="A268" s="19" t="n"/>
      <c r="B268" s="19" t="n"/>
      <c r="C268" s="19" t="n"/>
      <c r="D268" s="19" t="n"/>
      <c r="E268" s="19" t="n"/>
      <c r="F268" s="19" t="n"/>
      <c r="G268" s="19" t="n"/>
      <c r="H268" s="19" t="n"/>
      <c r="I268" s="19" t="n"/>
      <c r="J268" s="19" t="n"/>
      <c r="K268" s="19" t="n"/>
      <c r="L268" s="125" t="n"/>
      <c r="M268" s="88">
        <f>IF($D268="","",IFERROR(VLOOKUP($H268,Lists!$N$2:$O$6,2,FALSE),0))</f>
        <v/>
      </c>
      <c r="N268" s="88">
        <f>IF($D268="","",IF(OR($E268="Blocked",$E268="Done",$E268="Archive"),-9999,IF(AND($E268="Waiting",SUMPRODUCT((($E$5:$E$500="Next")+($E$5:$E$500="In Progress")+($E$5:$E$500="Captured"))*($D$5:$D$500&lt;&gt;""))&gt;0),-500,VLOOKUP($F268,Lists!$L$2:$M$4,2,FALSE)+IF($E268="In Progress",10,0)+IF(AND($I268&lt;&gt;"",$I268&lt;TODAY()),25,0)+IF(AND($I268&lt;&gt;"",$I268&gt;=TODAY(),$I268&lt;=TODAY()+7),15,0)+IF($H268="",0,IF($M268&lt;=VLOOKUP(Home!$C$7,Lists!$N$2:$O$6,2,FALSE),20,-10))+IF($G268=Home!$E$7,15,IF(Home!$E$7="",0,-5))-ROW()/100000)))</f>
        <v/>
      </c>
      <c r="O268" s="88">
        <f>IF($D268="","",IF($N268&lt;=-500,"Not recommended right now",IF($E268="Waiting","Nothing else actionable right now — Waiting on: "&amp;IF($K268="","this item",$K268),MID($V268,4,9999))))</f>
        <v/>
      </c>
      <c r="P268" s="88">
        <f>IF($D268="","",IF('Task Finder'!$C$6="High Priority",AND($F268="High",$E268&lt;&gt;"Done",$E268&lt;&gt;"Archive"),IF('Task Finder'!$C$6="Due This Week",AND($I268&lt;&gt;"",$I268&gt;=TODAY(),$I268&lt;=TODAY()+7,$E268&lt;&gt;"Done"),IF('Task Finder'!$C$6="Quick Wins (15 mins or less)",AND($M268&lt;=15,$E268&lt;&gt;"Done",$E268&lt;&gt;"Blocked"),IF('Task Finder'!$C$6="Deep Thinking",AND($G268="Deep Thinking",$E268&lt;&gt;"Done"),IF('Task Finder'!$C$6="Processing",AND($G268="Processing",$E268&lt;&gt;"Done"),IF('Task Finder'!$C$6="Blocked",$E268="Blocked",IF('Task Finder'!$C$6="Waiting",$E268="Waiting",IF('Task Finder'!$C$6="Recently Updated",AND($L268&lt;&gt;"",$L268&gt;=TODAY()-7),IF('Task Finder'!$C$6="Keyword",AND('Task Finder'!$C$7&lt;&gt;"",OR(ISNUMBER(SEARCH('Task Finder'!$C$7,$A268)),ISNUMBER(SEARCH('Task Finder'!$C$7,$B268)),ISNUMBER(SEARCH('Task Finder'!$C$7,$C268)),ISNUMBER(SEARCH('Task Finder'!$C$7,$D268)),ISNUMBER(SEARCH('Task Finder'!$C$7,$K268)))),TRUE))))))))))</f>
        <v/>
      </c>
      <c r="Q268" s="150">
        <f>IF($F268="High","High Priority","")</f>
        <v/>
      </c>
      <c r="R268" s="150">
        <f>IF(AND($I268&lt;&gt;"",$I268&lt;TODAY()),"Overdue","")</f>
        <v/>
      </c>
      <c r="S268" s="150">
        <f>IF(AND($I268&lt;&gt;"",$I268&gt;=TODAY(),$I268&lt;=TODAY()+7),"Due This Week","")</f>
        <v/>
      </c>
      <c r="T268" s="150">
        <f>IF(AND($H268&lt;&gt;"",$M268&lt;=VLOOKUP(Home!$C$7,Lists!$N$2:$O$6,2,FALSE)),$H268&amp;" Task","")</f>
        <v/>
      </c>
      <c r="U268" s="150">
        <f>IF($G268=Home!$E$7,"Fits Current Energy","")</f>
        <v/>
      </c>
      <c r="V268" s="150">
        <f>IF($Q268&lt;&gt;""," • "&amp;$Q268,"")&amp;IF($R268&lt;&gt;""," • "&amp;$R268,"")&amp;IF($S268&lt;&gt;""," • "&amp;$S268,"")&amp;IF($T268&lt;&gt;""," • "&amp;$T268,"")&amp;IF($U268&lt;&gt;""," • "&amp;$U268,"")&amp;" • No Blockers"</f>
        <v/>
      </c>
    </row>
    <row r="269">
      <c r="A269" s="19" t="n"/>
      <c r="B269" s="19" t="n"/>
      <c r="C269" s="19" t="n"/>
      <c r="D269" s="19" t="n"/>
      <c r="E269" s="19" t="n"/>
      <c r="F269" s="19" t="n"/>
      <c r="G269" s="19" t="n"/>
      <c r="H269" s="19" t="n"/>
      <c r="I269" s="19" t="n"/>
      <c r="J269" s="19" t="n"/>
      <c r="K269" s="19" t="n"/>
      <c r="L269" s="125" t="n"/>
      <c r="M269" s="88">
        <f>IF($D269="","",IFERROR(VLOOKUP($H269,Lists!$N$2:$O$6,2,FALSE),0))</f>
        <v/>
      </c>
      <c r="N269" s="88">
        <f>IF($D269="","",IF(OR($E269="Blocked",$E269="Done",$E269="Archive"),-9999,IF(AND($E269="Waiting",SUMPRODUCT((($E$5:$E$500="Next")+($E$5:$E$500="In Progress")+($E$5:$E$500="Captured"))*($D$5:$D$500&lt;&gt;""))&gt;0),-500,VLOOKUP($F269,Lists!$L$2:$M$4,2,FALSE)+IF($E269="In Progress",10,0)+IF(AND($I269&lt;&gt;"",$I269&lt;TODAY()),25,0)+IF(AND($I269&lt;&gt;"",$I269&gt;=TODAY(),$I269&lt;=TODAY()+7),15,0)+IF($H269="",0,IF($M269&lt;=VLOOKUP(Home!$C$7,Lists!$N$2:$O$6,2,FALSE),20,-10))+IF($G269=Home!$E$7,15,IF(Home!$E$7="",0,-5))-ROW()/100000)))</f>
        <v/>
      </c>
      <c r="O269" s="88">
        <f>IF($D269="","",IF($N269&lt;=-500,"Not recommended right now",IF($E269="Waiting","Nothing else actionable right now — Waiting on: "&amp;IF($K269="","this item",$K269),MID($V269,4,9999))))</f>
        <v/>
      </c>
      <c r="P269" s="88">
        <f>IF($D269="","",IF('Task Finder'!$C$6="High Priority",AND($F269="High",$E269&lt;&gt;"Done",$E269&lt;&gt;"Archive"),IF('Task Finder'!$C$6="Due This Week",AND($I269&lt;&gt;"",$I269&gt;=TODAY(),$I269&lt;=TODAY()+7,$E269&lt;&gt;"Done"),IF('Task Finder'!$C$6="Quick Wins (15 mins or less)",AND($M269&lt;=15,$E269&lt;&gt;"Done",$E269&lt;&gt;"Blocked"),IF('Task Finder'!$C$6="Deep Thinking",AND($G269="Deep Thinking",$E269&lt;&gt;"Done"),IF('Task Finder'!$C$6="Processing",AND($G269="Processing",$E269&lt;&gt;"Done"),IF('Task Finder'!$C$6="Blocked",$E269="Blocked",IF('Task Finder'!$C$6="Waiting",$E269="Waiting",IF('Task Finder'!$C$6="Recently Updated",AND($L269&lt;&gt;"",$L269&gt;=TODAY()-7),IF('Task Finder'!$C$6="Keyword",AND('Task Finder'!$C$7&lt;&gt;"",OR(ISNUMBER(SEARCH('Task Finder'!$C$7,$A269)),ISNUMBER(SEARCH('Task Finder'!$C$7,$B269)),ISNUMBER(SEARCH('Task Finder'!$C$7,$C269)),ISNUMBER(SEARCH('Task Finder'!$C$7,$D269)),ISNUMBER(SEARCH('Task Finder'!$C$7,$K269)))),TRUE))))))))))</f>
        <v/>
      </c>
      <c r="Q269" s="150">
        <f>IF($F269="High","High Priority","")</f>
        <v/>
      </c>
      <c r="R269" s="150">
        <f>IF(AND($I269&lt;&gt;"",$I269&lt;TODAY()),"Overdue","")</f>
        <v/>
      </c>
      <c r="S269" s="150">
        <f>IF(AND($I269&lt;&gt;"",$I269&gt;=TODAY(),$I269&lt;=TODAY()+7),"Due This Week","")</f>
        <v/>
      </c>
      <c r="T269" s="150">
        <f>IF(AND($H269&lt;&gt;"",$M269&lt;=VLOOKUP(Home!$C$7,Lists!$N$2:$O$6,2,FALSE)),$H269&amp;" Task","")</f>
        <v/>
      </c>
      <c r="U269" s="150">
        <f>IF($G269=Home!$E$7,"Fits Current Energy","")</f>
        <v/>
      </c>
      <c r="V269" s="150">
        <f>IF($Q269&lt;&gt;""," • "&amp;$Q269,"")&amp;IF($R269&lt;&gt;""," • "&amp;$R269,"")&amp;IF($S269&lt;&gt;""," • "&amp;$S269,"")&amp;IF($T269&lt;&gt;""," • "&amp;$T269,"")&amp;IF($U269&lt;&gt;""," • "&amp;$U269,"")&amp;" • No Blockers"</f>
        <v/>
      </c>
    </row>
    <row r="270">
      <c r="A270" s="19" t="n"/>
      <c r="B270" s="19" t="n"/>
      <c r="C270" s="19" t="n"/>
      <c r="D270" s="19" t="n"/>
      <c r="E270" s="19" t="n"/>
      <c r="F270" s="19" t="n"/>
      <c r="G270" s="19" t="n"/>
      <c r="H270" s="19" t="n"/>
      <c r="I270" s="19" t="n"/>
      <c r="J270" s="19" t="n"/>
      <c r="K270" s="19" t="n"/>
      <c r="L270" s="125" t="n"/>
      <c r="M270" s="88">
        <f>IF($D270="","",IFERROR(VLOOKUP($H270,Lists!$N$2:$O$6,2,FALSE),0))</f>
        <v/>
      </c>
      <c r="N270" s="88">
        <f>IF($D270="","",IF(OR($E270="Blocked",$E270="Done",$E270="Archive"),-9999,IF(AND($E270="Waiting",SUMPRODUCT((($E$5:$E$500="Next")+($E$5:$E$500="In Progress")+($E$5:$E$500="Captured"))*($D$5:$D$500&lt;&gt;""))&gt;0),-500,VLOOKUP($F270,Lists!$L$2:$M$4,2,FALSE)+IF($E270="In Progress",10,0)+IF(AND($I270&lt;&gt;"",$I270&lt;TODAY()),25,0)+IF(AND($I270&lt;&gt;"",$I270&gt;=TODAY(),$I270&lt;=TODAY()+7),15,0)+IF($H270="",0,IF($M270&lt;=VLOOKUP(Home!$C$7,Lists!$N$2:$O$6,2,FALSE),20,-10))+IF($G270=Home!$E$7,15,IF(Home!$E$7="",0,-5))-ROW()/100000)))</f>
        <v/>
      </c>
      <c r="O270" s="88">
        <f>IF($D270="","",IF($N270&lt;=-500,"Not recommended right now",IF($E270="Waiting","Nothing else actionable right now — Waiting on: "&amp;IF($K270="","this item",$K270),MID($V270,4,9999))))</f>
        <v/>
      </c>
      <c r="P270" s="88">
        <f>IF($D270="","",IF('Task Finder'!$C$6="High Priority",AND($F270="High",$E270&lt;&gt;"Done",$E270&lt;&gt;"Archive"),IF('Task Finder'!$C$6="Due This Week",AND($I270&lt;&gt;"",$I270&gt;=TODAY(),$I270&lt;=TODAY()+7,$E270&lt;&gt;"Done"),IF('Task Finder'!$C$6="Quick Wins (15 mins or less)",AND($M270&lt;=15,$E270&lt;&gt;"Done",$E270&lt;&gt;"Blocked"),IF('Task Finder'!$C$6="Deep Thinking",AND($G270="Deep Thinking",$E270&lt;&gt;"Done"),IF('Task Finder'!$C$6="Processing",AND($G270="Processing",$E270&lt;&gt;"Done"),IF('Task Finder'!$C$6="Blocked",$E270="Blocked",IF('Task Finder'!$C$6="Waiting",$E270="Waiting",IF('Task Finder'!$C$6="Recently Updated",AND($L270&lt;&gt;"",$L270&gt;=TODAY()-7),IF('Task Finder'!$C$6="Keyword",AND('Task Finder'!$C$7&lt;&gt;"",OR(ISNUMBER(SEARCH('Task Finder'!$C$7,$A270)),ISNUMBER(SEARCH('Task Finder'!$C$7,$B270)),ISNUMBER(SEARCH('Task Finder'!$C$7,$C270)),ISNUMBER(SEARCH('Task Finder'!$C$7,$D270)),ISNUMBER(SEARCH('Task Finder'!$C$7,$K270)))),TRUE))))))))))</f>
        <v/>
      </c>
      <c r="Q270" s="150">
        <f>IF($F270="High","High Priority","")</f>
        <v/>
      </c>
      <c r="R270" s="150">
        <f>IF(AND($I270&lt;&gt;"",$I270&lt;TODAY()),"Overdue","")</f>
        <v/>
      </c>
      <c r="S270" s="150">
        <f>IF(AND($I270&lt;&gt;"",$I270&gt;=TODAY(),$I270&lt;=TODAY()+7),"Due This Week","")</f>
        <v/>
      </c>
      <c r="T270" s="150">
        <f>IF(AND($H270&lt;&gt;"",$M270&lt;=VLOOKUP(Home!$C$7,Lists!$N$2:$O$6,2,FALSE)),$H270&amp;" Task","")</f>
        <v/>
      </c>
      <c r="U270" s="150">
        <f>IF($G270=Home!$E$7,"Fits Current Energy","")</f>
        <v/>
      </c>
      <c r="V270" s="150">
        <f>IF($Q270&lt;&gt;""," • "&amp;$Q270,"")&amp;IF($R270&lt;&gt;""," • "&amp;$R270,"")&amp;IF($S270&lt;&gt;""," • "&amp;$S270,"")&amp;IF($T270&lt;&gt;""," • "&amp;$T270,"")&amp;IF($U270&lt;&gt;""," • "&amp;$U270,"")&amp;" • No Blockers"</f>
        <v/>
      </c>
    </row>
    <row r="271">
      <c r="A271" s="19" t="n"/>
      <c r="B271" s="19" t="n"/>
      <c r="C271" s="19" t="n"/>
      <c r="D271" s="19" t="n"/>
      <c r="E271" s="19" t="n"/>
      <c r="F271" s="19" t="n"/>
      <c r="G271" s="19" t="n"/>
      <c r="H271" s="19" t="n"/>
      <c r="I271" s="19" t="n"/>
      <c r="J271" s="19" t="n"/>
      <c r="K271" s="19" t="n"/>
      <c r="L271" s="125" t="n"/>
      <c r="M271" s="88">
        <f>IF($D271="","",IFERROR(VLOOKUP($H271,Lists!$N$2:$O$6,2,FALSE),0))</f>
        <v/>
      </c>
      <c r="N271" s="88">
        <f>IF($D271="","",IF(OR($E271="Blocked",$E271="Done",$E271="Archive"),-9999,IF(AND($E271="Waiting",SUMPRODUCT((($E$5:$E$500="Next")+($E$5:$E$500="In Progress")+($E$5:$E$500="Captured"))*($D$5:$D$500&lt;&gt;""))&gt;0),-500,VLOOKUP($F271,Lists!$L$2:$M$4,2,FALSE)+IF($E271="In Progress",10,0)+IF(AND($I271&lt;&gt;"",$I271&lt;TODAY()),25,0)+IF(AND($I271&lt;&gt;"",$I271&gt;=TODAY(),$I271&lt;=TODAY()+7),15,0)+IF($H271="",0,IF($M271&lt;=VLOOKUP(Home!$C$7,Lists!$N$2:$O$6,2,FALSE),20,-10))+IF($G271=Home!$E$7,15,IF(Home!$E$7="",0,-5))-ROW()/100000)))</f>
        <v/>
      </c>
      <c r="O271" s="88">
        <f>IF($D271="","",IF($N271&lt;=-500,"Not recommended right now",IF($E271="Waiting","Nothing else actionable right now — Waiting on: "&amp;IF($K271="","this item",$K271),MID($V271,4,9999))))</f>
        <v/>
      </c>
      <c r="P271" s="88">
        <f>IF($D271="","",IF('Task Finder'!$C$6="High Priority",AND($F271="High",$E271&lt;&gt;"Done",$E271&lt;&gt;"Archive"),IF('Task Finder'!$C$6="Due This Week",AND($I271&lt;&gt;"",$I271&gt;=TODAY(),$I271&lt;=TODAY()+7,$E271&lt;&gt;"Done"),IF('Task Finder'!$C$6="Quick Wins (15 mins or less)",AND($M271&lt;=15,$E271&lt;&gt;"Done",$E271&lt;&gt;"Blocked"),IF('Task Finder'!$C$6="Deep Thinking",AND($G271="Deep Thinking",$E271&lt;&gt;"Done"),IF('Task Finder'!$C$6="Processing",AND($G271="Processing",$E271&lt;&gt;"Done"),IF('Task Finder'!$C$6="Blocked",$E271="Blocked",IF('Task Finder'!$C$6="Waiting",$E271="Waiting",IF('Task Finder'!$C$6="Recently Updated",AND($L271&lt;&gt;"",$L271&gt;=TODAY()-7),IF('Task Finder'!$C$6="Keyword",AND('Task Finder'!$C$7&lt;&gt;"",OR(ISNUMBER(SEARCH('Task Finder'!$C$7,$A271)),ISNUMBER(SEARCH('Task Finder'!$C$7,$B271)),ISNUMBER(SEARCH('Task Finder'!$C$7,$C271)),ISNUMBER(SEARCH('Task Finder'!$C$7,$D271)),ISNUMBER(SEARCH('Task Finder'!$C$7,$K271)))),TRUE))))))))))</f>
        <v/>
      </c>
      <c r="Q271" s="150">
        <f>IF($F271="High","High Priority","")</f>
        <v/>
      </c>
      <c r="R271" s="150">
        <f>IF(AND($I271&lt;&gt;"",$I271&lt;TODAY()),"Overdue","")</f>
        <v/>
      </c>
      <c r="S271" s="150">
        <f>IF(AND($I271&lt;&gt;"",$I271&gt;=TODAY(),$I271&lt;=TODAY()+7),"Due This Week","")</f>
        <v/>
      </c>
      <c r="T271" s="150">
        <f>IF(AND($H271&lt;&gt;"",$M271&lt;=VLOOKUP(Home!$C$7,Lists!$N$2:$O$6,2,FALSE)),$H271&amp;" Task","")</f>
        <v/>
      </c>
      <c r="U271" s="150">
        <f>IF($G271=Home!$E$7,"Fits Current Energy","")</f>
        <v/>
      </c>
      <c r="V271" s="150">
        <f>IF($Q271&lt;&gt;""," • "&amp;$Q271,"")&amp;IF($R271&lt;&gt;""," • "&amp;$R271,"")&amp;IF($S271&lt;&gt;""," • "&amp;$S271,"")&amp;IF($T271&lt;&gt;""," • "&amp;$T271,"")&amp;IF($U271&lt;&gt;""," • "&amp;$U271,"")&amp;" • No Blockers"</f>
        <v/>
      </c>
    </row>
    <row r="272">
      <c r="A272" s="19" t="n"/>
      <c r="B272" s="19" t="n"/>
      <c r="C272" s="19" t="n"/>
      <c r="D272" s="19" t="n"/>
      <c r="E272" s="19" t="n"/>
      <c r="F272" s="19" t="n"/>
      <c r="G272" s="19" t="n"/>
      <c r="H272" s="19" t="n"/>
      <c r="I272" s="19" t="n"/>
      <c r="J272" s="19" t="n"/>
      <c r="K272" s="19" t="n"/>
      <c r="L272" s="125" t="n"/>
      <c r="M272" s="88">
        <f>IF($D272="","",IFERROR(VLOOKUP($H272,Lists!$N$2:$O$6,2,FALSE),0))</f>
        <v/>
      </c>
      <c r="N272" s="88">
        <f>IF($D272="","",IF(OR($E272="Blocked",$E272="Done",$E272="Archive"),-9999,IF(AND($E272="Waiting",SUMPRODUCT((($E$5:$E$500="Next")+($E$5:$E$500="In Progress")+($E$5:$E$500="Captured"))*($D$5:$D$500&lt;&gt;""))&gt;0),-500,VLOOKUP($F272,Lists!$L$2:$M$4,2,FALSE)+IF($E272="In Progress",10,0)+IF(AND($I272&lt;&gt;"",$I272&lt;TODAY()),25,0)+IF(AND($I272&lt;&gt;"",$I272&gt;=TODAY(),$I272&lt;=TODAY()+7),15,0)+IF($H272="",0,IF($M272&lt;=VLOOKUP(Home!$C$7,Lists!$N$2:$O$6,2,FALSE),20,-10))+IF($G272=Home!$E$7,15,IF(Home!$E$7="",0,-5))-ROW()/100000)))</f>
        <v/>
      </c>
      <c r="O272" s="88">
        <f>IF($D272="","",IF($N272&lt;=-500,"Not recommended right now",IF($E272="Waiting","Nothing else actionable right now — Waiting on: "&amp;IF($K272="","this item",$K272),MID($V272,4,9999))))</f>
        <v/>
      </c>
      <c r="P272" s="88">
        <f>IF($D272="","",IF('Task Finder'!$C$6="High Priority",AND($F272="High",$E272&lt;&gt;"Done",$E272&lt;&gt;"Archive"),IF('Task Finder'!$C$6="Due This Week",AND($I272&lt;&gt;"",$I272&gt;=TODAY(),$I272&lt;=TODAY()+7,$E272&lt;&gt;"Done"),IF('Task Finder'!$C$6="Quick Wins (15 mins or less)",AND($M272&lt;=15,$E272&lt;&gt;"Done",$E272&lt;&gt;"Blocked"),IF('Task Finder'!$C$6="Deep Thinking",AND($G272="Deep Thinking",$E272&lt;&gt;"Done"),IF('Task Finder'!$C$6="Processing",AND($G272="Processing",$E272&lt;&gt;"Done"),IF('Task Finder'!$C$6="Blocked",$E272="Blocked",IF('Task Finder'!$C$6="Waiting",$E272="Waiting",IF('Task Finder'!$C$6="Recently Updated",AND($L272&lt;&gt;"",$L272&gt;=TODAY()-7),IF('Task Finder'!$C$6="Keyword",AND('Task Finder'!$C$7&lt;&gt;"",OR(ISNUMBER(SEARCH('Task Finder'!$C$7,$A272)),ISNUMBER(SEARCH('Task Finder'!$C$7,$B272)),ISNUMBER(SEARCH('Task Finder'!$C$7,$C272)),ISNUMBER(SEARCH('Task Finder'!$C$7,$D272)),ISNUMBER(SEARCH('Task Finder'!$C$7,$K272)))),TRUE))))))))))</f>
        <v/>
      </c>
      <c r="Q272" s="150">
        <f>IF($F272="High","High Priority","")</f>
        <v/>
      </c>
      <c r="R272" s="150">
        <f>IF(AND($I272&lt;&gt;"",$I272&lt;TODAY()),"Overdue","")</f>
        <v/>
      </c>
      <c r="S272" s="150">
        <f>IF(AND($I272&lt;&gt;"",$I272&gt;=TODAY(),$I272&lt;=TODAY()+7),"Due This Week","")</f>
        <v/>
      </c>
      <c r="T272" s="150">
        <f>IF(AND($H272&lt;&gt;"",$M272&lt;=VLOOKUP(Home!$C$7,Lists!$N$2:$O$6,2,FALSE)),$H272&amp;" Task","")</f>
        <v/>
      </c>
      <c r="U272" s="150">
        <f>IF($G272=Home!$E$7,"Fits Current Energy","")</f>
        <v/>
      </c>
      <c r="V272" s="150">
        <f>IF($Q272&lt;&gt;""," • "&amp;$Q272,"")&amp;IF($R272&lt;&gt;""," • "&amp;$R272,"")&amp;IF($S272&lt;&gt;""," • "&amp;$S272,"")&amp;IF($T272&lt;&gt;""," • "&amp;$T272,"")&amp;IF($U272&lt;&gt;""," • "&amp;$U272,"")&amp;" • No Blockers"</f>
        <v/>
      </c>
    </row>
    <row r="273">
      <c r="A273" s="19" t="n"/>
      <c r="B273" s="19" t="n"/>
      <c r="C273" s="19" t="n"/>
      <c r="D273" s="19" t="n"/>
      <c r="E273" s="19" t="n"/>
      <c r="F273" s="19" t="n"/>
      <c r="G273" s="19" t="n"/>
      <c r="H273" s="19" t="n"/>
      <c r="I273" s="19" t="n"/>
      <c r="J273" s="19" t="n"/>
      <c r="K273" s="19" t="n"/>
      <c r="L273" s="125" t="n"/>
      <c r="M273" s="88">
        <f>IF($D273="","",IFERROR(VLOOKUP($H273,Lists!$N$2:$O$6,2,FALSE),0))</f>
        <v/>
      </c>
      <c r="N273" s="88">
        <f>IF($D273="","",IF(OR($E273="Blocked",$E273="Done",$E273="Archive"),-9999,IF(AND($E273="Waiting",SUMPRODUCT((($E$5:$E$500="Next")+($E$5:$E$500="In Progress")+($E$5:$E$500="Captured"))*($D$5:$D$500&lt;&gt;""))&gt;0),-500,VLOOKUP($F273,Lists!$L$2:$M$4,2,FALSE)+IF($E273="In Progress",10,0)+IF(AND($I273&lt;&gt;"",$I273&lt;TODAY()),25,0)+IF(AND($I273&lt;&gt;"",$I273&gt;=TODAY(),$I273&lt;=TODAY()+7),15,0)+IF($H273="",0,IF($M273&lt;=VLOOKUP(Home!$C$7,Lists!$N$2:$O$6,2,FALSE),20,-10))+IF($G273=Home!$E$7,15,IF(Home!$E$7="",0,-5))-ROW()/100000)))</f>
        <v/>
      </c>
      <c r="O273" s="88">
        <f>IF($D273="","",IF($N273&lt;=-500,"Not recommended right now",IF($E273="Waiting","Nothing else actionable right now — Waiting on: "&amp;IF($K273="","this item",$K273),MID($V273,4,9999))))</f>
        <v/>
      </c>
      <c r="P273" s="88">
        <f>IF($D273="","",IF('Task Finder'!$C$6="High Priority",AND($F273="High",$E273&lt;&gt;"Done",$E273&lt;&gt;"Archive"),IF('Task Finder'!$C$6="Due This Week",AND($I273&lt;&gt;"",$I273&gt;=TODAY(),$I273&lt;=TODAY()+7,$E273&lt;&gt;"Done"),IF('Task Finder'!$C$6="Quick Wins (15 mins or less)",AND($M273&lt;=15,$E273&lt;&gt;"Done",$E273&lt;&gt;"Blocked"),IF('Task Finder'!$C$6="Deep Thinking",AND($G273="Deep Thinking",$E273&lt;&gt;"Done"),IF('Task Finder'!$C$6="Processing",AND($G273="Processing",$E273&lt;&gt;"Done"),IF('Task Finder'!$C$6="Blocked",$E273="Blocked",IF('Task Finder'!$C$6="Waiting",$E273="Waiting",IF('Task Finder'!$C$6="Recently Updated",AND($L273&lt;&gt;"",$L273&gt;=TODAY()-7),IF('Task Finder'!$C$6="Keyword",AND('Task Finder'!$C$7&lt;&gt;"",OR(ISNUMBER(SEARCH('Task Finder'!$C$7,$A273)),ISNUMBER(SEARCH('Task Finder'!$C$7,$B273)),ISNUMBER(SEARCH('Task Finder'!$C$7,$C273)),ISNUMBER(SEARCH('Task Finder'!$C$7,$D273)),ISNUMBER(SEARCH('Task Finder'!$C$7,$K273)))),TRUE))))))))))</f>
        <v/>
      </c>
      <c r="Q273" s="150">
        <f>IF($F273="High","High Priority","")</f>
        <v/>
      </c>
      <c r="R273" s="150">
        <f>IF(AND($I273&lt;&gt;"",$I273&lt;TODAY()),"Overdue","")</f>
        <v/>
      </c>
      <c r="S273" s="150">
        <f>IF(AND($I273&lt;&gt;"",$I273&gt;=TODAY(),$I273&lt;=TODAY()+7),"Due This Week","")</f>
        <v/>
      </c>
      <c r="T273" s="150">
        <f>IF(AND($H273&lt;&gt;"",$M273&lt;=VLOOKUP(Home!$C$7,Lists!$N$2:$O$6,2,FALSE)),$H273&amp;" Task","")</f>
        <v/>
      </c>
      <c r="U273" s="150">
        <f>IF($G273=Home!$E$7,"Fits Current Energy","")</f>
        <v/>
      </c>
      <c r="V273" s="150">
        <f>IF($Q273&lt;&gt;""," • "&amp;$Q273,"")&amp;IF($R273&lt;&gt;""," • "&amp;$R273,"")&amp;IF($S273&lt;&gt;""," • "&amp;$S273,"")&amp;IF($T273&lt;&gt;""," • "&amp;$T273,"")&amp;IF($U273&lt;&gt;""," • "&amp;$U273,"")&amp;" • No Blockers"</f>
        <v/>
      </c>
    </row>
    <row r="274">
      <c r="A274" s="19" t="n"/>
      <c r="B274" s="19" t="n"/>
      <c r="C274" s="19" t="n"/>
      <c r="D274" s="19" t="n"/>
      <c r="E274" s="19" t="n"/>
      <c r="F274" s="19" t="n"/>
      <c r="G274" s="19" t="n"/>
      <c r="H274" s="19" t="n"/>
      <c r="I274" s="19" t="n"/>
      <c r="J274" s="19" t="n"/>
      <c r="K274" s="19" t="n"/>
      <c r="L274" s="125" t="n"/>
      <c r="M274" s="88">
        <f>IF($D274="","",IFERROR(VLOOKUP($H274,Lists!$N$2:$O$6,2,FALSE),0))</f>
        <v/>
      </c>
      <c r="N274" s="88">
        <f>IF($D274="","",IF(OR($E274="Blocked",$E274="Done",$E274="Archive"),-9999,IF(AND($E274="Waiting",SUMPRODUCT((($E$5:$E$500="Next")+($E$5:$E$500="In Progress")+($E$5:$E$500="Captured"))*($D$5:$D$500&lt;&gt;""))&gt;0),-500,VLOOKUP($F274,Lists!$L$2:$M$4,2,FALSE)+IF($E274="In Progress",10,0)+IF(AND($I274&lt;&gt;"",$I274&lt;TODAY()),25,0)+IF(AND($I274&lt;&gt;"",$I274&gt;=TODAY(),$I274&lt;=TODAY()+7),15,0)+IF($H274="",0,IF($M274&lt;=VLOOKUP(Home!$C$7,Lists!$N$2:$O$6,2,FALSE),20,-10))+IF($G274=Home!$E$7,15,IF(Home!$E$7="",0,-5))-ROW()/100000)))</f>
        <v/>
      </c>
      <c r="O274" s="88">
        <f>IF($D274="","",IF($N274&lt;=-500,"Not recommended right now",IF($E274="Waiting","Nothing else actionable right now — Waiting on: "&amp;IF($K274="","this item",$K274),MID($V274,4,9999))))</f>
        <v/>
      </c>
      <c r="P274" s="88">
        <f>IF($D274="","",IF('Task Finder'!$C$6="High Priority",AND($F274="High",$E274&lt;&gt;"Done",$E274&lt;&gt;"Archive"),IF('Task Finder'!$C$6="Due This Week",AND($I274&lt;&gt;"",$I274&gt;=TODAY(),$I274&lt;=TODAY()+7,$E274&lt;&gt;"Done"),IF('Task Finder'!$C$6="Quick Wins (15 mins or less)",AND($M274&lt;=15,$E274&lt;&gt;"Done",$E274&lt;&gt;"Blocked"),IF('Task Finder'!$C$6="Deep Thinking",AND($G274="Deep Thinking",$E274&lt;&gt;"Done"),IF('Task Finder'!$C$6="Processing",AND($G274="Processing",$E274&lt;&gt;"Done"),IF('Task Finder'!$C$6="Blocked",$E274="Blocked",IF('Task Finder'!$C$6="Waiting",$E274="Waiting",IF('Task Finder'!$C$6="Recently Updated",AND($L274&lt;&gt;"",$L274&gt;=TODAY()-7),IF('Task Finder'!$C$6="Keyword",AND('Task Finder'!$C$7&lt;&gt;"",OR(ISNUMBER(SEARCH('Task Finder'!$C$7,$A274)),ISNUMBER(SEARCH('Task Finder'!$C$7,$B274)),ISNUMBER(SEARCH('Task Finder'!$C$7,$C274)),ISNUMBER(SEARCH('Task Finder'!$C$7,$D274)),ISNUMBER(SEARCH('Task Finder'!$C$7,$K274)))),TRUE))))))))))</f>
        <v/>
      </c>
      <c r="Q274" s="150">
        <f>IF($F274="High","High Priority","")</f>
        <v/>
      </c>
      <c r="R274" s="150">
        <f>IF(AND($I274&lt;&gt;"",$I274&lt;TODAY()),"Overdue","")</f>
        <v/>
      </c>
      <c r="S274" s="150">
        <f>IF(AND($I274&lt;&gt;"",$I274&gt;=TODAY(),$I274&lt;=TODAY()+7),"Due This Week","")</f>
        <v/>
      </c>
      <c r="T274" s="150">
        <f>IF(AND($H274&lt;&gt;"",$M274&lt;=VLOOKUP(Home!$C$7,Lists!$N$2:$O$6,2,FALSE)),$H274&amp;" Task","")</f>
        <v/>
      </c>
      <c r="U274" s="150">
        <f>IF($G274=Home!$E$7,"Fits Current Energy","")</f>
        <v/>
      </c>
      <c r="V274" s="150">
        <f>IF($Q274&lt;&gt;""," • "&amp;$Q274,"")&amp;IF($R274&lt;&gt;""," • "&amp;$R274,"")&amp;IF($S274&lt;&gt;""," • "&amp;$S274,"")&amp;IF($T274&lt;&gt;""," • "&amp;$T274,"")&amp;IF($U274&lt;&gt;""," • "&amp;$U274,"")&amp;" • No Blockers"</f>
        <v/>
      </c>
    </row>
    <row r="275">
      <c r="A275" s="19" t="n"/>
      <c r="B275" s="19" t="n"/>
      <c r="C275" s="19" t="n"/>
      <c r="D275" s="19" t="n"/>
      <c r="E275" s="19" t="n"/>
      <c r="F275" s="19" t="n"/>
      <c r="G275" s="19" t="n"/>
      <c r="H275" s="19" t="n"/>
      <c r="I275" s="19" t="n"/>
      <c r="J275" s="19" t="n"/>
      <c r="K275" s="19" t="n"/>
      <c r="L275" s="125" t="n"/>
      <c r="M275" s="88">
        <f>IF($D275="","",IFERROR(VLOOKUP($H275,Lists!$N$2:$O$6,2,FALSE),0))</f>
        <v/>
      </c>
      <c r="N275" s="88">
        <f>IF($D275="","",IF(OR($E275="Blocked",$E275="Done",$E275="Archive"),-9999,IF(AND($E275="Waiting",SUMPRODUCT((($E$5:$E$500="Next")+($E$5:$E$500="In Progress")+($E$5:$E$500="Captured"))*($D$5:$D$500&lt;&gt;""))&gt;0),-500,VLOOKUP($F275,Lists!$L$2:$M$4,2,FALSE)+IF($E275="In Progress",10,0)+IF(AND($I275&lt;&gt;"",$I275&lt;TODAY()),25,0)+IF(AND($I275&lt;&gt;"",$I275&gt;=TODAY(),$I275&lt;=TODAY()+7),15,0)+IF($H275="",0,IF($M275&lt;=VLOOKUP(Home!$C$7,Lists!$N$2:$O$6,2,FALSE),20,-10))+IF($G275=Home!$E$7,15,IF(Home!$E$7="",0,-5))-ROW()/100000)))</f>
        <v/>
      </c>
      <c r="O275" s="88">
        <f>IF($D275="","",IF($N275&lt;=-500,"Not recommended right now",IF($E275="Waiting","Nothing else actionable right now — Waiting on: "&amp;IF($K275="","this item",$K275),MID($V275,4,9999))))</f>
        <v/>
      </c>
      <c r="P275" s="88">
        <f>IF($D275="","",IF('Task Finder'!$C$6="High Priority",AND($F275="High",$E275&lt;&gt;"Done",$E275&lt;&gt;"Archive"),IF('Task Finder'!$C$6="Due This Week",AND($I275&lt;&gt;"",$I275&gt;=TODAY(),$I275&lt;=TODAY()+7,$E275&lt;&gt;"Done"),IF('Task Finder'!$C$6="Quick Wins (15 mins or less)",AND($M275&lt;=15,$E275&lt;&gt;"Done",$E275&lt;&gt;"Blocked"),IF('Task Finder'!$C$6="Deep Thinking",AND($G275="Deep Thinking",$E275&lt;&gt;"Done"),IF('Task Finder'!$C$6="Processing",AND($G275="Processing",$E275&lt;&gt;"Done"),IF('Task Finder'!$C$6="Blocked",$E275="Blocked",IF('Task Finder'!$C$6="Waiting",$E275="Waiting",IF('Task Finder'!$C$6="Recently Updated",AND($L275&lt;&gt;"",$L275&gt;=TODAY()-7),IF('Task Finder'!$C$6="Keyword",AND('Task Finder'!$C$7&lt;&gt;"",OR(ISNUMBER(SEARCH('Task Finder'!$C$7,$A275)),ISNUMBER(SEARCH('Task Finder'!$C$7,$B275)),ISNUMBER(SEARCH('Task Finder'!$C$7,$C275)),ISNUMBER(SEARCH('Task Finder'!$C$7,$D275)),ISNUMBER(SEARCH('Task Finder'!$C$7,$K275)))),TRUE))))))))))</f>
        <v/>
      </c>
      <c r="Q275" s="150">
        <f>IF($F275="High","High Priority","")</f>
        <v/>
      </c>
      <c r="R275" s="150">
        <f>IF(AND($I275&lt;&gt;"",$I275&lt;TODAY()),"Overdue","")</f>
        <v/>
      </c>
      <c r="S275" s="150">
        <f>IF(AND($I275&lt;&gt;"",$I275&gt;=TODAY(),$I275&lt;=TODAY()+7),"Due This Week","")</f>
        <v/>
      </c>
      <c r="T275" s="150">
        <f>IF(AND($H275&lt;&gt;"",$M275&lt;=VLOOKUP(Home!$C$7,Lists!$N$2:$O$6,2,FALSE)),$H275&amp;" Task","")</f>
        <v/>
      </c>
      <c r="U275" s="150">
        <f>IF($G275=Home!$E$7,"Fits Current Energy","")</f>
        <v/>
      </c>
      <c r="V275" s="150">
        <f>IF($Q275&lt;&gt;""," • "&amp;$Q275,"")&amp;IF($R275&lt;&gt;""," • "&amp;$R275,"")&amp;IF($S275&lt;&gt;""," • "&amp;$S275,"")&amp;IF($T275&lt;&gt;""," • "&amp;$T275,"")&amp;IF($U275&lt;&gt;""," • "&amp;$U275,"")&amp;" • No Blockers"</f>
        <v/>
      </c>
    </row>
    <row r="276">
      <c r="A276" s="19" t="n"/>
      <c r="B276" s="19" t="n"/>
      <c r="C276" s="19" t="n"/>
      <c r="D276" s="19" t="n"/>
      <c r="E276" s="19" t="n"/>
      <c r="F276" s="19" t="n"/>
      <c r="G276" s="19" t="n"/>
      <c r="H276" s="19" t="n"/>
      <c r="I276" s="19" t="n"/>
      <c r="J276" s="19" t="n"/>
      <c r="K276" s="19" t="n"/>
      <c r="L276" s="125" t="n"/>
      <c r="M276" s="88">
        <f>IF($D276="","",IFERROR(VLOOKUP($H276,Lists!$N$2:$O$6,2,FALSE),0))</f>
        <v/>
      </c>
      <c r="N276" s="88">
        <f>IF($D276="","",IF(OR($E276="Blocked",$E276="Done",$E276="Archive"),-9999,IF(AND($E276="Waiting",SUMPRODUCT((($E$5:$E$500="Next")+($E$5:$E$500="In Progress")+($E$5:$E$500="Captured"))*($D$5:$D$500&lt;&gt;""))&gt;0),-500,VLOOKUP($F276,Lists!$L$2:$M$4,2,FALSE)+IF($E276="In Progress",10,0)+IF(AND($I276&lt;&gt;"",$I276&lt;TODAY()),25,0)+IF(AND($I276&lt;&gt;"",$I276&gt;=TODAY(),$I276&lt;=TODAY()+7),15,0)+IF($H276="",0,IF($M276&lt;=VLOOKUP(Home!$C$7,Lists!$N$2:$O$6,2,FALSE),20,-10))+IF($G276=Home!$E$7,15,IF(Home!$E$7="",0,-5))-ROW()/100000)))</f>
        <v/>
      </c>
      <c r="O276" s="88">
        <f>IF($D276="","",IF($N276&lt;=-500,"Not recommended right now",IF($E276="Waiting","Nothing else actionable right now — Waiting on: "&amp;IF($K276="","this item",$K276),MID($V276,4,9999))))</f>
        <v/>
      </c>
      <c r="P276" s="88">
        <f>IF($D276="","",IF('Task Finder'!$C$6="High Priority",AND($F276="High",$E276&lt;&gt;"Done",$E276&lt;&gt;"Archive"),IF('Task Finder'!$C$6="Due This Week",AND($I276&lt;&gt;"",$I276&gt;=TODAY(),$I276&lt;=TODAY()+7,$E276&lt;&gt;"Done"),IF('Task Finder'!$C$6="Quick Wins (15 mins or less)",AND($M276&lt;=15,$E276&lt;&gt;"Done",$E276&lt;&gt;"Blocked"),IF('Task Finder'!$C$6="Deep Thinking",AND($G276="Deep Thinking",$E276&lt;&gt;"Done"),IF('Task Finder'!$C$6="Processing",AND($G276="Processing",$E276&lt;&gt;"Done"),IF('Task Finder'!$C$6="Blocked",$E276="Blocked",IF('Task Finder'!$C$6="Waiting",$E276="Waiting",IF('Task Finder'!$C$6="Recently Updated",AND($L276&lt;&gt;"",$L276&gt;=TODAY()-7),IF('Task Finder'!$C$6="Keyword",AND('Task Finder'!$C$7&lt;&gt;"",OR(ISNUMBER(SEARCH('Task Finder'!$C$7,$A276)),ISNUMBER(SEARCH('Task Finder'!$C$7,$B276)),ISNUMBER(SEARCH('Task Finder'!$C$7,$C276)),ISNUMBER(SEARCH('Task Finder'!$C$7,$D276)),ISNUMBER(SEARCH('Task Finder'!$C$7,$K276)))),TRUE))))))))))</f>
        <v/>
      </c>
      <c r="Q276" s="150">
        <f>IF($F276="High","High Priority","")</f>
        <v/>
      </c>
      <c r="R276" s="150">
        <f>IF(AND($I276&lt;&gt;"",$I276&lt;TODAY()),"Overdue","")</f>
        <v/>
      </c>
      <c r="S276" s="150">
        <f>IF(AND($I276&lt;&gt;"",$I276&gt;=TODAY(),$I276&lt;=TODAY()+7),"Due This Week","")</f>
        <v/>
      </c>
      <c r="T276" s="150">
        <f>IF(AND($H276&lt;&gt;"",$M276&lt;=VLOOKUP(Home!$C$7,Lists!$N$2:$O$6,2,FALSE)),$H276&amp;" Task","")</f>
        <v/>
      </c>
      <c r="U276" s="150">
        <f>IF($G276=Home!$E$7,"Fits Current Energy","")</f>
        <v/>
      </c>
      <c r="V276" s="150">
        <f>IF($Q276&lt;&gt;""," • "&amp;$Q276,"")&amp;IF($R276&lt;&gt;""," • "&amp;$R276,"")&amp;IF($S276&lt;&gt;""," • "&amp;$S276,"")&amp;IF($T276&lt;&gt;""," • "&amp;$T276,"")&amp;IF($U276&lt;&gt;""," • "&amp;$U276,"")&amp;" • No Blockers"</f>
        <v/>
      </c>
    </row>
    <row r="277">
      <c r="A277" s="19" t="n"/>
      <c r="B277" s="19" t="n"/>
      <c r="C277" s="19" t="n"/>
      <c r="D277" s="19" t="n"/>
      <c r="E277" s="19" t="n"/>
      <c r="F277" s="19" t="n"/>
      <c r="G277" s="19" t="n"/>
      <c r="H277" s="19" t="n"/>
      <c r="I277" s="19" t="n"/>
      <c r="J277" s="19" t="n"/>
      <c r="K277" s="19" t="n"/>
      <c r="L277" s="125" t="n"/>
      <c r="M277" s="88">
        <f>IF($D277="","",IFERROR(VLOOKUP($H277,Lists!$N$2:$O$6,2,FALSE),0))</f>
        <v/>
      </c>
      <c r="N277" s="88">
        <f>IF($D277="","",IF(OR($E277="Blocked",$E277="Done",$E277="Archive"),-9999,IF(AND($E277="Waiting",SUMPRODUCT((($E$5:$E$500="Next")+($E$5:$E$500="In Progress")+($E$5:$E$500="Captured"))*($D$5:$D$500&lt;&gt;""))&gt;0),-500,VLOOKUP($F277,Lists!$L$2:$M$4,2,FALSE)+IF($E277="In Progress",10,0)+IF(AND($I277&lt;&gt;"",$I277&lt;TODAY()),25,0)+IF(AND($I277&lt;&gt;"",$I277&gt;=TODAY(),$I277&lt;=TODAY()+7),15,0)+IF($H277="",0,IF($M277&lt;=VLOOKUP(Home!$C$7,Lists!$N$2:$O$6,2,FALSE),20,-10))+IF($G277=Home!$E$7,15,IF(Home!$E$7="",0,-5))-ROW()/100000)))</f>
        <v/>
      </c>
      <c r="O277" s="88">
        <f>IF($D277="","",IF($N277&lt;=-500,"Not recommended right now",IF($E277="Waiting","Nothing else actionable right now — Waiting on: "&amp;IF($K277="","this item",$K277),MID($V277,4,9999))))</f>
        <v/>
      </c>
      <c r="P277" s="88">
        <f>IF($D277="","",IF('Task Finder'!$C$6="High Priority",AND($F277="High",$E277&lt;&gt;"Done",$E277&lt;&gt;"Archive"),IF('Task Finder'!$C$6="Due This Week",AND($I277&lt;&gt;"",$I277&gt;=TODAY(),$I277&lt;=TODAY()+7,$E277&lt;&gt;"Done"),IF('Task Finder'!$C$6="Quick Wins (15 mins or less)",AND($M277&lt;=15,$E277&lt;&gt;"Done",$E277&lt;&gt;"Blocked"),IF('Task Finder'!$C$6="Deep Thinking",AND($G277="Deep Thinking",$E277&lt;&gt;"Done"),IF('Task Finder'!$C$6="Processing",AND($G277="Processing",$E277&lt;&gt;"Done"),IF('Task Finder'!$C$6="Blocked",$E277="Blocked",IF('Task Finder'!$C$6="Waiting",$E277="Waiting",IF('Task Finder'!$C$6="Recently Updated",AND($L277&lt;&gt;"",$L277&gt;=TODAY()-7),IF('Task Finder'!$C$6="Keyword",AND('Task Finder'!$C$7&lt;&gt;"",OR(ISNUMBER(SEARCH('Task Finder'!$C$7,$A277)),ISNUMBER(SEARCH('Task Finder'!$C$7,$B277)),ISNUMBER(SEARCH('Task Finder'!$C$7,$C277)),ISNUMBER(SEARCH('Task Finder'!$C$7,$D277)),ISNUMBER(SEARCH('Task Finder'!$C$7,$K277)))),TRUE))))))))))</f>
        <v/>
      </c>
      <c r="Q277" s="150">
        <f>IF($F277="High","High Priority","")</f>
        <v/>
      </c>
      <c r="R277" s="150">
        <f>IF(AND($I277&lt;&gt;"",$I277&lt;TODAY()),"Overdue","")</f>
        <v/>
      </c>
      <c r="S277" s="150">
        <f>IF(AND($I277&lt;&gt;"",$I277&gt;=TODAY(),$I277&lt;=TODAY()+7),"Due This Week","")</f>
        <v/>
      </c>
      <c r="T277" s="150">
        <f>IF(AND($H277&lt;&gt;"",$M277&lt;=VLOOKUP(Home!$C$7,Lists!$N$2:$O$6,2,FALSE)),$H277&amp;" Task","")</f>
        <v/>
      </c>
      <c r="U277" s="150">
        <f>IF($G277=Home!$E$7,"Fits Current Energy","")</f>
        <v/>
      </c>
      <c r="V277" s="150">
        <f>IF($Q277&lt;&gt;""," • "&amp;$Q277,"")&amp;IF($R277&lt;&gt;""," • "&amp;$R277,"")&amp;IF($S277&lt;&gt;""," • "&amp;$S277,"")&amp;IF($T277&lt;&gt;""," • "&amp;$T277,"")&amp;IF($U277&lt;&gt;""," • "&amp;$U277,"")&amp;" • No Blockers"</f>
        <v/>
      </c>
    </row>
    <row r="278">
      <c r="A278" s="19" t="n"/>
      <c r="B278" s="19" t="n"/>
      <c r="C278" s="19" t="n"/>
      <c r="D278" s="19" t="n"/>
      <c r="E278" s="19" t="n"/>
      <c r="F278" s="19" t="n"/>
      <c r="G278" s="19" t="n"/>
      <c r="H278" s="19" t="n"/>
      <c r="I278" s="19" t="n"/>
      <c r="J278" s="19" t="n"/>
      <c r="K278" s="19" t="n"/>
      <c r="L278" s="125" t="n"/>
      <c r="M278" s="88">
        <f>IF($D278="","",IFERROR(VLOOKUP($H278,Lists!$N$2:$O$6,2,FALSE),0))</f>
        <v/>
      </c>
      <c r="N278" s="88">
        <f>IF($D278="","",IF(OR($E278="Blocked",$E278="Done",$E278="Archive"),-9999,IF(AND($E278="Waiting",SUMPRODUCT((($E$5:$E$500="Next")+($E$5:$E$500="In Progress")+($E$5:$E$500="Captured"))*($D$5:$D$500&lt;&gt;""))&gt;0),-500,VLOOKUP($F278,Lists!$L$2:$M$4,2,FALSE)+IF($E278="In Progress",10,0)+IF(AND($I278&lt;&gt;"",$I278&lt;TODAY()),25,0)+IF(AND($I278&lt;&gt;"",$I278&gt;=TODAY(),$I278&lt;=TODAY()+7),15,0)+IF($H278="",0,IF($M278&lt;=VLOOKUP(Home!$C$7,Lists!$N$2:$O$6,2,FALSE),20,-10))+IF($G278=Home!$E$7,15,IF(Home!$E$7="",0,-5))-ROW()/100000)))</f>
        <v/>
      </c>
      <c r="O278" s="88">
        <f>IF($D278="","",IF($N278&lt;=-500,"Not recommended right now",IF($E278="Waiting","Nothing else actionable right now — Waiting on: "&amp;IF($K278="","this item",$K278),MID($V278,4,9999))))</f>
        <v/>
      </c>
      <c r="P278" s="88">
        <f>IF($D278="","",IF('Task Finder'!$C$6="High Priority",AND($F278="High",$E278&lt;&gt;"Done",$E278&lt;&gt;"Archive"),IF('Task Finder'!$C$6="Due This Week",AND($I278&lt;&gt;"",$I278&gt;=TODAY(),$I278&lt;=TODAY()+7,$E278&lt;&gt;"Done"),IF('Task Finder'!$C$6="Quick Wins (15 mins or less)",AND($M278&lt;=15,$E278&lt;&gt;"Done",$E278&lt;&gt;"Blocked"),IF('Task Finder'!$C$6="Deep Thinking",AND($G278="Deep Thinking",$E278&lt;&gt;"Done"),IF('Task Finder'!$C$6="Processing",AND($G278="Processing",$E278&lt;&gt;"Done"),IF('Task Finder'!$C$6="Blocked",$E278="Blocked",IF('Task Finder'!$C$6="Waiting",$E278="Waiting",IF('Task Finder'!$C$6="Recently Updated",AND($L278&lt;&gt;"",$L278&gt;=TODAY()-7),IF('Task Finder'!$C$6="Keyword",AND('Task Finder'!$C$7&lt;&gt;"",OR(ISNUMBER(SEARCH('Task Finder'!$C$7,$A278)),ISNUMBER(SEARCH('Task Finder'!$C$7,$B278)),ISNUMBER(SEARCH('Task Finder'!$C$7,$C278)),ISNUMBER(SEARCH('Task Finder'!$C$7,$D278)),ISNUMBER(SEARCH('Task Finder'!$C$7,$K278)))),TRUE))))))))))</f>
        <v/>
      </c>
      <c r="Q278" s="150">
        <f>IF($F278="High","High Priority","")</f>
        <v/>
      </c>
      <c r="R278" s="150">
        <f>IF(AND($I278&lt;&gt;"",$I278&lt;TODAY()),"Overdue","")</f>
        <v/>
      </c>
      <c r="S278" s="150">
        <f>IF(AND($I278&lt;&gt;"",$I278&gt;=TODAY(),$I278&lt;=TODAY()+7),"Due This Week","")</f>
        <v/>
      </c>
      <c r="T278" s="150">
        <f>IF(AND($H278&lt;&gt;"",$M278&lt;=VLOOKUP(Home!$C$7,Lists!$N$2:$O$6,2,FALSE)),$H278&amp;" Task","")</f>
        <v/>
      </c>
      <c r="U278" s="150">
        <f>IF($G278=Home!$E$7,"Fits Current Energy","")</f>
        <v/>
      </c>
      <c r="V278" s="150">
        <f>IF($Q278&lt;&gt;""," • "&amp;$Q278,"")&amp;IF($R278&lt;&gt;""," • "&amp;$R278,"")&amp;IF($S278&lt;&gt;""," • "&amp;$S278,"")&amp;IF($T278&lt;&gt;""," • "&amp;$T278,"")&amp;IF($U278&lt;&gt;""," • "&amp;$U278,"")&amp;" • No Blockers"</f>
        <v/>
      </c>
    </row>
    <row r="279">
      <c r="A279" s="19" t="n"/>
      <c r="B279" s="19" t="n"/>
      <c r="C279" s="19" t="n"/>
      <c r="D279" s="19" t="n"/>
      <c r="E279" s="19" t="n"/>
      <c r="F279" s="19" t="n"/>
      <c r="G279" s="19" t="n"/>
      <c r="H279" s="19" t="n"/>
      <c r="I279" s="19" t="n"/>
      <c r="J279" s="19" t="n"/>
      <c r="K279" s="19" t="n"/>
      <c r="L279" s="125" t="n"/>
      <c r="M279" s="88">
        <f>IF($D279="","",IFERROR(VLOOKUP($H279,Lists!$N$2:$O$6,2,FALSE),0))</f>
        <v/>
      </c>
      <c r="N279" s="88">
        <f>IF($D279="","",IF(OR($E279="Blocked",$E279="Done",$E279="Archive"),-9999,IF(AND($E279="Waiting",SUMPRODUCT((($E$5:$E$500="Next")+($E$5:$E$500="In Progress")+($E$5:$E$500="Captured"))*($D$5:$D$500&lt;&gt;""))&gt;0),-500,VLOOKUP($F279,Lists!$L$2:$M$4,2,FALSE)+IF($E279="In Progress",10,0)+IF(AND($I279&lt;&gt;"",$I279&lt;TODAY()),25,0)+IF(AND($I279&lt;&gt;"",$I279&gt;=TODAY(),$I279&lt;=TODAY()+7),15,0)+IF($H279="",0,IF($M279&lt;=VLOOKUP(Home!$C$7,Lists!$N$2:$O$6,2,FALSE),20,-10))+IF($G279=Home!$E$7,15,IF(Home!$E$7="",0,-5))-ROW()/100000)))</f>
        <v/>
      </c>
      <c r="O279" s="88">
        <f>IF($D279="","",IF($N279&lt;=-500,"Not recommended right now",IF($E279="Waiting","Nothing else actionable right now — Waiting on: "&amp;IF($K279="","this item",$K279),MID($V279,4,9999))))</f>
        <v/>
      </c>
      <c r="P279" s="88">
        <f>IF($D279="","",IF('Task Finder'!$C$6="High Priority",AND($F279="High",$E279&lt;&gt;"Done",$E279&lt;&gt;"Archive"),IF('Task Finder'!$C$6="Due This Week",AND($I279&lt;&gt;"",$I279&gt;=TODAY(),$I279&lt;=TODAY()+7,$E279&lt;&gt;"Done"),IF('Task Finder'!$C$6="Quick Wins (15 mins or less)",AND($M279&lt;=15,$E279&lt;&gt;"Done",$E279&lt;&gt;"Blocked"),IF('Task Finder'!$C$6="Deep Thinking",AND($G279="Deep Thinking",$E279&lt;&gt;"Done"),IF('Task Finder'!$C$6="Processing",AND($G279="Processing",$E279&lt;&gt;"Done"),IF('Task Finder'!$C$6="Blocked",$E279="Blocked",IF('Task Finder'!$C$6="Waiting",$E279="Waiting",IF('Task Finder'!$C$6="Recently Updated",AND($L279&lt;&gt;"",$L279&gt;=TODAY()-7),IF('Task Finder'!$C$6="Keyword",AND('Task Finder'!$C$7&lt;&gt;"",OR(ISNUMBER(SEARCH('Task Finder'!$C$7,$A279)),ISNUMBER(SEARCH('Task Finder'!$C$7,$B279)),ISNUMBER(SEARCH('Task Finder'!$C$7,$C279)),ISNUMBER(SEARCH('Task Finder'!$C$7,$D279)),ISNUMBER(SEARCH('Task Finder'!$C$7,$K279)))),TRUE))))))))))</f>
        <v/>
      </c>
      <c r="Q279" s="150">
        <f>IF($F279="High","High Priority","")</f>
        <v/>
      </c>
      <c r="R279" s="150">
        <f>IF(AND($I279&lt;&gt;"",$I279&lt;TODAY()),"Overdue","")</f>
        <v/>
      </c>
      <c r="S279" s="150">
        <f>IF(AND($I279&lt;&gt;"",$I279&gt;=TODAY(),$I279&lt;=TODAY()+7),"Due This Week","")</f>
        <v/>
      </c>
      <c r="T279" s="150">
        <f>IF(AND($H279&lt;&gt;"",$M279&lt;=VLOOKUP(Home!$C$7,Lists!$N$2:$O$6,2,FALSE)),$H279&amp;" Task","")</f>
        <v/>
      </c>
      <c r="U279" s="150">
        <f>IF($G279=Home!$E$7,"Fits Current Energy","")</f>
        <v/>
      </c>
      <c r="V279" s="150">
        <f>IF($Q279&lt;&gt;""," • "&amp;$Q279,"")&amp;IF($R279&lt;&gt;""," • "&amp;$R279,"")&amp;IF($S279&lt;&gt;""," • "&amp;$S279,"")&amp;IF($T279&lt;&gt;""," • "&amp;$T279,"")&amp;IF($U279&lt;&gt;""," • "&amp;$U279,"")&amp;" • No Blockers"</f>
        <v/>
      </c>
    </row>
    <row r="280">
      <c r="A280" s="19" t="n"/>
      <c r="B280" s="19" t="n"/>
      <c r="C280" s="19" t="n"/>
      <c r="D280" s="19" t="n"/>
      <c r="E280" s="19" t="n"/>
      <c r="F280" s="19" t="n"/>
      <c r="G280" s="19" t="n"/>
      <c r="H280" s="19" t="n"/>
      <c r="I280" s="19" t="n"/>
      <c r="J280" s="19" t="n"/>
      <c r="K280" s="19" t="n"/>
      <c r="L280" s="125" t="n"/>
      <c r="M280" s="88">
        <f>IF($D280="","",IFERROR(VLOOKUP($H280,Lists!$N$2:$O$6,2,FALSE),0))</f>
        <v/>
      </c>
      <c r="N280" s="88">
        <f>IF($D280="","",IF(OR($E280="Blocked",$E280="Done",$E280="Archive"),-9999,IF(AND($E280="Waiting",SUMPRODUCT((($E$5:$E$500="Next")+($E$5:$E$500="In Progress")+($E$5:$E$500="Captured"))*($D$5:$D$500&lt;&gt;""))&gt;0),-500,VLOOKUP($F280,Lists!$L$2:$M$4,2,FALSE)+IF($E280="In Progress",10,0)+IF(AND($I280&lt;&gt;"",$I280&lt;TODAY()),25,0)+IF(AND($I280&lt;&gt;"",$I280&gt;=TODAY(),$I280&lt;=TODAY()+7),15,0)+IF($H280="",0,IF($M280&lt;=VLOOKUP(Home!$C$7,Lists!$N$2:$O$6,2,FALSE),20,-10))+IF($G280=Home!$E$7,15,IF(Home!$E$7="",0,-5))-ROW()/100000)))</f>
        <v/>
      </c>
      <c r="O280" s="88">
        <f>IF($D280="","",IF($N280&lt;=-500,"Not recommended right now",IF($E280="Waiting","Nothing else actionable right now — Waiting on: "&amp;IF($K280="","this item",$K280),MID($V280,4,9999))))</f>
        <v/>
      </c>
      <c r="P280" s="88">
        <f>IF($D280="","",IF('Task Finder'!$C$6="High Priority",AND($F280="High",$E280&lt;&gt;"Done",$E280&lt;&gt;"Archive"),IF('Task Finder'!$C$6="Due This Week",AND($I280&lt;&gt;"",$I280&gt;=TODAY(),$I280&lt;=TODAY()+7,$E280&lt;&gt;"Done"),IF('Task Finder'!$C$6="Quick Wins (15 mins or less)",AND($M280&lt;=15,$E280&lt;&gt;"Done",$E280&lt;&gt;"Blocked"),IF('Task Finder'!$C$6="Deep Thinking",AND($G280="Deep Thinking",$E280&lt;&gt;"Done"),IF('Task Finder'!$C$6="Processing",AND($G280="Processing",$E280&lt;&gt;"Done"),IF('Task Finder'!$C$6="Blocked",$E280="Blocked",IF('Task Finder'!$C$6="Waiting",$E280="Waiting",IF('Task Finder'!$C$6="Recently Updated",AND($L280&lt;&gt;"",$L280&gt;=TODAY()-7),IF('Task Finder'!$C$6="Keyword",AND('Task Finder'!$C$7&lt;&gt;"",OR(ISNUMBER(SEARCH('Task Finder'!$C$7,$A280)),ISNUMBER(SEARCH('Task Finder'!$C$7,$B280)),ISNUMBER(SEARCH('Task Finder'!$C$7,$C280)),ISNUMBER(SEARCH('Task Finder'!$C$7,$D280)),ISNUMBER(SEARCH('Task Finder'!$C$7,$K280)))),TRUE))))))))))</f>
        <v/>
      </c>
      <c r="Q280" s="150">
        <f>IF($F280="High","High Priority","")</f>
        <v/>
      </c>
      <c r="R280" s="150">
        <f>IF(AND($I280&lt;&gt;"",$I280&lt;TODAY()),"Overdue","")</f>
        <v/>
      </c>
      <c r="S280" s="150">
        <f>IF(AND($I280&lt;&gt;"",$I280&gt;=TODAY(),$I280&lt;=TODAY()+7),"Due This Week","")</f>
        <v/>
      </c>
      <c r="T280" s="150">
        <f>IF(AND($H280&lt;&gt;"",$M280&lt;=VLOOKUP(Home!$C$7,Lists!$N$2:$O$6,2,FALSE)),$H280&amp;" Task","")</f>
        <v/>
      </c>
      <c r="U280" s="150">
        <f>IF($G280=Home!$E$7,"Fits Current Energy","")</f>
        <v/>
      </c>
      <c r="V280" s="150">
        <f>IF($Q280&lt;&gt;""," • "&amp;$Q280,"")&amp;IF($R280&lt;&gt;""," • "&amp;$R280,"")&amp;IF($S280&lt;&gt;""," • "&amp;$S280,"")&amp;IF($T280&lt;&gt;""," • "&amp;$T280,"")&amp;IF($U280&lt;&gt;""," • "&amp;$U280,"")&amp;" • No Blockers"</f>
        <v/>
      </c>
    </row>
    <row r="281">
      <c r="A281" s="19" t="n"/>
      <c r="B281" s="19" t="n"/>
      <c r="C281" s="19" t="n"/>
      <c r="D281" s="19" t="n"/>
      <c r="E281" s="19" t="n"/>
      <c r="F281" s="19" t="n"/>
      <c r="G281" s="19" t="n"/>
      <c r="H281" s="19" t="n"/>
      <c r="I281" s="19" t="n"/>
      <c r="J281" s="19" t="n"/>
      <c r="K281" s="19" t="n"/>
      <c r="L281" s="125" t="n"/>
      <c r="M281" s="88">
        <f>IF($D281="","",IFERROR(VLOOKUP($H281,Lists!$N$2:$O$6,2,FALSE),0))</f>
        <v/>
      </c>
      <c r="N281" s="88">
        <f>IF($D281="","",IF(OR($E281="Blocked",$E281="Done",$E281="Archive"),-9999,IF(AND($E281="Waiting",SUMPRODUCT((($E$5:$E$500="Next")+($E$5:$E$500="In Progress")+($E$5:$E$500="Captured"))*($D$5:$D$500&lt;&gt;""))&gt;0),-500,VLOOKUP($F281,Lists!$L$2:$M$4,2,FALSE)+IF($E281="In Progress",10,0)+IF(AND($I281&lt;&gt;"",$I281&lt;TODAY()),25,0)+IF(AND($I281&lt;&gt;"",$I281&gt;=TODAY(),$I281&lt;=TODAY()+7),15,0)+IF($H281="",0,IF($M281&lt;=VLOOKUP(Home!$C$7,Lists!$N$2:$O$6,2,FALSE),20,-10))+IF($G281=Home!$E$7,15,IF(Home!$E$7="",0,-5))-ROW()/100000)))</f>
        <v/>
      </c>
      <c r="O281" s="88">
        <f>IF($D281="","",IF($N281&lt;=-500,"Not recommended right now",IF($E281="Waiting","Nothing else actionable right now — Waiting on: "&amp;IF($K281="","this item",$K281),MID($V281,4,9999))))</f>
        <v/>
      </c>
      <c r="P281" s="88">
        <f>IF($D281="","",IF('Task Finder'!$C$6="High Priority",AND($F281="High",$E281&lt;&gt;"Done",$E281&lt;&gt;"Archive"),IF('Task Finder'!$C$6="Due This Week",AND($I281&lt;&gt;"",$I281&gt;=TODAY(),$I281&lt;=TODAY()+7,$E281&lt;&gt;"Done"),IF('Task Finder'!$C$6="Quick Wins (15 mins or less)",AND($M281&lt;=15,$E281&lt;&gt;"Done",$E281&lt;&gt;"Blocked"),IF('Task Finder'!$C$6="Deep Thinking",AND($G281="Deep Thinking",$E281&lt;&gt;"Done"),IF('Task Finder'!$C$6="Processing",AND($G281="Processing",$E281&lt;&gt;"Done"),IF('Task Finder'!$C$6="Blocked",$E281="Blocked",IF('Task Finder'!$C$6="Waiting",$E281="Waiting",IF('Task Finder'!$C$6="Recently Updated",AND($L281&lt;&gt;"",$L281&gt;=TODAY()-7),IF('Task Finder'!$C$6="Keyword",AND('Task Finder'!$C$7&lt;&gt;"",OR(ISNUMBER(SEARCH('Task Finder'!$C$7,$A281)),ISNUMBER(SEARCH('Task Finder'!$C$7,$B281)),ISNUMBER(SEARCH('Task Finder'!$C$7,$C281)),ISNUMBER(SEARCH('Task Finder'!$C$7,$D281)),ISNUMBER(SEARCH('Task Finder'!$C$7,$K281)))),TRUE))))))))))</f>
        <v/>
      </c>
      <c r="Q281" s="150">
        <f>IF($F281="High","High Priority","")</f>
        <v/>
      </c>
      <c r="R281" s="150">
        <f>IF(AND($I281&lt;&gt;"",$I281&lt;TODAY()),"Overdue","")</f>
        <v/>
      </c>
      <c r="S281" s="150">
        <f>IF(AND($I281&lt;&gt;"",$I281&gt;=TODAY(),$I281&lt;=TODAY()+7),"Due This Week","")</f>
        <v/>
      </c>
      <c r="T281" s="150">
        <f>IF(AND($H281&lt;&gt;"",$M281&lt;=VLOOKUP(Home!$C$7,Lists!$N$2:$O$6,2,FALSE)),$H281&amp;" Task","")</f>
        <v/>
      </c>
      <c r="U281" s="150">
        <f>IF($G281=Home!$E$7,"Fits Current Energy","")</f>
        <v/>
      </c>
      <c r="V281" s="150">
        <f>IF($Q281&lt;&gt;""," • "&amp;$Q281,"")&amp;IF($R281&lt;&gt;""," • "&amp;$R281,"")&amp;IF($S281&lt;&gt;""," • "&amp;$S281,"")&amp;IF($T281&lt;&gt;""," • "&amp;$T281,"")&amp;IF($U281&lt;&gt;""," • "&amp;$U281,"")&amp;" • No Blockers"</f>
        <v/>
      </c>
    </row>
    <row r="282">
      <c r="A282" s="19" t="n"/>
      <c r="B282" s="19" t="n"/>
      <c r="C282" s="19" t="n"/>
      <c r="D282" s="19" t="n"/>
      <c r="E282" s="19" t="n"/>
      <c r="F282" s="19" t="n"/>
      <c r="G282" s="19" t="n"/>
      <c r="H282" s="19" t="n"/>
      <c r="I282" s="19" t="n"/>
      <c r="J282" s="19" t="n"/>
      <c r="K282" s="19" t="n"/>
      <c r="L282" s="125" t="n"/>
      <c r="M282" s="88">
        <f>IF($D282="","",IFERROR(VLOOKUP($H282,Lists!$N$2:$O$6,2,FALSE),0))</f>
        <v/>
      </c>
      <c r="N282" s="88">
        <f>IF($D282="","",IF(OR($E282="Blocked",$E282="Done",$E282="Archive"),-9999,IF(AND($E282="Waiting",SUMPRODUCT((($E$5:$E$500="Next")+($E$5:$E$500="In Progress")+($E$5:$E$500="Captured"))*($D$5:$D$500&lt;&gt;""))&gt;0),-500,VLOOKUP($F282,Lists!$L$2:$M$4,2,FALSE)+IF($E282="In Progress",10,0)+IF(AND($I282&lt;&gt;"",$I282&lt;TODAY()),25,0)+IF(AND($I282&lt;&gt;"",$I282&gt;=TODAY(),$I282&lt;=TODAY()+7),15,0)+IF($H282="",0,IF($M282&lt;=VLOOKUP(Home!$C$7,Lists!$N$2:$O$6,2,FALSE),20,-10))+IF($G282=Home!$E$7,15,IF(Home!$E$7="",0,-5))-ROW()/100000)))</f>
        <v/>
      </c>
      <c r="O282" s="88">
        <f>IF($D282="","",IF($N282&lt;=-500,"Not recommended right now",IF($E282="Waiting","Nothing else actionable right now — Waiting on: "&amp;IF($K282="","this item",$K282),MID($V282,4,9999))))</f>
        <v/>
      </c>
      <c r="P282" s="88">
        <f>IF($D282="","",IF('Task Finder'!$C$6="High Priority",AND($F282="High",$E282&lt;&gt;"Done",$E282&lt;&gt;"Archive"),IF('Task Finder'!$C$6="Due This Week",AND($I282&lt;&gt;"",$I282&gt;=TODAY(),$I282&lt;=TODAY()+7,$E282&lt;&gt;"Done"),IF('Task Finder'!$C$6="Quick Wins (15 mins or less)",AND($M282&lt;=15,$E282&lt;&gt;"Done",$E282&lt;&gt;"Blocked"),IF('Task Finder'!$C$6="Deep Thinking",AND($G282="Deep Thinking",$E282&lt;&gt;"Done"),IF('Task Finder'!$C$6="Processing",AND($G282="Processing",$E282&lt;&gt;"Done"),IF('Task Finder'!$C$6="Blocked",$E282="Blocked",IF('Task Finder'!$C$6="Waiting",$E282="Waiting",IF('Task Finder'!$C$6="Recently Updated",AND($L282&lt;&gt;"",$L282&gt;=TODAY()-7),IF('Task Finder'!$C$6="Keyword",AND('Task Finder'!$C$7&lt;&gt;"",OR(ISNUMBER(SEARCH('Task Finder'!$C$7,$A282)),ISNUMBER(SEARCH('Task Finder'!$C$7,$B282)),ISNUMBER(SEARCH('Task Finder'!$C$7,$C282)),ISNUMBER(SEARCH('Task Finder'!$C$7,$D282)),ISNUMBER(SEARCH('Task Finder'!$C$7,$K282)))),TRUE))))))))))</f>
        <v/>
      </c>
      <c r="Q282" s="150">
        <f>IF($F282="High","High Priority","")</f>
        <v/>
      </c>
      <c r="R282" s="150">
        <f>IF(AND($I282&lt;&gt;"",$I282&lt;TODAY()),"Overdue","")</f>
        <v/>
      </c>
      <c r="S282" s="150">
        <f>IF(AND($I282&lt;&gt;"",$I282&gt;=TODAY(),$I282&lt;=TODAY()+7),"Due This Week","")</f>
        <v/>
      </c>
      <c r="T282" s="150">
        <f>IF(AND($H282&lt;&gt;"",$M282&lt;=VLOOKUP(Home!$C$7,Lists!$N$2:$O$6,2,FALSE)),$H282&amp;" Task","")</f>
        <v/>
      </c>
      <c r="U282" s="150">
        <f>IF($G282=Home!$E$7,"Fits Current Energy","")</f>
        <v/>
      </c>
      <c r="V282" s="150">
        <f>IF($Q282&lt;&gt;""," • "&amp;$Q282,"")&amp;IF($R282&lt;&gt;""," • "&amp;$R282,"")&amp;IF($S282&lt;&gt;""," • "&amp;$S282,"")&amp;IF($T282&lt;&gt;""," • "&amp;$T282,"")&amp;IF($U282&lt;&gt;""," • "&amp;$U282,"")&amp;" • No Blockers"</f>
        <v/>
      </c>
    </row>
    <row r="283">
      <c r="A283" s="19" t="n"/>
      <c r="B283" s="19" t="n"/>
      <c r="C283" s="19" t="n"/>
      <c r="D283" s="19" t="n"/>
      <c r="E283" s="19" t="n"/>
      <c r="F283" s="19" t="n"/>
      <c r="G283" s="19" t="n"/>
      <c r="H283" s="19" t="n"/>
      <c r="I283" s="19" t="n"/>
      <c r="J283" s="19" t="n"/>
      <c r="K283" s="19" t="n"/>
      <c r="L283" s="125" t="n"/>
      <c r="M283" s="88">
        <f>IF($D283="","",IFERROR(VLOOKUP($H283,Lists!$N$2:$O$6,2,FALSE),0))</f>
        <v/>
      </c>
      <c r="N283" s="88">
        <f>IF($D283="","",IF(OR($E283="Blocked",$E283="Done",$E283="Archive"),-9999,IF(AND($E283="Waiting",SUMPRODUCT((($E$5:$E$500="Next")+($E$5:$E$500="In Progress")+($E$5:$E$500="Captured"))*($D$5:$D$500&lt;&gt;""))&gt;0),-500,VLOOKUP($F283,Lists!$L$2:$M$4,2,FALSE)+IF($E283="In Progress",10,0)+IF(AND($I283&lt;&gt;"",$I283&lt;TODAY()),25,0)+IF(AND($I283&lt;&gt;"",$I283&gt;=TODAY(),$I283&lt;=TODAY()+7),15,0)+IF($H283="",0,IF($M283&lt;=VLOOKUP(Home!$C$7,Lists!$N$2:$O$6,2,FALSE),20,-10))+IF($G283=Home!$E$7,15,IF(Home!$E$7="",0,-5))-ROW()/100000)))</f>
        <v/>
      </c>
      <c r="O283" s="88">
        <f>IF($D283="","",IF($N283&lt;=-500,"Not recommended right now",IF($E283="Waiting","Nothing else actionable right now — Waiting on: "&amp;IF($K283="","this item",$K283),MID($V283,4,9999))))</f>
        <v/>
      </c>
      <c r="P283" s="88">
        <f>IF($D283="","",IF('Task Finder'!$C$6="High Priority",AND($F283="High",$E283&lt;&gt;"Done",$E283&lt;&gt;"Archive"),IF('Task Finder'!$C$6="Due This Week",AND($I283&lt;&gt;"",$I283&gt;=TODAY(),$I283&lt;=TODAY()+7,$E283&lt;&gt;"Done"),IF('Task Finder'!$C$6="Quick Wins (15 mins or less)",AND($M283&lt;=15,$E283&lt;&gt;"Done",$E283&lt;&gt;"Blocked"),IF('Task Finder'!$C$6="Deep Thinking",AND($G283="Deep Thinking",$E283&lt;&gt;"Done"),IF('Task Finder'!$C$6="Processing",AND($G283="Processing",$E283&lt;&gt;"Done"),IF('Task Finder'!$C$6="Blocked",$E283="Blocked",IF('Task Finder'!$C$6="Waiting",$E283="Waiting",IF('Task Finder'!$C$6="Recently Updated",AND($L283&lt;&gt;"",$L283&gt;=TODAY()-7),IF('Task Finder'!$C$6="Keyword",AND('Task Finder'!$C$7&lt;&gt;"",OR(ISNUMBER(SEARCH('Task Finder'!$C$7,$A283)),ISNUMBER(SEARCH('Task Finder'!$C$7,$B283)),ISNUMBER(SEARCH('Task Finder'!$C$7,$C283)),ISNUMBER(SEARCH('Task Finder'!$C$7,$D283)),ISNUMBER(SEARCH('Task Finder'!$C$7,$K283)))),TRUE))))))))))</f>
        <v/>
      </c>
      <c r="Q283" s="150">
        <f>IF($F283="High","High Priority","")</f>
        <v/>
      </c>
      <c r="R283" s="150">
        <f>IF(AND($I283&lt;&gt;"",$I283&lt;TODAY()),"Overdue","")</f>
        <v/>
      </c>
      <c r="S283" s="150">
        <f>IF(AND($I283&lt;&gt;"",$I283&gt;=TODAY(),$I283&lt;=TODAY()+7),"Due This Week","")</f>
        <v/>
      </c>
      <c r="T283" s="150">
        <f>IF(AND($H283&lt;&gt;"",$M283&lt;=VLOOKUP(Home!$C$7,Lists!$N$2:$O$6,2,FALSE)),$H283&amp;" Task","")</f>
        <v/>
      </c>
      <c r="U283" s="150">
        <f>IF($G283=Home!$E$7,"Fits Current Energy","")</f>
        <v/>
      </c>
      <c r="V283" s="150">
        <f>IF($Q283&lt;&gt;""," • "&amp;$Q283,"")&amp;IF($R283&lt;&gt;""," • "&amp;$R283,"")&amp;IF($S283&lt;&gt;""," • "&amp;$S283,"")&amp;IF($T283&lt;&gt;""," • "&amp;$T283,"")&amp;IF($U283&lt;&gt;""," • "&amp;$U283,"")&amp;" • No Blockers"</f>
        <v/>
      </c>
    </row>
    <row r="284">
      <c r="A284" s="19" t="n"/>
      <c r="B284" s="19" t="n"/>
      <c r="C284" s="19" t="n"/>
      <c r="D284" s="19" t="n"/>
      <c r="E284" s="19" t="n"/>
      <c r="F284" s="19" t="n"/>
      <c r="G284" s="19" t="n"/>
      <c r="H284" s="19" t="n"/>
      <c r="I284" s="19" t="n"/>
      <c r="J284" s="19" t="n"/>
      <c r="K284" s="19" t="n"/>
      <c r="L284" s="125" t="n"/>
      <c r="M284" s="88">
        <f>IF($D284="","",IFERROR(VLOOKUP($H284,Lists!$N$2:$O$6,2,FALSE),0))</f>
        <v/>
      </c>
      <c r="N284" s="88">
        <f>IF($D284="","",IF(OR($E284="Blocked",$E284="Done",$E284="Archive"),-9999,IF(AND($E284="Waiting",SUMPRODUCT((($E$5:$E$500="Next")+($E$5:$E$500="In Progress")+($E$5:$E$500="Captured"))*($D$5:$D$500&lt;&gt;""))&gt;0),-500,VLOOKUP($F284,Lists!$L$2:$M$4,2,FALSE)+IF($E284="In Progress",10,0)+IF(AND($I284&lt;&gt;"",$I284&lt;TODAY()),25,0)+IF(AND($I284&lt;&gt;"",$I284&gt;=TODAY(),$I284&lt;=TODAY()+7),15,0)+IF($H284="",0,IF($M284&lt;=VLOOKUP(Home!$C$7,Lists!$N$2:$O$6,2,FALSE),20,-10))+IF($G284=Home!$E$7,15,IF(Home!$E$7="",0,-5))-ROW()/100000)))</f>
        <v/>
      </c>
      <c r="O284" s="88">
        <f>IF($D284="","",IF($N284&lt;=-500,"Not recommended right now",IF($E284="Waiting","Nothing else actionable right now — Waiting on: "&amp;IF($K284="","this item",$K284),MID($V284,4,9999))))</f>
        <v/>
      </c>
      <c r="P284" s="88">
        <f>IF($D284="","",IF('Task Finder'!$C$6="High Priority",AND($F284="High",$E284&lt;&gt;"Done",$E284&lt;&gt;"Archive"),IF('Task Finder'!$C$6="Due This Week",AND($I284&lt;&gt;"",$I284&gt;=TODAY(),$I284&lt;=TODAY()+7,$E284&lt;&gt;"Done"),IF('Task Finder'!$C$6="Quick Wins (15 mins or less)",AND($M284&lt;=15,$E284&lt;&gt;"Done",$E284&lt;&gt;"Blocked"),IF('Task Finder'!$C$6="Deep Thinking",AND($G284="Deep Thinking",$E284&lt;&gt;"Done"),IF('Task Finder'!$C$6="Processing",AND($G284="Processing",$E284&lt;&gt;"Done"),IF('Task Finder'!$C$6="Blocked",$E284="Blocked",IF('Task Finder'!$C$6="Waiting",$E284="Waiting",IF('Task Finder'!$C$6="Recently Updated",AND($L284&lt;&gt;"",$L284&gt;=TODAY()-7),IF('Task Finder'!$C$6="Keyword",AND('Task Finder'!$C$7&lt;&gt;"",OR(ISNUMBER(SEARCH('Task Finder'!$C$7,$A284)),ISNUMBER(SEARCH('Task Finder'!$C$7,$B284)),ISNUMBER(SEARCH('Task Finder'!$C$7,$C284)),ISNUMBER(SEARCH('Task Finder'!$C$7,$D284)),ISNUMBER(SEARCH('Task Finder'!$C$7,$K284)))),TRUE))))))))))</f>
        <v/>
      </c>
      <c r="Q284" s="150">
        <f>IF($F284="High","High Priority","")</f>
        <v/>
      </c>
      <c r="R284" s="150">
        <f>IF(AND($I284&lt;&gt;"",$I284&lt;TODAY()),"Overdue","")</f>
        <v/>
      </c>
      <c r="S284" s="150">
        <f>IF(AND($I284&lt;&gt;"",$I284&gt;=TODAY(),$I284&lt;=TODAY()+7),"Due This Week","")</f>
        <v/>
      </c>
      <c r="T284" s="150">
        <f>IF(AND($H284&lt;&gt;"",$M284&lt;=VLOOKUP(Home!$C$7,Lists!$N$2:$O$6,2,FALSE)),$H284&amp;" Task","")</f>
        <v/>
      </c>
      <c r="U284" s="150">
        <f>IF($G284=Home!$E$7,"Fits Current Energy","")</f>
        <v/>
      </c>
      <c r="V284" s="150">
        <f>IF($Q284&lt;&gt;""," • "&amp;$Q284,"")&amp;IF($R284&lt;&gt;""," • "&amp;$R284,"")&amp;IF($S284&lt;&gt;""," • "&amp;$S284,"")&amp;IF($T284&lt;&gt;""," • "&amp;$T284,"")&amp;IF($U284&lt;&gt;""," • "&amp;$U284,"")&amp;" • No Blockers"</f>
        <v/>
      </c>
    </row>
    <row r="285">
      <c r="A285" s="19" t="n"/>
      <c r="B285" s="19" t="n"/>
      <c r="C285" s="19" t="n"/>
      <c r="D285" s="19" t="n"/>
      <c r="E285" s="19" t="n"/>
      <c r="F285" s="19" t="n"/>
      <c r="G285" s="19" t="n"/>
      <c r="H285" s="19" t="n"/>
      <c r="I285" s="19" t="n"/>
      <c r="J285" s="19" t="n"/>
      <c r="K285" s="19" t="n"/>
      <c r="L285" s="125" t="n"/>
      <c r="M285" s="88">
        <f>IF($D285="","",IFERROR(VLOOKUP($H285,Lists!$N$2:$O$6,2,FALSE),0))</f>
        <v/>
      </c>
      <c r="N285" s="88">
        <f>IF($D285="","",IF(OR($E285="Blocked",$E285="Done",$E285="Archive"),-9999,IF(AND($E285="Waiting",SUMPRODUCT((($E$5:$E$500="Next")+($E$5:$E$500="In Progress")+($E$5:$E$500="Captured"))*($D$5:$D$500&lt;&gt;""))&gt;0),-500,VLOOKUP($F285,Lists!$L$2:$M$4,2,FALSE)+IF($E285="In Progress",10,0)+IF(AND($I285&lt;&gt;"",$I285&lt;TODAY()),25,0)+IF(AND($I285&lt;&gt;"",$I285&gt;=TODAY(),$I285&lt;=TODAY()+7),15,0)+IF($H285="",0,IF($M285&lt;=VLOOKUP(Home!$C$7,Lists!$N$2:$O$6,2,FALSE),20,-10))+IF($G285=Home!$E$7,15,IF(Home!$E$7="",0,-5))-ROW()/100000)))</f>
        <v/>
      </c>
      <c r="O285" s="88">
        <f>IF($D285="","",IF($N285&lt;=-500,"Not recommended right now",IF($E285="Waiting","Nothing else actionable right now — Waiting on: "&amp;IF($K285="","this item",$K285),MID($V285,4,9999))))</f>
        <v/>
      </c>
      <c r="P285" s="88">
        <f>IF($D285="","",IF('Task Finder'!$C$6="High Priority",AND($F285="High",$E285&lt;&gt;"Done",$E285&lt;&gt;"Archive"),IF('Task Finder'!$C$6="Due This Week",AND($I285&lt;&gt;"",$I285&gt;=TODAY(),$I285&lt;=TODAY()+7,$E285&lt;&gt;"Done"),IF('Task Finder'!$C$6="Quick Wins (15 mins or less)",AND($M285&lt;=15,$E285&lt;&gt;"Done",$E285&lt;&gt;"Blocked"),IF('Task Finder'!$C$6="Deep Thinking",AND($G285="Deep Thinking",$E285&lt;&gt;"Done"),IF('Task Finder'!$C$6="Processing",AND($G285="Processing",$E285&lt;&gt;"Done"),IF('Task Finder'!$C$6="Blocked",$E285="Blocked",IF('Task Finder'!$C$6="Waiting",$E285="Waiting",IF('Task Finder'!$C$6="Recently Updated",AND($L285&lt;&gt;"",$L285&gt;=TODAY()-7),IF('Task Finder'!$C$6="Keyword",AND('Task Finder'!$C$7&lt;&gt;"",OR(ISNUMBER(SEARCH('Task Finder'!$C$7,$A285)),ISNUMBER(SEARCH('Task Finder'!$C$7,$B285)),ISNUMBER(SEARCH('Task Finder'!$C$7,$C285)),ISNUMBER(SEARCH('Task Finder'!$C$7,$D285)),ISNUMBER(SEARCH('Task Finder'!$C$7,$K285)))),TRUE))))))))))</f>
        <v/>
      </c>
      <c r="Q285" s="150">
        <f>IF($F285="High","High Priority","")</f>
        <v/>
      </c>
      <c r="R285" s="150">
        <f>IF(AND($I285&lt;&gt;"",$I285&lt;TODAY()),"Overdue","")</f>
        <v/>
      </c>
      <c r="S285" s="150">
        <f>IF(AND($I285&lt;&gt;"",$I285&gt;=TODAY(),$I285&lt;=TODAY()+7),"Due This Week","")</f>
        <v/>
      </c>
      <c r="T285" s="150">
        <f>IF(AND($H285&lt;&gt;"",$M285&lt;=VLOOKUP(Home!$C$7,Lists!$N$2:$O$6,2,FALSE)),$H285&amp;" Task","")</f>
        <v/>
      </c>
      <c r="U285" s="150">
        <f>IF($G285=Home!$E$7,"Fits Current Energy","")</f>
        <v/>
      </c>
      <c r="V285" s="150">
        <f>IF($Q285&lt;&gt;""," • "&amp;$Q285,"")&amp;IF($R285&lt;&gt;""," • "&amp;$R285,"")&amp;IF($S285&lt;&gt;""," • "&amp;$S285,"")&amp;IF($T285&lt;&gt;""," • "&amp;$T285,"")&amp;IF($U285&lt;&gt;""," • "&amp;$U285,"")&amp;" • No Blockers"</f>
        <v/>
      </c>
    </row>
    <row r="286">
      <c r="A286" s="19" t="n"/>
      <c r="B286" s="19" t="n"/>
      <c r="C286" s="19" t="n"/>
      <c r="D286" s="19" t="n"/>
      <c r="E286" s="19" t="n"/>
      <c r="F286" s="19" t="n"/>
      <c r="G286" s="19" t="n"/>
      <c r="H286" s="19" t="n"/>
      <c r="I286" s="19" t="n"/>
      <c r="J286" s="19" t="n"/>
      <c r="K286" s="19" t="n"/>
      <c r="L286" s="125" t="n"/>
      <c r="M286" s="88">
        <f>IF($D286="","",IFERROR(VLOOKUP($H286,Lists!$N$2:$O$6,2,FALSE),0))</f>
        <v/>
      </c>
      <c r="N286" s="88">
        <f>IF($D286="","",IF(OR($E286="Blocked",$E286="Done",$E286="Archive"),-9999,IF(AND($E286="Waiting",SUMPRODUCT((($E$5:$E$500="Next")+($E$5:$E$500="In Progress")+($E$5:$E$500="Captured"))*($D$5:$D$500&lt;&gt;""))&gt;0),-500,VLOOKUP($F286,Lists!$L$2:$M$4,2,FALSE)+IF($E286="In Progress",10,0)+IF(AND($I286&lt;&gt;"",$I286&lt;TODAY()),25,0)+IF(AND($I286&lt;&gt;"",$I286&gt;=TODAY(),$I286&lt;=TODAY()+7),15,0)+IF($H286="",0,IF($M286&lt;=VLOOKUP(Home!$C$7,Lists!$N$2:$O$6,2,FALSE),20,-10))+IF($G286=Home!$E$7,15,IF(Home!$E$7="",0,-5))-ROW()/100000)))</f>
        <v/>
      </c>
      <c r="O286" s="88">
        <f>IF($D286="","",IF($N286&lt;=-500,"Not recommended right now",IF($E286="Waiting","Nothing else actionable right now — Waiting on: "&amp;IF($K286="","this item",$K286),MID($V286,4,9999))))</f>
        <v/>
      </c>
      <c r="P286" s="88">
        <f>IF($D286="","",IF('Task Finder'!$C$6="High Priority",AND($F286="High",$E286&lt;&gt;"Done",$E286&lt;&gt;"Archive"),IF('Task Finder'!$C$6="Due This Week",AND($I286&lt;&gt;"",$I286&gt;=TODAY(),$I286&lt;=TODAY()+7,$E286&lt;&gt;"Done"),IF('Task Finder'!$C$6="Quick Wins (15 mins or less)",AND($M286&lt;=15,$E286&lt;&gt;"Done",$E286&lt;&gt;"Blocked"),IF('Task Finder'!$C$6="Deep Thinking",AND($G286="Deep Thinking",$E286&lt;&gt;"Done"),IF('Task Finder'!$C$6="Processing",AND($G286="Processing",$E286&lt;&gt;"Done"),IF('Task Finder'!$C$6="Blocked",$E286="Blocked",IF('Task Finder'!$C$6="Waiting",$E286="Waiting",IF('Task Finder'!$C$6="Recently Updated",AND($L286&lt;&gt;"",$L286&gt;=TODAY()-7),IF('Task Finder'!$C$6="Keyword",AND('Task Finder'!$C$7&lt;&gt;"",OR(ISNUMBER(SEARCH('Task Finder'!$C$7,$A286)),ISNUMBER(SEARCH('Task Finder'!$C$7,$B286)),ISNUMBER(SEARCH('Task Finder'!$C$7,$C286)),ISNUMBER(SEARCH('Task Finder'!$C$7,$D286)),ISNUMBER(SEARCH('Task Finder'!$C$7,$K286)))),TRUE))))))))))</f>
        <v/>
      </c>
      <c r="Q286" s="150">
        <f>IF($F286="High","High Priority","")</f>
        <v/>
      </c>
      <c r="R286" s="150">
        <f>IF(AND($I286&lt;&gt;"",$I286&lt;TODAY()),"Overdue","")</f>
        <v/>
      </c>
      <c r="S286" s="150">
        <f>IF(AND($I286&lt;&gt;"",$I286&gt;=TODAY(),$I286&lt;=TODAY()+7),"Due This Week","")</f>
        <v/>
      </c>
      <c r="T286" s="150">
        <f>IF(AND($H286&lt;&gt;"",$M286&lt;=VLOOKUP(Home!$C$7,Lists!$N$2:$O$6,2,FALSE)),$H286&amp;" Task","")</f>
        <v/>
      </c>
      <c r="U286" s="150">
        <f>IF($G286=Home!$E$7,"Fits Current Energy","")</f>
        <v/>
      </c>
      <c r="V286" s="150">
        <f>IF($Q286&lt;&gt;""," • "&amp;$Q286,"")&amp;IF($R286&lt;&gt;""," • "&amp;$R286,"")&amp;IF($S286&lt;&gt;""," • "&amp;$S286,"")&amp;IF($T286&lt;&gt;""," • "&amp;$T286,"")&amp;IF($U286&lt;&gt;""," • "&amp;$U286,"")&amp;" • No Blockers"</f>
        <v/>
      </c>
    </row>
    <row r="287">
      <c r="A287" s="19" t="n"/>
      <c r="B287" s="19" t="n"/>
      <c r="C287" s="19" t="n"/>
      <c r="D287" s="19" t="n"/>
      <c r="E287" s="19" t="n"/>
      <c r="F287" s="19" t="n"/>
      <c r="G287" s="19" t="n"/>
      <c r="H287" s="19" t="n"/>
      <c r="I287" s="19" t="n"/>
      <c r="J287" s="19" t="n"/>
      <c r="K287" s="19" t="n"/>
      <c r="L287" s="125" t="n"/>
      <c r="M287" s="88">
        <f>IF($D287="","",IFERROR(VLOOKUP($H287,Lists!$N$2:$O$6,2,FALSE),0))</f>
        <v/>
      </c>
      <c r="N287" s="88">
        <f>IF($D287="","",IF(OR($E287="Blocked",$E287="Done",$E287="Archive"),-9999,IF(AND($E287="Waiting",SUMPRODUCT((($E$5:$E$500="Next")+($E$5:$E$500="In Progress")+($E$5:$E$500="Captured"))*($D$5:$D$500&lt;&gt;""))&gt;0),-500,VLOOKUP($F287,Lists!$L$2:$M$4,2,FALSE)+IF($E287="In Progress",10,0)+IF(AND($I287&lt;&gt;"",$I287&lt;TODAY()),25,0)+IF(AND($I287&lt;&gt;"",$I287&gt;=TODAY(),$I287&lt;=TODAY()+7),15,0)+IF($H287="",0,IF($M287&lt;=VLOOKUP(Home!$C$7,Lists!$N$2:$O$6,2,FALSE),20,-10))+IF($G287=Home!$E$7,15,IF(Home!$E$7="",0,-5))-ROW()/100000)))</f>
        <v/>
      </c>
      <c r="O287" s="88">
        <f>IF($D287="","",IF($N287&lt;=-500,"Not recommended right now",IF($E287="Waiting","Nothing else actionable right now — Waiting on: "&amp;IF($K287="","this item",$K287),MID($V287,4,9999))))</f>
        <v/>
      </c>
      <c r="P287" s="88">
        <f>IF($D287="","",IF('Task Finder'!$C$6="High Priority",AND($F287="High",$E287&lt;&gt;"Done",$E287&lt;&gt;"Archive"),IF('Task Finder'!$C$6="Due This Week",AND($I287&lt;&gt;"",$I287&gt;=TODAY(),$I287&lt;=TODAY()+7,$E287&lt;&gt;"Done"),IF('Task Finder'!$C$6="Quick Wins (15 mins or less)",AND($M287&lt;=15,$E287&lt;&gt;"Done",$E287&lt;&gt;"Blocked"),IF('Task Finder'!$C$6="Deep Thinking",AND($G287="Deep Thinking",$E287&lt;&gt;"Done"),IF('Task Finder'!$C$6="Processing",AND($G287="Processing",$E287&lt;&gt;"Done"),IF('Task Finder'!$C$6="Blocked",$E287="Blocked",IF('Task Finder'!$C$6="Waiting",$E287="Waiting",IF('Task Finder'!$C$6="Recently Updated",AND($L287&lt;&gt;"",$L287&gt;=TODAY()-7),IF('Task Finder'!$C$6="Keyword",AND('Task Finder'!$C$7&lt;&gt;"",OR(ISNUMBER(SEARCH('Task Finder'!$C$7,$A287)),ISNUMBER(SEARCH('Task Finder'!$C$7,$B287)),ISNUMBER(SEARCH('Task Finder'!$C$7,$C287)),ISNUMBER(SEARCH('Task Finder'!$C$7,$D287)),ISNUMBER(SEARCH('Task Finder'!$C$7,$K287)))),TRUE))))))))))</f>
        <v/>
      </c>
      <c r="Q287" s="150">
        <f>IF($F287="High","High Priority","")</f>
        <v/>
      </c>
      <c r="R287" s="150">
        <f>IF(AND($I287&lt;&gt;"",$I287&lt;TODAY()),"Overdue","")</f>
        <v/>
      </c>
      <c r="S287" s="150">
        <f>IF(AND($I287&lt;&gt;"",$I287&gt;=TODAY(),$I287&lt;=TODAY()+7),"Due This Week","")</f>
        <v/>
      </c>
      <c r="T287" s="150">
        <f>IF(AND($H287&lt;&gt;"",$M287&lt;=VLOOKUP(Home!$C$7,Lists!$N$2:$O$6,2,FALSE)),$H287&amp;" Task","")</f>
        <v/>
      </c>
      <c r="U287" s="150">
        <f>IF($G287=Home!$E$7,"Fits Current Energy","")</f>
        <v/>
      </c>
      <c r="V287" s="150">
        <f>IF($Q287&lt;&gt;""," • "&amp;$Q287,"")&amp;IF($R287&lt;&gt;""," • "&amp;$R287,"")&amp;IF($S287&lt;&gt;""," • "&amp;$S287,"")&amp;IF($T287&lt;&gt;""," • "&amp;$T287,"")&amp;IF($U287&lt;&gt;""," • "&amp;$U287,"")&amp;" • No Blockers"</f>
        <v/>
      </c>
    </row>
    <row r="288">
      <c r="A288" s="19" t="n"/>
      <c r="B288" s="19" t="n"/>
      <c r="C288" s="19" t="n"/>
      <c r="D288" s="19" t="n"/>
      <c r="E288" s="19" t="n"/>
      <c r="F288" s="19" t="n"/>
      <c r="G288" s="19" t="n"/>
      <c r="H288" s="19" t="n"/>
      <c r="I288" s="19" t="n"/>
      <c r="J288" s="19" t="n"/>
      <c r="K288" s="19" t="n"/>
      <c r="L288" s="125" t="n"/>
      <c r="M288" s="88">
        <f>IF($D288="","",IFERROR(VLOOKUP($H288,Lists!$N$2:$O$6,2,FALSE),0))</f>
        <v/>
      </c>
      <c r="N288" s="88">
        <f>IF($D288="","",IF(OR($E288="Blocked",$E288="Done",$E288="Archive"),-9999,IF(AND($E288="Waiting",SUMPRODUCT((($E$5:$E$500="Next")+($E$5:$E$500="In Progress")+($E$5:$E$500="Captured"))*($D$5:$D$500&lt;&gt;""))&gt;0),-500,VLOOKUP($F288,Lists!$L$2:$M$4,2,FALSE)+IF($E288="In Progress",10,0)+IF(AND($I288&lt;&gt;"",$I288&lt;TODAY()),25,0)+IF(AND($I288&lt;&gt;"",$I288&gt;=TODAY(),$I288&lt;=TODAY()+7),15,0)+IF($H288="",0,IF($M288&lt;=VLOOKUP(Home!$C$7,Lists!$N$2:$O$6,2,FALSE),20,-10))+IF($G288=Home!$E$7,15,IF(Home!$E$7="",0,-5))-ROW()/100000)))</f>
        <v/>
      </c>
      <c r="O288" s="88">
        <f>IF($D288="","",IF($N288&lt;=-500,"Not recommended right now",IF($E288="Waiting","Nothing else actionable right now — Waiting on: "&amp;IF($K288="","this item",$K288),MID($V288,4,9999))))</f>
        <v/>
      </c>
      <c r="P288" s="88">
        <f>IF($D288="","",IF('Task Finder'!$C$6="High Priority",AND($F288="High",$E288&lt;&gt;"Done",$E288&lt;&gt;"Archive"),IF('Task Finder'!$C$6="Due This Week",AND($I288&lt;&gt;"",$I288&gt;=TODAY(),$I288&lt;=TODAY()+7,$E288&lt;&gt;"Done"),IF('Task Finder'!$C$6="Quick Wins (15 mins or less)",AND($M288&lt;=15,$E288&lt;&gt;"Done",$E288&lt;&gt;"Blocked"),IF('Task Finder'!$C$6="Deep Thinking",AND($G288="Deep Thinking",$E288&lt;&gt;"Done"),IF('Task Finder'!$C$6="Processing",AND($G288="Processing",$E288&lt;&gt;"Done"),IF('Task Finder'!$C$6="Blocked",$E288="Blocked",IF('Task Finder'!$C$6="Waiting",$E288="Waiting",IF('Task Finder'!$C$6="Recently Updated",AND($L288&lt;&gt;"",$L288&gt;=TODAY()-7),IF('Task Finder'!$C$6="Keyword",AND('Task Finder'!$C$7&lt;&gt;"",OR(ISNUMBER(SEARCH('Task Finder'!$C$7,$A288)),ISNUMBER(SEARCH('Task Finder'!$C$7,$B288)),ISNUMBER(SEARCH('Task Finder'!$C$7,$C288)),ISNUMBER(SEARCH('Task Finder'!$C$7,$D288)),ISNUMBER(SEARCH('Task Finder'!$C$7,$K288)))),TRUE))))))))))</f>
        <v/>
      </c>
      <c r="Q288" s="150">
        <f>IF($F288="High","High Priority","")</f>
        <v/>
      </c>
      <c r="R288" s="150">
        <f>IF(AND($I288&lt;&gt;"",$I288&lt;TODAY()),"Overdue","")</f>
        <v/>
      </c>
      <c r="S288" s="150">
        <f>IF(AND($I288&lt;&gt;"",$I288&gt;=TODAY(),$I288&lt;=TODAY()+7),"Due This Week","")</f>
        <v/>
      </c>
      <c r="T288" s="150">
        <f>IF(AND($H288&lt;&gt;"",$M288&lt;=VLOOKUP(Home!$C$7,Lists!$N$2:$O$6,2,FALSE)),$H288&amp;" Task","")</f>
        <v/>
      </c>
      <c r="U288" s="150">
        <f>IF($G288=Home!$E$7,"Fits Current Energy","")</f>
        <v/>
      </c>
      <c r="V288" s="150">
        <f>IF($Q288&lt;&gt;""," • "&amp;$Q288,"")&amp;IF($R288&lt;&gt;""," • "&amp;$R288,"")&amp;IF($S288&lt;&gt;""," • "&amp;$S288,"")&amp;IF($T288&lt;&gt;""," • "&amp;$T288,"")&amp;IF($U288&lt;&gt;""," • "&amp;$U288,"")&amp;" • No Blockers"</f>
        <v/>
      </c>
    </row>
    <row r="289">
      <c r="A289" s="19" t="n"/>
      <c r="B289" s="19" t="n"/>
      <c r="C289" s="19" t="n"/>
      <c r="D289" s="19" t="n"/>
      <c r="E289" s="19" t="n"/>
      <c r="F289" s="19" t="n"/>
      <c r="G289" s="19" t="n"/>
      <c r="H289" s="19" t="n"/>
      <c r="I289" s="19" t="n"/>
      <c r="J289" s="19" t="n"/>
      <c r="K289" s="19" t="n"/>
      <c r="L289" s="125" t="n"/>
      <c r="M289" s="88">
        <f>IF($D289="","",IFERROR(VLOOKUP($H289,Lists!$N$2:$O$6,2,FALSE),0))</f>
        <v/>
      </c>
      <c r="N289" s="88">
        <f>IF($D289="","",IF(OR($E289="Blocked",$E289="Done",$E289="Archive"),-9999,IF(AND($E289="Waiting",SUMPRODUCT((($E$5:$E$500="Next")+($E$5:$E$500="In Progress")+($E$5:$E$500="Captured"))*($D$5:$D$500&lt;&gt;""))&gt;0),-500,VLOOKUP($F289,Lists!$L$2:$M$4,2,FALSE)+IF($E289="In Progress",10,0)+IF(AND($I289&lt;&gt;"",$I289&lt;TODAY()),25,0)+IF(AND($I289&lt;&gt;"",$I289&gt;=TODAY(),$I289&lt;=TODAY()+7),15,0)+IF($H289="",0,IF($M289&lt;=VLOOKUP(Home!$C$7,Lists!$N$2:$O$6,2,FALSE),20,-10))+IF($G289=Home!$E$7,15,IF(Home!$E$7="",0,-5))-ROW()/100000)))</f>
        <v/>
      </c>
      <c r="O289" s="88">
        <f>IF($D289="","",IF($N289&lt;=-500,"Not recommended right now",IF($E289="Waiting","Nothing else actionable right now — Waiting on: "&amp;IF($K289="","this item",$K289),MID($V289,4,9999))))</f>
        <v/>
      </c>
      <c r="P289" s="88">
        <f>IF($D289="","",IF('Task Finder'!$C$6="High Priority",AND($F289="High",$E289&lt;&gt;"Done",$E289&lt;&gt;"Archive"),IF('Task Finder'!$C$6="Due This Week",AND($I289&lt;&gt;"",$I289&gt;=TODAY(),$I289&lt;=TODAY()+7,$E289&lt;&gt;"Done"),IF('Task Finder'!$C$6="Quick Wins (15 mins or less)",AND($M289&lt;=15,$E289&lt;&gt;"Done",$E289&lt;&gt;"Blocked"),IF('Task Finder'!$C$6="Deep Thinking",AND($G289="Deep Thinking",$E289&lt;&gt;"Done"),IF('Task Finder'!$C$6="Processing",AND($G289="Processing",$E289&lt;&gt;"Done"),IF('Task Finder'!$C$6="Blocked",$E289="Blocked",IF('Task Finder'!$C$6="Waiting",$E289="Waiting",IF('Task Finder'!$C$6="Recently Updated",AND($L289&lt;&gt;"",$L289&gt;=TODAY()-7),IF('Task Finder'!$C$6="Keyword",AND('Task Finder'!$C$7&lt;&gt;"",OR(ISNUMBER(SEARCH('Task Finder'!$C$7,$A289)),ISNUMBER(SEARCH('Task Finder'!$C$7,$B289)),ISNUMBER(SEARCH('Task Finder'!$C$7,$C289)),ISNUMBER(SEARCH('Task Finder'!$C$7,$D289)),ISNUMBER(SEARCH('Task Finder'!$C$7,$K289)))),TRUE))))))))))</f>
        <v/>
      </c>
      <c r="Q289" s="150">
        <f>IF($F289="High","High Priority","")</f>
        <v/>
      </c>
      <c r="R289" s="150">
        <f>IF(AND($I289&lt;&gt;"",$I289&lt;TODAY()),"Overdue","")</f>
        <v/>
      </c>
      <c r="S289" s="150">
        <f>IF(AND($I289&lt;&gt;"",$I289&gt;=TODAY(),$I289&lt;=TODAY()+7),"Due This Week","")</f>
        <v/>
      </c>
      <c r="T289" s="150">
        <f>IF(AND($H289&lt;&gt;"",$M289&lt;=VLOOKUP(Home!$C$7,Lists!$N$2:$O$6,2,FALSE)),$H289&amp;" Task","")</f>
        <v/>
      </c>
      <c r="U289" s="150">
        <f>IF($G289=Home!$E$7,"Fits Current Energy","")</f>
        <v/>
      </c>
      <c r="V289" s="150">
        <f>IF($Q289&lt;&gt;""," • "&amp;$Q289,"")&amp;IF($R289&lt;&gt;""," • "&amp;$R289,"")&amp;IF($S289&lt;&gt;""," • "&amp;$S289,"")&amp;IF($T289&lt;&gt;""," • "&amp;$T289,"")&amp;IF($U289&lt;&gt;""," • "&amp;$U289,"")&amp;" • No Blockers"</f>
        <v/>
      </c>
    </row>
    <row r="290">
      <c r="A290" s="19" t="n"/>
      <c r="B290" s="19" t="n"/>
      <c r="C290" s="19" t="n"/>
      <c r="D290" s="19" t="n"/>
      <c r="E290" s="19" t="n"/>
      <c r="F290" s="19" t="n"/>
      <c r="G290" s="19" t="n"/>
      <c r="H290" s="19" t="n"/>
      <c r="I290" s="19" t="n"/>
      <c r="J290" s="19" t="n"/>
      <c r="K290" s="19" t="n"/>
      <c r="L290" s="125" t="n"/>
      <c r="M290" s="88">
        <f>IF($D290="","",IFERROR(VLOOKUP($H290,Lists!$N$2:$O$6,2,FALSE),0))</f>
        <v/>
      </c>
      <c r="N290" s="88">
        <f>IF($D290="","",IF(OR($E290="Blocked",$E290="Done",$E290="Archive"),-9999,IF(AND($E290="Waiting",SUMPRODUCT((($E$5:$E$500="Next")+($E$5:$E$500="In Progress")+($E$5:$E$500="Captured"))*($D$5:$D$500&lt;&gt;""))&gt;0),-500,VLOOKUP($F290,Lists!$L$2:$M$4,2,FALSE)+IF($E290="In Progress",10,0)+IF(AND($I290&lt;&gt;"",$I290&lt;TODAY()),25,0)+IF(AND($I290&lt;&gt;"",$I290&gt;=TODAY(),$I290&lt;=TODAY()+7),15,0)+IF($H290="",0,IF($M290&lt;=VLOOKUP(Home!$C$7,Lists!$N$2:$O$6,2,FALSE),20,-10))+IF($G290=Home!$E$7,15,IF(Home!$E$7="",0,-5))-ROW()/100000)))</f>
        <v/>
      </c>
      <c r="O290" s="88">
        <f>IF($D290="","",IF($N290&lt;=-500,"Not recommended right now",IF($E290="Waiting","Nothing else actionable right now — Waiting on: "&amp;IF($K290="","this item",$K290),MID($V290,4,9999))))</f>
        <v/>
      </c>
      <c r="P290" s="88">
        <f>IF($D290="","",IF('Task Finder'!$C$6="High Priority",AND($F290="High",$E290&lt;&gt;"Done",$E290&lt;&gt;"Archive"),IF('Task Finder'!$C$6="Due This Week",AND($I290&lt;&gt;"",$I290&gt;=TODAY(),$I290&lt;=TODAY()+7,$E290&lt;&gt;"Done"),IF('Task Finder'!$C$6="Quick Wins (15 mins or less)",AND($M290&lt;=15,$E290&lt;&gt;"Done",$E290&lt;&gt;"Blocked"),IF('Task Finder'!$C$6="Deep Thinking",AND($G290="Deep Thinking",$E290&lt;&gt;"Done"),IF('Task Finder'!$C$6="Processing",AND($G290="Processing",$E290&lt;&gt;"Done"),IF('Task Finder'!$C$6="Blocked",$E290="Blocked",IF('Task Finder'!$C$6="Waiting",$E290="Waiting",IF('Task Finder'!$C$6="Recently Updated",AND($L290&lt;&gt;"",$L290&gt;=TODAY()-7),IF('Task Finder'!$C$6="Keyword",AND('Task Finder'!$C$7&lt;&gt;"",OR(ISNUMBER(SEARCH('Task Finder'!$C$7,$A290)),ISNUMBER(SEARCH('Task Finder'!$C$7,$B290)),ISNUMBER(SEARCH('Task Finder'!$C$7,$C290)),ISNUMBER(SEARCH('Task Finder'!$C$7,$D290)),ISNUMBER(SEARCH('Task Finder'!$C$7,$K290)))),TRUE))))))))))</f>
        <v/>
      </c>
      <c r="Q290" s="150">
        <f>IF($F290="High","High Priority","")</f>
        <v/>
      </c>
      <c r="R290" s="150">
        <f>IF(AND($I290&lt;&gt;"",$I290&lt;TODAY()),"Overdue","")</f>
        <v/>
      </c>
      <c r="S290" s="150">
        <f>IF(AND($I290&lt;&gt;"",$I290&gt;=TODAY(),$I290&lt;=TODAY()+7),"Due This Week","")</f>
        <v/>
      </c>
      <c r="T290" s="150">
        <f>IF(AND($H290&lt;&gt;"",$M290&lt;=VLOOKUP(Home!$C$7,Lists!$N$2:$O$6,2,FALSE)),$H290&amp;" Task","")</f>
        <v/>
      </c>
      <c r="U290" s="150">
        <f>IF($G290=Home!$E$7,"Fits Current Energy","")</f>
        <v/>
      </c>
      <c r="V290" s="150">
        <f>IF($Q290&lt;&gt;""," • "&amp;$Q290,"")&amp;IF($R290&lt;&gt;""," • "&amp;$R290,"")&amp;IF($S290&lt;&gt;""," • "&amp;$S290,"")&amp;IF($T290&lt;&gt;""," • "&amp;$T290,"")&amp;IF($U290&lt;&gt;""," • "&amp;$U290,"")&amp;" • No Blockers"</f>
        <v/>
      </c>
    </row>
    <row r="291">
      <c r="A291" s="19" t="n"/>
      <c r="B291" s="19" t="n"/>
      <c r="C291" s="19" t="n"/>
      <c r="D291" s="19" t="n"/>
      <c r="E291" s="19" t="n"/>
      <c r="F291" s="19" t="n"/>
      <c r="G291" s="19" t="n"/>
      <c r="H291" s="19" t="n"/>
      <c r="I291" s="19" t="n"/>
      <c r="J291" s="19" t="n"/>
      <c r="K291" s="19" t="n"/>
      <c r="L291" s="125" t="n"/>
      <c r="M291" s="88">
        <f>IF($D291="","",IFERROR(VLOOKUP($H291,Lists!$N$2:$O$6,2,FALSE),0))</f>
        <v/>
      </c>
      <c r="N291" s="88">
        <f>IF($D291="","",IF(OR($E291="Blocked",$E291="Done",$E291="Archive"),-9999,IF(AND($E291="Waiting",SUMPRODUCT((($E$5:$E$500="Next")+($E$5:$E$500="In Progress")+($E$5:$E$500="Captured"))*($D$5:$D$500&lt;&gt;""))&gt;0),-500,VLOOKUP($F291,Lists!$L$2:$M$4,2,FALSE)+IF($E291="In Progress",10,0)+IF(AND($I291&lt;&gt;"",$I291&lt;TODAY()),25,0)+IF(AND($I291&lt;&gt;"",$I291&gt;=TODAY(),$I291&lt;=TODAY()+7),15,0)+IF($H291="",0,IF($M291&lt;=VLOOKUP(Home!$C$7,Lists!$N$2:$O$6,2,FALSE),20,-10))+IF($G291=Home!$E$7,15,IF(Home!$E$7="",0,-5))-ROW()/100000)))</f>
        <v/>
      </c>
      <c r="O291" s="88">
        <f>IF($D291="","",IF($N291&lt;=-500,"Not recommended right now",IF($E291="Waiting","Nothing else actionable right now — Waiting on: "&amp;IF($K291="","this item",$K291),MID($V291,4,9999))))</f>
        <v/>
      </c>
      <c r="P291" s="88">
        <f>IF($D291="","",IF('Task Finder'!$C$6="High Priority",AND($F291="High",$E291&lt;&gt;"Done",$E291&lt;&gt;"Archive"),IF('Task Finder'!$C$6="Due This Week",AND($I291&lt;&gt;"",$I291&gt;=TODAY(),$I291&lt;=TODAY()+7,$E291&lt;&gt;"Done"),IF('Task Finder'!$C$6="Quick Wins (15 mins or less)",AND($M291&lt;=15,$E291&lt;&gt;"Done",$E291&lt;&gt;"Blocked"),IF('Task Finder'!$C$6="Deep Thinking",AND($G291="Deep Thinking",$E291&lt;&gt;"Done"),IF('Task Finder'!$C$6="Processing",AND($G291="Processing",$E291&lt;&gt;"Done"),IF('Task Finder'!$C$6="Blocked",$E291="Blocked",IF('Task Finder'!$C$6="Waiting",$E291="Waiting",IF('Task Finder'!$C$6="Recently Updated",AND($L291&lt;&gt;"",$L291&gt;=TODAY()-7),IF('Task Finder'!$C$6="Keyword",AND('Task Finder'!$C$7&lt;&gt;"",OR(ISNUMBER(SEARCH('Task Finder'!$C$7,$A291)),ISNUMBER(SEARCH('Task Finder'!$C$7,$B291)),ISNUMBER(SEARCH('Task Finder'!$C$7,$C291)),ISNUMBER(SEARCH('Task Finder'!$C$7,$D291)),ISNUMBER(SEARCH('Task Finder'!$C$7,$K291)))),TRUE))))))))))</f>
        <v/>
      </c>
      <c r="Q291" s="150">
        <f>IF($F291="High","High Priority","")</f>
        <v/>
      </c>
      <c r="R291" s="150">
        <f>IF(AND($I291&lt;&gt;"",$I291&lt;TODAY()),"Overdue","")</f>
        <v/>
      </c>
      <c r="S291" s="150">
        <f>IF(AND($I291&lt;&gt;"",$I291&gt;=TODAY(),$I291&lt;=TODAY()+7),"Due This Week","")</f>
        <v/>
      </c>
      <c r="T291" s="150">
        <f>IF(AND($H291&lt;&gt;"",$M291&lt;=VLOOKUP(Home!$C$7,Lists!$N$2:$O$6,2,FALSE)),$H291&amp;" Task","")</f>
        <v/>
      </c>
      <c r="U291" s="150">
        <f>IF($G291=Home!$E$7,"Fits Current Energy","")</f>
        <v/>
      </c>
      <c r="V291" s="150">
        <f>IF($Q291&lt;&gt;""," • "&amp;$Q291,"")&amp;IF($R291&lt;&gt;""," • "&amp;$R291,"")&amp;IF($S291&lt;&gt;""," • "&amp;$S291,"")&amp;IF($T291&lt;&gt;""," • "&amp;$T291,"")&amp;IF($U291&lt;&gt;""," • "&amp;$U291,"")&amp;" • No Blockers"</f>
        <v/>
      </c>
    </row>
    <row r="292">
      <c r="A292" s="19" t="n"/>
      <c r="B292" s="19" t="n"/>
      <c r="C292" s="19" t="n"/>
      <c r="D292" s="19" t="n"/>
      <c r="E292" s="19" t="n"/>
      <c r="F292" s="19" t="n"/>
      <c r="G292" s="19" t="n"/>
      <c r="H292" s="19" t="n"/>
      <c r="I292" s="19" t="n"/>
      <c r="J292" s="19" t="n"/>
      <c r="K292" s="19" t="n"/>
      <c r="L292" s="125" t="n"/>
      <c r="M292" s="88">
        <f>IF($D292="","",IFERROR(VLOOKUP($H292,Lists!$N$2:$O$6,2,FALSE),0))</f>
        <v/>
      </c>
      <c r="N292" s="88">
        <f>IF($D292="","",IF(OR($E292="Blocked",$E292="Done",$E292="Archive"),-9999,IF(AND($E292="Waiting",SUMPRODUCT((($E$5:$E$500="Next")+($E$5:$E$500="In Progress")+($E$5:$E$500="Captured"))*($D$5:$D$500&lt;&gt;""))&gt;0),-500,VLOOKUP($F292,Lists!$L$2:$M$4,2,FALSE)+IF($E292="In Progress",10,0)+IF(AND($I292&lt;&gt;"",$I292&lt;TODAY()),25,0)+IF(AND($I292&lt;&gt;"",$I292&gt;=TODAY(),$I292&lt;=TODAY()+7),15,0)+IF($H292="",0,IF($M292&lt;=VLOOKUP(Home!$C$7,Lists!$N$2:$O$6,2,FALSE),20,-10))+IF($G292=Home!$E$7,15,IF(Home!$E$7="",0,-5))-ROW()/100000)))</f>
        <v/>
      </c>
      <c r="O292" s="88">
        <f>IF($D292="","",IF($N292&lt;=-500,"Not recommended right now",IF($E292="Waiting","Nothing else actionable right now — Waiting on: "&amp;IF($K292="","this item",$K292),MID($V292,4,9999))))</f>
        <v/>
      </c>
      <c r="P292" s="88">
        <f>IF($D292="","",IF('Task Finder'!$C$6="High Priority",AND($F292="High",$E292&lt;&gt;"Done",$E292&lt;&gt;"Archive"),IF('Task Finder'!$C$6="Due This Week",AND($I292&lt;&gt;"",$I292&gt;=TODAY(),$I292&lt;=TODAY()+7,$E292&lt;&gt;"Done"),IF('Task Finder'!$C$6="Quick Wins (15 mins or less)",AND($M292&lt;=15,$E292&lt;&gt;"Done",$E292&lt;&gt;"Blocked"),IF('Task Finder'!$C$6="Deep Thinking",AND($G292="Deep Thinking",$E292&lt;&gt;"Done"),IF('Task Finder'!$C$6="Processing",AND($G292="Processing",$E292&lt;&gt;"Done"),IF('Task Finder'!$C$6="Blocked",$E292="Blocked",IF('Task Finder'!$C$6="Waiting",$E292="Waiting",IF('Task Finder'!$C$6="Recently Updated",AND($L292&lt;&gt;"",$L292&gt;=TODAY()-7),IF('Task Finder'!$C$6="Keyword",AND('Task Finder'!$C$7&lt;&gt;"",OR(ISNUMBER(SEARCH('Task Finder'!$C$7,$A292)),ISNUMBER(SEARCH('Task Finder'!$C$7,$B292)),ISNUMBER(SEARCH('Task Finder'!$C$7,$C292)),ISNUMBER(SEARCH('Task Finder'!$C$7,$D292)),ISNUMBER(SEARCH('Task Finder'!$C$7,$K292)))),TRUE))))))))))</f>
        <v/>
      </c>
      <c r="Q292" s="150">
        <f>IF($F292="High","High Priority","")</f>
        <v/>
      </c>
      <c r="R292" s="150">
        <f>IF(AND($I292&lt;&gt;"",$I292&lt;TODAY()),"Overdue","")</f>
        <v/>
      </c>
      <c r="S292" s="150">
        <f>IF(AND($I292&lt;&gt;"",$I292&gt;=TODAY(),$I292&lt;=TODAY()+7),"Due This Week","")</f>
        <v/>
      </c>
      <c r="T292" s="150">
        <f>IF(AND($H292&lt;&gt;"",$M292&lt;=VLOOKUP(Home!$C$7,Lists!$N$2:$O$6,2,FALSE)),$H292&amp;" Task","")</f>
        <v/>
      </c>
      <c r="U292" s="150">
        <f>IF($G292=Home!$E$7,"Fits Current Energy","")</f>
        <v/>
      </c>
      <c r="V292" s="150">
        <f>IF($Q292&lt;&gt;""," • "&amp;$Q292,"")&amp;IF($R292&lt;&gt;""," • "&amp;$R292,"")&amp;IF($S292&lt;&gt;""," • "&amp;$S292,"")&amp;IF($T292&lt;&gt;""," • "&amp;$T292,"")&amp;IF($U292&lt;&gt;""," • "&amp;$U292,"")&amp;" • No Blockers"</f>
        <v/>
      </c>
    </row>
    <row r="293">
      <c r="A293" s="19" t="n"/>
      <c r="B293" s="19" t="n"/>
      <c r="C293" s="19" t="n"/>
      <c r="D293" s="19" t="n"/>
      <c r="E293" s="19" t="n"/>
      <c r="F293" s="19" t="n"/>
      <c r="G293" s="19" t="n"/>
      <c r="H293" s="19" t="n"/>
      <c r="I293" s="19" t="n"/>
      <c r="J293" s="19" t="n"/>
      <c r="K293" s="19" t="n"/>
      <c r="L293" s="125" t="n"/>
      <c r="M293" s="88">
        <f>IF($D293="","",IFERROR(VLOOKUP($H293,Lists!$N$2:$O$6,2,FALSE),0))</f>
        <v/>
      </c>
      <c r="N293" s="88">
        <f>IF($D293="","",IF(OR($E293="Blocked",$E293="Done",$E293="Archive"),-9999,IF(AND($E293="Waiting",SUMPRODUCT((($E$5:$E$500="Next")+($E$5:$E$500="In Progress")+($E$5:$E$500="Captured"))*($D$5:$D$500&lt;&gt;""))&gt;0),-500,VLOOKUP($F293,Lists!$L$2:$M$4,2,FALSE)+IF($E293="In Progress",10,0)+IF(AND($I293&lt;&gt;"",$I293&lt;TODAY()),25,0)+IF(AND($I293&lt;&gt;"",$I293&gt;=TODAY(),$I293&lt;=TODAY()+7),15,0)+IF($H293="",0,IF($M293&lt;=VLOOKUP(Home!$C$7,Lists!$N$2:$O$6,2,FALSE),20,-10))+IF($G293=Home!$E$7,15,IF(Home!$E$7="",0,-5))-ROW()/100000)))</f>
        <v/>
      </c>
      <c r="O293" s="88">
        <f>IF($D293="","",IF($N293&lt;=-500,"Not recommended right now",IF($E293="Waiting","Nothing else actionable right now — Waiting on: "&amp;IF($K293="","this item",$K293),MID($V293,4,9999))))</f>
        <v/>
      </c>
      <c r="P293" s="88">
        <f>IF($D293="","",IF('Task Finder'!$C$6="High Priority",AND($F293="High",$E293&lt;&gt;"Done",$E293&lt;&gt;"Archive"),IF('Task Finder'!$C$6="Due This Week",AND($I293&lt;&gt;"",$I293&gt;=TODAY(),$I293&lt;=TODAY()+7,$E293&lt;&gt;"Done"),IF('Task Finder'!$C$6="Quick Wins (15 mins or less)",AND($M293&lt;=15,$E293&lt;&gt;"Done",$E293&lt;&gt;"Blocked"),IF('Task Finder'!$C$6="Deep Thinking",AND($G293="Deep Thinking",$E293&lt;&gt;"Done"),IF('Task Finder'!$C$6="Processing",AND($G293="Processing",$E293&lt;&gt;"Done"),IF('Task Finder'!$C$6="Blocked",$E293="Blocked",IF('Task Finder'!$C$6="Waiting",$E293="Waiting",IF('Task Finder'!$C$6="Recently Updated",AND($L293&lt;&gt;"",$L293&gt;=TODAY()-7),IF('Task Finder'!$C$6="Keyword",AND('Task Finder'!$C$7&lt;&gt;"",OR(ISNUMBER(SEARCH('Task Finder'!$C$7,$A293)),ISNUMBER(SEARCH('Task Finder'!$C$7,$B293)),ISNUMBER(SEARCH('Task Finder'!$C$7,$C293)),ISNUMBER(SEARCH('Task Finder'!$C$7,$D293)),ISNUMBER(SEARCH('Task Finder'!$C$7,$K293)))),TRUE))))))))))</f>
        <v/>
      </c>
      <c r="Q293" s="150">
        <f>IF($F293="High","High Priority","")</f>
        <v/>
      </c>
      <c r="R293" s="150">
        <f>IF(AND($I293&lt;&gt;"",$I293&lt;TODAY()),"Overdue","")</f>
        <v/>
      </c>
      <c r="S293" s="150">
        <f>IF(AND($I293&lt;&gt;"",$I293&gt;=TODAY(),$I293&lt;=TODAY()+7),"Due This Week","")</f>
        <v/>
      </c>
      <c r="T293" s="150">
        <f>IF(AND($H293&lt;&gt;"",$M293&lt;=VLOOKUP(Home!$C$7,Lists!$N$2:$O$6,2,FALSE)),$H293&amp;" Task","")</f>
        <v/>
      </c>
      <c r="U293" s="150">
        <f>IF($G293=Home!$E$7,"Fits Current Energy","")</f>
        <v/>
      </c>
      <c r="V293" s="150">
        <f>IF($Q293&lt;&gt;""," • "&amp;$Q293,"")&amp;IF($R293&lt;&gt;""," • "&amp;$R293,"")&amp;IF($S293&lt;&gt;""," • "&amp;$S293,"")&amp;IF($T293&lt;&gt;""," • "&amp;$T293,"")&amp;IF($U293&lt;&gt;""," • "&amp;$U293,"")&amp;" • No Blockers"</f>
        <v/>
      </c>
    </row>
    <row r="294">
      <c r="A294" s="19" t="n"/>
      <c r="B294" s="19" t="n"/>
      <c r="C294" s="19" t="n"/>
      <c r="D294" s="19" t="n"/>
      <c r="E294" s="19" t="n"/>
      <c r="F294" s="19" t="n"/>
      <c r="G294" s="19" t="n"/>
      <c r="H294" s="19" t="n"/>
      <c r="I294" s="19" t="n"/>
      <c r="J294" s="19" t="n"/>
      <c r="K294" s="19" t="n"/>
      <c r="L294" s="125" t="n"/>
      <c r="M294" s="88">
        <f>IF($D294="","",IFERROR(VLOOKUP($H294,Lists!$N$2:$O$6,2,FALSE),0))</f>
        <v/>
      </c>
      <c r="N294" s="88">
        <f>IF($D294="","",IF(OR($E294="Blocked",$E294="Done",$E294="Archive"),-9999,IF(AND($E294="Waiting",SUMPRODUCT((($E$5:$E$500="Next")+($E$5:$E$500="In Progress")+($E$5:$E$500="Captured"))*($D$5:$D$500&lt;&gt;""))&gt;0),-500,VLOOKUP($F294,Lists!$L$2:$M$4,2,FALSE)+IF($E294="In Progress",10,0)+IF(AND($I294&lt;&gt;"",$I294&lt;TODAY()),25,0)+IF(AND($I294&lt;&gt;"",$I294&gt;=TODAY(),$I294&lt;=TODAY()+7),15,0)+IF($H294="",0,IF($M294&lt;=VLOOKUP(Home!$C$7,Lists!$N$2:$O$6,2,FALSE),20,-10))+IF($G294=Home!$E$7,15,IF(Home!$E$7="",0,-5))-ROW()/100000)))</f>
        <v/>
      </c>
      <c r="O294" s="88">
        <f>IF($D294="","",IF($N294&lt;=-500,"Not recommended right now",IF($E294="Waiting","Nothing else actionable right now — Waiting on: "&amp;IF($K294="","this item",$K294),MID($V294,4,9999))))</f>
        <v/>
      </c>
      <c r="P294" s="88">
        <f>IF($D294="","",IF('Task Finder'!$C$6="High Priority",AND($F294="High",$E294&lt;&gt;"Done",$E294&lt;&gt;"Archive"),IF('Task Finder'!$C$6="Due This Week",AND($I294&lt;&gt;"",$I294&gt;=TODAY(),$I294&lt;=TODAY()+7,$E294&lt;&gt;"Done"),IF('Task Finder'!$C$6="Quick Wins (15 mins or less)",AND($M294&lt;=15,$E294&lt;&gt;"Done",$E294&lt;&gt;"Blocked"),IF('Task Finder'!$C$6="Deep Thinking",AND($G294="Deep Thinking",$E294&lt;&gt;"Done"),IF('Task Finder'!$C$6="Processing",AND($G294="Processing",$E294&lt;&gt;"Done"),IF('Task Finder'!$C$6="Blocked",$E294="Blocked",IF('Task Finder'!$C$6="Waiting",$E294="Waiting",IF('Task Finder'!$C$6="Recently Updated",AND($L294&lt;&gt;"",$L294&gt;=TODAY()-7),IF('Task Finder'!$C$6="Keyword",AND('Task Finder'!$C$7&lt;&gt;"",OR(ISNUMBER(SEARCH('Task Finder'!$C$7,$A294)),ISNUMBER(SEARCH('Task Finder'!$C$7,$B294)),ISNUMBER(SEARCH('Task Finder'!$C$7,$C294)),ISNUMBER(SEARCH('Task Finder'!$C$7,$D294)),ISNUMBER(SEARCH('Task Finder'!$C$7,$K294)))),TRUE))))))))))</f>
        <v/>
      </c>
      <c r="Q294" s="150">
        <f>IF($F294="High","High Priority","")</f>
        <v/>
      </c>
      <c r="R294" s="150">
        <f>IF(AND($I294&lt;&gt;"",$I294&lt;TODAY()),"Overdue","")</f>
        <v/>
      </c>
      <c r="S294" s="150">
        <f>IF(AND($I294&lt;&gt;"",$I294&gt;=TODAY(),$I294&lt;=TODAY()+7),"Due This Week","")</f>
        <v/>
      </c>
      <c r="T294" s="150">
        <f>IF(AND($H294&lt;&gt;"",$M294&lt;=VLOOKUP(Home!$C$7,Lists!$N$2:$O$6,2,FALSE)),$H294&amp;" Task","")</f>
        <v/>
      </c>
      <c r="U294" s="150">
        <f>IF($G294=Home!$E$7,"Fits Current Energy","")</f>
        <v/>
      </c>
      <c r="V294" s="150">
        <f>IF($Q294&lt;&gt;""," • "&amp;$Q294,"")&amp;IF($R294&lt;&gt;""," • "&amp;$R294,"")&amp;IF($S294&lt;&gt;""," • "&amp;$S294,"")&amp;IF($T294&lt;&gt;""," • "&amp;$T294,"")&amp;IF($U294&lt;&gt;""," • "&amp;$U294,"")&amp;" • No Blockers"</f>
        <v/>
      </c>
    </row>
    <row r="295">
      <c r="A295" s="19" t="n"/>
      <c r="B295" s="19" t="n"/>
      <c r="C295" s="19" t="n"/>
      <c r="D295" s="19" t="n"/>
      <c r="E295" s="19" t="n"/>
      <c r="F295" s="19" t="n"/>
      <c r="G295" s="19" t="n"/>
      <c r="H295" s="19" t="n"/>
      <c r="I295" s="19" t="n"/>
      <c r="J295" s="19" t="n"/>
      <c r="K295" s="19" t="n"/>
      <c r="L295" s="125" t="n"/>
      <c r="M295" s="88">
        <f>IF($D295="","",IFERROR(VLOOKUP($H295,Lists!$N$2:$O$6,2,FALSE),0))</f>
        <v/>
      </c>
      <c r="N295" s="88">
        <f>IF($D295="","",IF(OR($E295="Blocked",$E295="Done",$E295="Archive"),-9999,IF(AND($E295="Waiting",SUMPRODUCT((($E$5:$E$500="Next")+($E$5:$E$500="In Progress")+($E$5:$E$500="Captured"))*($D$5:$D$500&lt;&gt;""))&gt;0),-500,VLOOKUP($F295,Lists!$L$2:$M$4,2,FALSE)+IF($E295="In Progress",10,0)+IF(AND($I295&lt;&gt;"",$I295&lt;TODAY()),25,0)+IF(AND($I295&lt;&gt;"",$I295&gt;=TODAY(),$I295&lt;=TODAY()+7),15,0)+IF($H295="",0,IF($M295&lt;=VLOOKUP(Home!$C$7,Lists!$N$2:$O$6,2,FALSE),20,-10))+IF($G295=Home!$E$7,15,IF(Home!$E$7="",0,-5))-ROW()/100000)))</f>
        <v/>
      </c>
      <c r="O295" s="88">
        <f>IF($D295="","",IF($N295&lt;=-500,"Not recommended right now",IF($E295="Waiting","Nothing else actionable right now — Waiting on: "&amp;IF($K295="","this item",$K295),MID($V295,4,9999))))</f>
        <v/>
      </c>
      <c r="P295" s="88">
        <f>IF($D295="","",IF('Task Finder'!$C$6="High Priority",AND($F295="High",$E295&lt;&gt;"Done",$E295&lt;&gt;"Archive"),IF('Task Finder'!$C$6="Due This Week",AND($I295&lt;&gt;"",$I295&gt;=TODAY(),$I295&lt;=TODAY()+7,$E295&lt;&gt;"Done"),IF('Task Finder'!$C$6="Quick Wins (15 mins or less)",AND($M295&lt;=15,$E295&lt;&gt;"Done",$E295&lt;&gt;"Blocked"),IF('Task Finder'!$C$6="Deep Thinking",AND($G295="Deep Thinking",$E295&lt;&gt;"Done"),IF('Task Finder'!$C$6="Processing",AND($G295="Processing",$E295&lt;&gt;"Done"),IF('Task Finder'!$C$6="Blocked",$E295="Blocked",IF('Task Finder'!$C$6="Waiting",$E295="Waiting",IF('Task Finder'!$C$6="Recently Updated",AND($L295&lt;&gt;"",$L295&gt;=TODAY()-7),IF('Task Finder'!$C$6="Keyword",AND('Task Finder'!$C$7&lt;&gt;"",OR(ISNUMBER(SEARCH('Task Finder'!$C$7,$A295)),ISNUMBER(SEARCH('Task Finder'!$C$7,$B295)),ISNUMBER(SEARCH('Task Finder'!$C$7,$C295)),ISNUMBER(SEARCH('Task Finder'!$C$7,$D295)),ISNUMBER(SEARCH('Task Finder'!$C$7,$K295)))),TRUE))))))))))</f>
        <v/>
      </c>
      <c r="Q295" s="150">
        <f>IF($F295="High","High Priority","")</f>
        <v/>
      </c>
      <c r="R295" s="150">
        <f>IF(AND($I295&lt;&gt;"",$I295&lt;TODAY()),"Overdue","")</f>
        <v/>
      </c>
      <c r="S295" s="150">
        <f>IF(AND($I295&lt;&gt;"",$I295&gt;=TODAY(),$I295&lt;=TODAY()+7),"Due This Week","")</f>
        <v/>
      </c>
      <c r="T295" s="150">
        <f>IF(AND($H295&lt;&gt;"",$M295&lt;=VLOOKUP(Home!$C$7,Lists!$N$2:$O$6,2,FALSE)),$H295&amp;" Task","")</f>
        <v/>
      </c>
      <c r="U295" s="150">
        <f>IF($G295=Home!$E$7,"Fits Current Energy","")</f>
        <v/>
      </c>
      <c r="V295" s="150">
        <f>IF($Q295&lt;&gt;""," • "&amp;$Q295,"")&amp;IF($R295&lt;&gt;""," • "&amp;$R295,"")&amp;IF($S295&lt;&gt;""," • "&amp;$S295,"")&amp;IF($T295&lt;&gt;""," • "&amp;$T295,"")&amp;IF($U295&lt;&gt;""," • "&amp;$U295,"")&amp;" • No Blockers"</f>
        <v/>
      </c>
    </row>
    <row r="296">
      <c r="A296" s="19" t="n"/>
      <c r="B296" s="19" t="n"/>
      <c r="C296" s="19" t="n"/>
      <c r="D296" s="19" t="n"/>
      <c r="E296" s="19" t="n"/>
      <c r="F296" s="19" t="n"/>
      <c r="G296" s="19" t="n"/>
      <c r="H296" s="19" t="n"/>
      <c r="I296" s="19" t="n"/>
      <c r="J296" s="19" t="n"/>
      <c r="K296" s="19" t="n"/>
      <c r="L296" s="125" t="n"/>
      <c r="M296" s="88">
        <f>IF($D296="","",IFERROR(VLOOKUP($H296,Lists!$N$2:$O$6,2,FALSE),0))</f>
        <v/>
      </c>
      <c r="N296" s="88">
        <f>IF($D296="","",IF(OR($E296="Blocked",$E296="Done",$E296="Archive"),-9999,IF(AND($E296="Waiting",SUMPRODUCT((($E$5:$E$500="Next")+($E$5:$E$500="In Progress")+($E$5:$E$500="Captured"))*($D$5:$D$500&lt;&gt;""))&gt;0),-500,VLOOKUP($F296,Lists!$L$2:$M$4,2,FALSE)+IF($E296="In Progress",10,0)+IF(AND($I296&lt;&gt;"",$I296&lt;TODAY()),25,0)+IF(AND($I296&lt;&gt;"",$I296&gt;=TODAY(),$I296&lt;=TODAY()+7),15,0)+IF($H296="",0,IF($M296&lt;=VLOOKUP(Home!$C$7,Lists!$N$2:$O$6,2,FALSE),20,-10))+IF($G296=Home!$E$7,15,IF(Home!$E$7="",0,-5))-ROW()/100000)))</f>
        <v/>
      </c>
      <c r="O296" s="88">
        <f>IF($D296="","",IF($N296&lt;=-500,"Not recommended right now",IF($E296="Waiting","Nothing else actionable right now — Waiting on: "&amp;IF($K296="","this item",$K296),MID($V296,4,9999))))</f>
        <v/>
      </c>
      <c r="P296" s="88">
        <f>IF($D296="","",IF('Task Finder'!$C$6="High Priority",AND($F296="High",$E296&lt;&gt;"Done",$E296&lt;&gt;"Archive"),IF('Task Finder'!$C$6="Due This Week",AND($I296&lt;&gt;"",$I296&gt;=TODAY(),$I296&lt;=TODAY()+7,$E296&lt;&gt;"Done"),IF('Task Finder'!$C$6="Quick Wins (15 mins or less)",AND($M296&lt;=15,$E296&lt;&gt;"Done",$E296&lt;&gt;"Blocked"),IF('Task Finder'!$C$6="Deep Thinking",AND($G296="Deep Thinking",$E296&lt;&gt;"Done"),IF('Task Finder'!$C$6="Processing",AND($G296="Processing",$E296&lt;&gt;"Done"),IF('Task Finder'!$C$6="Blocked",$E296="Blocked",IF('Task Finder'!$C$6="Waiting",$E296="Waiting",IF('Task Finder'!$C$6="Recently Updated",AND($L296&lt;&gt;"",$L296&gt;=TODAY()-7),IF('Task Finder'!$C$6="Keyword",AND('Task Finder'!$C$7&lt;&gt;"",OR(ISNUMBER(SEARCH('Task Finder'!$C$7,$A296)),ISNUMBER(SEARCH('Task Finder'!$C$7,$B296)),ISNUMBER(SEARCH('Task Finder'!$C$7,$C296)),ISNUMBER(SEARCH('Task Finder'!$C$7,$D296)),ISNUMBER(SEARCH('Task Finder'!$C$7,$K296)))),TRUE))))))))))</f>
        <v/>
      </c>
      <c r="Q296" s="150">
        <f>IF($F296="High","High Priority","")</f>
        <v/>
      </c>
      <c r="R296" s="150">
        <f>IF(AND($I296&lt;&gt;"",$I296&lt;TODAY()),"Overdue","")</f>
        <v/>
      </c>
      <c r="S296" s="150">
        <f>IF(AND($I296&lt;&gt;"",$I296&gt;=TODAY(),$I296&lt;=TODAY()+7),"Due This Week","")</f>
        <v/>
      </c>
      <c r="T296" s="150">
        <f>IF(AND($H296&lt;&gt;"",$M296&lt;=VLOOKUP(Home!$C$7,Lists!$N$2:$O$6,2,FALSE)),$H296&amp;" Task","")</f>
        <v/>
      </c>
      <c r="U296" s="150">
        <f>IF($G296=Home!$E$7,"Fits Current Energy","")</f>
        <v/>
      </c>
      <c r="V296" s="150">
        <f>IF($Q296&lt;&gt;""," • "&amp;$Q296,"")&amp;IF($R296&lt;&gt;""," • "&amp;$R296,"")&amp;IF($S296&lt;&gt;""," • "&amp;$S296,"")&amp;IF($T296&lt;&gt;""," • "&amp;$T296,"")&amp;IF($U296&lt;&gt;""," • "&amp;$U296,"")&amp;" • No Blockers"</f>
        <v/>
      </c>
    </row>
    <row r="297">
      <c r="A297" s="19" t="n"/>
      <c r="B297" s="19" t="n"/>
      <c r="C297" s="19" t="n"/>
      <c r="D297" s="19" t="n"/>
      <c r="E297" s="19" t="n"/>
      <c r="F297" s="19" t="n"/>
      <c r="G297" s="19" t="n"/>
      <c r="H297" s="19" t="n"/>
      <c r="I297" s="19" t="n"/>
      <c r="J297" s="19" t="n"/>
      <c r="K297" s="19" t="n"/>
      <c r="L297" s="125" t="n"/>
      <c r="M297" s="88">
        <f>IF($D297="","",IFERROR(VLOOKUP($H297,Lists!$N$2:$O$6,2,FALSE),0))</f>
        <v/>
      </c>
      <c r="N297" s="88">
        <f>IF($D297="","",IF(OR($E297="Blocked",$E297="Done",$E297="Archive"),-9999,IF(AND($E297="Waiting",SUMPRODUCT((($E$5:$E$500="Next")+($E$5:$E$500="In Progress")+($E$5:$E$500="Captured"))*($D$5:$D$500&lt;&gt;""))&gt;0),-500,VLOOKUP($F297,Lists!$L$2:$M$4,2,FALSE)+IF($E297="In Progress",10,0)+IF(AND($I297&lt;&gt;"",$I297&lt;TODAY()),25,0)+IF(AND($I297&lt;&gt;"",$I297&gt;=TODAY(),$I297&lt;=TODAY()+7),15,0)+IF($H297="",0,IF($M297&lt;=VLOOKUP(Home!$C$7,Lists!$N$2:$O$6,2,FALSE),20,-10))+IF($G297=Home!$E$7,15,IF(Home!$E$7="",0,-5))-ROW()/100000)))</f>
        <v/>
      </c>
      <c r="O297" s="88">
        <f>IF($D297="","",IF($N297&lt;=-500,"Not recommended right now",IF($E297="Waiting","Nothing else actionable right now — Waiting on: "&amp;IF($K297="","this item",$K297),MID($V297,4,9999))))</f>
        <v/>
      </c>
      <c r="P297" s="88">
        <f>IF($D297="","",IF('Task Finder'!$C$6="High Priority",AND($F297="High",$E297&lt;&gt;"Done",$E297&lt;&gt;"Archive"),IF('Task Finder'!$C$6="Due This Week",AND($I297&lt;&gt;"",$I297&gt;=TODAY(),$I297&lt;=TODAY()+7,$E297&lt;&gt;"Done"),IF('Task Finder'!$C$6="Quick Wins (15 mins or less)",AND($M297&lt;=15,$E297&lt;&gt;"Done",$E297&lt;&gt;"Blocked"),IF('Task Finder'!$C$6="Deep Thinking",AND($G297="Deep Thinking",$E297&lt;&gt;"Done"),IF('Task Finder'!$C$6="Processing",AND($G297="Processing",$E297&lt;&gt;"Done"),IF('Task Finder'!$C$6="Blocked",$E297="Blocked",IF('Task Finder'!$C$6="Waiting",$E297="Waiting",IF('Task Finder'!$C$6="Recently Updated",AND($L297&lt;&gt;"",$L297&gt;=TODAY()-7),IF('Task Finder'!$C$6="Keyword",AND('Task Finder'!$C$7&lt;&gt;"",OR(ISNUMBER(SEARCH('Task Finder'!$C$7,$A297)),ISNUMBER(SEARCH('Task Finder'!$C$7,$B297)),ISNUMBER(SEARCH('Task Finder'!$C$7,$C297)),ISNUMBER(SEARCH('Task Finder'!$C$7,$D297)),ISNUMBER(SEARCH('Task Finder'!$C$7,$K297)))),TRUE))))))))))</f>
        <v/>
      </c>
      <c r="Q297" s="150">
        <f>IF($F297="High","High Priority","")</f>
        <v/>
      </c>
      <c r="R297" s="150">
        <f>IF(AND($I297&lt;&gt;"",$I297&lt;TODAY()),"Overdue","")</f>
        <v/>
      </c>
      <c r="S297" s="150">
        <f>IF(AND($I297&lt;&gt;"",$I297&gt;=TODAY(),$I297&lt;=TODAY()+7),"Due This Week","")</f>
        <v/>
      </c>
      <c r="T297" s="150">
        <f>IF(AND($H297&lt;&gt;"",$M297&lt;=VLOOKUP(Home!$C$7,Lists!$N$2:$O$6,2,FALSE)),$H297&amp;" Task","")</f>
        <v/>
      </c>
      <c r="U297" s="150">
        <f>IF($G297=Home!$E$7,"Fits Current Energy","")</f>
        <v/>
      </c>
      <c r="V297" s="150">
        <f>IF($Q297&lt;&gt;""," • "&amp;$Q297,"")&amp;IF($R297&lt;&gt;""," • "&amp;$R297,"")&amp;IF($S297&lt;&gt;""," • "&amp;$S297,"")&amp;IF($T297&lt;&gt;""," • "&amp;$T297,"")&amp;IF($U297&lt;&gt;""," • "&amp;$U297,"")&amp;" • No Blockers"</f>
        <v/>
      </c>
    </row>
    <row r="298">
      <c r="A298" s="19" t="n"/>
      <c r="B298" s="19" t="n"/>
      <c r="C298" s="19" t="n"/>
      <c r="D298" s="19" t="n"/>
      <c r="E298" s="19" t="n"/>
      <c r="F298" s="19" t="n"/>
      <c r="G298" s="19" t="n"/>
      <c r="H298" s="19" t="n"/>
      <c r="I298" s="19" t="n"/>
      <c r="J298" s="19" t="n"/>
      <c r="K298" s="19" t="n"/>
      <c r="L298" s="125" t="n"/>
      <c r="M298" s="88">
        <f>IF($D298="","",IFERROR(VLOOKUP($H298,Lists!$N$2:$O$6,2,FALSE),0))</f>
        <v/>
      </c>
      <c r="N298" s="88">
        <f>IF($D298="","",IF(OR($E298="Blocked",$E298="Done",$E298="Archive"),-9999,IF(AND($E298="Waiting",SUMPRODUCT((($E$5:$E$500="Next")+($E$5:$E$500="In Progress")+($E$5:$E$500="Captured"))*($D$5:$D$500&lt;&gt;""))&gt;0),-500,VLOOKUP($F298,Lists!$L$2:$M$4,2,FALSE)+IF($E298="In Progress",10,0)+IF(AND($I298&lt;&gt;"",$I298&lt;TODAY()),25,0)+IF(AND($I298&lt;&gt;"",$I298&gt;=TODAY(),$I298&lt;=TODAY()+7),15,0)+IF($H298="",0,IF($M298&lt;=VLOOKUP(Home!$C$7,Lists!$N$2:$O$6,2,FALSE),20,-10))+IF($G298=Home!$E$7,15,IF(Home!$E$7="",0,-5))-ROW()/100000)))</f>
        <v/>
      </c>
      <c r="O298" s="88">
        <f>IF($D298="","",IF($N298&lt;=-500,"Not recommended right now",IF($E298="Waiting","Nothing else actionable right now — Waiting on: "&amp;IF($K298="","this item",$K298),MID($V298,4,9999))))</f>
        <v/>
      </c>
      <c r="P298" s="88">
        <f>IF($D298="","",IF('Task Finder'!$C$6="High Priority",AND($F298="High",$E298&lt;&gt;"Done",$E298&lt;&gt;"Archive"),IF('Task Finder'!$C$6="Due This Week",AND($I298&lt;&gt;"",$I298&gt;=TODAY(),$I298&lt;=TODAY()+7,$E298&lt;&gt;"Done"),IF('Task Finder'!$C$6="Quick Wins (15 mins or less)",AND($M298&lt;=15,$E298&lt;&gt;"Done",$E298&lt;&gt;"Blocked"),IF('Task Finder'!$C$6="Deep Thinking",AND($G298="Deep Thinking",$E298&lt;&gt;"Done"),IF('Task Finder'!$C$6="Processing",AND($G298="Processing",$E298&lt;&gt;"Done"),IF('Task Finder'!$C$6="Blocked",$E298="Blocked",IF('Task Finder'!$C$6="Waiting",$E298="Waiting",IF('Task Finder'!$C$6="Recently Updated",AND($L298&lt;&gt;"",$L298&gt;=TODAY()-7),IF('Task Finder'!$C$6="Keyword",AND('Task Finder'!$C$7&lt;&gt;"",OR(ISNUMBER(SEARCH('Task Finder'!$C$7,$A298)),ISNUMBER(SEARCH('Task Finder'!$C$7,$B298)),ISNUMBER(SEARCH('Task Finder'!$C$7,$C298)),ISNUMBER(SEARCH('Task Finder'!$C$7,$D298)),ISNUMBER(SEARCH('Task Finder'!$C$7,$K298)))),TRUE))))))))))</f>
        <v/>
      </c>
      <c r="Q298" s="150">
        <f>IF($F298="High","High Priority","")</f>
        <v/>
      </c>
      <c r="R298" s="150">
        <f>IF(AND($I298&lt;&gt;"",$I298&lt;TODAY()),"Overdue","")</f>
        <v/>
      </c>
      <c r="S298" s="150">
        <f>IF(AND($I298&lt;&gt;"",$I298&gt;=TODAY(),$I298&lt;=TODAY()+7),"Due This Week","")</f>
        <v/>
      </c>
      <c r="T298" s="150">
        <f>IF(AND($H298&lt;&gt;"",$M298&lt;=VLOOKUP(Home!$C$7,Lists!$N$2:$O$6,2,FALSE)),$H298&amp;" Task","")</f>
        <v/>
      </c>
      <c r="U298" s="150">
        <f>IF($G298=Home!$E$7,"Fits Current Energy","")</f>
        <v/>
      </c>
      <c r="V298" s="150">
        <f>IF($Q298&lt;&gt;""," • "&amp;$Q298,"")&amp;IF($R298&lt;&gt;""," • "&amp;$R298,"")&amp;IF($S298&lt;&gt;""," • "&amp;$S298,"")&amp;IF($T298&lt;&gt;""," • "&amp;$T298,"")&amp;IF($U298&lt;&gt;""," • "&amp;$U298,"")&amp;" • No Blockers"</f>
        <v/>
      </c>
    </row>
    <row r="299">
      <c r="A299" s="19" t="n"/>
      <c r="B299" s="19" t="n"/>
      <c r="C299" s="19" t="n"/>
      <c r="D299" s="19" t="n"/>
      <c r="E299" s="19" t="n"/>
      <c r="F299" s="19" t="n"/>
      <c r="G299" s="19" t="n"/>
      <c r="H299" s="19" t="n"/>
      <c r="I299" s="19" t="n"/>
      <c r="J299" s="19" t="n"/>
      <c r="K299" s="19" t="n"/>
      <c r="L299" s="125" t="n"/>
      <c r="M299" s="88">
        <f>IF($D299="","",IFERROR(VLOOKUP($H299,Lists!$N$2:$O$6,2,FALSE),0))</f>
        <v/>
      </c>
      <c r="N299" s="88">
        <f>IF($D299="","",IF(OR($E299="Blocked",$E299="Done",$E299="Archive"),-9999,IF(AND($E299="Waiting",SUMPRODUCT((($E$5:$E$500="Next")+($E$5:$E$500="In Progress")+($E$5:$E$500="Captured"))*($D$5:$D$500&lt;&gt;""))&gt;0),-500,VLOOKUP($F299,Lists!$L$2:$M$4,2,FALSE)+IF($E299="In Progress",10,0)+IF(AND($I299&lt;&gt;"",$I299&lt;TODAY()),25,0)+IF(AND($I299&lt;&gt;"",$I299&gt;=TODAY(),$I299&lt;=TODAY()+7),15,0)+IF($H299="",0,IF($M299&lt;=VLOOKUP(Home!$C$7,Lists!$N$2:$O$6,2,FALSE),20,-10))+IF($G299=Home!$E$7,15,IF(Home!$E$7="",0,-5))-ROW()/100000)))</f>
        <v/>
      </c>
      <c r="O299" s="88">
        <f>IF($D299="","",IF($N299&lt;=-500,"Not recommended right now",IF($E299="Waiting","Nothing else actionable right now — Waiting on: "&amp;IF($K299="","this item",$K299),MID($V299,4,9999))))</f>
        <v/>
      </c>
      <c r="P299" s="88">
        <f>IF($D299="","",IF('Task Finder'!$C$6="High Priority",AND($F299="High",$E299&lt;&gt;"Done",$E299&lt;&gt;"Archive"),IF('Task Finder'!$C$6="Due This Week",AND($I299&lt;&gt;"",$I299&gt;=TODAY(),$I299&lt;=TODAY()+7,$E299&lt;&gt;"Done"),IF('Task Finder'!$C$6="Quick Wins (15 mins or less)",AND($M299&lt;=15,$E299&lt;&gt;"Done",$E299&lt;&gt;"Blocked"),IF('Task Finder'!$C$6="Deep Thinking",AND($G299="Deep Thinking",$E299&lt;&gt;"Done"),IF('Task Finder'!$C$6="Processing",AND($G299="Processing",$E299&lt;&gt;"Done"),IF('Task Finder'!$C$6="Blocked",$E299="Blocked",IF('Task Finder'!$C$6="Waiting",$E299="Waiting",IF('Task Finder'!$C$6="Recently Updated",AND($L299&lt;&gt;"",$L299&gt;=TODAY()-7),IF('Task Finder'!$C$6="Keyword",AND('Task Finder'!$C$7&lt;&gt;"",OR(ISNUMBER(SEARCH('Task Finder'!$C$7,$A299)),ISNUMBER(SEARCH('Task Finder'!$C$7,$B299)),ISNUMBER(SEARCH('Task Finder'!$C$7,$C299)),ISNUMBER(SEARCH('Task Finder'!$C$7,$D299)),ISNUMBER(SEARCH('Task Finder'!$C$7,$K299)))),TRUE))))))))))</f>
        <v/>
      </c>
      <c r="Q299" s="150">
        <f>IF($F299="High","High Priority","")</f>
        <v/>
      </c>
      <c r="R299" s="150">
        <f>IF(AND($I299&lt;&gt;"",$I299&lt;TODAY()),"Overdue","")</f>
        <v/>
      </c>
      <c r="S299" s="150">
        <f>IF(AND($I299&lt;&gt;"",$I299&gt;=TODAY(),$I299&lt;=TODAY()+7),"Due This Week","")</f>
        <v/>
      </c>
      <c r="T299" s="150">
        <f>IF(AND($H299&lt;&gt;"",$M299&lt;=VLOOKUP(Home!$C$7,Lists!$N$2:$O$6,2,FALSE)),$H299&amp;" Task","")</f>
        <v/>
      </c>
      <c r="U299" s="150">
        <f>IF($G299=Home!$E$7,"Fits Current Energy","")</f>
        <v/>
      </c>
      <c r="V299" s="150">
        <f>IF($Q299&lt;&gt;""," • "&amp;$Q299,"")&amp;IF($R299&lt;&gt;""," • "&amp;$R299,"")&amp;IF($S299&lt;&gt;""," • "&amp;$S299,"")&amp;IF($T299&lt;&gt;""," • "&amp;$T299,"")&amp;IF($U299&lt;&gt;""," • "&amp;$U299,"")&amp;" • No Blockers"</f>
        <v/>
      </c>
    </row>
    <row r="300">
      <c r="A300" s="19" t="n"/>
      <c r="B300" s="19" t="n"/>
      <c r="C300" s="19" t="n"/>
      <c r="D300" s="19" t="n"/>
      <c r="E300" s="19" t="n"/>
      <c r="F300" s="19" t="n"/>
      <c r="G300" s="19" t="n"/>
      <c r="H300" s="19" t="n"/>
      <c r="I300" s="19" t="n"/>
      <c r="J300" s="19" t="n"/>
      <c r="K300" s="19" t="n"/>
      <c r="L300" s="125" t="n"/>
      <c r="M300" s="88">
        <f>IF($D300="","",IFERROR(VLOOKUP($H300,Lists!$N$2:$O$6,2,FALSE),0))</f>
        <v/>
      </c>
      <c r="N300" s="88">
        <f>IF($D300="","",IF(OR($E300="Blocked",$E300="Done",$E300="Archive"),-9999,IF(AND($E300="Waiting",SUMPRODUCT((($E$5:$E$500="Next")+($E$5:$E$500="In Progress")+($E$5:$E$500="Captured"))*($D$5:$D$500&lt;&gt;""))&gt;0),-500,VLOOKUP($F300,Lists!$L$2:$M$4,2,FALSE)+IF($E300="In Progress",10,0)+IF(AND($I300&lt;&gt;"",$I300&lt;TODAY()),25,0)+IF(AND($I300&lt;&gt;"",$I300&gt;=TODAY(),$I300&lt;=TODAY()+7),15,0)+IF($H300="",0,IF($M300&lt;=VLOOKUP(Home!$C$7,Lists!$N$2:$O$6,2,FALSE),20,-10))+IF($G300=Home!$E$7,15,IF(Home!$E$7="",0,-5))-ROW()/100000)))</f>
        <v/>
      </c>
      <c r="O300" s="88">
        <f>IF($D300="","",IF($N300&lt;=-500,"Not recommended right now",IF($E300="Waiting","Nothing else actionable right now — Waiting on: "&amp;IF($K300="","this item",$K300),MID($V300,4,9999))))</f>
        <v/>
      </c>
      <c r="P300" s="88">
        <f>IF($D300="","",IF('Task Finder'!$C$6="High Priority",AND($F300="High",$E300&lt;&gt;"Done",$E300&lt;&gt;"Archive"),IF('Task Finder'!$C$6="Due This Week",AND($I300&lt;&gt;"",$I300&gt;=TODAY(),$I300&lt;=TODAY()+7,$E300&lt;&gt;"Done"),IF('Task Finder'!$C$6="Quick Wins (15 mins or less)",AND($M300&lt;=15,$E300&lt;&gt;"Done",$E300&lt;&gt;"Blocked"),IF('Task Finder'!$C$6="Deep Thinking",AND($G300="Deep Thinking",$E300&lt;&gt;"Done"),IF('Task Finder'!$C$6="Processing",AND($G300="Processing",$E300&lt;&gt;"Done"),IF('Task Finder'!$C$6="Blocked",$E300="Blocked",IF('Task Finder'!$C$6="Waiting",$E300="Waiting",IF('Task Finder'!$C$6="Recently Updated",AND($L300&lt;&gt;"",$L300&gt;=TODAY()-7),IF('Task Finder'!$C$6="Keyword",AND('Task Finder'!$C$7&lt;&gt;"",OR(ISNUMBER(SEARCH('Task Finder'!$C$7,$A300)),ISNUMBER(SEARCH('Task Finder'!$C$7,$B300)),ISNUMBER(SEARCH('Task Finder'!$C$7,$C300)),ISNUMBER(SEARCH('Task Finder'!$C$7,$D300)),ISNUMBER(SEARCH('Task Finder'!$C$7,$K300)))),TRUE))))))))))</f>
        <v/>
      </c>
      <c r="Q300" s="150">
        <f>IF($F300="High","High Priority","")</f>
        <v/>
      </c>
      <c r="R300" s="150">
        <f>IF(AND($I300&lt;&gt;"",$I300&lt;TODAY()),"Overdue","")</f>
        <v/>
      </c>
      <c r="S300" s="150">
        <f>IF(AND($I300&lt;&gt;"",$I300&gt;=TODAY(),$I300&lt;=TODAY()+7),"Due This Week","")</f>
        <v/>
      </c>
      <c r="T300" s="150">
        <f>IF(AND($H300&lt;&gt;"",$M300&lt;=VLOOKUP(Home!$C$7,Lists!$N$2:$O$6,2,FALSE)),$H300&amp;" Task","")</f>
        <v/>
      </c>
      <c r="U300" s="150">
        <f>IF($G300=Home!$E$7,"Fits Current Energy","")</f>
        <v/>
      </c>
      <c r="V300" s="150">
        <f>IF($Q300&lt;&gt;""," • "&amp;$Q300,"")&amp;IF($R300&lt;&gt;""," • "&amp;$R300,"")&amp;IF($S300&lt;&gt;""," • "&amp;$S300,"")&amp;IF($T300&lt;&gt;""," • "&amp;$T300,"")&amp;IF($U300&lt;&gt;""," • "&amp;$U300,"")&amp;" • No Blockers"</f>
        <v/>
      </c>
    </row>
    <row r="301">
      <c r="A301" s="19" t="n"/>
      <c r="B301" s="19" t="n"/>
      <c r="C301" s="19" t="n"/>
      <c r="D301" s="19" t="n"/>
      <c r="E301" s="19" t="n"/>
      <c r="F301" s="19" t="n"/>
      <c r="G301" s="19" t="n"/>
      <c r="H301" s="19" t="n"/>
      <c r="I301" s="19" t="n"/>
      <c r="J301" s="19" t="n"/>
      <c r="K301" s="19" t="n"/>
      <c r="L301" s="125" t="n"/>
      <c r="M301" s="88">
        <f>IF($D301="","",IFERROR(VLOOKUP($H301,Lists!$N$2:$O$6,2,FALSE),0))</f>
        <v/>
      </c>
      <c r="N301" s="88">
        <f>IF($D301="","",IF(OR($E301="Blocked",$E301="Done",$E301="Archive"),-9999,IF(AND($E301="Waiting",SUMPRODUCT((($E$5:$E$500="Next")+($E$5:$E$500="In Progress")+($E$5:$E$500="Captured"))*($D$5:$D$500&lt;&gt;""))&gt;0),-500,VLOOKUP($F301,Lists!$L$2:$M$4,2,FALSE)+IF($E301="In Progress",10,0)+IF(AND($I301&lt;&gt;"",$I301&lt;TODAY()),25,0)+IF(AND($I301&lt;&gt;"",$I301&gt;=TODAY(),$I301&lt;=TODAY()+7),15,0)+IF($H301="",0,IF($M301&lt;=VLOOKUP(Home!$C$7,Lists!$N$2:$O$6,2,FALSE),20,-10))+IF($G301=Home!$E$7,15,IF(Home!$E$7="",0,-5))-ROW()/100000)))</f>
        <v/>
      </c>
      <c r="O301" s="88">
        <f>IF($D301="","",IF($N301&lt;=-500,"Not recommended right now",IF($E301="Waiting","Nothing else actionable right now — Waiting on: "&amp;IF($K301="","this item",$K301),MID($V301,4,9999))))</f>
        <v/>
      </c>
      <c r="P301" s="88">
        <f>IF($D301="","",IF('Task Finder'!$C$6="High Priority",AND($F301="High",$E301&lt;&gt;"Done",$E301&lt;&gt;"Archive"),IF('Task Finder'!$C$6="Due This Week",AND($I301&lt;&gt;"",$I301&gt;=TODAY(),$I301&lt;=TODAY()+7,$E301&lt;&gt;"Done"),IF('Task Finder'!$C$6="Quick Wins (15 mins or less)",AND($M301&lt;=15,$E301&lt;&gt;"Done",$E301&lt;&gt;"Blocked"),IF('Task Finder'!$C$6="Deep Thinking",AND($G301="Deep Thinking",$E301&lt;&gt;"Done"),IF('Task Finder'!$C$6="Processing",AND($G301="Processing",$E301&lt;&gt;"Done"),IF('Task Finder'!$C$6="Blocked",$E301="Blocked",IF('Task Finder'!$C$6="Waiting",$E301="Waiting",IF('Task Finder'!$C$6="Recently Updated",AND($L301&lt;&gt;"",$L301&gt;=TODAY()-7),IF('Task Finder'!$C$6="Keyword",AND('Task Finder'!$C$7&lt;&gt;"",OR(ISNUMBER(SEARCH('Task Finder'!$C$7,$A301)),ISNUMBER(SEARCH('Task Finder'!$C$7,$B301)),ISNUMBER(SEARCH('Task Finder'!$C$7,$C301)),ISNUMBER(SEARCH('Task Finder'!$C$7,$D301)),ISNUMBER(SEARCH('Task Finder'!$C$7,$K301)))),TRUE))))))))))</f>
        <v/>
      </c>
      <c r="Q301" s="150">
        <f>IF($F301="High","High Priority","")</f>
        <v/>
      </c>
      <c r="R301" s="150">
        <f>IF(AND($I301&lt;&gt;"",$I301&lt;TODAY()),"Overdue","")</f>
        <v/>
      </c>
      <c r="S301" s="150">
        <f>IF(AND($I301&lt;&gt;"",$I301&gt;=TODAY(),$I301&lt;=TODAY()+7),"Due This Week","")</f>
        <v/>
      </c>
      <c r="T301" s="150">
        <f>IF(AND($H301&lt;&gt;"",$M301&lt;=VLOOKUP(Home!$C$7,Lists!$N$2:$O$6,2,FALSE)),$H301&amp;" Task","")</f>
        <v/>
      </c>
      <c r="U301" s="150">
        <f>IF($G301=Home!$E$7,"Fits Current Energy","")</f>
        <v/>
      </c>
      <c r="V301" s="150">
        <f>IF($Q301&lt;&gt;""," • "&amp;$Q301,"")&amp;IF($R301&lt;&gt;""," • "&amp;$R301,"")&amp;IF($S301&lt;&gt;""," • "&amp;$S301,"")&amp;IF($T301&lt;&gt;""," • "&amp;$T301,"")&amp;IF($U301&lt;&gt;""," • "&amp;$U301,"")&amp;" • No Blockers"</f>
        <v/>
      </c>
    </row>
    <row r="302">
      <c r="A302" s="19" t="n"/>
      <c r="B302" s="19" t="n"/>
      <c r="C302" s="19" t="n"/>
      <c r="D302" s="19" t="n"/>
      <c r="E302" s="19" t="n"/>
      <c r="F302" s="19" t="n"/>
      <c r="G302" s="19" t="n"/>
      <c r="H302" s="19" t="n"/>
      <c r="I302" s="19" t="n"/>
      <c r="J302" s="19" t="n"/>
      <c r="K302" s="19" t="n"/>
      <c r="L302" s="125" t="n"/>
      <c r="M302" s="88">
        <f>IF($D302="","",IFERROR(VLOOKUP($H302,Lists!$N$2:$O$6,2,FALSE),0))</f>
        <v/>
      </c>
      <c r="N302" s="88">
        <f>IF($D302="","",IF(OR($E302="Blocked",$E302="Done",$E302="Archive"),-9999,IF(AND($E302="Waiting",SUMPRODUCT((($E$5:$E$500="Next")+($E$5:$E$500="In Progress")+($E$5:$E$500="Captured"))*($D$5:$D$500&lt;&gt;""))&gt;0),-500,VLOOKUP($F302,Lists!$L$2:$M$4,2,FALSE)+IF($E302="In Progress",10,0)+IF(AND($I302&lt;&gt;"",$I302&lt;TODAY()),25,0)+IF(AND($I302&lt;&gt;"",$I302&gt;=TODAY(),$I302&lt;=TODAY()+7),15,0)+IF($H302="",0,IF($M302&lt;=VLOOKUP(Home!$C$7,Lists!$N$2:$O$6,2,FALSE),20,-10))+IF($G302=Home!$E$7,15,IF(Home!$E$7="",0,-5))-ROW()/100000)))</f>
        <v/>
      </c>
      <c r="O302" s="88">
        <f>IF($D302="","",IF($N302&lt;=-500,"Not recommended right now",IF($E302="Waiting","Nothing else actionable right now — Waiting on: "&amp;IF($K302="","this item",$K302),MID($V302,4,9999))))</f>
        <v/>
      </c>
      <c r="P302" s="88">
        <f>IF($D302="","",IF('Task Finder'!$C$6="High Priority",AND($F302="High",$E302&lt;&gt;"Done",$E302&lt;&gt;"Archive"),IF('Task Finder'!$C$6="Due This Week",AND($I302&lt;&gt;"",$I302&gt;=TODAY(),$I302&lt;=TODAY()+7,$E302&lt;&gt;"Done"),IF('Task Finder'!$C$6="Quick Wins (15 mins or less)",AND($M302&lt;=15,$E302&lt;&gt;"Done",$E302&lt;&gt;"Blocked"),IF('Task Finder'!$C$6="Deep Thinking",AND($G302="Deep Thinking",$E302&lt;&gt;"Done"),IF('Task Finder'!$C$6="Processing",AND($G302="Processing",$E302&lt;&gt;"Done"),IF('Task Finder'!$C$6="Blocked",$E302="Blocked",IF('Task Finder'!$C$6="Waiting",$E302="Waiting",IF('Task Finder'!$C$6="Recently Updated",AND($L302&lt;&gt;"",$L302&gt;=TODAY()-7),IF('Task Finder'!$C$6="Keyword",AND('Task Finder'!$C$7&lt;&gt;"",OR(ISNUMBER(SEARCH('Task Finder'!$C$7,$A302)),ISNUMBER(SEARCH('Task Finder'!$C$7,$B302)),ISNUMBER(SEARCH('Task Finder'!$C$7,$C302)),ISNUMBER(SEARCH('Task Finder'!$C$7,$D302)),ISNUMBER(SEARCH('Task Finder'!$C$7,$K302)))),TRUE))))))))))</f>
        <v/>
      </c>
      <c r="Q302" s="150">
        <f>IF($F302="High","High Priority","")</f>
        <v/>
      </c>
      <c r="R302" s="150">
        <f>IF(AND($I302&lt;&gt;"",$I302&lt;TODAY()),"Overdue","")</f>
        <v/>
      </c>
      <c r="S302" s="150">
        <f>IF(AND($I302&lt;&gt;"",$I302&gt;=TODAY(),$I302&lt;=TODAY()+7),"Due This Week","")</f>
        <v/>
      </c>
      <c r="T302" s="150">
        <f>IF(AND($H302&lt;&gt;"",$M302&lt;=VLOOKUP(Home!$C$7,Lists!$N$2:$O$6,2,FALSE)),$H302&amp;" Task","")</f>
        <v/>
      </c>
      <c r="U302" s="150">
        <f>IF($G302=Home!$E$7,"Fits Current Energy","")</f>
        <v/>
      </c>
      <c r="V302" s="150">
        <f>IF($Q302&lt;&gt;""," • "&amp;$Q302,"")&amp;IF($R302&lt;&gt;""," • "&amp;$R302,"")&amp;IF($S302&lt;&gt;""," • "&amp;$S302,"")&amp;IF($T302&lt;&gt;""," • "&amp;$T302,"")&amp;IF($U302&lt;&gt;""," • "&amp;$U302,"")&amp;" • No Blockers"</f>
        <v/>
      </c>
    </row>
    <row r="303">
      <c r="A303" s="19" t="n"/>
      <c r="B303" s="19" t="n"/>
      <c r="C303" s="19" t="n"/>
      <c r="D303" s="19" t="n"/>
      <c r="E303" s="19" t="n"/>
      <c r="F303" s="19" t="n"/>
      <c r="G303" s="19" t="n"/>
      <c r="H303" s="19" t="n"/>
      <c r="I303" s="19" t="n"/>
      <c r="J303" s="19" t="n"/>
      <c r="K303" s="19" t="n"/>
      <c r="L303" s="125" t="n"/>
      <c r="M303" s="88">
        <f>IF($D303="","",IFERROR(VLOOKUP($H303,Lists!$N$2:$O$6,2,FALSE),0))</f>
        <v/>
      </c>
      <c r="N303" s="88">
        <f>IF($D303="","",IF(OR($E303="Blocked",$E303="Done",$E303="Archive"),-9999,IF(AND($E303="Waiting",SUMPRODUCT((($E$5:$E$500="Next")+($E$5:$E$500="In Progress")+($E$5:$E$500="Captured"))*($D$5:$D$500&lt;&gt;""))&gt;0),-500,VLOOKUP($F303,Lists!$L$2:$M$4,2,FALSE)+IF($E303="In Progress",10,0)+IF(AND($I303&lt;&gt;"",$I303&lt;TODAY()),25,0)+IF(AND($I303&lt;&gt;"",$I303&gt;=TODAY(),$I303&lt;=TODAY()+7),15,0)+IF($H303="",0,IF($M303&lt;=VLOOKUP(Home!$C$7,Lists!$N$2:$O$6,2,FALSE),20,-10))+IF($G303=Home!$E$7,15,IF(Home!$E$7="",0,-5))-ROW()/100000)))</f>
        <v/>
      </c>
      <c r="O303" s="88">
        <f>IF($D303="","",IF($N303&lt;=-500,"Not recommended right now",IF($E303="Waiting","Nothing else actionable right now — Waiting on: "&amp;IF($K303="","this item",$K303),MID($V303,4,9999))))</f>
        <v/>
      </c>
      <c r="P303" s="88">
        <f>IF($D303="","",IF('Task Finder'!$C$6="High Priority",AND($F303="High",$E303&lt;&gt;"Done",$E303&lt;&gt;"Archive"),IF('Task Finder'!$C$6="Due This Week",AND($I303&lt;&gt;"",$I303&gt;=TODAY(),$I303&lt;=TODAY()+7,$E303&lt;&gt;"Done"),IF('Task Finder'!$C$6="Quick Wins (15 mins or less)",AND($M303&lt;=15,$E303&lt;&gt;"Done",$E303&lt;&gt;"Blocked"),IF('Task Finder'!$C$6="Deep Thinking",AND($G303="Deep Thinking",$E303&lt;&gt;"Done"),IF('Task Finder'!$C$6="Processing",AND($G303="Processing",$E303&lt;&gt;"Done"),IF('Task Finder'!$C$6="Blocked",$E303="Blocked",IF('Task Finder'!$C$6="Waiting",$E303="Waiting",IF('Task Finder'!$C$6="Recently Updated",AND($L303&lt;&gt;"",$L303&gt;=TODAY()-7),IF('Task Finder'!$C$6="Keyword",AND('Task Finder'!$C$7&lt;&gt;"",OR(ISNUMBER(SEARCH('Task Finder'!$C$7,$A303)),ISNUMBER(SEARCH('Task Finder'!$C$7,$B303)),ISNUMBER(SEARCH('Task Finder'!$C$7,$C303)),ISNUMBER(SEARCH('Task Finder'!$C$7,$D303)),ISNUMBER(SEARCH('Task Finder'!$C$7,$K303)))),TRUE))))))))))</f>
        <v/>
      </c>
      <c r="Q303" s="150">
        <f>IF($F303="High","High Priority","")</f>
        <v/>
      </c>
      <c r="R303" s="150">
        <f>IF(AND($I303&lt;&gt;"",$I303&lt;TODAY()),"Overdue","")</f>
        <v/>
      </c>
      <c r="S303" s="150">
        <f>IF(AND($I303&lt;&gt;"",$I303&gt;=TODAY(),$I303&lt;=TODAY()+7),"Due This Week","")</f>
        <v/>
      </c>
      <c r="T303" s="150">
        <f>IF(AND($H303&lt;&gt;"",$M303&lt;=VLOOKUP(Home!$C$7,Lists!$N$2:$O$6,2,FALSE)),$H303&amp;" Task","")</f>
        <v/>
      </c>
      <c r="U303" s="150">
        <f>IF($G303=Home!$E$7,"Fits Current Energy","")</f>
        <v/>
      </c>
      <c r="V303" s="150">
        <f>IF($Q303&lt;&gt;""," • "&amp;$Q303,"")&amp;IF($R303&lt;&gt;""," • "&amp;$R303,"")&amp;IF($S303&lt;&gt;""," • "&amp;$S303,"")&amp;IF($T303&lt;&gt;""," • "&amp;$T303,"")&amp;IF($U303&lt;&gt;""," • "&amp;$U303,"")&amp;" • No Blockers"</f>
        <v/>
      </c>
    </row>
    <row r="304">
      <c r="A304" s="19" t="n"/>
      <c r="B304" s="19" t="n"/>
      <c r="C304" s="19" t="n"/>
      <c r="D304" s="19" t="n"/>
      <c r="E304" s="19" t="n"/>
      <c r="F304" s="19" t="n"/>
      <c r="G304" s="19" t="n"/>
      <c r="H304" s="19" t="n"/>
      <c r="I304" s="19" t="n"/>
      <c r="J304" s="19" t="n"/>
      <c r="K304" s="19" t="n"/>
      <c r="L304" s="125" t="n"/>
      <c r="M304" s="88">
        <f>IF($D304="","",IFERROR(VLOOKUP($H304,Lists!$N$2:$O$6,2,FALSE),0))</f>
        <v/>
      </c>
      <c r="N304" s="88">
        <f>IF($D304="","",IF(OR($E304="Blocked",$E304="Done",$E304="Archive"),-9999,IF(AND($E304="Waiting",SUMPRODUCT((($E$5:$E$500="Next")+($E$5:$E$500="In Progress")+($E$5:$E$500="Captured"))*($D$5:$D$500&lt;&gt;""))&gt;0),-500,VLOOKUP($F304,Lists!$L$2:$M$4,2,FALSE)+IF($E304="In Progress",10,0)+IF(AND($I304&lt;&gt;"",$I304&lt;TODAY()),25,0)+IF(AND($I304&lt;&gt;"",$I304&gt;=TODAY(),$I304&lt;=TODAY()+7),15,0)+IF($H304="",0,IF($M304&lt;=VLOOKUP(Home!$C$7,Lists!$N$2:$O$6,2,FALSE),20,-10))+IF($G304=Home!$E$7,15,IF(Home!$E$7="",0,-5))-ROW()/100000)))</f>
        <v/>
      </c>
      <c r="O304" s="88">
        <f>IF($D304="","",IF($N304&lt;=-500,"Not recommended right now",IF($E304="Waiting","Nothing else actionable right now — Waiting on: "&amp;IF($K304="","this item",$K304),MID($V304,4,9999))))</f>
        <v/>
      </c>
      <c r="P304" s="88">
        <f>IF($D304="","",IF('Task Finder'!$C$6="High Priority",AND($F304="High",$E304&lt;&gt;"Done",$E304&lt;&gt;"Archive"),IF('Task Finder'!$C$6="Due This Week",AND($I304&lt;&gt;"",$I304&gt;=TODAY(),$I304&lt;=TODAY()+7,$E304&lt;&gt;"Done"),IF('Task Finder'!$C$6="Quick Wins (15 mins or less)",AND($M304&lt;=15,$E304&lt;&gt;"Done",$E304&lt;&gt;"Blocked"),IF('Task Finder'!$C$6="Deep Thinking",AND($G304="Deep Thinking",$E304&lt;&gt;"Done"),IF('Task Finder'!$C$6="Processing",AND($G304="Processing",$E304&lt;&gt;"Done"),IF('Task Finder'!$C$6="Blocked",$E304="Blocked",IF('Task Finder'!$C$6="Waiting",$E304="Waiting",IF('Task Finder'!$C$6="Recently Updated",AND($L304&lt;&gt;"",$L304&gt;=TODAY()-7),IF('Task Finder'!$C$6="Keyword",AND('Task Finder'!$C$7&lt;&gt;"",OR(ISNUMBER(SEARCH('Task Finder'!$C$7,$A304)),ISNUMBER(SEARCH('Task Finder'!$C$7,$B304)),ISNUMBER(SEARCH('Task Finder'!$C$7,$C304)),ISNUMBER(SEARCH('Task Finder'!$C$7,$D304)),ISNUMBER(SEARCH('Task Finder'!$C$7,$K304)))),TRUE))))))))))</f>
        <v/>
      </c>
      <c r="Q304" s="150">
        <f>IF($F304="High","High Priority","")</f>
        <v/>
      </c>
      <c r="R304" s="150">
        <f>IF(AND($I304&lt;&gt;"",$I304&lt;TODAY()),"Overdue","")</f>
        <v/>
      </c>
      <c r="S304" s="150">
        <f>IF(AND($I304&lt;&gt;"",$I304&gt;=TODAY(),$I304&lt;=TODAY()+7),"Due This Week","")</f>
        <v/>
      </c>
      <c r="T304" s="150">
        <f>IF(AND($H304&lt;&gt;"",$M304&lt;=VLOOKUP(Home!$C$7,Lists!$N$2:$O$6,2,FALSE)),$H304&amp;" Task","")</f>
        <v/>
      </c>
      <c r="U304" s="150">
        <f>IF($G304=Home!$E$7,"Fits Current Energy","")</f>
        <v/>
      </c>
      <c r="V304" s="150">
        <f>IF($Q304&lt;&gt;""," • "&amp;$Q304,"")&amp;IF($R304&lt;&gt;""," • "&amp;$R304,"")&amp;IF($S304&lt;&gt;""," • "&amp;$S304,"")&amp;IF($T304&lt;&gt;""," • "&amp;$T304,"")&amp;IF($U304&lt;&gt;""," • "&amp;$U304,"")&amp;" • No Blockers"</f>
        <v/>
      </c>
    </row>
    <row r="305">
      <c r="A305" s="19" t="n"/>
      <c r="B305" s="19" t="n"/>
      <c r="C305" s="19" t="n"/>
      <c r="D305" s="19" t="n"/>
      <c r="E305" s="19" t="n"/>
      <c r="F305" s="19" t="n"/>
      <c r="G305" s="19" t="n"/>
      <c r="H305" s="19" t="n"/>
      <c r="I305" s="19" t="n"/>
      <c r="J305" s="19" t="n"/>
      <c r="K305" s="19" t="n"/>
      <c r="L305" s="125" t="n"/>
      <c r="M305" s="88">
        <f>IF($D305="","",IFERROR(VLOOKUP($H305,Lists!$N$2:$O$6,2,FALSE),0))</f>
        <v/>
      </c>
      <c r="N305" s="88">
        <f>IF($D305="","",IF(OR($E305="Blocked",$E305="Done",$E305="Archive"),-9999,IF(AND($E305="Waiting",SUMPRODUCT((($E$5:$E$500="Next")+($E$5:$E$500="In Progress")+($E$5:$E$500="Captured"))*($D$5:$D$500&lt;&gt;""))&gt;0),-500,VLOOKUP($F305,Lists!$L$2:$M$4,2,FALSE)+IF($E305="In Progress",10,0)+IF(AND($I305&lt;&gt;"",$I305&lt;TODAY()),25,0)+IF(AND($I305&lt;&gt;"",$I305&gt;=TODAY(),$I305&lt;=TODAY()+7),15,0)+IF($H305="",0,IF($M305&lt;=VLOOKUP(Home!$C$7,Lists!$N$2:$O$6,2,FALSE),20,-10))+IF($G305=Home!$E$7,15,IF(Home!$E$7="",0,-5))-ROW()/100000)))</f>
        <v/>
      </c>
      <c r="O305" s="88">
        <f>IF($D305="","",IF($N305&lt;=-500,"Not recommended right now",IF($E305="Waiting","Nothing else actionable right now — Waiting on: "&amp;IF($K305="","this item",$K305),MID($V305,4,9999))))</f>
        <v/>
      </c>
      <c r="P305" s="88">
        <f>IF($D305="","",IF('Task Finder'!$C$6="High Priority",AND($F305="High",$E305&lt;&gt;"Done",$E305&lt;&gt;"Archive"),IF('Task Finder'!$C$6="Due This Week",AND($I305&lt;&gt;"",$I305&gt;=TODAY(),$I305&lt;=TODAY()+7,$E305&lt;&gt;"Done"),IF('Task Finder'!$C$6="Quick Wins (15 mins or less)",AND($M305&lt;=15,$E305&lt;&gt;"Done",$E305&lt;&gt;"Blocked"),IF('Task Finder'!$C$6="Deep Thinking",AND($G305="Deep Thinking",$E305&lt;&gt;"Done"),IF('Task Finder'!$C$6="Processing",AND($G305="Processing",$E305&lt;&gt;"Done"),IF('Task Finder'!$C$6="Blocked",$E305="Blocked",IF('Task Finder'!$C$6="Waiting",$E305="Waiting",IF('Task Finder'!$C$6="Recently Updated",AND($L305&lt;&gt;"",$L305&gt;=TODAY()-7),IF('Task Finder'!$C$6="Keyword",AND('Task Finder'!$C$7&lt;&gt;"",OR(ISNUMBER(SEARCH('Task Finder'!$C$7,$A305)),ISNUMBER(SEARCH('Task Finder'!$C$7,$B305)),ISNUMBER(SEARCH('Task Finder'!$C$7,$C305)),ISNUMBER(SEARCH('Task Finder'!$C$7,$D305)),ISNUMBER(SEARCH('Task Finder'!$C$7,$K305)))),TRUE))))))))))</f>
        <v/>
      </c>
      <c r="Q305" s="150">
        <f>IF($F305="High","High Priority","")</f>
        <v/>
      </c>
      <c r="R305" s="150">
        <f>IF(AND($I305&lt;&gt;"",$I305&lt;TODAY()),"Overdue","")</f>
        <v/>
      </c>
      <c r="S305" s="150">
        <f>IF(AND($I305&lt;&gt;"",$I305&gt;=TODAY(),$I305&lt;=TODAY()+7),"Due This Week","")</f>
        <v/>
      </c>
      <c r="T305" s="150">
        <f>IF(AND($H305&lt;&gt;"",$M305&lt;=VLOOKUP(Home!$C$7,Lists!$N$2:$O$6,2,FALSE)),$H305&amp;" Task","")</f>
        <v/>
      </c>
      <c r="U305" s="150">
        <f>IF($G305=Home!$E$7,"Fits Current Energy","")</f>
        <v/>
      </c>
      <c r="V305" s="150">
        <f>IF($Q305&lt;&gt;""," • "&amp;$Q305,"")&amp;IF($R305&lt;&gt;""," • "&amp;$R305,"")&amp;IF($S305&lt;&gt;""," • "&amp;$S305,"")&amp;IF($T305&lt;&gt;""," • "&amp;$T305,"")&amp;IF($U305&lt;&gt;""," • "&amp;$U305,"")&amp;" • No Blockers"</f>
        <v/>
      </c>
    </row>
    <row r="306">
      <c r="A306" s="19" t="n"/>
      <c r="B306" s="19" t="n"/>
      <c r="C306" s="19" t="n"/>
      <c r="D306" s="19" t="n"/>
      <c r="E306" s="19" t="n"/>
      <c r="F306" s="19" t="n"/>
      <c r="G306" s="19" t="n"/>
      <c r="H306" s="19" t="n"/>
      <c r="I306" s="19" t="n"/>
      <c r="J306" s="19" t="n"/>
      <c r="K306" s="19" t="n"/>
      <c r="L306" s="125" t="n"/>
      <c r="M306" s="88">
        <f>IF($D306="","",IFERROR(VLOOKUP($H306,Lists!$N$2:$O$6,2,FALSE),0))</f>
        <v/>
      </c>
      <c r="N306" s="88">
        <f>IF($D306="","",IF(OR($E306="Blocked",$E306="Done",$E306="Archive"),-9999,IF(AND($E306="Waiting",SUMPRODUCT((($E$5:$E$500="Next")+($E$5:$E$500="In Progress")+($E$5:$E$500="Captured"))*($D$5:$D$500&lt;&gt;""))&gt;0),-500,VLOOKUP($F306,Lists!$L$2:$M$4,2,FALSE)+IF($E306="In Progress",10,0)+IF(AND($I306&lt;&gt;"",$I306&lt;TODAY()),25,0)+IF(AND($I306&lt;&gt;"",$I306&gt;=TODAY(),$I306&lt;=TODAY()+7),15,0)+IF($H306="",0,IF($M306&lt;=VLOOKUP(Home!$C$7,Lists!$N$2:$O$6,2,FALSE),20,-10))+IF($G306=Home!$E$7,15,IF(Home!$E$7="",0,-5))-ROW()/100000)))</f>
        <v/>
      </c>
      <c r="O306" s="88">
        <f>IF($D306="","",IF($N306&lt;=-500,"Not recommended right now",IF($E306="Waiting","Nothing else actionable right now — Waiting on: "&amp;IF($K306="","this item",$K306),MID($V306,4,9999))))</f>
        <v/>
      </c>
      <c r="P306" s="88">
        <f>IF($D306="","",IF('Task Finder'!$C$6="High Priority",AND($F306="High",$E306&lt;&gt;"Done",$E306&lt;&gt;"Archive"),IF('Task Finder'!$C$6="Due This Week",AND($I306&lt;&gt;"",$I306&gt;=TODAY(),$I306&lt;=TODAY()+7,$E306&lt;&gt;"Done"),IF('Task Finder'!$C$6="Quick Wins (15 mins or less)",AND($M306&lt;=15,$E306&lt;&gt;"Done",$E306&lt;&gt;"Blocked"),IF('Task Finder'!$C$6="Deep Thinking",AND($G306="Deep Thinking",$E306&lt;&gt;"Done"),IF('Task Finder'!$C$6="Processing",AND($G306="Processing",$E306&lt;&gt;"Done"),IF('Task Finder'!$C$6="Blocked",$E306="Blocked",IF('Task Finder'!$C$6="Waiting",$E306="Waiting",IF('Task Finder'!$C$6="Recently Updated",AND($L306&lt;&gt;"",$L306&gt;=TODAY()-7),IF('Task Finder'!$C$6="Keyword",AND('Task Finder'!$C$7&lt;&gt;"",OR(ISNUMBER(SEARCH('Task Finder'!$C$7,$A306)),ISNUMBER(SEARCH('Task Finder'!$C$7,$B306)),ISNUMBER(SEARCH('Task Finder'!$C$7,$C306)),ISNUMBER(SEARCH('Task Finder'!$C$7,$D306)),ISNUMBER(SEARCH('Task Finder'!$C$7,$K306)))),TRUE))))))))))</f>
        <v/>
      </c>
      <c r="Q306" s="150">
        <f>IF($F306="High","High Priority","")</f>
        <v/>
      </c>
      <c r="R306" s="150">
        <f>IF(AND($I306&lt;&gt;"",$I306&lt;TODAY()),"Overdue","")</f>
        <v/>
      </c>
      <c r="S306" s="150">
        <f>IF(AND($I306&lt;&gt;"",$I306&gt;=TODAY(),$I306&lt;=TODAY()+7),"Due This Week","")</f>
        <v/>
      </c>
      <c r="T306" s="150">
        <f>IF(AND($H306&lt;&gt;"",$M306&lt;=VLOOKUP(Home!$C$7,Lists!$N$2:$O$6,2,FALSE)),$H306&amp;" Task","")</f>
        <v/>
      </c>
      <c r="U306" s="150">
        <f>IF($G306=Home!$E$7,"Fits Current Energy","")</f>
        <v/>
      </c>
      <c r="V306" s="150">
        <f>IF($Q306&lt;&gt;""," • "&amp;$Q306,"")&amp;IF($R306&lt;&gt;""," • "&amp;$R306,"")&amp;IF($S306&lt;&gt;""," • "&amp;$S306,"")&amp;IF($T306&lt;&gt;""," • "&amp;$T306,"")&amp;IF($U306&lt;&gt;""," • "&amp;$U306,"")&amp;" • No Blockers"</f>
        <v/>
      </c>
    </row>
    <row r="307">
      <c r="A307" s="19" t="n"/>
      <c r="B307" s="19" t="n"/>
      <c r="C307" s="19" t="n"/>
      <c r="D307" s="19" t="n"/>
      <c r="E307" s="19" t="n"/>
      <c r="F307" s="19" t="n"/>
      <c r="G307" s="19" t="n"/>
      <c r="H307" s="19" t="n"/>
      <c r="I307" s="19" t="n"/>
      <c r="J307" s="19" t="n"/>
      <c r="K307" s="19" t="n"/>
      <c r="L307" s="125" t="n"/>
      <c r="M307" s="88">
        <f>IF($D307="","",IFERROR(VLOOKUP($H307,Lists!$N$2:$O$6,2,FALSE),0))</f>
        <v/>
      </c>
      <c r="N307" s="88">
        <f>IF($D307="","",IF(OR($E307="Blocked",$E307="Done",$E307="Archive"),-9999,IF(AND($E307="Waiting",SUMPRODUCT((($E$5:$E$500="Next")+($E$5:$E$500="In Progress")+($E$5:$E$500="Captured"))*($D$5:$D$500&lt;&gt;""))&gt;0),-500,VLOOKUP($F307,Lists!$L$2:$M$4,2,FALSE)+IF($E307="In Progress",10,0)+IF(AND($I307&lt;&gt;"",$I307&lt;TODAY()),25,0)+IF(AND($I307&lt;&gt;"",$I307&gt;=TODAY(),$I307&lt;=TODAY()+7),15,0)+IF($H307="",0,IF($M307&lt;=VLOOKUP(Home!$C$7,Lists!$N$2:$O$6,2,FALSE),20,-10))+IF($G307=Home!$E$7,15,IF(Home!$E$7="",0,-5))-ROW()/100000)))</f>
        <v/>
      </c>
      <c r="O307" s="88">
        <f>IF($D307="","",IF($N307&lt;=-500,"Not recommended right now",IF($E307="Waiting","Nothing else actionable right now — Waiting on: "&amp;IF($K307="","this item",$K307),MID($V307,4,9999))))</f>
        <v/>
      </c>
      <c r="P307" s="88">
        <f>IF($D307="","",IF('Task Finder'!$C$6="High Priority",AND($F307="High",$E307&lt;&gt;"Done",$E307&lt;&gt;"Archive"),IF('Task Finder'!$C$6="Due This Week",AND($I307&lt;&gt;"",$I307&gt;=TODAY(),$I307&lt;=TODAY()+7,$E307&lt;&gt;"Done"),IF('Task Finder'!$C$6="Quick Wins (15 mins or less)",AND($M307&lt;=15,$E307&lt;&gt;"Done",$E307&lt;&gt;"Blocked"),IF('Task Finder'!$C$6="Deep Thinking",AND($G307="Deep Thinking",$E307&lt;&gt;"Done"),IF('Task Finder'!$C$6="Processing",AND($G307="Processing",$E307&lt;&gt;"Done"),IF('Task Finder'!$C$6="Blocked",$E307="Blocked",IF('Task Finder'!$C$6="Waiting",$E307="Waiting",IF('Task Finder'!$C$6="Recently Updated",AND($L307&lt;&gt;"",$L307&gt;=TODAY()-7),IF('Task Finder'!$C$6="Keyword",AND('Task Finder'!$C$7&lt;&gt;"",OR(ISNUMBER(SEARCH('Task Finder'!$C$7,$A307)),ISNUMBER(SEARCH('Task Finder'!$C$7,$B307)),ISNUMBER(SEARCH('Task Finder'!$C$7,$C307)),ISNUMBER(SEARCH('Task Finder'!$C$7,$D307)),ISNUMBER(SEARCH('Task Finder'!$C$7,$K307)))),TRUE))))))))))</f>
        <v/>
      </c>
      <c r="Q307" s="150">
        <f>IF($F307="High","High Priority","")</f>
        <v/>
      </c>
      <c r="R307" s="150">
        <f>IF(AND($I307&lt;&gt;"",$I307&lt;TODAY()),"Overdue","")</f>
        <v/>
      </c>
      <c r="S307" s="150">
        <f>IF(AND($I307&lt;&gt;"",$I307&gt;=TODAY(),$I307&lt;=TODAY()+7),"Due This Week","")</f>
        <v/>
      </c>
      <c r="T307" s="150">
        <f>IF(AND($H307&lt;&gt;"",$M307&lt;=VLOOKUP(Home!$C$7,Lists!$N$2:$O$6,2,FALSE)),$H307&amp;" Task","")</f>
        <v/>
      </c>
      <c r="U307" s="150">
        <f>IF($G307=Home!$E$7,"Fits Current Energy","")</f>
        <v/>
      </c>
      <c r="V307" s="150">
        <f>IF($Q307&lt;&gt;""," • "&amp;$Q307,"")&amp;IF($R307&lt;&gt;""," • "&amp;$R307,"")&amp;IF($S307&lt;&gt;""," • "&amp;$S307,"")&amp;IF($T307&lt;&gt;""," • "&amp;$T307,"")&amp;IF($U307&lt;&gt;""," • "&amp;$U307,"")&amp;" • No Blockers"</f>
        <v/>
      </c>
    </row>
    <row r="308">
      <c r="A308" s="19" t="n"/>
      <c r="B308" s="19" t="n"/>
      <c r="C308" s="19" t="n"/>
      <c r="D308" s="19" t="n"/>
      <c r="E308" s="19" t="n"/>
      <c r="F308" s="19" t="n"/>
      <c r="G308" s="19" t="n"/>
      <c r="H308" s="19" t="n"/>
      <c r="I308" s="19" t="n"/>
      <c r="J308" s="19" t="n"/>
      <c r="K308" s="19" t="n"/>
      <c r="L308" s="125" t="n"/>
      <c r="M308" s="88">
        <f>IF($D308="","",IFERROR(VLOOKUP($H308,Lists!$N$2:$O$6,2,FALSE),0))</f>
        <v/>
      </c>
      <c r="N308" s="88">
        <f>IF($D308="","",IF(OR($E308="Blocked",$E308="Done",$E308="Archive"),-9999,IF(AND($E308="Waiting",SUMPRODUCT((($E$5:$E$500="Next")+($E$5:$E$500="In Progress")+($E$5:$E$500="Captured"))*($D$5:$D$500&lt;&gt;""))&gt;0),-500,VLOOKUP($F308,Lists!$L$2:$M$4,2,FALSE)+IF($E308="In Progress",10,0)+IF(AND($I308&lt;&gt;"",$I308&lt;TODAY()),25,0)+IF(AND($I308&lt;&gt;"",$I308&gt;=TODAY(),$I308&lt;=TODAY()+7),15,0)+IF($H308="",0,IF($M308&lt;=VLOOKUP(Home!$C$7,Lists!$N$2:$O$6,2,FALSE),20,-10))+IF($G308=Home!$E$7,15,IF(Home!$E$7="",0,-5))-ROW()/100000)))</f>
        <v/>
      </c>
      <c r="O308" s="88">
        <f>IF($D308="","",IF($N308&lt;=-500,"Not recommended right now",IF($E308="Waiting","Nothing else actionable right now — Waiting on: "&amp;IF($K308="","this item",$K308),MID($V308,4,9999))))</f>
        <v/>
      </c>
      <c r="P308" s="88">
        <f>IF($D308="","",IF('Task Finder'!$C$6="High Priority",AND($F308="High",$E308&lt;&gt;"Done",$E308&lt;&gt;"Archive"),IF('Task Finder'!$C$6="Due This Week",AND($I308&lt;&gt;"",$I308&gt;=TODAY(),$I308&lt;=TODAY()+7,$E308&lt;&gt;"Done"),IF('Task Finder'!$C$6="Quick Wins (15 mins or less)",AND($M308&lt;=15,$E308&lt;&gt;"Done",$E308&lt;&gt;"Blocked"),IF('Task Finder'!$C$6="Deep Thinking",AND($G308="Deep Thinking",$E308&lt;&gt;"Done"),IF('Task Finder'!$C$6="Processing",AND($G308="Processing",$E308&lt;&gt;"Done"),IF('Task Finder'!$C$6="Blocked",$E308="Blocked",IF('Task Finder'!$C$6="Waiting",$E308="Waiting",IF('Task Finder'!$C$6="Recently Updated",AND($L308&lt;&gt;"",$L308&gt;=TODAY()-7),IF('Task Finder'!$C$6="Keyword",AND('Task Finder'!$C$7&lt;&gt;"",OR(ISNUMBER(SEARCH('Task Finder'!$C$7,$A308)),ISNUMBER(SEARCH('Task Finder'!$C$7,$B308)),ISNUMBER(SEARCH('Task Finder'!$C$7,$C308)),ISNUMBER(SEARCH('Task Finder'!$C$7,$D308)),ISNUMBER(SEARCH('Task Finder'!$C$7,$K308)))),TRUE))))))))))</f>
        <v/>
      </c>
      <c r="Q308" s="150">
        <f>IF($F308="High","High Priority","")</f>
        <v/>
      </c>
      <c r="R308" s="150">
        <f>IF(AND($I308&lt;&gt;"",$I308&lt;TODAY()),"Overdue","")</f>
        <v/>
      </c>
      <c r="S308" s="150">
        <f>IF(AND($I308&lt;&gt;"",$I308&gt;=TODAY(),$I308&lt;=TODAY()+7),"Due This Week","")</f>
        <v/>
      </c>
      <c r="T308" s="150">
        <f>IF(AND($H308&lt;&gt;"",$M308&lt;=VLOOKUP(Home!$C$7,Lists!$N$2:$O$6,2,FALSE)),$H308&amp;" Task","")</f>
        <v/>
      </c>
      <c r="U308" s="150">
        <f>IF($G308=Home!$E$7,"Fits Current Energy","")</f>
        <v/>
      </c>
      <c r="V308" s="150">
        <f>IF($Q308&lt;&gt;""," • "&amp;$Q308,"")&amp;IF($R308&lt;&gt;""," • "&amp;$R308,"")&amp;IF($S308&lt;&gt;""," • "&amp;$S308,"")&amp;IF($T308&lt;&gt;""," • "&amp;$T308,"")&amp;IF($U308&lt;&gt;""," • "&amp;$U308,"")&amp;" • No Blockers"</f>
        <v/>
      </c>
    </row>
    <row r="309">
      <c r="A309" s="19" t="n"/>
      <c r="B309" s="19" t="n"/>
      <c r="C309" s="19" t="n"/>
      <c r="D309" s="19" t="n"/>
      <c r="E309" s="19" t="n"/>
      <c r="F309" s="19" t="n"/>
      <c r="G309" s="19" t="n"/>
      <c r="H309" s="19" t="n"/>
      <c r="I309" s="19" t="n"/>
      <c r="J309" s="19" t="n"/>
      <c r="K309" s="19" t="n"/>
      <c r="L309" s="125" t="n"/>
      <c r="M309" s="88">
        <f>IF($D309="","",IFERROR(VLOOKUP($H309,Lists!$N$2:$O$6,2,FALSE),0))</f>
        <v/>
      </c>
      <c r="N309" s="88">
        <f>IF($D309="","",IF(OR($E309="Blocked",$E309="Done",$E309="Archive"),-9999,IF(AND($E309="Waiting",SUMPRODUCT((($E$5:$E$500="Next")+($E$5:$E$500="In Progress")+($E$5:$E$500="Captured"))*($D$5:$D$500&lt;&gt;""))&gt;0),-500,VLOOKUP($F309,Lists!$L$2:$M$4,2,FALSE)+IF($E309="In Progress",10,0)+IF(AND($I309&lt;&gt;"",$I309&lt;TODAY()),25,0)+IF(AND($I309&lt;&gt;"",$I309&gt;=TODAY(),$I309&lt;=TODAY()+7),15,0)+IF($H309="",0,IF($M309&lt;=VLOOKUP(Home!$C$7,Lists!$N$2:$O$6,2,FALSE),20,-10))+IF($G309=Home!$E$7,15,IF(Home!$E$7="",0,-5))-ROW()/100000)))</f>
        <v/>
      </c>
      <c r="O309" s="88">
        <f>IF($D309="","",IF($N309&lt;=-500,"Not recommended right now",IF($E309="Waiting","Nothing else actionable right now — Waiting on: "&amp;IF($K309="","this item",$K309),MID($V309,4,9999))))</f>
        <v/>
      </c>
      <c r="P309" s="88">
        <f>IF($D309="","",IF('Task Finder'!$C$6="High Priority",AND($F309="High",$E309&lt;&gt;"Done",$E309&lt;&gt;"Archive"),IF('Task Finder'!$C$6="Due This Week",AND($I309&lt;&gt;"",$I309&gt;=TODAY(),$I309&lt;=TODAY()+7,$E309&lt;&gt;"Done"),IF('Task Finder'!$C$6="Quick Wins (15 mins or less)",AND($M309&lt;=15,$E309&lt;&gt;"Done",$E309&lt;&gt;"Blocked"),IF('Task Finder'!$C$6="Deep Thinking",AND($G309="Deep Thinking",$E309&lt;&gt;"Done"),IF('Task Finder'!$C$6="Processing",AND($G309="Processing",$E309&lt;&gt;"Done"),IF('Task Finder'!$C$6="Blocked",$E309="Blocked",IF('Task Finder'!$C$6="Waiting",$E309="Waiting",IF('Task Finder'!$C$6="Recently Updated",AND($L309&lt;&gt;"",$L309&gt;=TODAY()-7),IF('Task Finder'!$C$6="Keyword",AND('Task Finder'!$C$7&lt;&gt;"",OR(ISNUMBER(SEARCH('Task Finder'!$C$7,$A309)),ISNUMBER(SEARCH('Task Finder'!$C$7,$B309)),ISNUMBER(SEARCH('Task Finder'!$C$7,$C309)),ISNUMBER(SEARCH('Task Finder'!$C$7,$D309)),ISNUMBER(SEARCH('Task Finder'!$C$7,$K309)))),TRUE))))))))))</f>
        <v/>
      </c>
      <c r="Q309" s="150">
        <f>IF($F309="High","High Priority","")</f>
        <v/>
      </c>
      <c r="R309" s="150">
        <f>IF(AND($I309&lt;&gt;"",$I309&lt;TODAY()),"Overdue","")</f>
        <v/>
      </c>
      <c r="S309" s="150">
        <f>IF(AND($I309&lt;&gt;"",$I309&gt;=TODAY(),$I309&lt;=TODAY()+7),"Due This Week","")</f>
        <v/>
      </c>
      <c r="T309" s="150">
        <f>IF(AND($H309&lt;&gt;"",$M309&lt;=VLOOKUP(Home!$C$7,Lists!$N$2:$O$6,2,FALSE)),$H309&amp;" Task","")</f>
        <v/>
      </c>
      <c r="U309" s="150">
        <f>IF($G309=Home!$E$7,"Fits Current Energy","")</f>
        <v/>
      </c>
      <c r="V309" s="150">
        <f>IF($Q309&lt;&gt;""," • "&amp;$Q309,"")&amp;IF($R309&lt;&gt;""," • "&amp;$R309,"")&amp;IF($S309&lt;&gt;""," • "&amp;$S309,"")&amp;IF($T309&lt;&gt;""," • "&amp;$T309,"")&amp;IF($U309&lt;&gt;""," • "&amp;$U309,"")&amp;" • No Blockers"</f>
        <v/>
      </c>
    </row>
    <row r="310">
      <c r="A310" s="19" t="n"/>
      <c r="B310" s="19" t="n"/>
      <c r="C310" s="19" t="n"/>
      <c r="D310" s="19" t="n"/>
      <c r="E310" s="19" t="n"/>
      <c r="F310" s="19" t="n"/>
      <c r="G310" s="19" t="n"/>
      <c r="H310" s="19" t="n"/>
      <c r="I310" s="19" t="n"/>
      <c r="J310" s="19" t="n"/>
      <c r="K310" s="19" t="n"/>
      <c r="L310" s="125" t="n"/>
      <c r="M310" s="88">
        <f>IF($D310="","",IFERROR(VLOOKUP($H310,Lists!$N$2:$O$6,2,FALSE),0))</f>
        <v/>
      </c>
      <c r="N310" s="88">
        <f>IF($D310="","",IF(OR($E310="Blocked",$E310="Done",$E310="Archive"),-9999,IF(AND($E310="Waiting",SUMPRODUCT((($E$5:$E$500="Next")+($E$5:$E$500="In Progress")+($E$5:$E$500="Captured"))*($D$5:$D$500&lt;&gt;""))&gt;0),-500,VLOOKUP($F310,Lists!$L$2:$M$4,2,FALSE)+IF($E310="In Progress",10,0)+IF(AND($I310&lt;&gt;"",$I310&lt;TODAY()),25,0)+IF(AND($I310&lt;&gt;"",$I310&gt;=TODAY(),$I310&lt;=TODAY()+7),15,0)+IF($H310="",0,IF($M310&lt;=VLOOKUP(Home!$C$7,Lists!$N$2:$O$6,2,FALSE),20,-10))+IF($G310=Home!$E$7,15,IF(Home!$E$7="",0,-5))-ROW()/100000)))</f>
        <v/>
      </c>
      <c r="O310" s="88">
        <f>IF($D310="","",IF($N310&lt;=-500,"Not recommended right now",IF($E310="Waiting","Nothing else actionable right now — Waiting on: "&amp;IF($K310="","this item",$K310),MID($V310,4,9999))))</f>
        <v/>
      </c>
      <c r="P310" s="88">
        <f>IF($D310="","",IF('Task Finder'!$C$6="High Priority",AND($F310="High",$E310&lt;&gt;"Done",$E310&lt;&gt;"Archive"),IF('Task Finder'!$C$6="Due This Week",AND($I310&lt;&gt;"",$I310&gt;=TODAY(),$I310&lt;=TODAY()+7,$E310&lt;&gt;"Done"),IF('Task Finder'!$C$6="Quick Wins (15 mins or less)",AND($M310&lt;=15,$E310&lt;&gt;"Done",$E310&lt;&gt;"Blocked"),IF('Task Finder'!$C$6="Deep Thinking",AND($G310="Deep Thinking",$E310&lt;&gt;"Done"),IF('Task Finder'!$C$6="Processing",AND($G310="Processing",$E310&lt;&gt;"Done"),IF('Task Finder'!$C$6="Blocked",$E310="Blocked",IF('Task Finder'!$C$6="Waiting",$E310="Waiting",IF('Task Finder'!$C$6="Recently Updated",AND($L310&lt;&gt;"",$L310&gt;=TODAY()-7),IF('Task Finder'!$C$6="Keyword",AND('Task Finder'!$C$7&lt;&gt;"",OR(ISNUMBER(SEARCH('Task Finder'!$C$7,$A310)),ISNUMBER(SEARCH('Task Finder'!$C$7,$B310)),ISNUMBER(SEARCH('Task Finder'!$C$7,$C310)),ISNUMBER(SEARCH('Task Finder'!$C$7,$D310)),ISNUMBER(SEARCH('Task Finder'!$C$7,$K310)))),TRUE))))))))))</f>
        <v/>
      </c>
      <c r="Q310" s="150">
        <f>IF($F310="High","High Priority","")</f>
        <v/>
      </c>
      <c r="R310" s="150">
        <f>IF(AND($I310&lt;&gt;"",$I310&lt;TODAY()),"Overdue","")</f>
        <v/>
      </c>
      <c r="S310" s="150">
        <f>IF(AND($I310&lt;&gt;"",$I310&gt;=TODAY(),$I310&lt;=TODAY()+7),"Due This Week","")</f>
        <v/>
      </c>
      <c r="T310" s="150">
        <f>IF(AND($H310&lt;&gt;"",$M310&lt;=VLOOKUP(Home!$C$7,Lists!$N$2:$O$6,2,FALSE)),$H310&amp;" Task","")</f>
        <v/>
      </c>
      <c r="U310" s="150">
        <f>IF($G310=Home!$E$7,"Fits Current Energy","")</f>
        <v/>
      </c>
      <c r="V310" s="150">
        <f>IF($Q310&lt;&gt;""," • "&amp;$Q310,"")&amp;IF($R310&lt;&gt;""," • "&amp;$R310,"")&amp;IF($S310&lt;&gt;""," • "&amp;$S310,"")&amp;IF($T310&lt;&gt;""," • "&amp;$T310,"")&amp;IF($U310&lt;&gt;""," • "&amp;$U310,"")&amp;" • No Blockers"</f>
        <v/>
      </c>
    </row>
    <row r="311">
      <c r="A311" s="19" t="n"/>
      <c r="B311" s="19" t="n"/>
      <c r="C311" s="19" t="n"/>
      <c r="D311" s="19" t="n"/>
      <c r="E311" s="19" t="n"/>
      <c r="F311" s="19" t="n"/>
      <c r="G311" s="19" t="n"/>
      <c r="H311" s="19" t="n"/>
      <c r="I311" s="19" t="n"/>
      <c r="J311" s="19" t="n"/>
      <c r="K311" s="19" t="n"/>
      <c r="L311" s="125" t="n"/>
      <c r="M311" s="88">
        <f>IF($D311="","",IFERROR(VLOOKUP($H311,Lists!$N$2:$O$6,2,FALSE),0))</f>
        <v/>
      </c>
      <c r="N311" s="88">
        <f>IF($D311="","",IF(OR($E311="Blocked",$E311="Done",$E311="Archive"),-9999,IF(AND($E311="Waiting",SUMPRODUCT((($E$5:$E$500="Next")+($E$5:$E$500="In Progress")+($E$5:$E$500="Captured"))*($D$5:$D$500&lt;&gt;""))&gt;0),-500,VLOOKUP($F311,Lists!$L$2:$M$4,2,FALSE)+IF($E311="In Progress",10,0)+IF(AND($I311&lt;&gt;"",$I311&lt;TODAY()),25,0)+IF(AND($I311&lt;&gt;"",$I311&gt;=TODAY(),$I311&lt;=TODAY()+7),15,0)+IF($H311="",0,IF($M311&lt;=VLOOKUP(Home!$C$7,Lists!$N$2:$O$6,2,FALSE),20,-10))+IF($G311=Home!$E$7,15,IF(Home!$E$7="",0,-5))-ROW()/100000)))</f>
        <v/>
      </c>
      <c r="O311" s="88">
        <f>IF($D311="","",IF($N311&lt;=-500,"Not recommended right now",IF($E311="Waiting","Nothing else actionable right now — Waiting on: "&amp;IF($K311="","this item",$K311),MID($V311,4,9999))))</f>
        <v/>
      </c>
      <c r="P311" s="88">
        <f>IF($D311="","",IF('Task Finder'!$C$6="High Priority",AND($F311="High",$E311&lt;&gt;"Done",$E311&lt;&gt;"Archive"),IF('Task Finder'!$C$6="Due This Week",AND($I311&lt;&gt;"",$I311&gt;=TODAY(),$I311&lt;=TODAY()+7,$E311&lt;&gt;"Done"),IF('Task Finder'!$C$6="Quick Wins (15 mins or less)",AND($M311&lt;=15,$E311&lt;&gt;"Done",$E311&lt;&gt;"Blocked"),IF('Task Finder'!$C$6="Deep Thinking",AND($G311="Deep Thinking",$E311&lt;&gt;"Done"),IF('Task Finder'!$C$6="Processing",AND($G311="Processing",$E311&lt;&gt;"Done"),IF('Task Finder'!$C$6="Blocked",$E311="Blocked",IF('Task Finder'!$C$6="Waiting",$E311="Waiting",IF('Task Finder'!$C$6="Recently Updated",AND($L311&lt;&gt;"",$L311&gt;=TODAY()-7),IF('Task Finder'!$C$6="Keyword",AND('Task Finder'!$C$7&lt;&gt;"",OR(ISNUMBER(SEARCH('Task Finder'!$C$7,$A311)),ISNUMBER(SEARCH('Task Finder'!$C$7,$B311)),ISNUMBER(SEARCH('Task Finder'!$C$7,$C311)),ISNUMBER(SEARCH('Task Finder'!$C$7,$D311)),ISNUMBER(SEARCH('Task Finder'!$C$7,$K311)))),TRUE))))))))))</f>
        <v/>
      </c>
      <c r="Q311" s="150">
        <f>IF($F311="High","High Priority","")</f>
        <v/>
      </c>
      <c r="R311" s="150">
        <f>IF(AND($I311&lt;&gt;"",$I311&lt;TODAY()),"Overdue","")</f>
        <v/>
      </c>
      <c r="S311" s="150">
        <f>IF(AND($I311&lt;&gt;"",$I311&gt;=TODAY(),$I311&lt;=TODAY()+7),"Due This Week","")</f>
        <v/>
      </c>
      <c r="T311" s="150">
        <f>IF(AND($H311&lt;&gt;"",$M311&lt;=VLOOKUP(Home!$C$7,Lists!$N$2:$O$6,2,FALSE)),$H311&amp;" Task","")</f>
        <v/>
      </c>
      <c r="U311" s="150">
        <f>IF($G311=Home!$E$7,"Fits Current Energy","")</f>
        <v/>
      </c>
      <c r="V311" s="150">
        <f>IF($Q311&lt;&gt;""," • "&amp;$Q311,"")&amp;IF($R311&lt;&gt;""," • "&amp;$R311,"")&amp;IF($S311&lt;&gt;""," • "&amp;$S311,"")&amp;IF($T311&lt;&gt;""," • "&amp;$T311,"")&amp;IF($U311&lt;&gt;""," • "&amp;$U311,"")&amp;" • No Blockers"</f>
        <v/>
      </c>
    </row>
    <row r="312">
      <c r="A312" s="19" t="n"/>
      <c r="B312" s="19" t="n"/>
      <c r="C312" s="19" t="n"/>
      <c r="D312" s="19" t="n"/>
      <c r="E312" s="19" t="n"/>
      <c r="F312" s="19" t="n"/>
      <c r="G312" s="19" t="n"/>
      <c r="H312" s="19" t="n"/>
      <c r="I312" s="19" t="n"/>
      <c r="J312" s="19" t="n"/>
      <c r="K312" s="19" t="n"/>
      <c r="L312" s="125" t="n"/>
      <c r="M312" s="88">
        <f>IF($D312="","",IFERROR(VLOOKUP($H312,Lists!$N$2:$O$6,2,FALSE),0))</f>
        <v/>
      </c>
      <c r="N312" s="88">
        <f>IF($D312="","",IF(OR($E312="Blocked",$E312="Done",$E312="Archive"),-9999,IF(AND($E312="Waiting",SUMPRODUCT((($E$5:$E$500="Next")+($E$5:$E$500="In Progress")+($E$5:$E$500="Captured"))*($D$5:$D$500&lt;&gt;""))&gt;0),-500,VLOOKUP($F312,Lists!$L$2:$M$4,2,FALSE)+IF($E312="In Progress",10,0)+IF(AND($I312&lt;&gt;"",$I312&lt;TODAY()),25,0)+IF(AND($I312&lt;&gt;"",$I312&gt;=TODAY(),$I312&lt;=TODAY()+7),15,0)+IF($H312="",0,IF($M312&lt;=VLOOKUP(Home!$C$7,Lists!$N$2:$O$6,2,FALSE),20,-10))+IF($G312=Home!$E$7,15,IF(Home!$E$7="",0,-5))-ROW()/100000)))</f>
        <v/>
      </c>
      <c r="O312" s="88">
        <f>IF($D312="","",IF($N312&lt;=-500,"Not recommended right now",IF($E312="Waiting","Nothing else actionable right now — Waiting on: "&amp;IF($K312="","this item",$K312),MID($V312,4,9999))))</f>
        <v/>
      </c>
      <c r="P312" s="88">
        <f>IF($D312="","",IF('Task Finder'!$C$6="High Priority",AND($F312="High",$E312&lt;&gt;"Done",$E312&lt;&gt;"Archive"),IF('Task Finder'!$C$6="Due This Week",AND($I312&lt;&gt;"",$I312&gt;=TODAY(),$I312&lt;=TODAY()+7,$E312&lt;&gt;"Done"),IF('Task Finder'!$C$6="Quick Wins (15 mins or less)",AND($M312&lt;=15,$E312&lt;&gt;"Done",$E312&lt;&gt;"Blocked"),IF('Task Finder'!$C$6="Deep Thinking",AND($G312="Deep Thinking",$E312&lt;&gt;"Done"),IF('Task Finder'!$C$6="Processing",AND($G312="Processing",$E312&lt;&gt;"Done"),IF('Task Finder'!$C$6="Blocked",$E312="Blocked",IF('Task Finder'!$C$6="Waiting",$E312="Waiting",IF('Task Finder'!$C$6="Recently Updated",AND($L312&lt;&gt;"",$L312&gt;=TODAY()-7),IF('Task Finder'!$C$6="Keyword",AND('Task Finder'!$C$7&lt;&gt;"",OR(ISNUMBER(SEARCH('Task Finder'!$C$7,$A312)),ISNUMBER(SEARCH('Task Finder'!$C$7,$B312)),ISNUMBER(SEARCH('Task Finder'!$C$7,$C312)),ISNUMBER(SEARCH('Task Finder'!$C$7,$D312)),ISNUMBER(SEARCH('Task Finder'!$C$7,$K312)))),TRUE))))))))))</f>
        <v/>
      </c>
      <c r="Q312" s="150">
        <f>IF($F312="High","High Priority","")</f>
        <v/>
      </c>
      <c r="R312" s="150">
        <f>IF(AND($I312&lt;&gt;"",$I312&lt;TODAY()),"Overdue","")</f>
        <v/>
      </c>
      <c r="S312" s="150">
        <f>IF(AND($I312&lt;&gt;"",$I312&gt;=TODAY(),$I312&lt;=TODAY()+7),"Due This Week","")</f>
        <v/>
      </c>
      <c r="T312" s="150">
        <f>IF(AND($H312&lt;&gt;"",$M312&lt;=VLOOKUP(Home!$C$7,Lists!$N$2:$O$6,2,FALSE)),$H312&amp;" Task","")</f>
        <v/>
      </c>
      <c r="U312" s="150">
        <f>IF($G312=Home!$E$7,"Fits Current Energy","")</f>
        <v/>
      </c>
      <c r="V312" s="150">
        <f>IF($Q312&lt;&gt;""," • "&amp;$Q312,"")&amp;IF($R312&lt;&gt;""," • "&amp;$R312,"")&amp;IF($S312&lt;&gt;""," • "&amp;$S312,"")&amp;IF($T312&lt;&gt;""," • "&amp;$T312,"")&amp;IF($U312&lt;&gt;""," • "&amp;$U312,"")&amp;" • No Blockers"</f>
        <v/>
      </c>
    </row>
    <row r="313">
      <c r="A313" s="19" t="n"/>
      <c r="B313" s="19" t="n"/>
      <c r="C313" s="19" t="n"/>
      <c r="D313" s="19" t="n"/>
      <c r="E313" s="19" t="n"/>
      <c r="F313" s="19" t="n"/>
      <c r="G313" s="19" t="n"/>
      <c r="H313" s="19" t="n"/>
      <c r="I313" s="19" t="n"/>
      <c r="J313" s="19" t="n"/>
      <c r="K313" s="19" t="n"/>
      <c r="L313" s="125" t="n"/>
      <c r="M313" s="88">
        <f>IF($D313="","",IFERROR(VLOOKUP($H313,Lists!$N$2:$O$6,2,FALSE),0))</f>
        <v/>
      </c>
      <c r="N313" s="88">
        <f>IF($D313="","",IF(OR($E313="Blocked",$E313="Done",$E313="Archive"),-9999,IF(AND($E313="Waiting",SUMPRODUCT((($E$5:$E$500="Next")+($E$5:$E$500="In Progress")+($E$5:$E$500="Captured"))*($D$5:$D$500&lt;&gt;""))&gt;0),-500,VLOOKUP($F313,Lists!$L$2:$M$4,2,FALSE)+IF($E313="In Progress",10,0)+IF(AND($I313&lt;&gt;"",$I313&lt;TODAY()),25,0)+IF(AND($I313&lt;&gt;"",$I313&gt;=TODAY(),$I313&lt;=TODAY()+7),15,0)+IF($H313="",0,IF($M313&lt;=VLOOKUP(Home!$C$7,Lists!$N$2:$O$6,2,FALSE),20,-10))+IF($G313=Home!$E$7,15,IF(Home!$E$7="",0,-5))-ROW()/100000)))</f>
        <v/>
      </c>
      <c r="O313" s="88">
        <f>IF($D313="","",IF($N313&lt;=-500,"Not recommended right now",IF($E313="Waiting","Nothing else actionable right now — Waiting on: "&amp;IF($K313="","this item",$K313),MID($V313,4,9999))))</f>
        <v/>
      </c>
      <c r="P313" s="88">
        <f>IF($D313="","",IF('Task Finder'!$C$6="High Priority",AND($F313="High",$E313&lt;&gt;"Done",$E313&lt;&gt;"Archive"),IF('Task Finder'!$C$6="Due This Week",AND($I313&lt;&gt;"",$I313&gt;=TODAY(),$I313&lt;=TODAY()+7,$E313&lt;&gt;"Done"),IF('Task Finder'!$C$6="Quick Wins (15 mins or less)",AND($M313&lt;=15,$E313&lt;&gt;"Done",$E313&lt;&gt;"Blocked"),IF('Task Finder'!$C$6="Deep Thinking",AND($G313="Deep Thinking",$E313&lt;&gt;"Done"),IF('Task Finder'!$C$6="Processing",AND($G313="Processing",$E313&lt;&gt;"Done"),IF('Task Finder'!$C$6="Blocked",$E313="Blocked",IF('Task Finder'!$C$6="Waiting",$E313="Waiting",IF('Task Finder'!$C$6="Recently Updated",AND($L313&lt;&gt;"",$L313&gt;=TODAY()-7),IF('Task Finder'!$C$6="Keyword",AND('Task Finder'!$C$7&lt;&gt;"",OR(ISNUMBER(SEARCH('Task Finder'!$C$7,$A313)),ISNUMBER(SEARCH('Task Finder'!$C$7,$B313)),ISNUMBER(SEARCH('Task Finder'!$C$7,$C313)),ISNUMBER(SEARCH('Task Finder'!$C$7,$D313)),ISNUMBER(SEARCH('Task Finder'!$C$7,$K313)))),TRUE))))))))))</f>
        <v/>
      </c>
      <c r="Q313" s="150">
        <f>IF($F313="High","High Priority","")</f>
        <v/>
      </c>
      <c r="R313" s="150">
        <f>IF(AND($I313&lt;&gt;"",$I313&lt;TODAY()),"Overdue","")</f>
        <v/>
      </c>
      <c r="S313" s="150">
        <f>IF(AND($I313&lt;&gt;"",$I313&gt;=TODAY(),$I313&lt;=TODAY()+7),"Due This Week","")</f>
        <v/>
      </c>
      <c r="T313" s="150">
        <f>IF(AND($H313&lt;&gt;"",$M313&lt;=VLOOKUP(Home!$C$7,Lists!$N$2:$O$6,2,FALSE)),$H313&amp;" Task","")</f>
        <v/>
      </c>
      <c r="U313" s="150">
        <f>IF($G313=Home!$E$7,"Fits Current Energy","")</f>
        <v/>
      </c>
      <c r="V313" s="150">
        <f>IF($Q313&lt;&gt;""," • "&amp;$Q313,"")&amp;IF($R313&lt;&gt;""," • "&amp;$R313,"")&amp;IF($S313&lt;&gt;""," • "&amp;$S313,"")&amp;IF($T313&lt;&gt;""," • "&amp;$T313,"")&amp;IF($U313&lt;&gt;""," • "&amp;$U313,"")&amp;" • No Blockers"</f>
        <v/>
      </c>
    </row>
    <row r="314">
      <c r="A314" s="19" t="n"/>
      <c r="B314" s="19" t="n"/>
      <c r="C314" s="19" t="n"/>
      <c r="D314" s="19" t="n"/>
      <c r="E314" s="19" t="n"/>
      <c r="F314" s="19" t="n"/>
      <c r="G314" s="19" t="n"/>
      <c r="H314" s="19" t="n"/>
      <c r="I314" s="19" t="n"/>
      <c r="J314" s="19" t="n"/>
      <c r="K314" s="19" t="n"/>
      <c r="L314" s="125" t="n"/>
      <c r="M314" s="88">
        <f>IF($D314="","",IFERROR(VLOOKUP($H314,Lists!$N$2:$O$6,2,FALSE),0))</f>
        <v/>
      </c>
      <c r="N314" s="88">
        <f>IF($D314="","",IF(OR($E314="Blocked",$E314="Done",$E314="Archive"),-9999,IF(AND($E314="Waiting",SUMPRODUCT((($E$5:$E$500="Next")+($E$5:$E$500="In Progress")+($E$5:$E$500="Captured"))*($D$5:$D$500&lt;&gt;""))&gt;0),-500,VLOOKUP($F314,Lists!$L$2:$M$4,2,FALSE)+IF($E314="In Progress",10,0)+IF(AND($I314&lt;&gt;"",$I314&lt;TODAY()),25,0)+IF(AND($I314&lt;&gt;"",$I314&gt;=TODAY(),$I314&lt;=TODAY()+7),15,0)+IF($H314="",0,IF($M314&lt;=VLOOKUP(Home!$C$7,Lists!$N$2:$O$6,2,FALSE),20,-10))+IF($G314=Home!$E$7,15,IF(Home!$E$7="",0,-5))-ROW()/100000)))</f>
        <v/>
      </c>
      <c r="O314" s="88">
        <f>IF($D314="","",IF($N314&lt;=-500,"Not recommended right now",IF($E314="Waiting","Nothing else actionable right now — Waiting on: "&amp;IF($K314="","this item",$K314),MID($V314,4,9999))))</f>
        <v/>
      </c>
      <c r="P314" s="88">
        <f>IF($D314="","",IF('Task Finder'!$C$6="High Priority",AND($F314="High",$E314&lt;&gt;"Done",$E314&lt;&gt;"Archive"),IF('Task Finder'!$C$6="Due This Week",AND($I314&lt;&gt;"",$I314&gt;=TODAY(),$I314&lt;=TODAY()+7,$E314&lt;&gt;"Done"),IF('Task Finder'!$C$6="Quick Wins (15 mins or less)",AND($M314&lt;=15,$E314&lt;&gt;"Done",$E314&lt;&gt;"Blocked"),IF('Task Finder'!$C$6="Deep Thinking",AND($G314="Deep Thinking",$E314&lt;&gt;"Done"),IF('Task Finder'!$C$6="Processing",AND($G314="Processing",$E314&lt;&gt;"Done"),IF('Task Finder'!$C$6="Blocked",$E314="Blocked",IF('Task Finder'!$C$6="Waiting",$E314="Waiting",IF('Task Finder'!$C$6="Recently Updated",AND($L314&lt;&gt;"",$L314&gt;=TODAY()-7),IF('Task Finder'!$C$6="Keyword",AND('Task Finder'!$C$7&lt;&gt;"",OR(ISNUMBER(SEARCH('Task Finder'!$C$7,$A314)),ISNUMBER(SEARCH('Task Finder'!$C$7,$B314)),ISNUMBER(SEARCH('Task Finder'!$C$7,$C314)),ISNUMBER(SEARCH('Task Finder'!$C$7,$D314)),ISNUMBER(SEARCH('Task Finder'!$C$7,$K314)))),TRUE))))))))))</f>
        <v/>
      </c>
      <c r="Q314" s="150">
        <f>IF($F314="High","High Priority","")</f>
        <v/>
      </c>
      <c r="R314" s="150">
        <f>IF(AND($I314&lt;&gt;"",$I314&lt;TODAY()),"Overdue","")</f>
        <v/>
      </c>
      <c r="S314" s="150">
        <f>IF(AND($I314&lt;&gt;"",$I314&gt;=TODAY(),$I314&lt;=TODAY()+7),"Due This Week","")</f>
        <v/>
      </c>
      <c r="T314" s="150">
        <f>IF(AND($H314&lt;&gt;"",$M314&lt;=VLOOKUP(Home!$C$7,Lists!$N$2:$O$6,2,FALSE)),$H314&amp;" Task","")</f>
        <v/>
      </c>
      <c r="U314" s="150">
        <f>IF($G314=Home!$E$7,"Fits Current Energy","")</f>
        <v/>
      </c>
      <c r="V314" s="150">
        <f>IF($Q314&lt;&gt;""," • "&amp;$Q314,"")&amp;IF($R314&lt;&gt;""," • "&amp;$R314,"")&amp;IF($S314&lt;&gt;""," • "&amp;$S314,"")&amp;IF($T314&lt;&gt;""," • "&amp;$T314,"")&amp;IF($U314&lt;&gt;""," • "&amp;$U314,"")&amp;" • No Blockers"</f>
        <v/>
      </c>
    </row>
    <row r="315">
      <c r="A315" s="19" t="n"/>
      <c r="B315" s="19" t="n"/>
      <c r="C315" s="19" t="n"/>
      <c r="D315" s="19" t="n"/>
      <c r="E315" s="19" t="n"/>
      <c r="F315" s="19" t="n"/>
      <c r="G315" s="19" t="n"/>
      <c r="H315" s="19" t="n"/>
      <c r="I315" s="19" t="n"/>
      <c r="J315" s="19" t="n"/>
      <c r="K315" s="19" t="n"/>
      <c r="L315" s="125" t="n"/>
      <c r="M315" s="88">
        <f>IF($D315="","",IFERROR(VLOOKUP($H315,Lists!$N$2:$O$6,2,FALSE),0))</f>
        <v/>
      </c>
      <c r="N315" s="88">
        <f>IF($D315="","",IF(OR($E315="Blocked",$E315="Done",$E315="Archive"),-9999,IF(AND($E315="Waiting",SUMPRODUCT((($E$5:$E$500="Next")+($E$5:$E$500="In Progress")+($E$5:$E$500="Captured"))*($D$5:$D$500&lt;&gt;""))&gt;0),-500,VLOOKUP($F315,Lists!$L$2:$M$4,2,FALSE)+IF($E315="In Progress",10,0)+IF(AND($I315&lt;&gt;"",$I315&lt;TODAY()),25,0)+IF(AND($I315&lt;&gt;"",$I315&gt;=TODAY(),$I315&lt;=TODAY()+7),15,0)+IF($H315="",0,IF($M315&lt;=VLOOKUP(Home!$C$7,Lists!$N$2:$O$6,2,FALSE),20,-10))+IF($G315=Home!$E$7,15,IF(Home!$E$7="",0,-5))-ROW()/100000)))</f>
        <v/>
      </c>
      <c r="O315" s="88">
        <f>IF($D315="","",IF($N315&lt;=-500,"Not recommended right now",IF($E315="Waiting","Nothing else actionable right now — Waiting on: "&amp;IF($K315="","this item",$K315),MID($V315,4,9999))))</f>
        <v/>
      </c>
      <c r="P315" s="88">
        <f>IF($D315="","",IF('Task Finder'!$C$6="High Priority",AND($F315="High",$E315&lt;&gt;"Done",$E315&lt;&gt;"Archive"),IF('Task Finder'!$C$6="Due This Week",AND($I315&lt;&gt;"",$I315&gt;=TODAY(),$I315&lt;=TODAY()+7,$E315&lt;&gt;"Done"),IF('Task Finder'!$C$6="Quick Wins (15 mins or less)",AND($M315&lt;=15,$E315&lt;&gt;"Done",$E315&lt;&gt;"Blocked"),IF('Task Finder'!$C$6="Deep Thinking",AND($G315="Deep Thinking",$E315&lt;&gt;"Done"),IF('Task Finder'!$C$6="Processing",AND($G315="Processing",$E315&lt;&gt;"Done"),IF('Task Finder'!$C$6="Blocked",$E315="Blocked",IF('Task Finder'!$C$6="Waiting",$E315="Waiting",IF('Task Finder'!$C$6="Recently Updated",AND($L315&lt;&gt;"",$L315&gt;=TODAY()-7),IF('Task Finder'!$C$6="Keyword",AND('Task Finder'!$C$7&lt;&gt;"",OR(ISNUMBER(SEARCH('Task Finder'!$C$7,$A315)),ISNUMBER(SEARCH('Task Finder'!$C$7,$B315)),ISNUMBER(SEARCH('Task Finder'!$C$7,$C315)),ISNUMBER(SEARCH('Task Finder'!$C$7,$D315)),ISNUMBER(SEARCH('Task Finder'!$C$7,$K315)))),TRUE))))))))))</f>
        <v/>
      </c>
      <c r="Q315" s="150">
        <f>IF($F315="High","High Priority","")</f>
        <v/>
      </c>
      <c r="R315" s="150">
        <f>IF(AND($I315&lt;&gt;"",$I315&lt;TODAY()),"Overdue","")</f>
        <v/>
      </c>
      <c r="S315" s="150">
        <f>IF(AND($I315&lt;&gt;"",$I315&gt;=TODAY(),$I315&lt;=TODAY()+7),"Due This Week","")</f>
        <v/>
      </c>
      <c r="T315" s="150">
        <f>IF(AND($H315&lt;&gt;"",$M315&lt;=VLOOKUP(Home!$C$7,Lists!$N$2:$O$6,2,FALSE)),$H315&amp;" Task","")</f>
        <v/>
      </c>
      <c r="U315" s="150">
        <f>IF($G315=Home!$E$7,"Fits Current Energy","")</f>
        <v/>
      </c>
      <c r="V315" s="150">
        <f>IF($Q315&lt;&gt;""," • "&amp;$Q315,"")&amp;IF($R315&lt;&gt;""," • "&amp;$R315,"")&amp;IF($S315&lt;&gt;""," • "&amp;$S315,"")&amp;IF($T315&lt;&gt;""," • "&amp;$T315,"")&amp;IF($U315&lt;&gt;""," • "&amp;$U315,"")&amp;" • No Blockers"</f>
        <v/>
      </c>
    </row>
    <row r="316">
      <c r="A316" s="19" t="n"/>
      <c r="B316" s="19" t="n"/>
      <c r="C316" s="19" t="n"/>
      <c r="D316" s="19" t="n"/>
      <c r="E316" s="19" t="n"/>
      <c r="F316" s="19" t="n"/>
      <c r="G316" s="19" t="n"/>
      <c r="H316" s="19" t="n"/>
      <c r="I316" s="19" t="n"/>
      <c r="J316" s="19" t="n"/>
      <c r="K316" s="19" t="n"/>
      <c r="L316" s="125" t="n"/>
      <c r="M316" s="88">
        <f>IF($D316="","",IFERROR(VLOOKUP($H316,Lists!$N$2:$O$6,2,FALSE),0))</f>
        <v/>
      </c>
      <c r="N316" s="88">
        <f>IF($D316="","",IF(OR($E316="Blocked",$E316="Done",$E316="Archive"),-9999,IF(AND($E316="Waiting",SUMPRODUCT((($E$5:$E$500="Next")+($E$5:$E$500="In Progress")+($E$5:$E$500="Captured"))*($D$5:$D$500&lt;&gt;""))&gt;0),-500,VLOOKUP($F316,Lists!$L$2:$M$4,2,FALSE)+IF($E316="In Progress",10,0)+IF(AND($I316&lt;&gt;"",$I316&lt;TODAY()),25,0)+IF(AND($I316&lt;&gt;"",$I316&gt;=TODAY(),$I316&lt;=TODAY()+7),15,0)+IF($H316="",0,IF($M316&lt;=VLOOKUP(Home!$C$7,Lists!$N$2:$O$6,2,FALSE),20,-10))+IF($G316=Home!$E$7,15,IF(Home!$E$7="",0,-5))-ROW()/100000)))</f>
        <v/>
      </c>
      <c r="O316" s="88">
        <f>IF($D316="","",IF($N316&lt;=-500,"Not recommended right now",IF($E316="Waiting","Nothing else actionable right now — Waiting on: "&amp;IF($K316="","this item",$K316),MID($V316,4,9999))))</f>
        <v/>
      </c>
      <c r="P316" s="88">
        <f>IF($D316="","",IF('Task Finder'!$C$6="High Priority",AND($F316="High",$E316&lt;&gt;"Done",$E316&lt;&gt;"Archive"),IF('Task Finder'!$C$6="Due This Week",AND($I316&lt;&gt;"",$I316&gt;=TODAY(),$I316&lt;=TODAY()+7,$E316&lt;&gt;"Done"),IF('Task Finder'!$C$6="Quick Wins (15 mins or less)",AND($M316&lt;=15,$E316&lt;&gt;"Done",$E316&lt;&gt;"Blocked"),IF('Task Finder'!$C$6="Deep Thinking",AND($G316="Deep Thinking",$E316&lt;&gt;"Done"),IF('Task Finder'!$C$6="Processing",AND($G316="Processing",$E316&lt;&gt;"Done"),IF('Task Finder'!$C$6="Blocked",$E316="Blocked",IF('Task Finder'!$C$6="Waiting",$E316="Waiting",IF('Task Finder'!$C$6="Recently Updated",AND($L316&lt;&gt;"",$L316&gt;=TODAY()-7),IF('Task Finder'!$C$6="Keyword",AND('Task Finder'!$C$7&lt;&gt;"",OR(ISNUMBER(SEARCH('Task Finder'!$C$7,$A316)),ISNUMBER(SEARCH('Task Finder'!$C$7,$B316)),ISNUMBER(SEARCH('Task Finder'!$C$7,$C316)),ISNUMBER(SEARCH('Task Finder'!$C$7,$D316)),ISNUMBER(SEARCH('Task Finder'!$C$7,$K316)))),TRUE))))))))))</f>
        <v/>
      </c>
      <c r="Q316" s="150">
        <f>IF($F316="High","High Priority","")</f>
        <v/>
      </c>
      <c r="R316" s="150">
        <f>IF(AND($I316&lt;&gt;"",$I316&lt;TODAY()),"Overdue","")</f>
        <v/>
      </c>
      <c r="S316" s="150">
        <f>IF(AND($I316&lt;&gt;"",$I316&gt;=TODAY(),$I316&lt;=TODAY()+7),"Due This Week","")</f>
        <v/>
      </c>
      <c r="T316" s="150">
        <f>IF(AND($H316&lt;&gt;"",$M316&lt;=VLOOKUP(Home!$C$7,Lists!$N$2:$O$6,2,FALSE)),$H316&amp;" Task","")</f>
        <v/>
      </c>
      <c r="U316" s="150">
        <f>IF($G316=Home!$E$7,"Fits Current Energy","")</f>
        <v/>
      </c>
      <c r="V316" s="150">
        <f>IF($Q316&lt;&gt;""," • "&amp;$Q316,"")&amp;IF($R316&lt;&gt;""," • "&amp;$R316,"")&amp;IF($S316&lt;&gt;""," • "&amp;$S316,"")&amp;IF($T316&lt;&gt;""," • "&amp;$T316,"")&amp;IF($U316&lt;&gt;""," • "&amp;$U316,"")&amp;" • No Blockers"</f>
        <v/>
      </c>
    </row>
    <row r="317">
      <c r="A317" s="19" t="n"/>
      <c r="B317" s="19" t="n"/>
      <c r="C317" s="19" t="n"/>
      <c r="D317" s="19" t="n"/>
      <c r="E317" s="19" t="n"/>
      <c r="F317" s="19" t="n"/>
      <c r="G317" s="19" t="n"/>
      <c r="H317" s="19" t="n"/>
      <c r="I317" s="19" t="n"/>
      <c r="J317" s="19" t="n"/>
      <c r="K317" s="19" t="n"/>
      <c r="L317" s="125" t="n"/>
      <c r="M317" s="88">
        <f>IF($D317="","",IFERROR(VLOOKUP($H317,Lists!$N$2:$O$6,2,FALSE),0))</f>
        <v/>
      </c>
      <c r="N317" s="88">
        <f>IF($D317="","",IF(OR($E317="Blocked",$E317="Done",$E317="Archive"),-9999,IF(AND($E317="Waiting",SUMPRODUCT((($E$5:$E$500="Next")+($E$5:$E$500="In Progress")+($E$5:$E$500="Captured"))*($D$5:$D$500&lt;&gt;""))&gt;0),-500,VLOOKUP($F317,Lists!$L$2:$M$4,2,FALSE)+IF($E317="In Progress",10,0)+IF(AND($I317&lt;&gt;"",$I317&lt;TODAY()),25,0)+IF(AND($I317&lt;&gt;"",$I317&gt;=TODAY(),$I317&lt;=TODAY()+7),15,0)+IF($H317="",0,IF($M317&lt;=VLOOKUP(Home!$C$7,Lists!$N$2:$O$6,2,FALSE),20,-10))+IF($G317=Home!$E$7,15,IF(Home!$E$7="",0,-5))-ROW()/100000)))</f>
        <v/>
      </c>
      <c r="O317" s="88">
        <f>IF($D317="","",IF($N317&lt;=-500,"Not recommended right now",IF($E317="Waiting","Nothing else actionable right now — Waiting on: "&amp;IF($K317="","this item",$K317),MID($V317,4,9999))))</f>
        <v/>
      </c>
      <c r="P317" s="88">
        <f>IF($D317="","",IF('Task Finder'!$C$6="High Priority",AND($F317="High",$E317&lt;&gt;"Done",$E317&lt;&gt;"Archive"),IF('Task Finder'!$C$6="Due This Week",AND($I317&lt;&gt;"",$I317&gt;=TODAY(),$I317&lt;=TODAY()+7,$E317&lt;&gt;"Done"),IF('Task Finder'!$C$6="Quick Wins (15 mins or less)",AND($M317&lt;=15,$E317&lt;&gt;"Done",$E317&lt;&gt;"Blocked"),IF('Task Finder'!$C$6="Deep Thinking",AND($G317="Deep Thinking",$E317&lt;&gt;"Done"),IF('Task Finder'!$C$6="Processing",AND($G317="Processing",$E317&lt;&gt;"Done"),IF('Task Finder'!$C$6="Blocked",$E317="Blocked",IF('Task Finder'!$C$6="Waiting",$E317="Waiting",IF('Task Finder'!$C$6="Recently Updated",AND($L317&lt;&gt;"",$L317&gt;=TODAY()-7),IF('Task Finder'!$C$6="Keyword",AND('Task Finder'!$C$7&lt;&gt;"",OR(ISNUMBER(SEARCH('Task Finder'!$C$7,$A317)),ISNUMBER(SEARCH('Task Finder'!$C$7,$B317)),ISNUMBER(SEARCH('Task Finder'!$C$7,$C317)),ISNUMBER(SEARCH('Task Finder'!$C$7,$D317)),ISNUMBER(SEARCH('Task Finder'!$C$7,$K317)))),TRUE))))))))))</f>
        <v/>
      </c>
      <c r="Q317" s="150">
        <f>IF($F317="High","High Priority","")</f>
        <v/>
      </c>
      <c r="R317" s="150">
        <f>IF(AND($I317&lt;&gt;"",$I317&lt;TODAY()),"Overdue","")</f>
        <v/>
      </c>
      <c r="S317" s="150">
        <f>IF(AND($I317&lt;&gt;"",$I317&gt;=TODAY(),$I317&lt;=TODAY()+7),"Due This Week","")</f>
        <v/>
      </c>
      <c r="T317" s="150">
        <f>IF(AND($H317&lt;&gt;"",$M317&lt;=VLOOKUP(Home!$C$7,Lists!$N$2:$O$6,2,FALSE)),$H317&amp;" Task","")</f>
        <v/>
      </c>
      <c r="U317" s="150">
        <f>IF($G317=Home!$E$7,"Fits Current Energy","")</f>
        <v/>
      </c>
      <c r="V317" s="150">
        <f>IF($Q317&lt;&gt;""," • "&amp;$Q317,"")&amp;IF($R317&lt;&gt;""," • "&amp;$R317,"")&amp;IF($S317&lt;&gt;""," • "&amp;$S317,"")&amp;IF($T317&lt;&gt;""," • "&amp;$T317,"")&amp;IF($U317&lt;&gt;""," • "&amp;$U317,"")&amp;" • No Blockers"</f>
        <v/>
      </c>
    </row>
    <row r="318">
      <c r="A318" s="19" t="n"/>
      <c r="B318" s="19" t="n"/>
      <c r="C318" s="19" t="n"/>
      <c r="D318" s="19" t="n"/>
      <c r="E318" s="19" t="n"/>
      <c r="F318" s="19" t="n"/>
      <c r="G318" s="19" t="n"/>
      <c r="H318" s="19" t="n"/>
      <c r="I318" s="19" t="n"/>
      <c r="J318" s="19" t="n"/>
      <c r="K318" s="19" t="n"/>
      <c r="L318" s="125" t="n"/>
      <c r="M318" s="88">
        <f>IF($D318="","",IFERROR(VLOOKUP($H318,Lists!$N$2:$O$6,2,FALSE),0))</f>
        <v/>
      </c>
      <c r="N318" s="88">
        <f>IF($D318="","",IF(OR($E318="Blocked",$E318="Done",$E318="Archive"),-9999,IF(AND($E318="Waiting",SUMPRODUCT((($E$5:$E$500="Next")+($E$5:$E$500="In Progress")+($E$5:$E$500="Captured"))*($D$5:$D$500&lt;&gt;""))&gt;0),-500,VLOOKUP($F318,Lists!$L$2:$M$4,2,FALSE)+IF($E318="In Progress",10,0)+IF(AND($I318&lt;&gt;"",$I318&lt;TODAY()),25,0)+IF(AND($I318&lt;&gt;"",$I318&gt;=TODAY(),$I318&lt;=TODAY()+7),15,0)+IF($H318="",0,IF($M318&lt;=VLOOKUP(Home!$C$7,Lists!$N$2:$O$6,2,FALSE),20,-10))+IF($G318=Home!$E$7,15,IF(Home!$E$7="",0,-5))-ROW()/100000)))</f>
        <v/>
      </c>
      <c r="O318" s="88">
        <f>IF($D318="","",IF($N318&lt;=-500,"Not recommended right now",IF($E318="Waiting","Nothing else actionable right now — Waiting on: "&amp;IF($K318="","this item",$K318),MID($V318,4,9999))))</f>
        <v/>
      </c>
      <c r="P318" s="88">
        <f>IF($D318="","",IF('Task Finder'!$C$6="High Priority",AND($F318="High",$E318&lt;&gt;"Done",$E318&lt;&gt;"Archive"),IF('Task Finder'!$C$6="Due This Week",AND($I318&lt;&gt;"",$I318&gt;=TODAY(),$I318&lt;=TODAY()+7,$E318&lt;&gt;"Done"),IF('Task Finder'!$C$6="Quick Wins (15 mins or less)",AND($M318&lt;=15,$E318&lt;&gt;"Done",$E318&lt;&gt;"Blocked"),IF('Task Finder'!$C$6="Deep Thinking",AND($G318="Deep Thinking",$E318&lt;&gt;"Done"),IF('Task Finder'!$C$6="Processing",AND($G318="Processing",$E318&lt;&gt;"Done"),IF('Task Finder'!$C$6="Blocked",$E318="Blocked",IF('Task Finder'!$C$6="Waiting",$E318="Waiting",IF('Task Finder'!$C$6="Recently Updated",AND($L318&lt;&gt;"",$L318&gt;=TODAY()-7),IF('Task Finder'!$C$6="Keyword",AND('Task Finder'!$C$7&lt;&gt;"",OR(ISNUMBER(SEARCH('Task Finder'!$C$7,$A318)),ISNUMBER(SEARCH('Task Finder'!$C$7,$B318)),ISNUMBER(SEARCH('Task Finder'!$C$7,$C318)),ISNUMBER(SEARCH('Task Finder'!$C$7,$D318)),ISNUMBER(SEARCH('Task Finder'!$C$7,$K318)))),TRUE))))))))))</f>
        <v/>
      </c>
      <c r="Q318" s="150">
        <f>IF($F318="High","High Priority","")</f>
        <v/>
      </c>
      <c r="R318" s="150">
        <f>IF(AND($I318&lt;&gt;"",$I318&lt;TODAY()),"Overdue","")</f>
        <v/>
      </c>
      <c r="S318" s="150">
        <f>IF(AND($I318&lt;&gt;"",$I318&gt;=TODAY(),$I318&lt;=TODAY()+7),"Due This Week","")</f>
        <v/>
      </c>
      <c r="T318" s="150">
        <f>IF(AND($H318&lt;&gt;"",$M318&lt;=VLOOKUP(Home!$C$7,Lists!$N$2:$O$6,2,FALSE)),$H318&amp;" Task","")</f>
        <v/>
      </c>
      <c r="U318" s="150">
        <f>IF($G318=Home!$E$7,"Fits Current Energy","")</f>
        <v/>
      </c>
      <c r="V318" s="150">
        <f>IF($Q318&lt;&gt;""," • "&amp;$Q318,"")&amp;IF($R318&lt;&gt;""," • "&amp;$R318,"")&amp;IF($S318&lt;&gt;""," • "&amp;$S318,"")&amp;IF($T318&lt;&gt;""," • "&amp;$T318,"")&amp;IF($U318&lt;&gt;""," • "&amp;$U318,"")&amp;" • No Blockers"</f>
        <v/>
      </c>
    </row>
    <row r="319">
      <c r="A319" s="19" t="n"/>
      <c r="B319" s="19" t="n"/>
      <c r="C319" s="19" t="n"/>
      <c r="D319" s="19" t="n"/>
      <c r="E319" s="19" t="n"/>
      <c r="F319" s="19" t="n"/>
      <c r="G319" s="19" t="n"/>
      <c r="H319" s="19" t="n"/>
      <c r="I319" s="19" t="n"/>
      <c r="J319" s="19" t="n"/>
      <c r="K319" s="19" t="n"/>
      <c r="L319" s="125" t="n"/>
      <c r="M319" s="88">
        <f>IF($D319="","",IFERROR(VLOOKUP($H319,Lists!$N$2:$O$6,2,FALSE),0))</f>
        <v/>
      </c>
      <c r="N319" s="88">
        <f>IF($D319="","",IF(OR($E319="Blocked",$E319="Done",$E319="Archive"),-9999,IF(AND($E319="Waiting",SUMPRODUCT((($E$5:$E$500="Next")+($E$5:$E$500="In Progress")+($E$5:$E$500="Captured"))*($D$5:$D$500&lt;&gt;""))&gt;0),-500,VLOOKUP($F319,Lists!$L$2:$M$4,2,FALSE)+IF($E319="In Progress",10,0)+IF(AND($I319&lt;&gt;"",$I319&lt;TODAY()),25,0)+IF(AND($I319&lt;&gt;"",$I319&gt;=TODAY(),$I319&lt;=TODAY()+7),15,0)+IF($H319="",0,IF($M319&lt;=VLOOKUP(Home!$C$7,Lists!$N$2:$O$6,2,FALSE),20,-10))+IF($G319=Home!$E$7,15,IF(Home!$E$7="",0,-5))-ROW()/100000)))</f>
        <v/>
      </c>
      <c r="O319" s="88">
        <f>IF($D319="","",IF($N319&lt;=-500,"Not recommended right now",IF($E319="Waiting","Nothing else actionable right now — Waiting on: "&amp;IF($K319="","this item",$K319),MID($V319,4,9999))))</f>
        <v/>
      </c>
      <c r="P319" s="88">
        <f>IF($D319="","",IF('Task Finder'!$C$6="High Priority",AND($F319="High",$E319&lt;&gt;"Done",$E319&lt;&gt;"Archive"),IF('Task Finder'!$C$6="Due This Week",AND($I319&lt;&gt;"",$I319&gt;=TODAY(),$I319&lt;=TODAY()+7,$E319&lt;&gt;"Done"),IF('Task Finder'!$C$6="Quick Wins (15 mins or less)",AND($M319&lt;=15,$E319&lt;&gt;"Done",$E319&lt;&gt;"Blocked"),IF('Task Finder'!$C$6="Deep Thinking",AND($G319="Deep Thinking",$E319&lt;&gt;"Done"),IF('Task Finder'!$C$6="Processing",AND($G319="Processing",$E319&lt;&gt;"Done"),IF('Task Finder'!$C$6="Blocked",$E319="Blocked",IF('Task Finder'!$C$6="Waiting",$E319="Waiting",IF('Task Finder'!$C$6="Recently Updated",AND($L319&lt;&gt;"",$L319&gt;=TODAY()-7),IF('Task Finder'!$C$6="Keyword",AND('Task Finder'!$C$7&lt;&gt;"",OR(ISNUMBER(SEARCH('Task Finder'!$C$7,$A319)),ISNUMBER(SEARCH('Task Finder'!$C$7,$B319)),ISNUMBER(SEARCH('Task Finder'!$C$7,$C319)),ISNUMBER(SEARCH('Task Finder'!$C$7,$D319)),ISNUMBER(SEARCH('Task Finder'!$C$7,$K319)))),TRUE))))))))))</f>
        <v/>
      </c>
      <c r="Q319" s="150">
        <f>IF($F319="High","High Priority","")</f>
        <v/>
      </c>
      <c r="R319" s="150">
        <f>IF(AND($I319&lt;&gt;"",$I319&lt;TODAY()),"Overdue","")</f>
        <v/>
      </c>
      <c r="S319" s="150">
        <f>IF(AND($I319&lt;&gt;"",$I319&gt;=TODAY(),$I319&lt;=TODAY()+7),"Due This Week","")</f>
        <v/>
      </c>
      <c r="T319" s="150">
        <f>IF(AND($H319&lt;&gt;"",$M319&lt;=VLOOKUP(Home!$C$7,Lists!$N$2:$O$6,2,FALSE)),$H319&amp;" Task","")</f>
        <v/>
      </c>
      <c r="U319" s="150">
        <f>IF($G319=Home!$E$7,"Fits Current Energy","")</f>
        <v/>
      </c>
      <c r="V319" s="150">
        <f>IF($Q319&lt;&gt;""," • "&amp;$Q319,"")&amp;IF($R319&lt;&gt;""," • "&amp;$R319,"")&amp;IF($S319&lt;&gt;""," • "&amp;$S319,"")&amp;IF($T319&lt;&gt;""," • "&amp;$T319,"")&amp;IF($U319&lt;&gt;""," • "&amp;$U319,"")&amp;" • No Blockers"</f>
        <v/>
      </c>
    </row>
    <row r="320">
      <c r="A320" s="19" t="n"/>
      <c r="B320" s="19" t="n"/>
      <c r="C320" s="19" t="n"/>
      <c r="D320" s="19" t="n"/>
      <c r="E320" s="19" t="n"/>
      <c r="F320" s="19" t="n"/>
      <c r="G320" s="19" t="n"/>
      <c r="H320" s="19" t="n"/>
      <c r="I320" s="19" t="n"/>
      <c r="J320" s="19" t="n"/>
      <c r="K320" s="19" t="n"/>
      <c r="L320" s="125" t="n"/>
      <c r="M320" s="88">
        <f>IF($D320="","",IFERROR(VLOOKUP($H320,Lists!$N$2:$O$6,2,FALSE),0))</f>
        <v/>
      </c>
      <c r="N320" s="88">
        <f>IF($D320="","",IF(OR($E320="Blocked",$E320="Done",$E320="Archive"),-9999,IF(AND($E320="Waiting",SUMPRODUCT((($E$5:$E$500="Next")+($E$5:$E$500="In Progress")+($E$5:$E$500="Captured"))*($D$5:$D$500&lt;&gt;""))&gt;0),-500,VLOOKUP($F320,Lists!$L$2:$M$4,2,FALSE)+IF($E320="In Progress",10,0)+IF(AND($I320&lt;&gt;"",$I320&lt;TODAY()),25,0)+IF(AND($I320&lt;&gt;"",$I320&gt;=TODAY(),$I320&lt;=TODAY()+7),15,0)+IF($H320="",0,IF($M320&lt;=VLOOKUP(Home!$C$7,Lists!$N$2:$O$6,2,FALSE),20,-10))+IF($G320=Home!$E$7,15,IF(Home!$E$7="",0,-5))-ROW()/100000)))</f>
        <v/>
      </c>
      <c r="O320" s="88">
        <f>IF($D320="","",IF($N320&lt;=-500,"Not recommended right now",IF($E320="Waiting","Nothing else actionable right now — Waiting on: "&amp;IF($K320="","this item",$K320),MID($V320,4,9999))))</f>
        <v/>
      </c>
      <c r="P320" s="88">
        <f>IF($D320="","",IF('Task Finder'!$C$6="High Priority",AND($F320="High",$E320&lt;&gt;"Done",$E320&lt;&gt;"Archive"),IF('Task Finder'!$C$6="Due This Week",AND($I320&lt;&gt;"",$I320&gt;=TODAY(),$I320&lt;=TODAY()+7,$E320&lt;&gt;"Done"),IF('Task Finder'!$C$6="Quick Wins (15 mins or less)",AND($M320&lt;=15,$E320&lt;&gt;"Done",$E320&lt;&gt;"Blocked"),IF('Task Finder'!$C$6="Deep Thinking",AND($G320="Deep Thinking",$E320&lt;&gt;"Done"),IF('Task Finder'!$C$6="Processing",AND($G320="Processing",$E320&lt;&gt;"Done"),IF('Task Finder'!$C$6="Blocked",$E320="Blocked",IF('Task Finder'!$C$6="Waiting",$E320="Waiting",IF('Task Finder'!$C$6="Recently Updated",AND($L320&lt;&gt;"",$L320&gt;=TODAY()-7),IF('Task Finder'!$C$6="Keyword",AND('Task Finder'!$C$7&lt;&gt;"",OR(ISNUMBER(SEARCH('Task Finder'!$C$7,$A320)),ISNUMBER(SEARCH('Task Finder'!$C$7,$B320)),ISNUMBER(SEARCH('Task Finder'!$C$7,$C320)),ISNUMBER(SEARCH('Task Finder'!$C$7,$D320)),ISNUMBER(SEARCH('Task Finder'!$C$7,$K320)))),TRUE))))))))))</f>
        <v/>
      </c>
      <c r="Q320" s="150">
        <f>IF($F320="High","High Priority","")</f>
        <v/>
      </c>
      <c r="R320" s="150">
        <f>IF(AND($I320&lt;&gt;"",$I320&lt;TODAY()),"Overdue","")</f>
        <v/>
      </c>
      <c r="S320" s="150">
        <f>IF(AND($I320&lt;&gt;"",$I320&gt;=TODAY(),$I320&lt;=TODAY()+7),"Due This Week","")</f>
        <v/>
      </c>
      <c r="T320" s="150">
        <f>IF(AND($H320&lt;&gt;"",$M320&lt;=VLOOKUP(Home!$C$7,Lists!$N$2:$O$6,2,FALSE)),$H320&amp;" Task","")</f>
        <v/>
      </c>
      <c r="U320" s="150">
        <f>IF($G320=Home!$E$7,"Fits Current Energy","")</f>
        <v/>
      </c>
      <c r="V320" s="150">
        <f>IF($Q320&lt;&gt;""," • "&amp;$Q320,"")&amp;IF($R320&lt;&gt;""," • "&amp;$R320,"")&amp;IF($S320&lt;&gt;""," • "&amp;$S320,"")&amp;IF($T320&lt;&gt;""," • "&amp;$T320,"")&amp;IF($U320&lt;&gt;""," • "&amp;$U320,"")&amp;" • No Blockers"</f>
        <v/>
      </c>
    </row>
    <row r="321">
      <c r="A321" s="19" t="n"/>
      <c r="B321" s="19" t="n"/>
      <c r="C321" s="19" t="n"/>
      <c r="D321" s="19" t="n"/>
      <c r="E321" s="19" t="n"/>
      <c r="F321" s="19" t="n"/>
      <c r="G321" s="19" t="n"/>
      <c r="H321" s="19" t="n"/>
      <c r="I321" s="19" t="n"/>
      <c r="J321" s="19" t="n"/>
      <c r="K321" s="19" t="n"/>
      <c r="L321" s="125" t="n"/>
      <c r="M321" s="88">
        <f>IF($D321="","",IFERROR(VLOOKUP($H321,Lists!$N$2:$O$6,2,FALSE),0))</f>
        <v/>
      </c>
      <c r="N321" s="88">
        <f>IF($D321="","",IF(OR($E321="Blocked",$E321="Done",$E321="Archive"),-9999,IF(AND($E321="Waiting",SUMPRODUCT((($E$5:$E$500="Next")+($E$5:$E$500="In Progress")+($E$5:$E$500="Captured"))*($D$5:$D$500&lt;&gt;""))&gt;0),-500,VLOOKUP($F321,Lists!$L$2:$M$4,2,FALSE)+IF($E321="In Progress",10,0)+IF(AND($I321&lt;&gt;"",$I321&lt;TODAY()),25,0)+IF(AND($I321&lt;&gt;"",$I321&gt;=TODAY(),$I321&lt;=TODAY()+7),15,0)+IF($H321="",0,IF($M321&lt;=VLOOKUP(Home!$C$7,Lists!$N$2:$O$6,2,FALSE),20,-10))+IF($G321=Home!$E$7,15,IF(Home!$E$7="",0,-5))-ROW()/100000)))</f>
        <v/>
      </c>
      <c r="O321" s="88">
        <f>IF($D321="","",IF($N321&lt;=-500,"Not recommended right now",IF($E321="Waiting","Nothing else actionable right now — Waiting on: "&amp;IF($K321="","this item",$K321),MID($V321,4,9999))))</f>
        <v/>
      </c>
      <c r="P321" s="88">
        <f>IF($D321="","",IF('Task Finder'!$C$6="High Priority",AND($F321="High",$E321&lt;&gt;"Done",$E321&lt;&gt;"Archive"),IF('Task Finder'!$C$6="Due This Week",AND($I321&lt;&gt;"",$I321&gt;=TODAY(),$I321&lt;=TODAY()+7,$E321&lt;&gt;"Done"),IF('Task Finder'!$C$6="Quick Wins (15 mins or less)",AND($M321&lt;=15,$E321&lt;&gt;"Done",$E321&lt;&gt;"Blocked"),IF('Task Finder'!$C$6="Deep Thinking",AND($G321="Deep Thinking",$E321&lt;&gt;"Done"),IF('Task Finder'!$C$6="Processing",AND($G321="Processing",$E321&lt;&gt;"Done"),IF('Task Finder'!$C$6="Blocked",$E321="Blocked",IF('Task Finder'!$C$6="Waiting",$E321="Waiting",IF('Task Finder'!$C$6="Recently Updated",AND($L321&lt;&gt;"",$L321&gt;=TODAY()-7),IF('Task Finder'!$C$6="Keyword",AND('Task Finder'!$C$7&lt;&gt;"",OR(ISNUMBER(SEARCH('Task Finder'!$C$7,$A321)),ISNUMBER(SEARCH('Task Finder'!$C$7,$B321)),ISNUMBER(SEARCH('Task Finder'!$C$7,$C321)),ISNUMBER(SEARCH('Task Finder'!$C$7,$D321)),ISNUMBER(SEARCH('Task Finder'!$C$7,$K321)))),TRUE))))))))))</f>
        <v/>
      </c>
      <c r="Q321" s="150">
        <f>IF($F321="High","High Priority","")</f>
        <v/>
      </c>
      <c r="R321" s="150">
        <f>IF(AND($I321&lt;&gt;"",$I321&lt;TODAY()),"Overdue","")</f>
        <v/>
      </c>
      <c r="S321" s="150">
        <f>IF(AND($I321&lt;&gt;"",$I321&gt;=TODAY(),$I321&lt;=TODAY()+7),"Due This Week","")</f>
        <v/>
      </c>
      <c r="T321" s="150">
        <f>IF(AND($H321&lt;&gt;"",$M321&lt;=VLOOKUP(Home!$C$7,Lists!$N$2:$O$6,2,FALSE)),$H321&amp;" Task","")</f>
        <v/>
      </c>
      <c r="U321" s="150">
        <f>IF($G321=Home!$E$7,"Fits Current Energy","")</f>
        <v/>
      </c>
      <c r="V321" s="150">
        <f>IF($Q321&lt;&gt;""," • "&amp;$Q321,"")&amp;IF($R321&lt;&gt;""," • "&amp;$R321,"")&amp;IF($S321&lt;&gt;""," • "&amp;$S321,"")&amp;IF($T321&lt;&gt;""," • "&amp;$T321,"")&amp;IF($U321&lt;&gt;""," • "&amp;$U321,"")&amp;" • No Blockers"</f>
        <v/>
      </c>
    </row>
    <row r="322">
      <c r="A322" s="19" t="n"/>
      <c r="B322" s="19" t="n"/>
      <c r="C322" s="19" t="n"/>
      <c r="D322" s="19" t="n"/>
      <c r="E322" s="19" t="n"/>
      <c r="F322" s="19" t="n"/>
      <c r="G322" s="19" t="n"/>
      <c r="H322" s="19" t="n"/>
      <c r="I322" s="19" t="n"/>
      <c r="J322" s="19" t="n"/>
      <c r="K322" s="19" t="n"/>
      <c r="L322" s="125" t="n"/>
      <c r="M322" s="88">
        <f>IF($D322="","",IFERROR(VLOOKUP($H322,Lists!$N$2:$O$6,2,FALSE),0))</f>
        <v/>
      </c>
      <c r="N322" s="88">
        <f>IF($D322="","",IF(OR($E322="Blocked",$E322="Done",$E322="Archive"),-9999,IF(AND($E322="Waiting",SUMPRODUCT((($E$5:$E$500="Next")+($E$5:$E$500="In Progress")+($E$5:$E$500="Captured"))*($D$5:$D$500&lt;&gt;""))&gt;0),-500,VLOOKUP($F322,Lists!$L$2:$M$4,2,FALSE)+IF($E322="In Progress",10,0)+IF(AND($I322&lt;&gt;"",$I322&lt;TODAY()),25,0)+IF(AND($I322&lt;&gt;"",$I322&gt;=TODAY(),$I322&lt;=TODAY()+7),15,0)+IF($H322="",0,IF($M322&lt;=VLOOKUP(Home!$C$7,Lists!$N$2:$O$6,2,FALSE),20,-10))+IF($G322=Home!$E$7,15,IF(Home!$E$7="",0,-5))-ROW()/100000)))</f>
        <v/>
      </c>
      <c r="O322" s="88">
        <f>IF($D322="","",IF($N322&lt;=-500,"Not recommended right now",IF($E322="Waiting","Nothing else actionable right now — Waiting on: "&amp;IF($K322="","this item",$K322),MID($V322,4,9999))))</f>
        <v/>
      </c>
      <c r="P322" s="88">
        <f>IF($D322="","",IF('Task Finder'!$C$6="High Priority",AND($F322="High",$E322&lt;&gt;"Done",$E322&lt;&gt;"Archive"),IF('Task Finder'!$C$6="Due This Week",AND($I322&lt;&gt;"",$I322&gt;=TODAY(),$I322&lt;=TODAY()+7,$E322&lt;&gt;"Done"),IF('Task Finder'!$C$6="Quick Wins (15 mins or less)",AND($M322&lt;=15,$E322&lt;&gt;"Done",$E322&lt;&gt;"Blocked"),IF('Task Finder'!$C$6="Deep Thinking",AND($G322="Deep Thinking",$E322&lt;&gt;"Done"),IF('Task Finder'!$C$6="Processing",AND($G322="Processing",$E322&lt;&gt;"Done"),IF('Task Finder'!$C$6="Blocked",$E322="Blocked",IF('Task Finder'!$C$6="Waiting",$E322="Waiting",IF('Task Finder'!$C$6="Recently Updated",AND($L322&lt;&gt;"",$L322&gt;=TODAY()-7),IF('Task Finder'!$C$6="Keyword",AND('Task Finder'!$C$7&lt;&gt;"",OR(ISNUMBER(SEARCH('Task Finder'!$C$7,$A322)),ISNUMBER(SEARCH('Task Finder'!$C$7,$B322)),ISNUMBER(SEARCH('Task Finder'!$C$7,$C322)),ISNUMBER(SEARCH('Task Finder'!$C$7,$D322)),ISNUMBER(SEARCH('Task Finder'!$C$7,$K322)))),TRUE))))))))))</f>
        <v/>
      </c>
      <c r="Q322" s="150">
        <f>IF($F322="High","High Priority","")</f>
        <v/>
      </c>
      <c r="R322" s="150">
        <f>IF(AND($I322&lt;&gt;"",$I322&lt;TODAY()),"Overdue","")</f>
        <v/>
      </c>
      <c r="S322" s="150">
        <f>IF(AND($I322&lt;&gt;"",$I322&gt;=TODAY(),$I322&lt;=TODAY()+7),"Due This Week","")</f>
        <v/>
      </c>
      <c r="T322" s="150">
        <f>IF(AND($H322&lt;&gt;"",$M322&lt;=VLOOKUP(Home!$C$7,Lists!$N$2:$O$6,2,FALSE)),$H322&amp;" Task","")</f>
        <v/>
      </c>
      <c r="U322" s="150">
        <f>IF($G322=Home!$E$7,"Fits Current Energy","")</f>
        <v/>
      </c>
      <c r="V322" s="150">
        <f>IF($Q322&lt;&gt;""," • "&amp;$Q322,"")&amp;IF($R322&lt;&gt;""," • "&amp;$R322,"")&amp;IF($S322&lt;&gt;""," • "&amp;$S322,"")&amp;IF($T322&lt;&gt;""," • "&amp;$T322,"")&amp;IF($U322&lt;&gt;""," • "&amp;$U322,"")&amp;" • No Blockers"</f>
        <v/>
      </c>
    </row>
    <row r="323">
      <c r="A323" s="19" t="n"/>
      <c r="B323" s="19" t="n"/>
      <c r="C323" s="19" t="n"/>
      <c r="D323" s="19" t="n"/>
      <c r="E323" s="19" t="n"/>
      <c r="F323" s="19" t="n"/>
      <c r="G323" s="19" t="n"/>
      <c r="H323" s="19" t="n"/>
      <c r="I323" s="19" t="n"/>
      <c r="J323" s="19" t="n"/>
      <c r="K323" s="19" t="n"/>
      <c r="L323" s="125" t="n"/>
      <c r="M323" s="88">
        <f>IF($D323="","",IFERROR(VLOOKUP($H323,Lists!$N$2:$O$6,2,FALSE),0))</f>
        <v/>
      </c>
      <c r="N323" s="88">
        <f>IF($D323="","",IF(OR($E323="Blocked",$E323="Done",$E323="Archive"),-9999,IF(AND($E323="Waiting",SUMPRODUCT((($E$5:$E$500="Next")+($E$5:$E$500="In Progress")+($E$5:$E$500="Captured"))*($D$5:$D$500&lt;&gt;""))&gt;0),-500,VLOOKUP($F323,Lists!$L$2:$M$4,2,FALSE)+IF($E323="In Progress",10,0)+IF(AND($I323&lt;&gt;"",$I323&lt;TODAY()),25,0)+IF(AND($I323&lt;&gt;"",$I323&gt;=TODAY(),$I323&lt;=TODAY()+7),15,0)+IF($H323="",0,IF($M323&lt;=VLOOKUP(Home!$C$7,Lists!$N$2:$O$6,2,FALSE),20,-10))+IF($G323=Home!$E$7,15,IF(Home!$E$7="",0,-5))-ROW()/100000)))</f>
        <v/>
      </c>
      <c r="O323" s="88">
        <f>IF($D323="","",IF($N323&lt;=-500,"Not recommended right now",IF($E323="Waiting","Nothing else actionable right now — Waiting on: "&amp;IF($K323="","this item",$K323),MID($V323,4,9999))))</f>
        <v/>
      </c>
      <c r="P323" s="88">
        <f>IF($D323="","",IF('Task Finder'!$C$6="High Priority",AND($F323="High",$E323&lt;&gt;"Done",$E323&lt;&gt;"Archive"),IF('Task Finder'!$C$6="Due This Week",AND($I323&lt;&gt;"",$I323&gt;=TODAY(),$I323&lt;=TODAY()+7,$E323&lt;&gt;"Done"),IF('Task Finder'!$C$6="Quick Wins (15 mins or less)",AND($M323&lt;=15,$E323&lt;&gt;"Done",$E323&lt;&gt;"Blocked"),IF('Task Finder'!$C$6="Deep Thinking",AND($G323="Deep Thinking",$E323&lt;&gt;"Done"),IF('Task Finder'!$C$6="Processing",AND($G323="Processing",$E323&lt;&gt;"Done"),IF('Task Finder'!$C$6="Blocked",$E323="Blocked",IF('Task Finder'!$C$6="Waiting",$E323="Waiting",IF('Task Finder'!$C$6="Recently Updated",AND($L323&lt;&gt;"",$L323&gt;=TODAY()-7),IF('Task Finder'!$C$6="Keyword",AND('Task Finder'!$C$7&lt;&gt;"",OR(ISNUMBER(SEARCH('Task Finder'!$C$7,$A323)),ISNUMBER(SEARCH('Task Finder'!$C$7,$B323)),ISNUMBER(SEARCH('Task Finder'!$C$7,$C323)),ISNUMBER(SEARCH('Task Finder'!$C$7,$D323)),ISNUMBER(SEARCH('Task Finder'!$C$7,$K323)))),TRUE))))))))))</f>
        <v/>
      </c>
      <c r="Q323" s="150">
        <f>IF($F323="High","High Priority","")</f>
        <v/>
      </c>
      <c r="R323" s="150">
        <f>IF(AND($I323&lt;&gt;"",$I323&lt;TODAY()),"Overdue","")</f>
        <v/>
      </c>
      <c r="S323" s="150">
        <f>IF(AND($I323&lt;&gt;"",$I323&gt;=TODAY(),$I323&lt;=TODAY()+7),"Due This Week","")</f>
        <v/>
      </c>
      <c r="T323" s="150">
        <f>IF(AND($H323&lt;&gt;"",$M323&lt;=VLOOKUP(Home!$C$7,Lists!$N$2:$O$6,2,FALSE)),$H323&amp;" Task","")</f>
        <v/>
      </c>
      <c r="U323" s="150">
        <f>IF($G323=Home!$E$7,"Fits Current Energy","")</f>
        <v/>
      </c>
      <c r="V323" s="150">
        <f>IF($Q323&lt;&gt;""," • "&amp;$Q323,"")&amp;IF($R323&lt;&gt;""," • "&amp;$R323,"")&amp;IF($S323&lt;&gt;""," • "&amp;$S323,"")&amp;IF($T323&lt;&gt;""," • "&amp;$T323,"")&amp;IF($U323&lt;&gt;""," • "&amp;$U323,"")&amp;" • No Blockers"</f>
        <v/>
      </c>
    </row>
    <row r="324">
      <c r="A324" s="19" t="n"/>
      <c r="B324" s="19" t="n"/>
      <c r="C324" s="19" t="n"/>
      <c r="D324" s="19" t="n"/>
      <c r="E324" s="19" t="n"/>
      <c r="F324" s="19" t="n"/>
      <c r="G324" s="19" t="n"/>
      <c r="H324" s="19" t="n"/>
      <c r="I324" s="19" t="n"/>
      <c r="J324" s="19" t="n"/>
      <c r="K324" s="19" t="n"/>
      <c r="L324" s="125" t="n"/>
      <c r="M324" s="88">
        <f>IF($D324="","",IFERROR(VLOOKUP($H324,Lists!$N$2:$O$6,2,FALSE),0))</f>
        <v/>
      </c>
      <c r="N324" s="88">
        <f>IF($D324="","",IF(OR($E324="Blocked",$E324="Done",$E324="Archive"),-9999,IF(AND($E324="Waiting",SUMPRODUCT((($E$5:$E$500="Next")+($E$5:$E$500="In Progress")+($E$5:$E$500="Captured"))*($D$5:$D$500&lt;&gt;""))&gt;0),-500,VLOOKUP($F324,Lists!$L$2:$M$4,2,FALSE)+IF($E324="In Progress",10,0)+IF(AND($I324&lt;&gt;"",$I324&lt;TODAY()),25,0)+IF(AND($I324&lt;&gt;"",$I324&gt;=TODAY(),$I324&lt;=TODAY()+7),15,0)+IF($H324="",0,IF($M324&lt;=VLOOKUP(Home!$C$7,Lists!$N$2:$O$6,2,FALSE),20,-10))+IF($G324=Home!$E$7,15,IF(Home!$E$7="",0,-5))-ROW()/100000)))</f>
        <v/>
      </c>
      <c r="O324" s="88">
        <f>IF($D324="","",IF($N324&lt;=-500,"Not recommended right now",IF($E324="Waiting","Nothing else actionable right now — Waiting on: "&amp;IF($K324="","this item",$K324),MID($V324,4,9999))))</f>
        <v/>
      </c>
      <c r="P324" s="88">
        <f>IF($D324="","",IF('Task Finder'!$C$6="High Priority",AND($F324="High",$E324&lt;&gt;"Done",$E324&lt;&gt;"Archive"),IF('Task Finder'!$C$6="Due This Week",AND($I324&lt;&gt;"",$I324&gt;=TODAY(),$I324&lt;=TODAY()+7,$E324&lt;&gt;"Done"),IF('Task Finder'!$C$6="Quick Wins (15 mins or less)",AND($M324&lt;=15,$E324&lt;&gt;"Done",$E324&lt;&gt;"Blocked"),IF('Task Finder'!$C$6="Deep Thinking",AND($G324="Deep Thinking",$E324&lt;&gt;"Done"),IF('Task Finder'!$C$6="Processing",AND($G324="Processing",$E324&lt;&gt;"Done"),IF('Task Finder'!$C$6="Blocked",$E324="Blocked",IF('Task Finder'!$C$6="Waiting",$E324="Waiting",IF('Task Finder'!$C$6="Recently Updated",AND($L324&lt;&gt;"",$L324&gt;=TODAY()-7),IF('Task Finder'!$C$6="Keyword",AND('Task Finder'!$C$7&lt;&gt;"",OR(ISNUMBER(SEARCH('Task Finder'!$C$7,$A324)),ISNUMBER(SEARCH('Task Finder'!$C$7,$B324)),ISNUMBER(SEARCH('Task Finder'!$C$7,$C324)),ISNUMBER(SEARCH('Task Finder'!$C$7,$D324)),ISNUMBER(SEARCH('Task Finder'!$C$7,$K324)))),TRUE))))))))))</f>
        <v/>
      </c>
      <c r="Q324" s="150">
        <f>IF($F324="High","High Priority","")</f>
        <v/>
      </c>
      <c r="R324" s="150">
        <f>IF(AND($I324&lt;&gt;"",$I324&lt;TODAY()),"Overdue","")</f>
        <v/>
      </c>
      <c r="S324" s="150">
        <f>IF(AND($I324&lt;&gt;"",$I324&gt;=TODAY(),$I324&lt;=TODAY()+7),"Due This Week","")</f>
        <v/>
      </c>
      <c r="T324" s="150">
        <f>IF(AND($H324&lt;&gt;"",$M324&lt;=VLOOKUP(Home!$C$7,Lists!$N$2:$O$6,2,FALSE)),$H324&amp;" Task","")</f>
        <v/>
      </c>
      <c r="U324" s="150">
        <f>IF($G324=Home!$E$7,"Fits Current Energy","")</f>
        <v/>
      </c>
      <c r="V324" s="150">
        <f>IF($Q324&lt;&gt;""," • "&amp;$Q324,"")&amp;IF($R324&lt;&gt;""," • "&amp;$R324,"")&amp;IF($S324&lt;&gt;""," • "&amp;$S324,"")&amp;IF($T324&lt;&gt;""," • "&amp;$T324,"")&amp;IF($U324&lt;&gt;""," • "&amp;$U324,"")&amp;" • No Blockers"</f>
        <v/>
      </c>
    </row>
    <row r="325">
      <c r="A325" s="19" t="n"/>
      <c r="B325" s="19" t="n"/>
      <c r="C325" s="19" t="n"/>
      <c r="D325" s="19" t="n"/>
      <c r="E325" s="19" t="n"/>
      <c r="F325" s="19" t="n"/>
      <c r="G325" s="19" t="n"/>
      <c r="H325" s="19" t="n"/>
      <c r="I325" s="19" t="n"/>
      <c r="J325" s="19" t="n"/>
      <c r="K325" s="19" t="n"/>
      <c r="L325" s="125" t="n"/>
      <c r="M325" s="88">
        <f>IF($D325="","",IFERROR(VLOOKUP($H325,Lists!$N$2:$O$6,2,FALSE),0))</f>
        <v/>
      </c>
      <c r="N325" s="88">
        <f>IF($D325="","",IF(OR($E325="Blocked",$E325="Done",$E325="Archive"),-9999,IF(AND($E325="Waiting",SUMPRODUCT((($E$5:$E$500="Next")+($E$5:$E$500="In Progress")+($E$5:$E$500="Captured"))*($D$5:$D$500&lt;&gt;""))&gt;0),-500,VLOOKUP($F325,Lists!$L$2:$M$4,2,FALSE)+IF($E325="In Progress",10,0)+IF(AND($I325&lt;&gt;"",$I325&lt;TODAY()),25,0)+IF(AND($I325&lt;&gt;"",$I325&gt;=TODAY(),$I325&lt;=TODAY()+7),15,0)+IF($H325="",0,IF($M325&lt;=VLOOKUP(Home!$C$7,Lists!$N$2:$O$6,2,FALSE),20,-10))+IF($G325=Home!$E$7,15,IF(Home!$E$7="",0,-5))-ROW()/100000)))</f>
        <v/>
      </c>
      <c r="O325" s="88">
        <f>IF($D325="","",IF($N325&lt;=-500,"Not recommended right now",IF($E325="Waiting","Nothing else actionable right now — Waiting on: "&amp;IF($K325="","this item",$K325),MID($V325,4,9999))))</f>
        <v/>
      </c>
      <c r="P325" s="88">
        <f>IF($D325="","",IF('Task Finder'!$C$6="High Priority",AND($F325="High",$E325&lt;&gt;"Done",$E325&lt;&gt;"Archive"),IF('Task Finder'!$C$6="Due This Week",AND($I325&lt;&gt;"",$I325&gt;=TODAY(),$I325&lt;=TODAY()+7,$E325&lt;&gt;"Done"),IF('Task Finder'!$C$6="Quick Wins (15 mins or less)",AND($M325&lt;=15,$E325&lt;&gt;"Done",$E325&lt;&gt;"Blocked"),IF('Task Finder'!$C$6="Deep Thinking",AND($G325="Deep Thinking",$E325&lt;&gt;"Done"),IF('Task Finder'!$C$6="Processing",AND($G325="Processing",$E325&lt;&gt;"Done"),IF('Task Finder'!$C$6="Blocked",$E325="Blocked",IF('Task Finder'!$C$6="Waiting",$E325="Waiting",IF('Task Finder'!$C$6="Recently Updated",AND($L325&lt;&gt;"",$L325&gt;=TODAY()-7),IF('Task Finder'!$C$6="Keyword",AND('Task Finder'!$C$7&lt;&gt;"",OR(ISNUMBER(SEARCH('Task Finder'!$C$7,$A325)),ISNUMBER(SEARCH('Task Finder'!$C$7,$B325)),ISNUMBER(SEARCH('Task Finder'!$C$7,$C325)),ISNUMBER(SEARCH('Task Finder'!$C$7,$D325)),ISNUMBER(SEARCH('Task Finder'!$C$7,$K325)))),TRUE))))))))))</f>
        <v/>
      </c>
      <c r="Q325" s="150">
        <f>IF($F325="High","High Priority","")</f>
        <v/>
      </c>
      <c r="R325" s="150">
        <f>IF(AND($I325&lt;&gt;"",$I325&lt;TODAY()),"Overdue","")</f>
        <v/>
      </c>
      <c r="S325" s="150">
        <f>IF(AND($I325&lt;&gt;"",$I325&gt;=TODAY(),$I325&lt;=TODAY()+7),"Due This Week","")</f>
        <v/>
      </c>
      <c r="T325" s="150">
        <f>IF(AND($H325&lt;&gt;"",$M325&lt;=VLOOKUP(Home!$C$7,Lists!$N$2:$O$6,2,FALSE)),$H325&amp;" Task","")</f>
        <v/>
      </c>
      <c r="U325" s="150">
        <f>IF($G325=Home!$E$7,"Fits Current Energy","")</f>
        <v/>
      </c>
      <c r="V325" s="150">
        <f>IF($Q325&lt;&gt;""," • "&amp;$Q325,"")&amp;IF($R325&lt;&gt;""," • "&amp;$R325,"")&amp;IF($S325&lt;&gt;""," • "&amp;$S325,"")&amp;IF($T325&lt;&gt;""," • "&amp;$T325,"")&amp;IF($U325&lt;&gt;""," • "&amp;$U325,"")&amp;" • No Blockers"</f>
        <v/>
      </c>
    </row>
    <row r="326">
      <c r="A326" s="19" t="n"/>
      <c r="B326" s="19" t="n"/>
      <c r="C326" s="19" t="n"/>
      <c r="D326" s="19" t="n"/>
      <c r="E326" s="19" t="n"/>
      <c r="F326" s="19" t="n"/>
      <c r="G326" s="19" t="n"/>
      <c r="H326" s="19" t="n"/>
      <c r="I326" s="19" t="n"/>
      <c r="J326" s="19" t="n"/>
      <c r="K326" s="19" t="n"/>
      <c r="L326" s="125" t="n"/>
      <c r="M326" s="88">
        <f>IF($D326="","",IFERROR(VLOOKUP($H326,Lists!$N$2:$O$6,2,FALSE),0))</f>
        <v/>
      </c>
      <c r="N326" s="88">
        <f>IF($D326="","",IF(OR($E326="Blocked",$E326="Done",$E326="Archive"),-9999,IF(AND($E326="Waiting",SUMPRODUCT((($E$5:$E$500="Next")+($E$5:$E$500="In Progress")+($E$5:$E$500="Captured"))*($D$5:$D$500&lt;&gt;""))&gt;0),-500,VLOOKUP($F326,Lists!$L$2:$M$4,2,FALSE)+IF($E326="In Progress",10,0)+IF(AND($I326&lt;&gt;"",$I326&lt;TODAY()),25,0)+IF(AND($I326&lt;&gt;"",$I326&gt;=TODAY(),$I326&lt;=TODAY()+7),15,0)+IF($H326="",0,IF($M326&lt;=VLOOKUP(Home!$C$7,Lists!$N$2:$O$6,2,FALSE),20,-10))+IF($G326=Home!$E$7,15,IF(Home!$E$7="",0,-5))-ROW()/100000)))</f>
        <v/>
      </c>
      <c r="O326" s="88">
        <f>IF($D326="","",IF($N326&lt;=-500,"Not recommended right now",IF($E326="Waiting","Nothing else actionable right now — Waiting on: "&amp;IF($K326="","this item",$K326),MID($V326,4,9999))))</f>
        <v/>
      </c>
      <c r="P326" s="88">
        <f>IF($D326="","",IF('Task Finder'!$C$6="High Priority",AND($F326="High",$E326&lt;&gt;"Done",$E326&lt;&gt;"Archive"),IF('Task Finder'!$C$6="Due This Week",AND($I326&lt;&gt;"",$I326&gt;=TODAY(),$I326&lt;=TODAY()+7,$E326&lt;&gt;"Done"),IF('Task Finder'!$C$6="Quick Wins (15 mins or less)",AND($M326&lt;=15,$E326&lt;&gt;"Done",$E326&lt;&gt;"Blocked"),IF('Task Finder'!$C$6="Deep Thinking",AND($G326="Deep Thinking",$E326&lt;&gt;"Done"),IF('Task Finder'!$C$6="Processing",AND($G326="Processing",$E326&lt;&gt;"Done"),IF('Task Finder'!$C$6="Blocked",$E326="Blocked",IF('Task Finder'!$C$6="Waiting",$E326="Waiting",IF('Task Finder'!$C$6="Recently Updated",AND($L326&lt;&gt;"",$L326&gt;=TODAY()-7),IF('Task Finder'!$C$6="Keyword",AND('Task Finder'!$C$7&lt;&gt;"",OR(ISNUMBER(SEARCH('Task Finder'!$C$7,$A326)),ISNUMBER(SEARCH('Task Finder'!$C$7,$B326)),ISNUMBER(SEARCH('Task Finder'!$C$7,$C326)),ISNUMBER(SEARCH('Task Finder'!$C$7,$D326)),ISNUMBER(SEARCH('Task Finder'!$C$7,$K326)))),TRUE))))))))))</f>
        <v/>
      </c>
      <c r="Q326" s="150">
        <f>IF($F326="High","High Priority","")</f>
        <v/>
      </c>
      <c r="R326" s="150">
        <f>IF(AND($I326&lt;&gt;"",$I326&lt;TODAY()),"Overdue","")</f>
        <v/>
      </c>
      <c r="S326" s="150">
        <f>IF(AND($I326&lt;&gt;"",$I326&gt;=TODAY(),$I326&lt;=TODAY()+7),"Due This Week","")</f>
        <v/>
      </c>
      <c r="T326" s="150">
        <f>IF(AND($H326&lt;&gt;"",$M326&lt;=VLOOKUP(Home!$C$7,Lists!$N$2:$O$6,2,FALSE)),$H326&amp;" Task","")</f>
        <v/>
      </c>
      <c r="U326" s="150">
        <f>IF($G326=Home!$E$7,"Fits Current Energy","")</f>
        <v/>
      </c>
      <c r="V326" s="150">
        <f>IF($Q326&lt;&gt;""," • "&amp;$Q326,"")&amp;IF($R326&lt;&gt;""," • "&amp;$R326,"")&amp;IF($S326&lt;&gt;""," • "&amp;$S326,"")&amp;IF($T326&lt;&gt;""," • "&amp;$T326,"")&amp;IF($U326&lt;&gt;""," • "&amp;$U326,"")&amp;" • No Blockers"</f>
        <v/>
      </c>
    </row>
    <row r="327">
      <c r="A327" s="19" t="n"/>
      <c r="B327" s="19" t="n"/>
      <c r="C327" s="19" t="n"/>
      <c r="D327" s="19" t="n"/>
      <c r="E327" s="19" t="n"/>
      <c r="F327" s="19" t="n"/>
      <c r="G327" s="19" t="n"/>
      <c r="H327" s="19" t="n"/>
      <c r="I327" s="19" t="n"/>
      <c r="J327" s="19" t="n"/>
      <c r="K327" s="19" t="n"/>
      <c r="L327" s="125" t="n"/>
      <c r="M327" s="88">
        <f>IF($D327="","",IFERROR(VLOOKUP($H327,Lists!$N$2:$O$6,2,FALSE),0))</f>
        <v/>
      </c>
      <c r="N327" s="88">
        <f>IF($D327="","",IF(OR($E327="Blocked",$E327="Done",$E327="Archive"),-9999,IF(AND($E327="Waiting",SUMPRODUCT((($E$5:$E$500="Next")+($E$5:$E$500="In Progress")+($E$5:$E$500="Captured"))*($D$5:$D$500&lt;&gt;""))&gt;0),-500,VLOOKUP($F327,Lists!$L$2:$M$4,2,FALSE)+IF($E327="In Progress",10,0)+IF(AND($I327&lt;&gt;"",$I327&lt;TODAY()),25,0)+IF(AND($I327&lt;&gt;"",$I327&gt;=TODAY(),$I327&lt;=TODAY()+7),15,0)+IF($H327="",0,IF($M327&lt;=VLOOKUP(Home!$C$7,Lists!$N$2:$O$6,2,FALSE),20,-10))+IF($G327=Home!$E$7,15,IF(Home!$E$7="",0,-5))-ROW()/100000)))</f>
        <v/>
      </c>
      <c r="O327" s="88">
        <f>IF($D327="","",IF($N327&lt;=-500,"Not recommended right now",IF($E327="Waiting","Nothing else actionable right now — Waiting on: "&amp;IF($K327="","this item",$K327),MID($V327,4,9999))))</f>
        <v/>
      </c>
      <c r="P327" s="88">
        <f>IF($D327="","",IF('Task Finder'!$C$6="High Priority",AND($F327="High",$E327&lt;&gt;"Done",$E327&lt;&gt;"Archive"),IF('Task Finder'!$C$6="Due This Week",AND($I327&lt;&gt;"",$I327&gt;=TODAY(),$I327&lt;=TODAY()+7,$E327&lt;&gt;"Done"),IF('Task Finder'!$C$6="Quick Wins (15 mins or less)",AND($M327&lt;=15,$E327&lt;&gt;"Done",$E327&lt;&gt;"Blocked"),IF('Task Finder'!$C$6="Deep Thinking",AND($G327="Deep Thinking",$E327&lt;&gt;"Done"),IF('Task Finder'!$C$6="Processing",AND($G327="Processing",$E327&lt;&gt;"Done"),IF('Task Finder'!$C$6="Blocked",$E327="Blocked",IF('Task Finder'!$C$6="Waiting",$E327="Waiting",IF('Task Finder'!$C$6="Recently Updated",AND($L327&lt;&gt;"",$L327&gt;=TODAY()-7),IF('Task Finder'!$C$6="Keyword",AND('Task Finder'!$C$7&lt;&gt;"",OR(ISNUMBER(SEARCH('Task Finder'!$C$7,$A327)),ISNUMBER(SEARCH('Task Finder'!$C$7,$B327)),ISNUMBER(SEARCH('Task Finder'!$C$7,$C327)),ISNUMBER(SEARCH('Task Finder'!$C$7,$D327)),ISNUMBER(SEARCH('Task Finder'!$C$7,$K327)))),TRUE))))))))))</f>
        <v/>
      </c>
      <c r="Q327" s="150">
        <f>IF($F327="High","High Priority","")</f>
        <v/>
      </c>
      <c r="R327" s="150">
        <f>IF(AND($I327&lt;&gt;"",$I327&lt;TODAY()),"Overdue","")</f>
        <v/>
      </c>
      <c r="S327" s="150">
        <f>IF(AND($I327&lt;&gt;"",$I327&gt;=TODAY(),$I327&lt;=TODAY()+7),"Due This Week","")</f>
        <v/>
      </c>
      <c r="T327" s="150">
        <f>IF(AND($H327&lt;&gt;"",$M327&lt;=VLOOKUP(Home!$C$7,Lists!$N$2:$O$6,2,FALSE)),$H327&amp;" Task","")</f>
        <v/>
      </c>
      <c r="U327" s="150">
        <f>IF($G327=Home!$E$7,"Fits Current Energy","")</f>
        <v/>
      </c>
      <c r="V327" s="150">
        <f>IF($Q327&lt;&gt;""," • "&amp;$Q327,"")&amp;IF($R327&lt;&gt;""," • "&amp;$R327,"")&amp;IF($S327&lt;&gt;""," • "&amp;$S327,"")&amp;IF($T327&lt;&gt;""," • "&amp;$T327,"")&amp;IF($U327&lt;&gt;""," • "&amp;$U327,"")&amp;" • No Blockers"</f>
        <v/>
      </c>
    </row>
    <row r="328">
      <c r="A328" s="19" t="n"/>
      <c r="B328" s="19" t="n"/>
      <c r="C328" s="19" t="n"/>
      <c r="D328" s="19" t="n"/>
      <c r="E328" s="19" t="n"/>
      <c r="F328" s="19" t="n"/>
      <c r="G328" s="19" t="n"/>
      <c r="H328" s="19" t="n"/>
      <c r="I328" s="19" t="n"/>
      <c r="J328" s="19" t="n"/>
      <c r="K328" s="19" t="n"/>
      <c r="L328" s="125" t="n"/>
      <c r="M328" s="88">
        <f>IF($D328="","",IFERROR(VLOOKUP($H328,Lists!$N$2:$O$6,2,FALSE),0))</f>
        <v/>
      </c>
      <c r="N328" s="88">
        <f>IF($D328="","",IF(OR($E328="Blocked",$E328="Done",$E328="Archive"),-9999,IF(AND($E328="Waiting",SUMPRODUCT((($E$5:$E$500="Next")+($E$5:$E$500="In Progress")+($E$5:$E$500="Captured"))*($D$5:$D$500&lt;&gt;""))&gt;0),-500,VLOOKUP($F328,Lists!$L$2:$M$4,2,FALSE)+IF($E328="In Progress",10,0)+IF(AND($I328&lt;&gt;"",$I328&lt;TODAY()),25,0)+IF(AND($I328&lt;&gt;"",$I328&gt;=TODAY(),$I328&lt;=TODAY()+7),15,0)+IF($H328="",0,IF($M328&lt;=VLOOKUP(Home!$C$7,Lists!$N$2:$O$6,2,FALSE),20,-10))+IF($G328=Home!$E$7,15,IF(Home!$E$7="",0,-5))-ROW()/100000)))</f>
        <v/>
      </c>
      <c r="O328" s="88">
        <f>IF($D328="","",IF($N328&lt;=-500,"Not recommended right now",IF($E328="Waiting","Nothing else actionable right now — Waiting on: "&amp;IF($K328="","this item",$K328),MID($V328,4,9999))))</f>
        <v/>
      </c>
      <c r="P328" s="88">
        <f>IF($D328="","",IF('Task Finder'!$C$6="High Priority",AND($F328="High",$E328&lt;&gt;"Done",$E328&lt;&gt;"Archive"),IF('Task Finder'!$C$6="Due This Week",AND($I328&lt;&gt;"",$I328&gt;=TODAY(),$I328&lt;=TODAY()+7,$E328&lt;&gt;"Done"),IF('Task Finder'!$C$6="Quick Wins (15 mins or less)",AND($M328&lt;=15,$E328&lt;&gt;"Done",$E328&lt;&gt;"Blocked"),IF('Task Finder'!$C$6="Deep Thinking",AND($G328="Deep Thinking",$E328&lt;&gt;"Done"),IF('Task Finder'!$C$6="Processing",AND($G328="Processing",$E328&lt;&gt;"Done"),IF('Task Finder'!$C$6="Blocked",$E328="Blocked",IF('Task Finder'!$C$6="Waiting",$E328="Waiting",IF('Task Finder'!$C$6="Recently Updated",AND($L328&lt;&gt;"",$L328&gt;=TODAY()-7),IF('Task Finder'!$C$6="Keyword",AND('Task Finder'!$C$7&lt;&gt;"",OR(ISNUMBER(SEARCH('Task Finder'!$C$7,$A328)),ISNUMBER(SEARCH('Task Finder'!$C$7,$B328)),ISNUMBER(SEARCH('Task Finder'!$C$7,$C328)),ISNUMBER(SEARCH('Task Finder'!$C$7,$D328)),ISNUMBER(SEARCH('Task Finder'!$C$7,$K328)))),TRUE))))))))))</f>
        <v/>
      </c>
      <c r="Q328" s="150">
        <f>IF($F328="High","High Priority","")</f>
        <v/>
      </c>
      <c r="R328" s="150">
        <f>IF(AND($I328&lt;&gt;"",$I328&lt;TODAY()),"Overdue","")</f>
        <v/>
      </c>
      <c r="S328" s="150">
        <f>IF(AND($I328&lt;&gt;"",$I328&gt;=TODAY(),$I328&lt;=TODAY()+7),"Due This Week","")</f>
        <v/>
      </c>
      <c r="T328" s="150">
        <f>IF(AND($H328&lt;&gt;"",$M328&lt;=VLOOKUP(Home!$C$7,Lists!$N$2:$O$6,2,FALSE)),$H328&amp;" Task","")</f>
        <v/>
      </c>
      <c r="U328" s="150">
        <f>IF($G328=Home!$E$7,"Fits Current Energy","")</f>
        <v/>
      </c>
      <c r="V328" s="150">
        <f>IF($Q328&lt;&gt;""," • "&amp;$Q328,"")&amp;IF($R328&lt;&gt;""," • "&amp;$R328,"")&amp;IF($S328&lt;&gt;""," • "&amp;$S328,"")&amp;IF($T328&lt;&gt;""," • "&amp;$T328,"")&amp;IF($U328&lt;&gt;""," • "&amp;$U328,"")&amp;" • No Blockers"</f>
        <v/>
      </c>
    </row>
    <row r="329">
      <c r="A329" s="19" t="n"/>
      <c r="B329" s="19" t="n"/>
      <c r="C329" s="19" t="n"/>
      <c r="D329" s="19" t="n"/>
      <c r="E329" s="19" t="n"/>
      <c r="F329" s="19" t="n"/>
      <c r="G329" s="19" t="n"/>
      <c r="H329" s="19" t="n"/>
      <c r="I329" s="19" t="n"/>
      <c r="J329" s="19" t="n"/>
      <c r="K329" s="19" t="n"/>
      <c r="L329" s="125" t="n"/>
      <c r="M329" s="88">
        <f>IF($D329="","",IFERROR(VLOOKUP($H329,Lists!$N$2:$O$6,2,FALSE),0))</f>
        <v/>
      </c>
      <c r="N329" s="88">
        <f>IF($D329="","",IF(OR($E329="Blocked",$E329="Done",$E329="Archive"),-9999,IF(AND($E329="Waiting",SUMPRODUCT((($E$5:$E$500="Next")+($E$5:$E$500="In Progress")+($E$5:$E$500="Captured"))*($D$5:$D$500&lt;&gt;""))&gt;0),-500,VLOOKUP($F329,Lists!$L$2:$M$4,2,FALSE)+IF($E329="In Progress",10,0)+IF(AND($I329&lt;&gt;"",$I329&lt;TODAY()),25,0)+IF(AND($I329&lt;&gt;"",$I329&gt;=TODAY(),$I329&lt;=TODAY()+7),15,0)+IF($H329="",0,IF($M329&lt;=VLOOKUP(Home!$C$7,Lists!$N$2:$O$6,2,FALSE),20,-10))+IF($G329=Home!$E$7,15,IF(Home!$E$7="",0,-5))-ROW()/100000)))</f>
        <v/>
      </c>
      <c r="O329" s="88">
        <f>IF($D329="","",IF($N329&lt;=-500,"Not recommended right now",IF($E329="Waiting","Nothing else actionable right now — Waiting on: "&amp;IF($K329="","this item",$K329),MID($V329,4,9999))))</f>
        <v/>
      </c>
      <c r="P329" s="88">
        <f>IF($D329="","",IF('Task Finder'!$C$6="High Priority",AND($F329="High",$E329&lt;&gt;"Done",$E329&lt;&gt;"Archive"),IF('Task Finder'!$C$6="Due This Week",AND($I329&lt;&gt;"",$I329&gt;=TODAY(),$I329&lt;=TODAY()+7,$E329&lt;&gt;"Done"),IF('Task Finder'!$C$6="Quick Wins (15 mins or less)",AND($M329&lt;=15,$E329&lt;&gt;"Done",$E329&lt;&gt;"Blocked"),IF('Task Finder'!$C$6="Deep Thinking",AND($G329="Deep Thinking",$E329&lt;&gt;"Done"),IF('Task Finder'!$C$6="Processing",AND($G329="Processing",$E329&lt;&gt;"Done"),IF('Task Finder'!$C$6="Blocked",$E329="Blocked",IF('Task Finder'!$C$6="Waiting",$E329="Waiting",IF('Task Finder'!$C$6="Recently Updated",AND($L329&lt;&gt;"",$L329&gt;=TODAY()-7),IF('Task Finder'!$C$6="Keyword",AND('Task Finder'!$C$7&lt;&gt;"",OR(ISNUMBER(SEARCH('Task Finder'!$C$7,$A329)),ISNUMBER(SEARCH('Task Finder'!$C$7,$B329)),ISNUMBER(SEARCH('Task Finder'!$C$7,$C329)),ISNUMBER(SEARCH('Task Finder'!$C$7,$D329)),ISNUMBER(SEARCH('Task Finder'!$C$7,$K329)))),TRUE))))))))))</f>
        <v/>
      </c>
      <c r="Q329" s="150">
        <f>IF($F329="High","High Priority","")</f>
        <v/>
      </c>
      <c r="R329" s="150">
        <f>IF(AND($I329&lt;&gt;"",$I329&lt;TODAY()),"Overdue","")</f>
        <v/>
      </c>
      <c r="S329" s="150">
        <f>IF(AND($I329&lt;&gt;"",$I329&gt;=TODAY(),$I329&lt;=TODAY()+7),"Due This Week","")</f>
        <v/>
      </c>
      <c r="T329" s="150">
        <f>IF(AND($H329&lt;&gt;"",$M329&lt;=VLOOKUP(Home!$C$7,Lists!$N$2:$O$6,2,FALSE)),$H329&amp;" Task","")</f>
        <v/>
      </c>
      <c r="U329" s="150">
        <f>IF($G329=Home!$E$7,"Fits Current Energy","")</f>
        <v/>
      </c>
      <c r="V329" s="150">
        <f>IF($Q329&lt;&gt;""," • "&amp;$Q329,"")&amp;IF($R329&lt;&gt;""," • "&amp;$R329,"")&amp;IF($S329&lt;&gt;""," • "&amp;$S329,"")&amp;IF($T329&lt;&gt;""," • "&amp;$T329,"")&amp;IF($U329&lt;&gt;""," • "&amp;$U329,"")&amp;" • No Blockers"</f>
        <v/>
      </c>
    </row>
    <row r="330">
      <c r="A330" s="19" t="n"/>
      <c r="B330" s="19" t="n"/>
      <c r="C330" s="19" t="n"/>
      <c r="D330" s="19" t="n"/>
      <c r="E330" s="19" t="n"/>
      <c r="F330" s="19" t="n"/>
      <c r="G330" s="19" t="n"/>
      <c r="H330" s="19" t="n"/>
      <c r="I330" s="19" t="n"/>
      <c r="J330" s="19" t="n"/>
      <c r="K330" s="19" t="n"/>
      <c r="L330" s="125" t="n"/>
      <c r="M330" s="88">
        <f>IF($D330="","",IFERROR(VLOOKUP($H330,Lists!$N$2:$O$6,2,FALSE),0))</f>
        <v/>
      </c>
      <c r="N330" s="88">
        <f>IF($D330="","",IF(OR($E330="Blocked",$E330="Done",$E330="Archive"),-9999,IF(AND($E330="Waiting",SUMPRODUCT((($E$5:$E$500="Next")+($E$5:$E$500="In Progress")+($E$5:$E$500="Captured"))*($D$5:$D$500&lt;&gt;""))&gt;0),-500,VLOOKUP($F330,Lists!$L$2:$M$4,2,FALSE)+IF($E330="In Progress",10,0)+IF(AND($I330&lt;&gt;"",$I330&lt;TODAY()),25,0)+IF(AND($I330&lt;&gt;"",$I330&gt;=TODAY(),$I330&lt;=TODAY()+7),15,0)+IF($H330="",0,IF($M330&lt;=VLOOKUP(Home!$C$7,Lists!$N$2:$O$6,2,FALSE),20,-10))+IF($G330=Home!$E$7,15,IF(Home!$E$7="",0,-5))-ROW()/100000)))</f>
        <v/>
      </c>
      <c r="O330" s="88">
        <f>IF($D330="","",IF($N330&lt;=-500,"Not recommended right now",IF($E330="Waiting","Nothing else actionable right now — Waiting on: "&amp;IF($K330="","this item",$K330),MID($V330,4,9999))))</f>
        <v/>
      </c>
      <c r="P330" s="88">
        <f>IF($D330="","",IF('Task Finder'!$C$6="High Priority",AND($F330="High",$E330&lt;&gt;"Done",$E330&lt;&gt;"Archive"),IF('Task Finder'!$C$6="Due This Week",AND($I330&lt;&gt;"",$I330&gt;=TODAY(),$I330&lt;=TODAY()+7,$E330&lt;&gt;"Done"),IF('Task Finder'!$C$6="Quick Wins (15 mins or less)",AND($M330&lt;=15,$E330&lt;&gt;"Done",$E330&lt;&gt;"Blocked"),IF('Task Finder'!$C$6="Deep Thinking",AND($G330="Deep Thinking",$E330&lt;&gt;"Done"),IF('Task Finder'!$C$6="Processing",AND($G330="Processing",$E330&lt;&gt;"Done"),IF('Task Finder'!$C$6="Blocked",$E330="Blocked",IF('Task Finder'!$C$6="Waiting",$E330="Waiting",IF('Task Finder'!$C$6="Recently Updated",AND($L330&lt;&gt;"",$L330&gt;=TODAY()-7),IF('Task Finder'!$C$6="Keyword",AND('Task Finder'!$C$7&lt;&gt;"",OR(ISNUMBER(SEARCH('Task Finder'!$C$7,$A330)),ISNUMBER(SEARCH('Task Finder'!$C$7,$B330)),ISNUMBER(SEARCH('Task Finder'!$C$7,$C330)),ISNUMBER(SEARCH('Task Finder'!$C$7,$D330)),ISNUMBER(SEARCH('Task Finder'!$C$7,$K330)))),TRUE))))))))))</f>
        <v/>
      </c>
      <c r="Q330" s="150">
        <f>IF($F330="High","High Priority","")</f>
        <v/>
      </c>
      <c r="R330" s="150">
        <f>IF(AND($I330&lt;&gt;"",$I330&lt;TODAY()),"Overdue","")</f>
        <v/>
      </c>
      <c r="S330" s="150">
        <f>IF(AND($I330&lt;&gt;"",$I330&gt;=TODAY(),$I330&lt;=TODAY()+7),"Due This Week","")</f>
        <v/>
      </c>
      <c r="T330" s="150">
        <f>IF(AND($H330&lt;&gt;"",$M330&lt;=VLOOKUP(Home!$C$7,Lists!$N$2:$O$6,2,FALSE)),$H330&amp;" Task","")</f>
        <v/>
      </c>
      <c r="U330" s="150">
        <f>IF($G330=Home!$E$7,"Fits Current Energy","")</f>
        <v/>
      </c>
      <c r="V330" s="150">
        <f>IF($Q330&lt;&gt;""," • "&amp;$Q330,"")&amp;IF($R330&lt;&gt;""," • "&amp;$R330,"")&amp;IF($S330&lt;&gt;""," • "&amp;$S330,"")&amp;IF($T330&lt;&gt;""," • "&amp;$T330,"")&amp;IF($U330&lt;&gt;""," • "&amp;$U330,"")&amp;" • No Blockers"</f>
        <v/>
      </c>
    </row>
    <row r="331">
      <c r="A331" s="19" t="n"/>
      <c r="B331" s="19" t="n"/>
      <c r="C331" s="19" t="n"/>
      <c r="D331" s="19" t="n"/>
      <c r="E331" s="19" t="n"/>
      <c r="F331" s="19" t="n"/>
      <c r="G331" s="19" t="n"/>
      <c r="H331" s="19" t="n"/>
      <c r="I331" s="19" t="n"/>
      <c r="J331" s="19" t="n"/>
      <c r="K331" s="19" t="n"/>
      <c r="L331" s="125" t="n"/>
      <c r="M331" s="88">
        <f>IF($D331="","",IFERROR(VLOOKUP($H331,Lists!$N$2:$O$6,2,FALSE),0))</f>
        <v/>
      </c>
      <c r="N331" s="88">
        <f>IF($D331="","",IF(OR($E331="Blocked",$E331="Done",$E331="Archive"),-9999,IF(AND($E331="Waiting",SUMPRODUCT((($E$5:$E$500="Next")+($E$5:$E$500="In Progress")+($E$5:$E$500="Captured"))*($D$5:$D$500&lt;&gt;""))&gt;0),-500,VLOOKUP($F331,Lists!$L$2:$M$4,2,FALSE)+IF($E331="In Progress",10,0)+IF(AND($I331&lt;&gt;"",$I331&lt;TODAY()),25,0)+IF(AND($I331&lt;&gt;"",$I331&gt;=TODAY(),$I331&lt;=TODAY()+7),15,0)+IF($H331="",0,IF($M331&lt;=VLOOKUP(Home!$C$7,Lists!$N$2:$O$6,2,FALSE),20,-10))+IF($G331=Home!$E$7,15,IF(Home!$E$7="",0,-5))-ROW()/100000)))</f>
        <v/>
      </c>
      <c r="O331" s="88">
        <f>IF($D331="","",IF($N331&lt;=-500,"Not recommended right now",IF($E331="Waiting","Nothing else actionable right now — Waiting on: "&amp;IF($K331="","this item",$K331),MID($V331,4,9999))))</f>
        <v/>
      </c>
      <c r="P331" s="88">
        <f>IF($D331="","",IF('Task Finder'!$C$6="High Priority",AND($F331="High",$E331&lt;&gt;"Done",$E331&lt;&gt;"Archive"),IF('Task Finder'!$C$6="Due This Week",AND($I331&lt;&gt;"",$I331&gt;=TODAY(),$I331&lt;=TODAY()+7,$E331&lt;&gt;"Done"),IF('Task Finder'!$C$6="Quick Wins (15 mins or less)",AND($M331&lt;=15,$E331&lt;&gt;"Done",$E331&lt;&gt;"Blocked"),IF('Task Finder'!$C$6="Deep Thinking",AND($G331="Deep Thinking",$E331&lt;&gt;"Done"),IF('Task Finder'!$C$6="Processing",AND($G331="Processing",$E331&lt;&gt;"Done"),IF('Task Finder'!$C$6="Blocked",$E331="Blocked",IF('Task Finder'!$C$6="Waiting",$E331="Waiting",IF('Task Finder'!$C$6="Recently Updated",AND($L331&lt;&gt;"",$L331&gt;=TODAY()-7),IF('Task Finder'!$C$6="Keyword",AND('Task Finder'!$C$7&lt;&gt;"",OR(ISNUMBER(SEARCH('Task Finder'!$C$7,$A331)),ISNUMBER(SEARCH('Task Finder'!$C$7,$B331)),ISNUMBER(SEARCH('Task Finder'!$C$7,$C331)),ISNUMBER(SEARCH('Task Finder'!$C$7,$D331)),ISNUMBER(SEARCH('Task Finder'!$C$7,$K331)))),TRUE))))))))))</f>
        <v/>
      </c>
      <c r="Q331" s="150">
        <f>IF($F331="High","High Priority","")</f>
        <v/>
      </c>
      <c r="R331" s="150">
        <f>IF(AND($I331&lt;&gt;"",$I331&lt;TODAY()),"Overdue","")</f>
        <v/>
      </c>
      <c r="S331" s="150">
        <f>IF(AND($I331&lt;&gt;"",$I331&gt;=TODAY(),$I331&lt;=TODAY()+7),"Due This Week","")</f>
        <v/>
      </c>
      <c r="T331" s="150">
        <f>IF(AND($H331&lt;&gt;"",$M331&lt;=VLOOKUP(Home!$C$7,Lists!$N$2:$O$6,2,FALSE)),$H331&amp;" Task","")</f>
        <v/>
      </c>
      <c r="U331" s="150">
        <f>IF($G331=Home!$E$7,"Fits Current Energy","")</f>
        <v/>
      </c>
      <c r="V331" s="150">
        <f>IF($Q331&lt;&gt;""," • "&amp;$Q331,"")&amp;IF($R331&lt;&gt;""," • "&amp;$R331,"")&amp;IF($S331&lt;&gt;""," • "&amp;$S331,"")&amp;IF($T331&lt;&gt;""," • "&amp;$T331,"")&amp;IF($U331&lt;&gt;""," • "&amp;$U331,"")&amp;" • No Blockers"</f>
        <v/>
      </c>
    </row>
    <row r="332">
      <c r="A332" s="19" t="n"/>
      <c r="B332" s="19" t="n"/>
      <c r="C332" s="19" t="n"/>
      <c r="D332" s="19" t="n"/>
      <c r="E332" s="19" t="n"/>
      <c r="F332" s="19" t="n"/>
      <c r="G332" s="19" t="n"/>
      <c r="H332" s="19" t="n"/>
      <c r="I332" s="19" t="n"/>
      <c r="J332" s="19" t="n"/>
      <c r="K332" s="19" t="n"/>
      <c r="L332" s="125" t="n"/>
      <c r="M332" s="88">
        <f>IF($D332="","",IFERROR(VLOOKUP($H332,Lists!$N$2:$O$6,2,FALSE),0))</f>
        <v/>
      </c>
      <c r="N332" s="88">
        <f>IF($D332="","",IF(OR($E332="Blocked",$E332="Done",$E332="Archive"),-9999,IF(AND($E332="Waiting",SUMPRODUCT((($E$5:$E$500="Next")+($E$5:$E$500="In Progress")+($E$5:$E$500="Captured"))*($D$5:$D$500&lt;&gt;""))&gt;0),-500,VLOOKUP($F332,Lists!$L$2:$M$4,2,FALSE)+IF($E332="In Progress",10,0)+IF(AND($I332&lt;&gt;"",$I332&lt;TODAY()),25,0)+IF(AND($I332&lt;&gt;"",$I332&gt;=TODAY(),$I332&lt;=TODAY()+7),15,0)+IF($H332="",0,IF($M332&lt;=VLOOKUP(Home!$C$7,Lists!$N$2:$O$6,2,FALSE),20,-10))+IF($G332=Home!$E$7,15,IF(Home!$E$7="",0,-5))-ROW()/100000)))</f>
        <v/>
      </c>
      <c r="O332" s="88">
        <f>IF($D332="","",IF($N332&lt;=-500,"Not recommended right now",IF($E332="Waiting","Nothing else actionable right now — Waiting on: "&amp;IF($K332="","this item",$K332),MID($V332,4,9999))))</f>
        <v/>
      </c>
      <c r="P332" s="88">
        <f>IF($D332="","",IF('Task Finder'!$C$6="High Priority",AND($F332="High",$E332&lt;&gt;"Done",$E332&lt;&gt;"Archive"),IF('Task Finder'!$C$6="Due This Week",AND($I332&lt;&gt;"",$I332&gt;=TODAY(),$I332&lt;=TODAY()+7,$E332&lt;&gt;"Done"),IF('Task Finder'!$C$6="Quick Wins (15 mins or less)",AND($M332&lt;=15,$E332&lt;&gt;"Done",$E332&lt;&gt;"Blocked"),IF('Task Finder'!$C$6="Deep Thinking",AND($G332="Deep Thinking",$E332&lt;&gt;"Done"),IF('Task Finder'!$C$6="Processing",AND($G332="Processing",$E332&lt;&gt;"Done"),IF('Task Finder'!$C$6="Blocked",$E332="Blocked",IF('Task Finder'!$C$6="Waiting",$E332="Waiting",IF('Task Finder'!$C$6="Recently Updated",AND($L332&lt;&gt;"",$L332&gt;=TODAY()-7),IF('Task Finder'!$C$6="Keyword",AND('Task Finder'!$C$7&lt;&gt;"",OR(ISNUMBER(SEARCH('Task Finder'!$C$7,$A332)),ISNUMBER(SEARCH('Task Finder'!$C$7,$B332)),ISNUMBER(SEARCH('Task Finder'!$C$7,$C332)),ISNUMBER(SEARCH('Task Finder'!$C$7,$D332)),ISNUMBER(SEARCH('Task Finder'!$C$7,$K332)))),TRUE))))))))))</f>
        <v/>
      </c>
      <c r="Q332" s="150">
        <f>IF($F332="High","High Priority","")</f>
        <v/>
      </c>
      <c r="R332" s="150">
        <f>IF(AND($I332&lt;&gt;"",$I332&lt;TODAY()),"Overdue","")</f>
        <v/>
      </c>
      <c r="S332" s="150">
        <f>IF(AND($I332&lt;&gt;"",$I332&gt;=TODAY(),$I332&lt;=TODAY()+7),"Due This Week","")</f>
        <v/>
      </c>
      <c r="T332" s="150">
        <f>IF(AND($H332&lt;&gt;"",$M332&lt;=VLOOKUP(Home!$C$7,Lists!$N$2:$O$6,2,FALSE)),$H332&amp;" Task","")</f>
        <v/>
      </c>
      <c r="U332" s="150">
        <f>IF($G332=Home!$E$7,"Fits Current Energy","")</f>
        <v/>
      </c>
      <c r="V332" s="150">
        <f>IF($Q332&lt;&gt;""," • "&amp;$Q332,"")&amp;IF($R332&lt;&gt;""," • "&amp;$R332,"")&amp;IF($S332&lt;&gt;""," • "&amp;$S332,"")&amp;IF($T332&lt;&gt;""," • "&amp;$T332,"")&amp;IF($U332&lt;&gt;""," • "&amp;$U332,"")&amp;" • No Blockers"</f>
        <v/>
      </c>
    </row>
    <row r="333">
      <c r="A333" s="19" t="n"/>
      <c r="B333" s="19" t="n"/>
      <c r="C333" s="19" t="n"/>
      <c r="D333" s="19" t="n"/>
      <c r="E333" s="19" t="n"/>
      <c r="F333" s="19" t="n"/>
      <c r="G333" s="19" t="n"/>
      <c r="H333" s="19" t="n"/>
      <c r="I333" s="19" t="n"/>
      <c r="J333" s="19" t="n"/>
      <c r="K333" s="19" t="n"/>
      <c r="L333" s="125" t="n"/>
      <c r="M333" s="88">
        <f>IF($D333="","",IFERROR(VLOOKUP($H333,Lists!$N$2:$O$6,2,FALSE),0))</f>
        <v/>
      </c>
      <c r="N333" s="88">
        <f>IF($D333="","",IF(OR($E333="Blocked",$E333="Done",$E333="Archive"),-9999,IF(AND($E333="Waiting",SUMPRODUCT((($E$5:$E$500="Next")+($E$5:$E$500="In Progress")+($E$5:$E$500="Captured"))*($D$5:$D$500&lt;&gt;""))&gt;0),-500,VLOOKUP($F333,Lists!$L$2:$M$4,2,FALSE)+IF($E333="In Progress",10,0)+IF(AND($I333&lt;&gt;"",$I333&lt;TODAY()),25,0)+IF(AND($I333&lt;&gt;"",$I333&gt;=TODAY(),$I333&lt;=TODAY()+7),15,0)+IF($H333="",0,IF($M333&lt;=VLOOKUP(Home!$C$7,Lists!$N$2:$O$6,2,FALSE),20,-10))+IF($G333=Home!$E$7,15,IF(Home!$E$7="",0,-5))-ROW()/100000)))</f>
        <v/>
      </c>
      <c r="O333" s="88">
        <f>IF($D333="","",IF($N333&lt;=-500,"Not recommended right now",IF($E333="Waiting","Nothing else actionable right now — Waiting on: "&amp;IF($K333="","this item",$K333),MID($V333,4,9999))))</f>
        <v/>
      </c>
      <c r="P333" s="88">
        <f>IF($D333="","",IF('Task Finder'!$C$6="High Priority",AND($F333="High",$E333&lt;&gt;"Done",$E333&lt;&gt;"Archive"),IF('Task Finder'!$C$6="Due This Week",AND($I333&lt;&gt;"",$I333&gt;=TODAY(),$I333&lt;=TODAY()+7,$E333&lt;&gt;"Done"),IF('Task Finder'!$C$6="Quick Wins (15 mins or less)",AND($M333&lt;=15,$E333&lt;&gt;"Done",$E333&lt;&gt;"Blocked"),IF('Task Finder'!$C$6="Deep Thinking",AND($G333="Deep Thinking",$E333&lt;&gt;"Done"),IF('Task Finder'!$C$6="Processing",AND($G333="Processing",$E333&lt;&gt;"Done"),IF('Task Finder'!$C$6="Blocked",$E333="Blocked",IF('Task Finder'!$C$6="Waiting",$E333="Waiting",IF('Task Finder'!$C$6="Recently Updated",AND($L333&lt;&gt;"",$L333&gt;=TODAY()-7),IF('Task Finder'!$C$6="Keyword",AND('Task Finder'!$C$7&lt;&gt;"",OR(ISNUMBER(SEARCH('Task Finder'!$C$7,$A333)),ISNUMBER(SEARCH('Task Finder'!$C$7,$B333)),ISNUMBER(SEARCH('Task Finder'!$C$7,$C333)),ISNUMBER(SEARCH('Task Finder'!$C$7,$D333)),ISNUMBER(SEARCH('Task Finder'!$C$7,$K333)))),TRUE))))))))))</f>
        <v/>
      </c>
      <c r="Q333" s="150">
        <f>IF($F333="High","High Priority","")</f>
        <v/>
      </c>
      <c r="R333" s="150">
        <f>IF(AND($I333&lt;&gt;"",$I333&lt;TODAY()),"Overdue","")</f>
        <v/>
      </c>
      <c r="S333" s="150">
        <f>IF(AND($I333&lt;&gt;"",$I333&gt;=TODAY(),$I333&lt;=TODAY()+7),"Due This Week","")</f>
        <v/>
      </c>
      <c r="T333" s="150">
        <f>IF(AND($H333&lt;&gt;"",$M333&lt;=VLOOKUP(Home!$C$7,Lists!$N$2:$O$6,2,FALSE)),$H333&amp;" Task","")</f>
        <v/>
      </c>
      <c r="U333" s="150">
        <f>IF($G333=Home!$E$7,"Fits Current Energy","")</f>
        <v/>
      </c>
      <c r="V333" s="150">
        <f>IF($Q333&lt;&gt;""," • "&amp;$Q333,"")&amp;IF($R333&lt;&gt;""," • "&amp;$R333,"")&amp;IF($S333&lt;&gt;""," • "&amp;$S333,"")&amp;IF($T333&lt;&gt;""," • "&amp;$T333,"")&amp;IF($U333&lt;&gt;""," • "&amp;$U333,"")&amp;" • No Blockers"</f>
        <v/>
      </c>
    </row>
    <row r="334">
      <c r="A334" s="19" t="n"/>
      <c r="B334" s="19" t="n"/>
      <c r="C334" s="19" t="n"/>
      <c r="D334" s="19" t="n"/>
      <c r="E334" s="19" t="n"/>
      <c r="F334" s="19" t="n"/>
      <c r="G334" s="19" t="n"/>
      <c r="H334" s="19" t="n"/>
      <c r="I334" s="19" t="n"/>
      <c r="J334" s="19" t="n"/>
      <c r="K334" s="19" t="n"/>
      <c r="L334" s="125" t="n"/>
      <c r="M334" s="88">
        <f>IF($D334="","",IFERROR(VLOOKUP($H334,Lists!$N$2:$O$6,2,FALSE),0))</f>
        <v/>
      </c>
      <c r="N334" s="88">
        <f>IF($D334="","",IF(OR($E334="Blocked",$E334="Done",$E334="Archive"),-9999,IF(AND($E334="Waiting",SUMPRODUCT((($E$5:$E$500="Next")+($E$5:$E$500="In Progress")+($E$5:$E$500="Captured"))*($D$5:$D$500&lt;&gt;""))&gt;0),-500,VLOOKUP($F334,Lists!$L$2:$M$4,2,FALSE)+IF($E334="In Progress",10,0)+IF(AND($I334&lt;&gt;"",$I334&lt;TODAY()),25,0)+IF(AND($I334&lt;&gt;"",$I334&gt;=TODAY(),$I334&lt;=TODAY()+7),15,0)+IF($H334="",0,IF($M334&lt;=VLOOKUP(Home!$C$7,Lists!$N$2:$O$6,2,FALSE),20,-10))+IF($G334=Home!$E$7,15,IF(Home!$E$7="",0,-5))-ROW()/100000)))</f>
        <v/>
      </c>
      <c r="O334" s="88">
        <f>IF($D334="","",IF($N334&lt;=-500,"Not recommended right now",IF($E334="Waiting","Nothing else actionable right now — Waiting on: "&amp;IF($K334="","this item",$K334),MID($V334,4,9999))))</f>
        <v/>
      </c>
      <c r="P334" s="88">
        <f>IF($D334="","",IF('Task Finder'!$C$6="High Priority",AND($F334="High",$E334&lt;&gt;"Done",$E334&lt;&gt;"Archive"),IF('Task Finder'!$C$6="Due This Week",AND($I334&lt;&gt;"",$I334&gt;=TODAY(),$I334&lt;=TODAY()+7,$E334&lt;&gt;"Done"),IF('Task Finder'!$C$6="Quick Wins (15 mins or less)",AND($M334&lt;=15,$E334&lt;&gt;"Done",$E334&lt;&gt;"Blocked"),IF('Task Finder'!$C$6="Deep Thinking",AND($G334="Deep Thinking",$E334&lt;&gt;"Done"),IF('Task Finder'!$C$6="Processing",AND($G334="Processing",$E334&lt;&gt;"Done"),IF('Task Finder'!$C$6="Blocked",$E334="Blocked",IF('Task Finder'!$C$6="Waiting",$E334="Waiting",IF('Task Finder'!$C$6="Recently Updated",AND($L334&lt;&gt;"",$L334&gt;=TODAY()-7),IF('Task Finder'!$C$6="Keyword",AND('Task Finder'!$C$7&lt;&gt;"",OR(ISNUMBER(SEARCH('Task Finder'!$C$7,$A334)),ISNUMBER(SEARCH('Task Finder'!$C$7,$B334)),ISNUMBER(SEARCH('Task Finder'!$C$7,$C334)),ISNUMBER(SEARCH('Task Finder'!$C$7,$D334)),ISNUMBER(SEARCH('Task Finder'!$C$7,$K334)))),TRUE))))))))))</f>
        <v/>
      </c>
      <c r="Q334" s="150">
        <f>IF($F334="High","High Priority","")</f>
        <v/>
      </c>
      <c r="R334" s="150">
        <f>IF(AND($I334&lt;&gt;"",$I334&lt;TODAY()),"Overdue","")</f>
        <v/>
      </c>
      <c r="S334" s="150">
        <f>IF(AND($I334&lt;&gt;"",$I334&gt;=TODAY(),$I334&lt;=TODAY()+7),"Due This Week","")</f>
        <v/>
      </c>
      <c r="T334" s="150">
        <f>IF(AND($H334&lt;&gt;"",$M334&lt;=VLOOKUP(Home!$C$7,Lists!$N$2:$O$6,2,FALSE)),$H334&amp;" Task","")</f>
        <v/>
      </c>
      <c r="U334" s="150">
        <f>IF($G334=Home!$E$7,"Fits Current Energy","")</f>
        <v/>
      </c>
      <c r="V334" s="150">
        <f>IF($Q334&lt;&gt;""," • "&amp;$Q334,"")&amp;IF($R334&lt;&gt;""," • "&amp;$R334,"")&amp;IF($S334&lt;&gt;""," • "&amp;$S334,"")&amp;IF($T334&lt;&gt;""," • "&amp;$T334,"")&amp;IF($U334&lt;&gt;""," • "&amp;$U334,"")&amp;" • No Blockers"</f>
        <v/>
      </c>
    </row>
    <row r="335">
      <c r="A335" s="19" t="n"/>
      <c r="B335" s="19" t="n"/>
      <c r="C335" s="19" t="n"/>
      <c r="D335" s="19" t="n"/>
      <c r="E335" s="19" t="n"/>
      <c r="F335" s="19" t="n"/>
      <c r="G335" s="19" t="n"/>
      <c r="H335" s="19" t="n"/>
      <c r="I335" s="19" t="n"/>
      <c r="J335" s="19" t="n"/>
      <c r="K335" s="19" t="n"/>
      <c r="L335" s="125" t="n"/>
      <c r="M335" s="88">
        <f>IF($D335="","",IFERROR(VLOOKUP($H335,Lists!$N$2:$O$6,2,FALSE),0))</f>
        <v/>
      </c>
      <c r="N335" s="88">
        <f>IF($D335="","",IF(OR($E335="Blocked",$E335="Done",$E335="Archive"),-9999,IF(AND($E335="Waiting",SUMPRODUCT((($E$5:$E$500="Next")+($E$5:$E$500="In Progress")+($E$5:$E$500="Captured"))*($D$5:$D$500&lt;&gt;""))&gt;0),-500,VLOOKUP($F335,Lists!$L$2:$M$4,2,FALSE)+IF($E335="In Progress",10,0)+IF(AND($I335&lt;&gt;"",$I335&lt;TODAY()),25,0)+IF(AND($I335&lt;&gt;"",$I335&gt;=TODAY(),$I335&lt;=TODAY()+7),15,0)+IF($H335="",0,IF($M335&lt;=VLOOKUP(Home!$C$7,Lists!$N$2:$O$6,2,FALSE),20,-10))+IF($G335=Home!$E$7,15,IF(Home!$E$7="",0,-5))-ROW()/100000)))</f>
        <v/>
      </c>
      <c r="O335" s="88">
        <f>IF($D335="","",IF($N335&lt;=-500,"Not recommended right now",IF($E335="Waiting","Nothing else actionable right now — Waiting on: "&amp;IF($K335="","this item",$K335),MID($V335,4,9999))))</f>
        <v/>
      </c>
      <c r="P335" s="88">
        <f>IF($D335="","",IF('Task Finder'!$C$6="High Priority",AND($F335="High",$E335&lt;&gt;"Done",$E335&lt;&gt;"Archive"),IF('Task Finder'!$C$6="Due This Week",AND($I335&lt;&gt;"",$I335&gt;=TODAY(),$I335&lt;=TODAY()+7,$E335&lt;&gt;"Done"),IF('Task Finder'!$C$6="Quick Wins (15 mins or less)",AND($M335&lt;=15,$E335&lt;&gt;"Done",$E335&lt;&gt;"Blocked"),IF('Task Finder'!$C$6="Deep Thinking",AND($G335="Deep Thinking",$E335&lt;&gt;"Done"),IF('Task Finder'!$C$6="Processing",AND($G335="Processing",$E335&lt;&gt;"Done"),IF('Task Finder'!$C$6="Blocked",$E335="Blocked",IF('Task Finder'!$C$6="Waiting",$E335="Waiting",IF('Task Finder'!$C$6="Recently Updated",AND($L335&lt;&gt;"",$L335&gt;=TODAY()-7),IF('Task Finder'!$C$6="Keyword",AND('Task Finder'!$C$7&lt;&gt;"",OR(ISNUMBER(SEARCH('Task Finder'!$C$7,$A335)),ISNUMBER(SEARCH('Task Finder'!$C$7,$B335)),ISNUMBER(SEARCH('Task Finder'!$C$7,$C335)),ISNUMBER(SEARCH('Task Finder'!$C$7,$D335)),ISNUMBER(SEARCH('Task Finder'!$C$7,$K335)))),TRUE))))))))))</f>
        <v/>
      </c>
      <c r="Q335" s="150">
        <f>IF($F335="High","High Priority","")</f>
        <v/>
      </c>
      <c r="R335" s="150">
        <f>IF(AND($I335&lt;&gt;"",$I335&lt;TODAY()),"Overdue","")</f>
        <v/>
      </c>
      <c r="S335" s="150">
        <f>IF(AND($I335&lt;&gt;"",$I335&gt;=TODAY(),$I335&lt;=TODAY()+7),"Due This Week","")</f>
        <v/>
      </c>
      <c r="T335" s="150">
        <f>IF(AND($H335&lt;&gt;"",$M335&lt;=VLOOKUP(Home!$C$7,Lists!$N$2:$O$6,2,FALSE)),$H335&amp;" Task","")</f>
        <v/>
      </c>
      <c r="U335" s="150">
        <f>IF($G335=Home!$E$7,"Fits Current Energy","")</f>
        <v/>
      </c>
      <c r="V335" s="150">
        <f>IF($Q335&lt;&gt;""," • "&amp;$Q335,"")&amp;IF($R335&lt;&gt;""," • "&amp;$R335,"")&amp;IF($S335&lt;&gt;""," • "&amp;$S335,"")&amp;IF($T335&lt;&gt;""," • "&amp;$T335,"")&amp;IF($U335&lt;&gt;""," • "&amp;$U335,"")&amp;" • No Blockers"</f>
        <v/>
      </c>
    </row>
    <row r="336">
      <c r="A336" s="19" t="n"/>
      <c r="B336" s="19" t="n"/>
      <c r="C336" s="19" t="n"/>
      <c r="D336" s="19" t="n"/>
      <c r="E336" s="19" t="n"/>
      <c r="F336" s="19" t="n"/>
      <c r="G336" s="19" t="n"/>
      <c r="H336" s="19" t="n"/>
      <c r="I336" s="19" t="n"/>
      <c r="J336" s="19" t="n"/>
      <c r="K336" s="19" t="n"/>
      <c r="L336" s="125" t="n"/>
      <c r="M336" s="88">
        <f>IF($D336="","",IFERROR(VLOOKUP($H336,Lists!$N$2:$O$6,2,FALSE),0))</f>
        <v/>
      </c>
      <c r="N336" s="88">
        <f>IF($D336="","",IF(OR($E336="Blocked",$E336="Done",$E336="Archive"),-9999,IF(AND($E336="Waiting",SUMPRODUCT((($E$5:$E$500="Next")+($E$5:$E$500="In Progress")+($E$5:$E$500="Captured"))*($D$5:$D$500&lt;&gt;""))&gt;0),-500,VLOOKUP($F336,Lists!$L$2:$M$4,2,FALSE)+IF($E336="In Progress",10,0)+IF(AND($I336&lt;&gt;"",$I336&lt;TODAY()),25,0)+IF(AND($I336&lt;&gt;"",$I336&gt;=TODAY(),$I336&lt;=TODAY()+7),15,0)+IF($H336="",0,IF($M336&lt;=VLOOKUP(Home!$C$7,Lists!$N$2:$O$6,2,FALSE),20,-10))+IF($G336=Home!$E$7,15,IF(Home!$E$7="",0,-5))-ROW()/100000)))</f>
        <v/>
      </c>
      <c r="O336" s="88">
        <f>IF($D336="","",IF($N336&lt;=-500,"Not recommended right now",IF($E336="Waiting","Nothing else actionable right now — Waiting on: "&amp;IF($K336="","this item",$K336),MID($V336,4,9999))))</f>
        <v/>
      </c>
      <c r="P336" s="88">
        <f>IF($D336="","",IF('Task Finder'!$C$6="High Priority",AND($F336="High",$E336&lt;&gt;"Done",$E336&lt;&gt;"Archive"),IF('Task Finder'!$C$6="Due This Week",AND($I336&lt;&gt;"",$I336&gt;=TODAY(),$I336&lt;=TODAY()+7,$E336&lt;&gt;"Done"),IF('Task Finder'!$C$6="Quick Wins (15 mins or less)",AND($M336&lt;=15,$E336&lt;&gt;"Done",$E336&lt;&gt;"Blocked"),IF('Task Finder'!$C$6="Deep Thinking",AND($G336="Deep Thinking",$E336&lt;&gt;"Done"),IF('Task Finder'!$C$6="Processing",AND($G336="Processing",$E336&lt;&gt;"Done"),IF('Task Finder'!$C$6="Blocked",$E336="Blocked",IF('Task Finder'!$C$6="Waiting",$E336="Waiting",IF('Task Finder'!$C$6="Recently Updated",AND($L336&lt;&gt;"",$L336&gt;=TODAY()-7),IF('Task Finder'!$C$6="Keyword",AND('Task Finder'!$C$7&lt;&gt;"",OR(ISNUMBER(SEARCH('Task Finder'!$C$7,$A336)),ISNUMBER(SEARCH('Task Finder'!$C$7,$B336)),ISNUMBER(SEARCH('Task Finder'!$C$7,$C336)),ISNUMBER(SEARCH('Task Finder'!$C$7,$D336)),ISNUMBER(SEARCH('Task Finder'!$C$7,$K336)))),TRUE))))))))))</f>
        <v/>
      </c>
      <c r="Q336" s="150">
        <f>IF($F336="High","High Priority","")</f>
        <v/>
      </c>
      <c r="R336" s="150">
        <f>IF(AND($I336&lt;&gt;"",$I336&lt;TODAY()),"Overdue","")</f>
        <v/>
      </c>
      <c r="S336" s="150">
        <f>IF(AND($I336&lt;&gt;"",$I336&gt;=TODAY(),$I336&lt;=TODAY()+7),"Due This Week","")</f>
        <v/>
      </c>
      <c r="T336" s="150">
        <f>IF(AND($H336&lt;&gt;"",$M336&lt;=VLOOKUP(Home!$C$7,Lists!$N$2:$O$6,2,FALSE)),$H336&amp;" Task","")</f>
        <v/>
      </c>
      <c r="U336" s="150">
        <f>IF($G336=Home!$E$7,"Fits Current Energy","")</f>
        <v/>
      </c>
      <c r="V336" s="150">
        <f>IF($Q336&lt;&gt;""," • "&amp;$Q336,"")&amp;IF($R336&lt;&gt;""," • "&amp;$R336,"")&amp;IF($S336&lt;&gt;""," • "&amp;$S336,"")&amp;IF($T336&lt;&gt;""," • "&amp;$T336,"")&amp;IF($U336&lt;&gt;""," • "&amp;$U336,"")&amp;" • No Blockers"</f>
        <v/>
      </c>
    </row>
    <row r="337">
      <c r="A337" s="19" t="n"/>
      <c r="B337" s="19" t="n"/>
      <c r="C337" s="19" t="n"/>
      <c r="D337" s="19" t="n"/>
      <c r="E337" s="19" t="n"/>
      <c r="F337" s="19" t="n"/>
      <c r="G337" s="19" t="n"/>
      <c r="H337" s="19" t="n"/>
      <c r="I337" s="19" t="n"/>
      <c r="J337" s="19" t="n"/>
      <c r="K337" s="19" t="n"/>
      <c r="L337" s="125" t="n"/>
      <c r="M337" s="88">
        <f>IF($D337="","",IFERROR(VLOOKUP($H337,Lists!$N$2:$O$6,2,FALSE),0))</f>
        <v/>
      </c>
      <c r="N337" s="88">
        <f>IF($D337="","",IF(OR($E337="Blocked",$E337="Done",$E337="Archive"),-9999,IF(AND($E337="Waiting",SUMPRODUCT((($E$5:$E$500="Next")+($E$5:$E$500="In Progress")+($E$5:$E$500="Captured"))*($D$5:$D$500&lt;&gt;""))&gt;0),-500,VLOOKUP($F337,Lists!$L$2:$M$4,2,FALSE)+IF($E337="In Progress",10,0)+IF(AND($I337&lt;&gt;"",$I337&lt;TODAY()),25,0)+IF(AND($I337&lt;&gt;"",$I337&gt;=TODAY(),$I337&lt;=TODAY()+7),15,0)+IF($H337="",0,IF($M337&lt;=VLOOKUP(Home!$C$7,Lists!$N$2:$O$6,2,FALSE),20,-10))+IF($G337=Home!$E$7,15,IF(Home!$E$7="",0,-5))-ROW()/100000)))</f>
        <v/>
      </c>
      <c r="O337" s="88">
        <f>IF($D337="","",IF($N337&lt;=-500,"Not recommended right now",IF($E337="Waiting","Nothing else actionable right now — Waiting on: "&amp;IF($K337="","this item",$K337),MID($V337,4,9999))))</f>
        <v/>
      </c>
      <c r="P337" s="88">
        <f>IF($D337="","",IF('Task Finder'!$C$6="High Priority",AND($F337="High",$E337&lt;&gt;"Done",$E337&lt;&gt;"Archive"),IF('Task Finder'!$C$6="Due This Week",AND($I337&lt;&gt;"",$I337&gt;=TODAY(),$I337&lt;=TODAY()+7,$E337&lt;&gt;"Done"),IF('Task Finder'!$C$6="Quick Wins (15 mins or less)",AND($M337&lt;=15,$E337&lt;&gt;"Done",$E337&lt;&gt;"Blocked"),IF('Task Finder'!$C$6="Deep Thinking",AND($G337="Deep Thinking",$E337&lt;&gt;"Done"),IF('Task Finder'!$C$6="Processing",AND($G337="Processing",$E337&lt;&gt;"Done"),IF('Task Finder'!$C$6="Blocked",$E337="Blocked",IF('Task Finder'!$C$6="Waiting",$E337="Waiting",IF('Task Finder'!$C$6="Recently Updated",AND($L337&lt;&gt;"",$L337&gt;=TODAY()-7),IF('Task Finder'!$C$6="Keyword",AND('Task Finder'!$C$7&lt;&gt;"",OR(ISNUMBER(SEARCH('Task Finder'!$C$7,$A337)),ISNUMBER(SEARCH('Task Finder'!$C$7,$B337)),ISNUMBER(SEARCH('Task Finder'!$C$7,$C337)),ISNUMBER(SEARCH('Task Finder'!$C$7,$D337)),ISNUMBER(SEARCH('Task Finder'!$C$7,$K337)))),TRUE))))))))))</f>
        <v/>
      </c>
      <c r="Q337" s="150">
        <f>IF($F337="High","High Priority","")</f>
        <v/>
      </c>
      <c r="R337" s="150">
        <f>IF(AND($I337&lt;&gt;"",$I337&lt;TODAY()),"Overdue","")</f>
        <v/>
      </c>
      <c r="S337" s="150">
        <f>IF(AND($I337&lt;&gt;"",$I337&gt;=TODAY(),$I337&lt;=TODAY()+7),"Due This Week","")</f>
        <v/>
      </c>
      <c r="T337" s="150">
        <f>IF(AND($H337&lt;&gt;"",$M337&lt;=VLOOKUP(Home!$C$7,Lists!$N$2:$O$6,2,FALSE)),$H337&amp;" Task","")</f>
        <v/>
      </c>
      <c r="U337" s="150">
        <f>IF($G337=Home!$E$7,"Fits Current Energy","")</f>
        <v/>
      </c>
      <c r="V337" s="150">
        <f>IF($Q337&lt;&gt;""," • "&amp;$Q337,"")&amp;IF($R337&lt;&gt;""," • "&amp;$R337,"")&amp;IF($S337&lt;&gt;""," • "&amp;$S337,"")&amp;IF($T337&lt;&gt;""," • "&amp;$T337,"")&amp;IF($U337&lt;&gt;""," • "&amp;$U337,"")&amp;" • No Blockers"</f>
        <v/>
      </c>
    </row>
    <row r="338">
      <c r="A338" s="19" t="n"/>
      <c r="B338" s="19" t="n"/>
      <c r="C338" s="19" t="n"/>
      <c r="D338" s="19" t="n"/>
      <c r="E338" s="19" t="n"/>
      <c r="F338" s="19" t="n"/>
      <c r="G338" s="19" t="n"/>
      <c r="H338" s="19" t="n"/>
      <c r="I338" s="19" t="n"/>
      <c r="J338" s="19" t="n"/>
      <c r="K338" s="19" t="n"/>
      <c r="L338" s="125" t="n"/>
      <c r="M338" s="88">
        <f>IF($D338="","",IFERROR(VLOOKUP($H338,Lists!$N$2:$O$6,2,FALSE),0))</f>
        <v/>
      </c>
      <c r="N338" s="88">
        <f>IF($D338="","",IF(OR($E338="Blocked",$E338="Done",$E338="Archive"),-9999,IF(AND($E338="Waiting",SUMPRODUCT((($E$5:$E$500="Next")+($E$5:$E$500="In Progress")+($E$5:$E$500="Captured"))*($D$5:$D$500&lt;&gt;""))&gt;0),-500,VLOOKUP($F338,Lists!$L$2:$M$4,2,FALSE)+IF($E338="In Progress",10,0)+IF(AND($I338&lt;&gt;"",$I338&lt;TODAY()),25,0)+IF(AND($I338&lt;&gt;"",$I338&gt;=TODAY(),$I338&lt;=TODAY()+7),15,0)+IF($H338="",0,IF($M338&lt;=VLOOKUP(Home!$C$7,Lists!$N$2:$O$6,2,FALSE),20,-10))+IF($G338=Home!$E$7,15,IF(Home!$E$7="",0,-5))-ROW()/100000)))</f>
        <v/>
      </c>
      <c r="O338" s="88">
        <f>IF($D338="","",IF($N338&lt;=-500,"Not recommended right now",IF($E338="Waiting","Nothing else actionable right now — Waiting on: "&amp;IF($K338="","this item",$K338),MID($V338,4,9999))))</f>
        <v/>
      </c>
      <c r="P338" s="88">
        <f>IF($D338="","",IF('Task Finder'!$C$6="High Priority",AND($F338="High",$E338&lt;&gt;"Done",$E338&lt;&gt;"Archive"),IF('Task Finder'!$C$6="Due This Week",AND($I338&lt;&gt;"",$I338&gt;=TODAY(),$I338&lt;=TODAY()+7,$E338&lt;&gt;"Done"),IF('Task Finder'!$C$6="Quick Wins (15 mins or less)",AND($M338&lt;=15,$E338&lt;&gt;"Done",$E338&lt;&gt;"Blocked"),IF('Task Finder'!$C$6="Deep Thinking",AND($G338="Deep Thinking",$E338&lt;&gt;"Done"),IF('Task Finder'!$C$6="Processing",AND($G338="Processing",$E338&lt;&gt;"Done"),IF('Task Finder'!$C$6="Blocked",$E338="Blocked",IF('Task Finder'!$C$6="Waiting",$E338="Waiting",IF('Task Finder'!$C$6="Recently Updated",AND($L338&lt;&gt;"",$L338&gt;=TODAY()-7),IF('Task Finder'!$C$6="Keyword",AND('Task Finder'!$C$7&lt;&gt;"",OR(ISNUMBER(SEARCH('Task Finder'!$C$7,$A338)),ISNUMBER(SEARCH('Task Finder'!$C$7,$B338)),ISNUMBER(SEARCH('Task Finder'!$C$7,$C338)),ISNUMBER(SEARCH('Task Finder'!$C$7,$D338)),ISNUMBER(SEARCH('Task Finder'!$C$7,$K338)))),TRUE))))))))))</f>
        <v/>
      </c>
      <c r="Q338" s="150">
        <f>IF($F338="High","High Priority","")</f>
        <v/>
      </c>
      <c r="R338" s="150">
        <f>IF(AND($I338&lt;&gt;"",$I338&lt;TODAY()),"Overdue","")</f>
        <v/>
      </c>
      <c r="S338" s="150">
        <f>IF(AND($I338&lt;&gt;"",$I338&gt;=TODAY(),$I338&lt;=TODAY()+7),"Due This Week","")</f>
        <v/>
      </c>
      <c r="T338" s="150">
        <f>IF(AND($H338&lt;&gt;"",$M338&lt;=VLOOKUP(Home!$C$7,Lists!$N$2:$O$6,2,FALSE)),$H338&amp;" Task","")</f>
        <v/>
      </c>
      <c r="U338" s="150">
        <f>IF($G338=Home!$E$7,"Fits Current Energy","")</f>
        <v/>
      </c>
      <c r="V338" s="150">
        <f>IF($Q338&lt;&gt;""," • "&amp;$Q338,"")&amp;IF($R338&lt;&gt;""," • "&amp;$R338,"")&amp;IF($S338&lt;&gt;""," • "&amp;$S338,"")&amp;IF($T338&lt;&gt;""," • "&amp;$T338,"")&amp;IF($U338&lt;&gt;""," • "&amp;$U338,"")&amp;" • No Blockers"</f>
        <v/>
      </c>
    </row>
    <row r="339">
      <c r="A339" s="19" t="n"/>
      <c r="B339" s="19" t="n"/>
      <c r="C339" s="19" t="n"/>
      <c r="D339" s="19" t="n"/>
      <c r="E339" s="19" t="n"/>
      <c r="F339" s="19" t="n"/>
      <c r="G339" s="19" t="n"/>
      <c r="H339" s="19" t="n"/>
      <c r="I339" s="19" t="n"/>
      <c r="J339" s="19" t="n"/>
      <c r="K339" s="19" t="n"/>
      <c r="L339" s="125" t="n"/>
      <c r="M339" s="88">
        <f>IF($D339="","",IFERROR(VLOOKUP($H339,Lists!$N$2:$O$6,2,FALSE),0))</f>
        <v/>
      </c>
      <c r="N339" s="88">
        <f>IF($D339="","",IF(OR($E339="Blocked",$E339="Done",$E339="Archive"),-9999,IF(AND($E339="Waiting",SUMPRODUCT((($E$5:$E$500="Next")+($E$5:$E$500="In Progress")+($E$5:$E$500="Captured"))*($D$5:$D$500&lt;&gt;""))&gt;0),-500,VLOOKUP($F339,Lists!$L$2:$M$4,2,FALSE)+IF($E339="In Progress",10,0)+IF(AND($I339&lt;&gt;"",$I339&lt;TODAY()),25,0)+IF(AND($I339&lt;&gt;"",$I339&gt;=TODAY(),$I339&lt;=TODAY()+7),15,0)+IF($H339="",0,IF($M339&lt;=VLOOKUP(Home!$C$7,Lists!$N$2:$O$6,2,FALSE),20,-10))+IF($G339=Home!$E$7,15,IF(Home!$E$7="",0,-5))-ROW()/100000)))</f>
        <v/>
      </c>
      <c r="O339" s="88">
        <f>IF($D339="","",IF($N339&lt;=-500,"Not recommended right now",IF($E339="Waiting","Nothing else actionable right now — Waiting on: "&amp;IF($K339="","this item",$K339),MID($V339,4,9999))))</f>
        <v/>
      </c>
      <c r="P339" s="88">
        <f>IF($D339="","",IF('Task Finder'!$C$6="High Priority",AND($F339="High",$E339&lt;&gt;"Done",$E339&lt;&gt;"Archive"),IF('Task Finder'!$C$6="Due This Week",AND($I339&lt;&gt;"",$I339&gt;=TODAY(),$I339&lt;=TODAY()+7,$E339&lt;&gt;"Done"),IF('Task Finder'!$C$6="Quick Wins (15 mins or less)",AND($M339&lt;=15,$E339&lt;&gt;"Done",$E339&lt;&gt;"Blocked"),IF('Task Finder'!$C$6="Deep Thinking",AND($G339="Deep Thinking",$E339&lt;&gt;"Done"),IF('Task Finder'!$C$6="Processing",AND($G339="Processing",$E339&lt;&gt;"Done"),IF('Task Finder'!$C$6="Blocked",$E339="Blocked",IF('Task Finder'!$C$6="Waiting",$E339="Waiting",IF('Task Finder'!$C$6="Recently Updated",AND($L339&lt;&gt;"",$L339&gt;=TODAY()-7),IF('Task Finder'!$C$6="Keyword",AND('Task Finder'!$C$7&lt;&gt;"",OR(ISNUMBER(SEARCH('Task Finder'!$C$7,$A339)),ISNUMBER(SEARCH('Task Finder'!$C$7,$B339)),ISNUMBER(SEARCH('Task Finder'!$C$7,$C339)),ISNUMBER(SEARCH('Task Finder'!$C$7,$D339)),ISNUMBER(SEARCH('Task Finder'!$C$7,$K339)))),TRUE))))))))))</f>
        <v/>
      </c>
      <c r="Q339" s="150">
        <f>IF($F339="High","High Priority","")</f>
        <v/>
      </c>
      <c r="R339" s="150">
        <f>IF(AND($I339&lt;&gt;"",$I339&lt;TODAY()),"Overdue","")</f>
        <v/>
      </c>
      <c r="S339" s="150">
        <f>IF(AND($I339&lt;&gt;"",$I339&gt;=TODAY(),$I339&lt;=TODAY()+7),"Due This Week","")</f>
        <v/>
      </c>
      <c r="T339" s="150">
        <f>IF(AND($H339&lt;&gt;"",$M339&lt;=VLOOKUP(Home!$C$7,Lists!$N$2:$O$6,2,FALSE)),$H339&amp;" Task","")</f>
        <v/>
      </c>
      <c r="U339" s="150">
        <f>IF($G339=Home!$E$7,"Fits Current Energy","")</f>
        <v/>
      </c>
      <c r="V339" s="150">
        <f>IF($Q339&lt;&gt;""," • "&amp;$Q339,"")&amp;IF($R339&lt;&gt;""," • "&amp;$R339,"")&amp;IF($S339&lt;&gt;""," • "&amp;$S339,"")&amp;IF($T339&lt;&gt;""," • "&amp;$T339,"")&amp;IF($U339&lt;&gt;""," • "&amp;$U339,"")&amp;" • No Blockers"</f>
        <v/>
      </c>
    </row>
    <row r="340">
      <c r="A340" s="19" t="n"/>
      <c r="B340" s="19" t="n"/>
      <c r="C340" s="19" t="n"/>
      <c r="D340" s="19" t="n"/>
      <c r="E340" s="19" t="n"/>
      <c r="F340" s="19" t="n"/>
      <c r="G340" s="19" t="n"/>
      <c r="H340" s="19" t="n"/>
      <c r="I340" s="19" t="n"/>
      <c r="J340" s="19" t="n"/>
      <c r="K340" s="19" t="n"/>
      <c r="L340" s="125" t="n"/>
      <c r="M340" s="88">
        <f>IF($D340="","",IFERROR(VLOOKUP($H340,Lists!$N$2:$O$6,2,FALSE),0))</f>
        <v/>
      </c>
      <c r="N340" s="88">
        <f>IF($D340="","",IF(OR($E340="Blocked",$E340="Done",$E340="Archive"),-9999,IF(AND($E340="Waiting",SUMPRODUCT((($E$5:$E$500="Next")+($E$5:$E$500="In Progress")+($E$5:$E$500="Captured"))*($D$5:$D$500&lt;&gt;""))&gt;0),-500,VLOOKUP($F340,Lists!$L$2:$M$4,2,FALSE)+IF($E340="In Progress",10,0)+IF(AND($I340&lt;&gt;"",$I340&lt;TODAY()),25,0)+IF(AND($I340&lt;&gt;"",$I340&gt;=TODAY(),$I340&lt;=TODAY()+7),15,0)+IF($H340="",0,IF($M340&lt;=VLOOKUP(Home!$C$7,Lists!$N$2:$O$6,2,FALSE),20,-10))+IF($G340=Home!$E$7,15,IF(Home!$E$7="",0,-5))-ROW()/100000)))</f>
        <v/>
      </c>
      <c r="O340" s="88">
        <f>IF($D340="","",IF($N340&lt;=-500,"Not recommended right now",IF($E340="Waiting","Nothing else actionable right now — Waiting on: "&amp;IF($K340="","this item",$K340),MID($V340,4,9999))))</f>
        <v/>
      </c>
      <c r="P340" s="88">
        <f>IF($D340="","",IF('Task Finder'!$C$6="High Priority",AND($F340="High",$E340&lt;&gt;"Done",$E340&lt;&gt;"Archive"),IF('Task Finder'!$C$6="Due This Week",AND($I340&lt;&gt;"",$I340&gt;=TODAY(),$I340&lt;=TODAY()+7,$E340&lt;&gt;"Done"),IF('Task Finder'!$C$6="Quick Wins (15 mins or less)",AND($M340&lt;=15,$E340&lt;&gt;"Done",$E340&lt;&gt;"Blocked"),IF('Task Finder'!$C$6="Deep Thinking",AND($G340="Deep Thinking",$E340&lt;&gt;"Done"),IF('Task Finder'!$C$6="Processing",AND($G340="Processing",$E340&lt;&gt;"Done"),IF('Task Finder'!$C$6="Blocked",$E340="Blocked",IF('Task Finder'!$C$6="Waiting",$E340="Waiting",IF('Task Finder'!$C$6="Recently Updated",AND($L340&lt;&gt;"",$L340&gt;=TODAY()-7),IF('Task Finder'!$C$6="Keyword",AND('Task Finder'!$C$7&lt;&gt;"",OR(ISNUMBER(SEARCH('Task Finder'!$C$7,$A340)),ISNUMBER(SEARCH('Task Finder'!$C$7,$B340)),ISNUMBER(SEARCH('Task Finder'!$C$7,$C340)),ISNUMBER(SEARCH('Task Finder'!$C$7,$D340)),ISNUMBER(SEARCH('Task Finder'!$C$7,$K340)))),TRUE))))))))))</f>
        <v/>
      </c>
      <c r="Q340" s="150">
        <f>IF($F340="High","High Priority","")</f>
        <v/>
      </c>
      <c r="R340" s="150">
        <f>IF(AND($I340&lt;&gt;"",$I340&lt;TODAY()),"Overdue","")</f>
        <v/>
      </c>
      <c r="S340" s="150">
        <f>IF(AND($I340&lt;&gt;"",$I340&gt;=TODAY(),$I340&lt;=TODAY()+7),"Due This Week","")</f>
        <v/>
      </c>
      <c r="T340" s="150">
        <f>IF(AND($H340&lt;&gt;"",$M340&lt;=VLOOKUP(Home!$C$7,Lists!$N$2:$O$6,2,FALSE)),$H340&amp;" Task","")</f>
        <v/>
      </c>
      <c r="U340" s="150">
        <f>IF($G340=Home!$E$7,"Fits Current Energy","")</f>
        <v/>
      </c>
      <c r="V340" s="150">
        <f>IF($Q340&lt;&gt;""," • "&amp;$Q340,"")&amp;IF($R340&lt;&gt;""," • "&amp;$R340,"")&amp;IF($S340&lt;&gt;""," • "&amp;$S340,"")&amp;IF($T340&lt;&gt;""," • "&amp;$T340,"")&amp;IF($U340&lt;&gt;""," • "&amp;$U340,"")&amp;" • No Blockers"</f>
        <v/>
      </c>
    </row>
    <row r="341">
      <c r="A341" s="19" t="n"/>
      <c r="B341" s="19" t="n"/>
      <c r="C341" s="19" t="n"/>
      <c r="D341" s="19" t="n"/>
      <c r="E341" s="19" t="n"/>
      <c r="F341" s="19" t="n"/>
      <c r="G341" s="19" t="n"/>
      <c r="H341" s="19" t="n"/>
      <c r="I341" s="19" t="n"/>
      <c r="J341" s="19" t="n"/>
      <c r="K341" s="19" t="n"/>
      <c r="L341" s="125" t="n"/>
      <c r="M341" s="88">
        <f>IF($D341="","",IFERROR(VLOOKUP($H341,Lists!$N$2:$O$6,2,FALSE),0))</f>
        <v/>
      </c>
      <c r="N341" s="88">
        <f>IF($D341="","",IF(OR($E341="Blocked",$E341="Done",$E341="Archive"),-9999,IF(AND($E341="Waiting",SUMPRODUCT((($E$5:$E$500="Next")+($E$5:$E$500="In Progress")+($E$5:$E$500="Captured"))*($D$5:$D$500&lt;&gt;""))&gt;0),-500,VLOOKUP($F341,Lists!$L$2:$M$4,2,FALSE)+IF($E341="In Progress",10,0)+IF(AND($I341&lt;&gt;"",$I341&lt;TODAY()),25,0)+IF(AND($I341&lt;&gt;"",$I341&gt;=TODAY(),$I341&lt;=TODAY()+7),15,0)+IF($H341="",0,IF($M341&lt;=VLOOKUP(Home!$C$7,Lists!$N$2:$O$6,2,FALSE),20,-10))+IF($G341=Home!$E$7,15,IF(Home!$E$7="",0,-5))-ROW()/100000)))</f>
        <v/>
      </c>
      <c r="O341" s="88">
        <f>IF($D341="","",IF($N341&lt;=-500,"Not recommended right now",IF($E341="Waiting","Nothing else actionable right now — Waiting on: "&amp;IF($K341="","this item",$K341),MID($V341,4,9999))))</f>
        <v/>
      </c>
      <c r="P341" s="88">
        <f>IF($D341="","",IF('Task Finder'!$C$6="High Priority",AND($F341="High",$E341&lt;&gt;"Done",$E341&lt;&gt;"Archive"),IF('Task Finder'!$C$6="Due This Week",AND($I341&lt;&gt;"",$I341&gt;=TODAY(),$I341&lt;=TODAY()+7,$E341&lt;&gt;"Done"),IF('Task Finder'!$C$6="Quick Wins (15 mins or less)",AND($M341&lt;=15,$E341&lt;&gt;"Done",$E341&lt;&gt;"Blocked"),IF('Task Finder'!$C$6="Deep Thinking",AND($G341="Deep Thinking",$E341&lt;&gt;"Done"),IF('Task Finder'!$C$6="Processing",AND($G341="Processing",$E341&lt;&gt;"Done"),IF('Task Finder'!$C$6="Blocked",$E341="Blocked",IF('Task Finder'!$C$6="Waiting",$E341="Waiting",IF('Task Finder'!$C$6="Recently Updated",AND($L341&lt;&gt;"",$L341&gt;=TODAY()-7),IF('Task Finder'!$C$6="Keyword",AND('Task Finder'!$C$7&lt;&gt;"",OR(ISNUMBER(SEARCH('Task Finder'!$C$7,$A341)),ISNUMBER(SEARCH('Task Finder'!$C$7,$B341)),ISNUMBER(SEARCH('Task Finder'!$C$7,$C341)),ISNUMBER(SEARCH('Task Finder'!$C$7,$D341)),ISNUMBER(SEARCH('Task Finder'!$C$7,$K341)))),TRUE))))))))))</f>
        <v/>
      </c>
      <c r="Q341" s="150">
        <f>IF($F341="High","High Priority","")</f>
        <v/>
      </c>
      <c r="R341" s="150">
        <f>IF(AND($I341&lt;&gt;"",$I341&lt;TODAY()),"Overdue","")</f>
        <v/>
      </c>
      <c r="S341" s="150">
        <f>IF(AND($I341&lt;&gt;"",$I341&gt;=TODAY(),$I341&lt;=TODAY()+7),"Due This Week","")</f>
        <v/>
      </c>
      <c r="T341" s="150">
        <f>IF(AND($H341&lt;&gt;"",$M341&lt;=VLOOKUP(Home!$C$7,Lists!$N$2:$O$6,2,FALSE)),$H341&amp;" Task","")</f>
        <v/>
      </c>
      <c r="U341" s="150">
        <f>IF($G341=Home!$E$7,"Fits Current Energy","")</f>
        <v/>
      </c>
      <c r="V341" s="150">
        <f>IF($Q341&lt;&gt;""," • "&amp;$Q341,"")&amp;IF($R341&lt;&gt;""," • "&amp;$R341,"")&amp;IF($S341&lt;&gt;""," • "&amp;$S341,"")&amp;IF($T341&lt;&gt;""," • "&amp;$T341,"")&amp;IF($U341&lt;&gt;""," • "&amp;$U341,"")&amp;" • No Blockers"</f>
        <v/>
      </c>
    </row>
    <row r="342">
      <c r="A342" s="19" t="n"/>
      <c r="B342" s="19" t="n"/>
      <c r="C342" s="19" t="n"/>
      <c r="D342" s="19" t="n"/>
      <c r="E342" s="19" t="n"/>
      <c r="F342" s="19" t="n"/>
      <c r="G342" s="19" t="n"/>
      <c r="H342" s="19" t="n"/>
      <c r="I342" s="19" t="n"/>
      <c r="J342" s="19" t="n"/>
      <c r="K342" s="19" t="n"/>
      <c r="L342" s="125" t="n"/>
      <c r="M342" s="88">
        <f>IF($D342="","",IFERROR(VLOOKUP($H342,Lists!$N$2:$O$6,2,FALSE),0))</f>
        <v/>
      </c>
      <c r="N342" s="88">
        <f>IF($D342="","",IF(OR($E342="Blocked",$E342="Done",$E342="Archive"),-9999,IF(AND($E342="Waiting",SUMPRODUCT((($E$5:$E$500="Next")+($E$5:$E$500="In Progress")+($E$5:$E$500="Captured"))*($D$5:$D$500&lt;&gt;""))&gt;0),-500,VLOOKUP($F342,Lists!$L$2:$M$4,2,FALSE)+IF($E342="In Progress",10,0)+IF(AND($I342&lt;&gt;"",$I342&lt;TODAY()),25,0)+IF(AND($I342&lt;&gt;"",$I342&gt;=TODAY(),$I342&lt;=TODAY()+7),15,0)+IF($H342="",0,IF($M342&lt;=VLOOKUP(Home!$C$7,Lists!$N$2:$O$6,2,FALSE),20,-10))+IF($G342=Home!$E$7,15,IF(Home!$E$7="",0,-5))-ROW()/100000)))</f>
        <v/>
      </c>
      <c r="O342" s="88">
        <f>IF($D342="","",IF($N342&lt;=-500,"Not recommended right now",IF($E342="Waiting","Nothing else actionable right now — Waiting on: "&amp;IF($K342="","this item",$K342),MID($V342,4,9999))))</f>
        <v/>
      </c>
      <c r="P342" s="88">
        <f>IF($D342="","",IF('Task Finder'!$C$6="High Priority",AND($F342="High",$E342&lt;&gt;"Done",$E342&lt;&gt;"Archive"),IF('Task Finder'!$C$6="Due This Week",AND($I342&lt;&gt;"",$I342&gt;=TODAY(),$I342&lt;=TODAY()+7,$E342&lt;&gt;"Done"),IF('Task Finder'!$C$6="Quick Wins (15 mins or less)",AND($M342&lt;=15,$E342&lt;&gt;"Done",$E342&lt;&gt;"Blocked"),IF('Task Finder'!$C$6="Deep Thinking",AND($G342="Deep Thinking",$E342&lt;&gt;"Done"),IF('Task Finder'!$C$6="Processing",AND($G342="Processing",$E342&lt;&gt;"Done"),IF('Task Finder'!$C$6="Blocked",$E342="Blocked",IF('Task Finder'!$C$6="Waiting",$E342="Waiting",IF('Task Finder'!$C$6="Recently Updated",AND($L342&lt;&gt;"",$L342&gt;=TODAY()-7),IF('Task Finder'!$C$6="Keyword",AND('Task Finder'!$C$7&lt;&gt;"",OR(ISNUMBER(SEARCH('Task Finder'!$C$7,$A342)),ISNUMBER(SEARCH('Task Finder'!$C$7,$B342)),ISNUMBER(SEARCH('Task Finder'!$C$7,$C342)),ISNUMBER(SEARCH('Task Finder'!$C$7,$D342)),ISNUMBER(SEARCH('Task Finder'!$C$7,$K342)))),TRUE))))))))))</f>
        <v/>
      </c>
      <c r="Q342" s="150">
        <f>IF($F342="High","High Priority","")</f>
        <v/>
      </c>
      <c r="R342" s="150">
        <f>IF(AND($I342&lt;&gt;"",$I342&lt;TODAY()),"Overdue","")</f>
        <v/>
      </c>
      <c r="S342" s="150">
        <f>IF(AND($I342&lt;&gt;"",$I342&gt;=TODAY(),$I342&lt;=TODAY()+7),"Due This Week","")</f>
        <v/>
      </c>
      <c r="T342" s="150">
        <f>IF(AND($H342&lt;&gt;"",$M342&lt;=VLOOKUP(Home!$C$7,Lists!$N$2:$O$6,2,FALSE)),$H342&amp;" Task","")</f>
        <v/>
      </c>
      <c r="U342" s="150">
        <f>IF($G342=Home!$E$7,"Fits Current Energy","")</f>
        <v/>
      </c>
      <c r="V342" s="150">
        <f>IF($Q342&lt;&gt;""," • "&amp;$Q342,"")&amp;IF($R342&lt;&gt;""," • "&amp;$R342,"")&amp;IF($S342&lt;&gt;""," • "&amp;$S342,"")&amp;IF($T342&lt;&gt;""," • "&amp;$T342,"")&amp;IF($U342&lt;&gt;""," • "&amp;$U342,"")&amp;" • No Blockers"</f>
        <v/>
      </c>
    </row>
    <row r="343">
      <c r="A343" s="19" t="n"/>
      <c r="B343" s="19" t="n"/>
      <c r="C343" s="19" t="n"/>
      <c r="D343" s="19" t="n"/>
      <c r="E343" s="19" t="n"/>
      <c r="F343" s="19" t="n"/>
      <c r="G343" s="19" t="n"/>
      <c r="H343" s="19" t="n"/>
      <c r="I343" s="19" t="n"/>
      <c r="J343" s="19" t="n"/>
      <c r="K343" s="19" t="n"/>
      <c r="L343" s="125" t="n"/>
      <c r="M343" s="88">
        <f>IF($D343="","",IFERROR(VLOOKUP($H343,Lists!$N$2:$O$6,2,FALSE),0))</f>
        <v/>
      </c>
      <c r="N343" s="88">
        <f>IF($D343="","",IF(OR($E343="Blocked",$E343="Done",$E343="Archive"),-9999,IF(AND($E343="Waiting",SUMPRODUCT((($E$5:$E$500="Next")+($E$5:$E$500="In Progress")+($E$5:$E$500="Captured"))*($D$5:$D$500&lt;&gt;""))&gt;0),-500,VLOOKUP($F343,Lists!$L$2:$M$4,2,FALSE)+IF($E343="In Progress",10,0)+IF(AND($I343&lt;&gt;"",$I343&lt;TODAY()),25,0)+IF(AND($I343&lt;&gt;"",$I343&gt;=TODAY(),$I343&lt;=TODAY()+7),15,0)+IF($H343="",0,IF($M343&lt;=VLOOKUP(Home!$C$7,Lists!$N$2:$O$6,2,FALSE),20,-10))+IF($G343=Home!$E$7,15,IF(Home!$E$7="",0,-5))-ROW()/100000)))</f>
        <v/>
      </c>
      <c r="O343" s="88">
        <f>IF($D343="","",IF($N343&lt;=-500,"Not recommended right now",IF($E343="Waiting","Nothing else actionable right now — Waiting on: "&amp;IF($K343="","this item",$K343),MID($V343,4,9999))))</f>
        <v/>
      </c>
      <c r="P343" s="88">
        <f>IF($D343="","",IF('Task Finder'!$C$6="High Priority",AND($F343="High",$E343&lt;&gt;"Done",$E343&lt;&gt;"Archive"),IF('Task Finder'!$C$6="Due This Week",AND($I343&lt;&gt;"",$I343&gt;=TODAY(),$I343&lt;=TODAY()+7,$E343&lt;&gt;"Done"),IF('Task Finder'!$C$6="Quick Wins (15 mins or less)",AND($M343&lt;=15,$E343&lt;&gt;"Done",$E343&lt;&gt;"Blocked"),IF('Task Finder'!$C$6="Deep Thinking",AND($G343="Deep Thinking",$E343&lt;&gt;"Done"),IF('Task Finder'!$C$6="Processing",AND($G343="Processing",$E343&lt;&gt;"Done"),IF('Task Finder'!$C$6="Blocked",$E343="Blocked",IF('Task Finder'!$C$6="Waiting",$E343="Waiting",IF('Task Finder'!$C$6="Recently Updated",AND($L343&lt;&gt;"",$L343&gt;=TODAY()-7),IF('Task Finder'!$C$6="Keyword",AND('Task Finder'!$C$7&lt;&gt;"",OR(ISNUMBER(SEARCH('Task Finder'!$C$7,$A343)),ISNUMBER(SEARCH('Task Finder'!$C$7,$B343)),ISNUMBER(SEARCH('Task Finder'!$C$7,$C343)),ISNUMBER(SEARCH('Task Finder'!$C$7,$D343)),ISNUMBER(SEARCH('Task Finder'!$C$7,$K343)))),TRUE))))))))))</f>
        <v/>
      </c>
      <c r="Q343" s="150">
        <f>IF($F343="High","High Priority","")</f>
        <v/>
      </c>
      <c r="R343" s="150">
        <f>IF(AND($I343&lt;&gt;"",$I343&lt;TODAY()),"Overdue","")</f>
        <v/>
      </c>
      <c r="S343" s="150">
        <f>IF(AND($I343&lt;&gt;"",$I343&gt;=TODAY(),$I343&lt;=TODAY()+7),"Due This Week","")</f>
        <v/>
      </c>
      <c r="T343" s="150">
        <f>IF(AND($H343&lt;&gt;"",$M343&lt;=VLOOKUP(Home!$C$7,Lists!$N$2:$O$6,2,FALSE)),$H343&amp;" Task","")</f>
        <v/>
      </c>
      <c r="U343" s="150">
        <f>IF($G343=Home!$E$7,"Fits Current Energy","")</f>
        <v/>
      </c>
      <c r="V343" s="150">
        <f>IF($Q343&lt;&gt;""," • "&amp;$Q343,"")&amp;IF($R343&lt;&gt;""," • "&amp;$R343,"")&amp;IF($S343&lt;&gt;""," • "&amp;$S343,"")&amp;IF($T343&lt;&gt;""," • "&amp;$T343,"")&amp;IF($U343&lt;&gt;""," • "&amp;$U343,"")&amp;" • No Blockers"</f>
        <v/>
      </c>
    </row>
    <row r="344">
      <c r="A344" s="19" t="n"/>
      <c r="B344" s="19" t="n"/>
      <c r="C344" s="19" t="n"/>
      <c r="D344" s="19" t="n"/>
      <c r="E344" s="19" t="n"/>
      <c r="F344" s="19" t="n"/>
      <c r="G344" s="19" t="n"/>
      <c r="H344" s="19" t="n"/>
      <c r="I344" s="19" t="n"/>
      <c r="J344" s="19" t="n"/>
      <c r="K344" s="19" t="n"/>
      <c r="L344" s="125" t="n"/>
      <c r="M344" s="88">
        <f>IF($D344="","",IFERROR(VLOOKUP($H344,Lists!$N$2:$O$6,2,FALSE),0))</f>
        <v/>
      </c>
      <c r="N344" s="88">
        <f>IF($D344="","",IF(OR($E344="Blocked",$E344="Done",$E344="Archive"),-9999,IF(AND($E344="Waiting",SUMPRODUCT((($E$5:$E$500="Next")+($E$5:$E$500="In Progress")+($E$5:$E$500="Captured"))*($D$5:$D$500&lt;&gt;""))&gt;0),-500,VLOOKUP($F344,Lists!$L$2:$M$4,2,FALSE)+IF($E344="In Progress",10,0)+IF(AND($I344&lt;&gt;"",$I344&lt;TODAY()),25,0)+IF(AND($I344&lt;&gt;"",$I344&gt;=TODAY(),$I344&lt;=TODAY()+7),15,0)+IF($H344="",0,IF($M344&lt;=VLOOKUP(Home!$C$7,Lists!$N$2:$O$6,2,FALSE),20,-10))+IF($G344=Home!$E$7,15,IF(Home!$E$7="",0,-5))-ROW()/100000)))</f>
        <v/>
      </c>
      <c r="O344" s="88">
        <f>IF($D344="","",IF($N344&lt;=-500,"Not recommended right now",IF($E344="Waiting","Nothing else actionable right now — Waiting on: "&amp;IF($K344="","this item",$K344),MID($V344,4,9999))))</f>
        <v/>
      </c>
      <c r="P344" s="88">
        <f>IF($D344="","",IF('Task Finder'!$C$6="High Priority",AND($F344="High",$E344&lt;&gt;"Done",$E344&lt;&gt;"Archive"),IF('Task Finder'!$C$6="Due This Week",AND($I344&lt;&gt;"",$I344&gt;=TODAY(),$I344&lt;=TODAY()+7,$E344&lt;&gt;"Done"),IF('Task Finder'!$C$6="Quick Wins (15 mins or less)",AND($M344&lt;=15,$E344&lt;&gt;"Done",$E344&lt;&gt;"Blocked"),IF('Task Finder'!$C$6="Deep Thinking",AND($G344="Deep Thinking",$E344&lt;&gt;"Done"),IF('Task Finder'!$C$6="Processing",AND($G344="Processing",$E344&lt;&gt;"Done"),IF('Task Finder'!$C$6="Blocked",$E344="Blocked",IF('Task Finder'!$C$6="Waiting",$E344="Waiting",IF('Task Finder'!$C$6="Recently Updated",AND($L344&lt;&gt;"",$L344&gt;=TODAY()-7),IF('Task Finder'!$C$6="Keyword",AND('Task Finder'!$C$7&lt;&gt;"",OR(ISNUMBER(SEARCH('Task Finder'!$C$7,$A344)),ISNUMBER(SEARCH('Task Finder'!$C$7,$B344)),ISNUMBER(SEARCH('Task Finder'!$C$7,$C344)),ISNUMBER(SEARCH('Task Finder'!$C$7,$D344)),ISNUMBER(SEARCH('Task Finder'!$C$7,$K344)))),TRUE))))))))))</f>
        <v/>
      </c>
      <c r="Q344" s="150">
        <f>IF($F344="High","High Priority","")</f>
        <v/>
      </c>
      <c r="R344" s="150">
        <f>IF(AND($I344&lt;&gt;"",$I344&lt;TODAY()),"Overdue","")</f>
        <v/>
      </c>
      <c r="S344" s="150">
        <f>IF(AND($I344&lt;&gt;"",$I344&gt;=TODAY(),$I344&lt;=TODAY()+7),"Due This Week","")</f>
        <v/>
      </c>
      <c r="T344" s="150">
        <f>IF(AND($H344&lt;&gt;"",$M344&lt;=VLOOKUP(Home!$C$7,Lists!$N$2:$O$6,2,FALSE)),$H344&amp;" Task","")</f>
        <v/>
      </c>
      <c r="U344" s="150">
        <f>IF($G344=Home!$E$7,"Fits Current Energy","")</f>
        <v/>
      </c>
      <c r="V344" s="150">
        <f>IF($Q344&lt;&gt;""," • "&amp;$Q344,"")&amp;IF($R344&lt;&gt;""," • "&amp;$R344,"")&amp;IF($S344&lt;&gt;""," • "&amp;$S344,"")&amp;IF($T344&lt;&gt;""," • "&amp;$T344,"")&amp;IF($U344&lt;&gt;""," • "&amp;$U344,"")&amp;" • No Blockers"</f>
        <v/>
      </c>
    </row>
    <row r="345">
      <c r="A345" s="19" t="n"/>
      <c r="B345" s="19" t="n"/>
      <c r="C345" s="19" t="n"/>
      <c r="D345" s="19" t="n"/>
      <c r="E345" s="19" t="n"/>
      <c r="F345" s="19" t="n"/>
      <c r="G345" s="19" t="n"/>
      <c r="H345" s="19" t="n"/>
      <c r="I345" s="19" t="n"/>
      <c r="J345" s="19" t="n"/>
      <c r="K345" s="19" t="n"/>
      <c r="L345" s="125" t="n"/>
      <c r="M345" s="88">
        <f>IF($D345="","",IFERROR(VLOOKUP($H345,Lists!$N$2:$O$6,2,FALSE),0))</f>
        <v/>
      </c>
      <c r="N345" s="88">
        <f>IF($D345="","",IF(OR($E345="Blocked",$E345="Done",$E345="Archive"),-9999,IF(AND($E345="Waiting",SUMPRODUCT((($E$5:$E$500="Next")+($E$5:$E$500="In Progress")+($E$5:$E$500="Captured"))*($D$5:$D$500&lt;&gt;""))&gt;0),-500,VLOOKUP($F345,Lists!$L$2:$M$4,2,FALSE)+IF($E345="In Progress",10,0)+IF(AND($I345&lt;&gt;"",$I345&lt;TODAY()),25,0)+IF(AND($I345&lt;&gt;"",$I345&gt;=TODAY(),$I345&lt;=TODAY()+7),15,0)+IF($H345="",0,IF($M345&lt;=VLOOKUP(Home!$C$7,Lists!$N$2:$O$6,2,FALSE),20,-10))+IF($G345=Home!$E$7,15,IF(Home!$E$7="",0,-5))-ROW()/100000)))</f>
        <v/>
      </c>
      <c r="O345" s="88">
        <f>IF($D345="","",IF($N345&lt;=-500,"Not recommended right now",IF($E345="Waiting","Nothing else actionable right now — Waiting on: "&amp;IF($K345="","this item",$K345),MID($V345,4,9999))))</f>
        <v/>
      </c>
      <c r="P345" s="88">
        <f>IF($D345="","",IF('Task Finder'!$C$6="High Priority",AND($F345="High",$E345&lt;&gt;"Done",$E345&lt;&gt;"Archive"),IF('Task Finder'!$C$6="Due This Week",AND($I345&lt;&gt;"",$I345&gt;=TODAY(),$I345&lt;=TODAY()+7,$E345&lt;&gt;"Done"),IF('Task Finder'!$C$6="Quick Wins (15 mins or less)",AND($M345&lt;=15,$E345&lt;&gt;"Done",$E345&lt;&gt;"Blocked"),IF('Task Finder'!$C$6="Deep Thinking",AND($G345="Deep Thinking",$E345&lt;&gt;"Done"),IF('Task Finder'!$C$6="Processing",AND($G345="Processing",$E345&lt;&gt;"Done"),IF('Task Finder'!$C$6="Blocked",$E345="Blocked",IF('Task Finder'!$C$6="Waiting",$E345="Waiting",IF('Task Finder'!$C$6="Recently Updated",AND($L345&lt;&gt;"",$L345&gt;=TODAY()-7),IF('Task Finder'!$C$6="Keyword",AND('Task Finder'!$C$7&lt;&gt;"",OR(ISNUMBER(SEARCH('Task Finder'!$C$7,$A345)),ISNUMBER(SEARCH('Task Finder'!$C$7,$B345)),ISNUMBER(SEARCH('Task Finder'!$C$7,$C345)),ISNUMBER(SEARCH('Task Finder'!$C$7,$D345)),ISNUMBER(SEARCH('Task Finder'!$C$7,$K345)))),TRUE))))))))))</f>
        <v/>
      </c>
      <c r="Q345" s="150">
        <f>IF($F345="High","High Priority","")</f>
        <v/>
      </c>
      <c r="R345" s="150">
        <f>IF(AND($I345&lt;&gt;"",$I345&lt;TODAY()),"Overdue","")</f>
        <v/>
      </c>
      <c r="S345" s="150">
        <f>IF(AND($I345&lt;&gt;"",$I345&gt;=TODAY(),$I345&lt;=TODAY()+7),"Due This Week","")</f>
        <v/>
      </c>
      <c r="T345" s="150">
        <f>IF(AND($H345&lt;&gt;"",$M345&lt;=VLOOKUP(Home!$C$7,Lists!$N$2:$O$6,2,FALSE)),$H345&amp;" Task","")</f>
        <v/>
      </c>
      <c r="U345" s="150">
        <f>IF($G345=Home!$E$7,"Fits Current Energy","")</f>
        <v/>
      </c>
      <c r="V345" s="150">
        <f>IF($Q345&lt;&gt;""," • "&amp;$Q345,"")&amp;IF($R345&lt;&gt;""," • "&amp;$R345,"")&amp;IF($S345&lt;&gt;""," • "&amp;$S345,"")&amp;IF($T345&lt;&gt;""," • "&amp;$T345,"")&amp;IF($U345&lt;&gt;""," • "&amp;$U345,"")&amp;" • No Blockers"</f>
        <v/>
      </c>
    </row>
    <row r="346">
      <c r="A346" s="19" t="n"/>
      <c r="B346" s="19" t="n"/>
      <c r="C346" s="19" t="n"/>
      <c r="D346" s="19" t="n"/>
      <c r="E346" s="19" t="n"/>
      <c r="F346" s="19" t="n"/>
      <c r="G346" s="19" t="n"/>
      <c r="H346" s="19" t="n"/>
      <c r="I346" s="19" t="n"/>
      <c r="J346" s="19" t="n"/>
      <c r="K346" s="19" t="n"/>
      <c r="L346" s="125" t="n"/>
      <c r="M346" s="88">
        <f>IF($D346="","",IFERROR(VLOOKUP($H346,Lists!$N$2:$O$6,2,FALSE),0))</f>
        <v/>
      </c>
      <c r="N346" s="88">
        <f>IF($D346="","",IF(OR($E346="Blocked",$E346="Done",$E346="Archive"),-9999,IF(AND($E346="Waiting",SUMPRODUCT((($E$5:$E$500="Next")+($E$5:$E$500="In Progress")+($E$5:$E$500="Captured"))*($D$5:$D$500&lt;&gt;""))&gt;0),-500,VLOOKUP($F346,Lists!$L$2:$M$4,2,FALSE)+IF($E346="In Progress",10,0)+IF(AND($I346&lt;&gt;"",$I346&lt;TODAY()),25,0)+IF(AND($I346&lt;&gt;"",$I346&gt;=TODAY(),$I346&lt;=TODAY()+7),15,0)+IF($H346="",0,IF($M346&lt;=VLOOKUP(Home!$C$7,Lists!$N$2:$O$6,2,FALSE),20,-10))+IF($G346=Home!$E$7,15,IF(Home!$E$7="",0,-5))-ROW()/100000)))</f>
        <v/>
      </c>
      <c r="O346" s="88">
        <f>IF($D346="","",IF($N346&lt;=-500,"Not recommended right now",IF($E346="Waiting","Nothing else actionable right now — Waiting on: "&amp;IF($K346="","this item",$K346),MID($V346,4,9999))))</f>
        <v/>
      </c>
      <c r="P346" s="88">
        <f>IF($D346="","",IF('Task Finder'!$C$6="High Priority",AND($F346="High",$E346&lt;&gt;"Done",$E346&lt;&gt;"Archive"),IF('Task Finder'!$C$6="Due This Week",AND($I346&lt;&gt;"",$I346&gt;=TODAY(),$I346&lt;=TODAY()+7,$E346&lt;&gt;"Done"),IF('Task Finder'!$C$6="Quick Wins (15 mins or less)",AND($M346&lt;=15,$E346&lt;&gt;"Done",$E346&lt;&gt;"Blocked"),IF('Task Finder'!$C$6="Deep Thinking",AND($G346="Deep Thinking",$E346&lt;&gt;"Done"),IF('Task Finder'!$C$6="Processing",AND($G346="Processing",$E346&lt;&gt;"Done"),IF('Task Finder'!$C$6="Blocked",$E346="Blocked",IF('Task Finder'!$C$6="Waiting",$E346="Waiting",IF('Task Finder'!$C$6="Recently Updated",AND($L346&lt;&gt;"",$L346&gt;=TODAY()-7),IF('Task Finder'!$C$6="Keyword",AND('Task Finder'!$C$7&lt;&gt;"",OR(ISNUMBER(SEARCH('Task Finder'!$C$7,$A346)),ISNUMBER(SEARCH('Task Finder'!$C$7,$B346)),ISNUMBER(SEARCH('Task Finder'!$C$7,$C346)),ISNUMBER(SEARCH('Task Finder'!$C$7,$D346)),ISNUMBER(SEARCH('Task Finder'!$C$7,$K346)))),TRUE))))))))))</f>
        <v/>
      </c>
      <c r="Q346" s="150">
        <f>IF($F346="High","High Priority","")</f>
        <v/>
      </c>
      <c r="R346" s="150">
        <f>IF(AND($I346&lt;&gt;"",$I346&lt;TODAY()),"Overdue","")</f>
        <v/>
      </c>
      <c r="S346" s="150">
        <f>IF(AND($I346&lt;&gt;"",$I346&gt;=TODAY(),$I346&lt;=TODAY()+7),"Due This Week","")</f>
        <v/>
      </c>
      <c r="T346" s="150">
        <f>IF(AND($H346&lt;&gt;"",$M346&lt;=VLOOKUP(Home!$C$7,Lists!$N$2:$O$6,2,FALSE)),$H346&amp;" Task","")</f>
        <v/>
      </c>
      <c r="U346" s="150">
        <f>IF($G346=Home!$E$7,"Fits Current Energy","")</f>
        <v/>
      </c>
      <c r="V346" s="150">
        <f>IF($Q346&lt;&gt;""," • "&amp;$Q346,"")&amp;IF($R346&lt;&gt;""," • "&amp;$R346,"")&amp;IF($S346&lt;&gt;""," • "&amp;$S346,"")&amp;IF($T346&lt;&gt;""," • "&amp;$T346,"")&amp;IF($U346&lt;&gt;""," • "&amp;$U346,"")&amp;" • No Blockers"</f>
        <v/>
      </c>
    </row>
    <row r="347">
      <c r="A347" s="19" t="n"/>
      <c r="B347" s="19" t="n"/>
      <c r="C347" s="19" t="n"/>
      <c r="D347" s="19" t="n"/>
      <c r="E347" s="19" t="n"/>
      <c r="F347" s="19" t="n"/>
      <c r="G347" s="19" t="n"/>
      <c r="H347" s="19" t="n"/>
      <c r="I347" s="19" t="n"/>
      <c r="J347" s="19" t="n"/>
      <c r="K347" s="19" t="n"/>
      <c r="L347" s="125" t="n"/>
      <c r="M347" s="88">
        <f>IF($D347="","",IFERROR(VLOOKUP($H347,Lists!$N$2:$O$6,2,FALSE),0))</f>
        <v/>
      </c>
      <c r="N347" s="88">
        <f>IF($D347="","",IF(OR($E347="Blocked",$E347="Done",$E347="Archive"),-9999,IF(AND($E347="Waiting",SUMPRODUCT((($E$5:$E$500="Next")+($E$5:$E$500="In Progress")+($E$5:$E$500="Captured"))*($D$5:$D$500&lt;&gt;""))&gt;0),-500,VLOOKUP($F347,Lists!$L$2:$M$4,2,FALSE)+IF($E347="In Progress",10,0)+IF(AND($I347&lt;&gt;"",$I347&lt;TODAY()),25,0)+IF(AND($I347&lt;&gt;"",$I347&gt;=TODAY(),$I347&lt;=TODAY()+7),15,0)+IF($H347="",0,IF($M347&lt;=VLOOKUP(Home!$C$7,Lists!$N$2:$O$6,2,FALSE),20,-10))+IF($G347=Home!$E$7,15,IF(Home!$E$7="",0,-5))-ROW()/100000)))</f>
        <v/>
      </c>
      <c r="O347" s="88">
        <f>IF($D347="","",IF($N347&lt;=-500,"Not recommended right now",IF($E347="Waiting","Nothing else actionable right now — Waiting on: "&amp;IF($K347="","this item",$K347),MID($V347,4,9999))))</f>
        <v/>
      </c>
      <c r="P347" s="88">
        <f>IF($D347="","",IF('Task Finder'!$C$6="High Priority",AND($F347="High",$E347&lt;&gt;"Done",$E347&lt;&gt;"Archive"),IF('Task Finder'!$C$6="Due This Week",AND($I347&lt;&gt;"",$I347&gt;=TODAY(),$I347&lt;=TODAY()+7,$E347&lt;&gt;"Done"),IF('Task Finder'!$C$6="Quick Wins (15 mins or less)",AND($M347&lt;=15,$E347&lt;&gt;"Done",$E347&lt;&gt;"Blocked"),IF('Task Finder'!$C$6="Deep Thinking",AND($G347="Deep Thinking",$E347&lt;&gt;"Done"),IF('Task Finder'!$C$6="Processing",AND($G347="Processing",$E347&lt;&gt;"Done"),IF('Task Finder'!$C$6="Blocked",$E347="Blocked",IF('Task Finder'!$C$6="Waiting",$E347="Waiting",IF('Task Finder'!$C$6="Recently Updated",AND($L347&lt;&gt;"",$L347&gt;=TODAY()-7),IF('Task Finder'!$C$6="Keyword",AND('Task Finder'!$C$7&lt;&gt;"",OR(ISNUMBER(SEARCH('Task Finder'!$C$7,$A347)),ISNUMBER(SEARCH('Task Finder'!$C$7,$B347)),ISNUMBER(SEARCH('Task Finder'!$C$7,$C347)),ISNUMBER(SEARCH('Task Finder'!$C$7,$D347)),ISNUMBER(SEARCH('Task Finder'!$C$7,$K347)))),TRUE))))))))))</f>
        <v/>
      </c>
      <c r="Q347" s="150">
        <f>IF($F347="High","High Priority","")</f>
        <v/>
      </c>
      <c r="R347" s="150">
        <f>IF(AND($I347&lt;&gt;"",$I347&lt;TODAY()),"Overdue","")</f>
        <v/>
      </c>
      <c r="S347" s="150">
        <f>IF(AND($I347&lt;&gt;"",$I347&gt;=TODAY(),$I347&lt;=TODAY()+7),"Due This Week","")</f>
        <v/>
      </c>
      <c r="T347" s="150">
        <f>IF(AND($H347&lt;&gt;"",$M347&lt;=VLOOKUP(Home!$C$7,Lists!$N$2:$O$6,2,FALSE)),$H347&amp;" Task","")</f>
        <v/>
      </c>
      <c r="U347" s="150">
        <f>IF($G347=Home!$E$7,"Fits Current Energy","")</f>
        <v/>
      </c>
      <c r="V347" s="150">
        <f>IF($Q347&lt;&gt;""," • "&amp;$Q347,"")&amp;IF($R347&lt;&gt;""," • "&amp;$R347,"")&amp;IF($S347&lt;&gt;""," • "&amp;$S347,"")&amp;IF($T347&lt;&gt;""," • "&amp;$T347,"")&amp;IF($U347&lt;&gt;""," • "&amp;$U347,"")&amp;" • No Blockers"</f>
        <v/>
      </c>
    </row>
    <row r="348">
      <c r="A348" s="19" t="n"/>
      <c r="B348" s="19" t="n"/>
      <c r="C348" s="19" t="n"/>
      <c r="D348" s="19" t="n"/>
      <c r="E348" s="19" t="n"/>
      <c r="F348" s="19" t="n"/>
      <c r="G348" s="19" t="n"/>
      <c r="H348" s="19" t="n"/>
      <c r="I348" s="19" t="n"/>
      <c r="J348" s="19" t="n"/>
      <c r="K348" s="19" t="n"/>
      <c r="L348" s="125" t="n"/>
      <c r="M348" s="88">
        <f>IF($D348="","",IFERROR(VLOOKUP($H348,Lists!$N$2:$O$6,2,FALSE),0))</f>
        <v/>
      </c>
      <c r="N348" s="88">
        <f>IF($D348="","",IF(OR($E348="Blocked",$E348="Done",$E348="Archive"),-9999,IF(AND($E348="Waiting",SUMPRODUCT((($E$5:$E$500="Next")+($E$5:$E$500="In Progress")+($E$5:$E$500="Captured"))*($D$5:$D$500&lt;&gt;""))&gt;0),-500,VLOOKUP($F348,Lists!$L$2:$M$4,2,FALSE)+IF($E348="In Progress",10,0)+IF(AND($I348&lt;&gt;"",$I348&lt;TODAY()),25,0)+IF(AND($I348&lt;&gt;"",$I348&gt;=TODAY(),$I348&lt;=TODAY()+7),15,0)+IF($H348="",0,IF($M348&lt;=VLOOKUP(Home!$C$7,Lists!$N$2:$O$6,2,FALSE),20,-10))+IF($G348=Home!$E$7,15,IF(Home!$E$7="",0,-5))-ROW()/100000)))</f>
        <v/>
      </c>
      <c r="O348" s="88">
        <f>IF($D348="","",IF($N348&lt;=-500,"Not recommended right now",IF($E348="Waiting","Nothing else actionable right now — Waiting on: "&amp;IF($K348="","this item",$K348),MID($V348,4,9999))))</f>
        <v/>
      </c>
      <c r="P348" s="88">
        <f>IF($D348="","",IF('Task Finder'!$C$6="High Priority",AND($F348="High",$E348&lt;&gt;"Done",$E348&lt;&gt;"Archive"),IF('Task Finder'!$C$6="Due This Week",AND($I348&lt;&gt;"",$I348&gt;=TODAY(),$I348&lt;=TODAY()+7,$E348&lt;&gt;"Done"),IF('Task Finder'!$C$6="Quick Wins (15 mins or less)",AND($M348&lt;=15,$E348&lt;&gt;"Done",$E348&lt;&gt;"Blocked"),IF('Task Finder'!$C$6="Deep Thinking",AND($G348="Deep Thinking",$E348&lt;&gt;"Done"),IF('Task Finder'!$C$6="Processing",AND($G348="Processing",$E348&lt;&gt;"Done"),IF('Task Finder'!$C$6="Blocked",$E348="Blocked",IF('Task Finder'!$C$6="Waiting",$E348="Waiting",IF('Task Finder'!$C$6="Recently Updated",AND($L348&lt;&gt;"",$L348&gt;=TODAY()-7),IF('Task Finder'!$C$6="Keyword",AND('Task Finder'!$C$7&lt;&gt;"",OR(ISNUMBER(SEARCH('Task Finder'!$C$7,$A348)),ISNUMBER(SEARCH('Task Finder'!$C$7,$B348)),ISNUMBER(SEARCH('Task Finder'!$C$7,$C348)),ISNUMBER(SEARCH('Task Finder'!$C$7,$D348)),ISNUMBER(SEARCH('Task Finder'!$C$7,$K348)))),TRUE))))))))))</f>
        <v/>
      </c>
      <c r="Q348" s="150">
        <f>IF($F348="High","High Priority","")</f>
        <v/>
      </c>
      <c r="R348" s="150">
        <f>IF(AND($I348&lt;&gt;"",$I348&lt;TODAY()),"Overdue","")</f>
        <v/>
      </c>
      <c r="S348" s="150">
        <f>IF(AND($I348&lt;&gt;"",$I348&gt;=TODAY(),$I348&lt;=TODAY()+7),"Due This Week","")</f>
        <v/>
      </c>
      <c r="T348" s="150">
        <f>IF(AND($H348&lt;&gt;"",$M348&lt;=VLOOKUP(Home!$C$7,Lists!$N$2:$O$6,2,FALSE)),$H348&amp;" Task","")</f>
        <v/>
      </c>
      <c r="U348" s="150">
        <f>IF($G348=Home!$E$7,"Fits Current Energy","")</f>
        <v/>
      </c>
      <c r="V348" s="150">
        <f>IF($Q348&lt;&gt;""," • "&amp;$Q348,"")&amp;IF($R348&lt;&gt;""," • "&amp;$R348,"")&amp;IF($S348&lt;&gt;""," • "&amp;$S348,"")&amp;IF($T348&lt;&gt;""," • "&amp;$T348,"")&amp;IF($U348&lt;&gt;""," • "&amp;$U348,"")&amp;" • No Blockers"</f>
        <v/>
      </c>
    </row>
    <row r="349">
      <c r="A349" s="19" t="n"/>
      <c r="B349" s="19" t="n"/>
      <c r="C349" s="19" t="n"/>
      <c r="D349" s="19" t="n"/>
      <c r="E349" s="19" t="n"/>
      <c r="F349" s="19" t="n"/>
      <c r="G349" s="19" t="n"/>
      <c r="H349" s="19" t="n"/>
      <c r="I349" s="19" t="n"/>
      <c r="J349" s="19" t="n"/>
      <c r="K349" s="19" t="n"/>
      <c r="L349" s="125" t="n"/>
      <c r="M349" s="88">
        <f>IF($D349="","",IFERROR(VLOOKUP($H349,Lists!$N$2:$O$6,2,FALSE),0))</f>
        <v/>
      </c>
      <c r="N349" s="88">
        <f>IF($D349="","",IF(OR($E349="Blocked",$E349="Done",$E349="Archive"),-9999,IF(AND($E349="Waiting",SUMPRODUCT((($E$5:$E$500="Next")+($E$5:$E$500="In Progress")+($E$5:$E$500="Captured"))*($D$5:$D$500&lt;&gt;""))&gt;0),-500,VLOOKUP($F349,Lists!$L$2:$M$4,2,FALSE)+IF($E349="In Progress",10,0)+IF(AND($I349&lt;&gt;"",$I349&lt;TODAY()),25,0)+IF(AND($I349&lt;&gt;"",$I349&gt;=TODAY(),$I349&lt;=TODAY()+7),15,0)+IF($H349="",0,IF($M349&lt;=VLOOKUP(Home!$C$7,Lists!$N$2:$O$6,2,FALSE),20,-10))+IF($G349=Home!$E$7,15,IF(Home!$E$7="",0,-5))-ROW()/100000)))</f>
        <v/>
      </c>
      <c r="O349" s="88">
        <f>IF($D349="","",IF($N349&lt;=-500,"Not recommended right now",IF($E349="Waiting","Nothing else actionable right now — Waiting on: "&amp;IF($K349="","this item",$K349),MID($V349,4,9999))))</f>
        <v/>
      </c>
      <c r="P349" s="88">
        <f>IF($D349="","",IF('Task Finder'!$C$6="High Priority",AND($F349="High",$E349&lt;&gt;"Done",$E349&lt;&gt;"Archive"),IF('Task Finder'!$C$6="Due This Week",AND($I349&lt;&gt;"",$I349&gt;=TODAY(),$I349&lt;=TODAY()+7,$E349&lt;&gt;"Done"),IF('Task Finder'!$C$6="Quick Wins (15 mins or less)",AND($M349&lt;=15,$E349&lt;&gt;"Done",$E349&lt;&gt;"Blocked"),IF('Task Finder'!$C$6="Deep Thinking",AND($G349="Deep Thinking",$E349&lt;&gt;"Done"),IF('Task Finder'!$C$6="Processing",AND($G349="Processing",$E349&lt;&gt;"Done"),IF('Task Finder'!$C$6="Blocked",$E349="Blocked",IF('Task Finder'!$C$6="Waiting",$E349="Waiting",IF('Task Finder'!$C$6="Recently Updated",AND($L349&lt;&gt;"",$L349&gt;=TODAY()-7),IF('Task Finder'!$C$6="Keyword",AND('Task Finder'!$C$7&lt;&gt;"",OR(ISNUMBER(SEARCH('Task Finder'!$C$7,$A349)),ISNUMBER(SEARCH('Task Finder'!$C$7,$B349)),ISNUMBER(SEARCH('Task Finder'!$C$7,$C349)),ISNUMBER(SEARCH('Task Finder'!$C$7,$D349)),ISNUMBER(SEARCH('Task Finder'!$C$7,$K349)))),TRUE))))))))))</f>
        <v/>
      </c>
      <c r="Q349" s="150">
        <f>IF($F349="High","High Priority","")</f>
        <v/>
      </c>
      <c r="R349" s="150">
        <f>IF(AND($I349&lt;&gt;"",$I349&lt;TODAY()),"Overdue","")</f>
        <v/>
      </c>
      <c r="S349" s="150">
        <f>IF(AND($I349&lt;&gt;"",$I349&gt;=TODAY(),$I349&lt;=TODAY()+7),"Due This Week","")</f>
        <v/>
      </c>
      <c r="T349" s="150">
        <f>IF(AND($H349&lt;&gt;"",$M349&lt;=VLOOKUP(Home!$C$7,Lists!$N$2:$O$6,2,FALSE)),$H349&amp;" Task","")</f>
        <v/>
      </c>
      <c r="U349" s="150">
        <f>IF($G349=Home!$E$7,"Fits Current Energy","")</f>
        <v/>
      </c>
      <c r="V349" s="150">
        <f>IF($Q349&lt;&gt;""," • "&amp;$Q349,"")&amp;IF($R349&lt;&gt;""," • "&amp;$R349,"")&amp;IF($S349&lt;&gt;""," • "&amp;$S349,"")&amp;IF($T349&lt;&gt;""," • "&amp;$T349,"")&amp;IF($U349&lt;&gt;""," • "&amp;$U349,"")&amp;" • No Blockers"</f>
        <v/>
      </c>
    </row>
    <row r="350">
      <c r="A350" s="19" t="n"/>
      <c r="B350" s="19" t="n"/>
      <c r="C350" s="19" t="n"/>
      <c r="D350" s="19" t="n"/>
      <c r="E350" s="19" t="n"/>
      <c r="F350" s="19" t="n"/>
      <c r="G350" s="19" t="n"/>
      <c r="H350" s="19" t="n"/>
      <c r="I350" s="19" t="n"/>
      <c r="J350" s="19" t="n"/>
      <c r="K350" s="19" t="n"/>
      <c r="L350" s="125" t="n"/>
      <c r="M350" s="88">
        <f>IF($D350="","",IFERROR(VLOOKUP($H350,Lists!$N$2:$O$6,2,FALSE),0))</f>
        <v/>
      </c>
      <c r="N350" s="88">
        <f>IF($D350="","",IF(OR($E350="Blocked",$E350="Done",$E350="Archive"),-9999,IF(AND($E350="Waiting",SUMPRODUCT((($E$5:$E$500="Next")+($E$5:$E$500="In Progress")+($E$5:$E$500="Captured"))*($D$5:$D$500&lt;&gt;""))&gt;0),-500,VLOOKUP($F350,Lists!$L$2:$M$4,2,FALSE)+IF($E350="In Progress",10,0)+IF(AND($I350&lt;&gt;"",$I350&lt;TODAY()),25,0)+IF(AND($I350&lt;&gt;"",$I350&gt;=TODAY(),$I350&lt;=TODAY()+7),15,0)+IF($H350="",0,IF($M350&lt;=VLOOKUP(Home!$C$7,Lists!$N$2:$O$6,2,FALSE),20,-10))+IF($G350=Home!$E$7,15,IF(Home!$E$7="",0,-5))-ROW()/100000)))</f>
        <v/>
      </c>
      <c r="O350" s="88">
        <f>IF($D350="","",IF($N350&lt;=-500,"Not recommended right now",IF($E350="Waiting","Nothing else actionable right now — Waiting on: "&amp;IF($K350="","this item",$K350),MID($V350,4,9999))))</f>
        <v/>
      </c>
      <c r="P350" s="88">
        <f>IF($D350="","",IF('Task Finder'!$C$6="High Priority",AND($F350="High",$E350&lt;&gt;"Done",$E350&lt;&gt;"Archive"),IF('Task Finder'!$C$6="Due This Week",AND($I350&lt;&gt;"",$I350&gt;=TODAY(),$I350&lt;=TODAY()+7,$E350&lt;&gt;"Done"),IF('Task Finder'!$C$6="Quick Wins (15 mins or less)",AND($M350&lt;=15,$E350&lt;&gt;"Done",$E350&lt;&gt;"Blocked"),IF('Task Finder'!$C$6="Deep Thinking",AND($G350="Deep Thinking",$E350&lt;&gt;"Done"),IF('Task Finder'!$C$6="Processing",AND($G350="Processing",$E350&lt;&gt;"Done"),IF('Task Finder'!$C$6="Blocked",$E350="Blocked",IF('Task Finder'!$C$6="Waiting",$E350="Waiting",IF('Task Finder'!$C$6="Recently Updated",AND($L350&lt;&gt;"",$L350&gt;=TODAY()-7),IF('Task Finder'!$C$6="Keyword",AND('Task Finder'!$C$7&lt;&gt;"",OR(ISNUMBER(SEARCH('Task Finder'!$C$7,$A350)),ISNUMBER(SEARCH('Task Finder'!$C$7,$B350)),ISNUMBER(SEARCH('Task Finder'!$C$7,$C350)),ISNUMBER(SEARCH('Task Finder'!$C$7,$D350)),ISNUMBER(SEARCH('Task Finder'!$C$7,$K350)))),TRUE))))))))))</f>
        <v/>
      </c>
      <c r="Q350" s="150">
        <f>IF($F350="High","High Priority","")</f>
        <v/>
      </c>
      <c r="R350" s="150">
        <f>IF(AND($I350&lt;&gt;"",$I350&lt;TODAY()),"Overdue","")</f>
        <v/>
      </c>
      <c r="S350" s="150">
        <f>IF(AND($I350&lt;&gt;"",$I350&gt;=TODAY(),$I350&lt;=TODAY()+7),"Due This Week","")</f>
        <v/>
      </c>
      <c r="T350" s="150">
        <f>IF(AND($H350&lt;&gt;"",$M350&lt;=VLOOKUP(Home!$C$7,Lists!$N$2:$O$6,2,FALSE)),$H350&amp;" Task","")</f>
        <v/>
      </c>
      <c r="U350" s="150">
        <f>IF($G350=Home!$E$7,"Fits Current Energy","")</f>
        <v/>
      </c>
      <c r="V350" s="150">
        <f>IF($Q350&lt;&gt;""," • "&amp;$Q350,"")&amp;IF($R350&lt;&gt;""," • "&amp;$R350,"")&amp;IF($S350&lt;&gt;""," • "&amp;$S350,"")&amp;IF($T350&lt;&gt;""," • "&amp;$T350,"")&amp;IF($U350&lt;&gt;""," • "&amp;$U350,"")&amp;" • No Blockers"</f>
        <v/>
      </c>
    </row>
    <row r="351">
      <c r="A351" s="19" t="n"/>
      <c r="B351" s="19" t="n"/>
      <c r="C351" s="19" t="n"/>
      <c r="D351" s="19" t="n"/>
      <c r="E351" s="19" t="n"/>
      <c r="F351" s="19" t="n"/>
      <c r="G351" s="19" t="n"/>
      <c r="H351" s="19" t="n"/>
      <c r="I351" s="19" t="n"/>
      <c r="J351" s="19" t="n"/>
      <c r="K351" s="19" t="n"/>
      <c r="L351" s="125" t="n"/>
      <c r="M351" s="88">
        <f>IF($D351="","",IFERROR(VLOOKUP($H351,Lists!$N$2:$O$6,2,FALSE),0))</f>
        <v/>
      </c>
      <c r="N351" s="88">
        <f>IF($D351="","",IF(OR($E351="Blocked",$E351="Done",$E351="Archive"),-9999,IF(AND($E351="Waiting",SUMPRODUCT((($E$5:$E$500="Next")+($E$5:$E$500="In Progress")+($E$5:$E$500="Captured"))*($D$5:$D$500&lt;&gt;""))&gt;0),-500,VLOOKUP($F351,Lists!$L$2:$M$4,2,FALSE)+IF($E351="In Progress",10,0)+IF(AND($I351&lt;&gt;"",$I351&lt;TODAY()),25,0)+IF(AND($I351&lt;&gt;"",$I351&gt;=TODAY(),$I351&lt;=TODAY()+7),15,0)+IF($H351="",0,IF($M351&lt;=VLOOKUP(Home!$C$7,Lists!$N$2:$O$6,2,FALSE),20,-10))+IF($G351=Home!$E$7,15,IF(Home!$E$7="",0,-5))-ROW()/100000)))</f>
        <v/>
      </c>
      <c r="O351" s="88">
        <f>IF($D351="","",IF($N351&lt;=-500,"Not recommended right now",IF($E351="Waiting","Nothing else actionable right now — Waiting on: "&amp;IF($K351="","this item",$K351),MID($V351,4,9999))))</f>
        <v/>
      </c>
      <c r="P351" s="88">
        <f>IF($D351="","",IF('Task Finder'!$C$6="High Priority",AND($F351="High",$E351&lt;&gt;"Done",$E351&lt;&gt;"Archive"),IF('Task Finder'!$C$6="Due This Week",AND($I351&lt;&gt;"",$I351&gt;=TODAY(),$I351&lt;=TODAY()+7,$E351&lt;&gt;"Done"),IF('Task Finder'!$C$6="Quick Wins (15 mins or less)",AND($M351&lt;=15,$E351&lt;&gt;"Done",$E351&lt;&gt;"Blocked"),IF('Task Finder'!$C$6="Deep Thinking",AND($G351="Deep Thinking",$E351&lt;&gt;"Done"),IF('Task Finder'!$C$6="Processing",AND($G351="Processing",$E351&lt;&gt;"Done"),IF('Task Finder'!$C$6="Blocked",$E351="Blocked",IF('Task Finder'!$C$6="Waiting",$E351="Waiting",IF('Task Finder'!$C$6="Recently Updated",AND($L351&lt;&gt;"",$L351&gt;=TODAY()-7),IF('Task Finder'!$C$6="Keyword",AND('Task Finder'!$C$7&lt;&gt;"",OR(ISNUMBER(SEARCH('Task Finder'!$C$7,$A351)),ISNUMBER(SEARCH('Task Finder'!$C$7,$B351)),ISNUMBER(SEARCH('Task Finder'!$C$7,$C351)),ISNUMBER(SEARCH('Task Finder'!$C$7,$D351)),ISNUMBER(SEARCH('Task Finder'!$C$7,$K351)))),TRUE))))))))))</f>
        <v/>
      </c>
      <c r="Q351" s="150">
        <f>IF($F351="High","High Priority","")</f>
        <v/>
      </c>
      <c r="R351" s="150">
        <f>IF(AND($I351&lt;&gt;"",$I351&lt;TODAY()),"Overdue","")</f>
        <v/>
      </c>
      <c r="S351" s="150">
        <f>IF(AND($I351&lt;&gt;"",$I351&gt;=TODAY(),$I351&lt;=TODAY()+7),"Due This Week","")</f>
        <v/>
      </c>
      <c r="T351" s="150">
        <f>IF(AND($H351&lt;&gt;"",$M351&lt;=VLOOKUP(Home!$C$7,Lists!$N$2:$O$6,2,FALSE)),$H351&amp;" Task","")</f>
        <v/>
      </c>
      <c r="U351" s="150">
        <f>IF($G351=Home!$E$7,"Fits Current Energy","")</f>
        <v/>
      </c>
      <c r="V351" s="150">
        <f>IF($Q351&lt;&gt;""," • "&amp;$Q351,"")&amp;IF($R351&lt;&gt;""," • "&amp;$R351,"")&amp;IF($S351&lt;&gt;""," • "&amp;$S351,"")&amp;IF($T351&lt;&gt;""," • "&amp;$T351,"")&amp;IF($U351&lt;&gt;""," • "&amp;$U351,"")&amp;" • No Blockers"</f>
        <v/>
      </c>
    </row>
    <row r="352">
      <c r="A352" s="19" t="n"/>
      <c r="B352" s="19" t="n"/>
      <c r="C352" s="19" t="n"/>
      <c r="D352" s="19" t="n"/>
      <c r="E352" s="19" t="n"/>
      <c r="F352" s="19" t="n"/>
      <c r="G352" s="19" t="n"/>
      <c r="H352" s="19" t="n"/>
      <c r="I352" s="19" t="n"/>
      <c r="J352" s="19" t="n"/>
      <c r="K352" s="19" t="n"/>
      <c r="L352" s="125" t="n"/>
      <c r="M352" s="88">
        <f>IF($D352="","",IFERROR(VLOOKUP($H352,Lists!$N$2:$O$6,2,FALSE),0))</f>
        <v/>
      </c>
      <c r="N352" s="88">
        <f>IF($D352="","",IF(OR($E352="Blocked",$E352="Done",$E352="Archive"),-9999,IF(AND($E352="Waiting",SUMPRODUCT((($E$5:$E$500="Next")+($E$5:$E$500="In Progress")+($E$5:$E$500="Captured"))*($D$5:$D$500&lt;&gt;""))&gt;0),-500,VLOOKUP($F352,Lists!$L$2:$M$4,2,FALSE)+IF($E352="In Progress",10,0)+IF(AND($I352&lt;&gt;"",$I352&lt;TODAY()),25,0)+IF(AND($I352&lt;&gt;"",$I352&gt;=TODAY(),$I352&lt;=TODAY()+7),15,0)+IF($H352="",0,IF($M352&lt;=VLOOKUP(Home!$C$7,Lists!$N$2:$O$6,2,FALSE),20,-10))+IF($G352=Home!$E$7,15,IF(Home!$E$7="",0,-5))-ROW()/100000)))</f>
        <v/>
      </c>
      <c r="O352" s="88">
        <f>IF($D352="","",IF($N352&lt;=-500,"Not recommended right now",IF($E352="Waiting","Nothing else actionable right now — Waiting on: "&amp;IF($K352="","this item",$K352),MID($V352,4,9999))))</f>
        <v/>
      </c>
      <c r="P352" s="88">
        <f>IF($D352="","",IF('Task Finder'!$C$6="High Priority",AND($F352="High",$E352&lt;&gt;"Done",$E352&lt;&gt;"Archive"),IF('Task Finder'!$C$6="Due This Week",AND($I352&lt;&gt;"",$I352&gt;=TODAY(),$I352&lt;=TODAY()+7,$E352&lt;&gt;"Done"),IF('Task Finder'!$C$6="Quick Wins (15 mins or less)",AND($M352&lt;=15,$E352&lt;&gt;"Done",$E352&lt;&gt;"Blocked"),IF('Task Finder'!$C$6="Deep Thinking",AND($G352="Deep Thinking",$E352&lt;&gt;"Done"),IF('Task Finder'!$C$6="Processing",AND($G352="Processing",$E352&lt;&gt;"Done"),IF('Task Finder'!$C$6="Blocked",$E352="Blocked",IF('Task Finder'!$C$6="Waiting",$E352="Waiting",IF('Task Finder'!$C$6="Recently Updated",AND($L352&lt;&gt;"",$L352&gt;=TODAY()-7),IF('Task Finder'!$C$6="Keyword",AND('Task Finder'!$C$7&lt;&gt;"",OR(ISNUMBER(SEARCH('Task Finder'!$C$7,$A352)),ISNUMBER(SEARCH('Task Finder'!$C$7,$B352)),ISNUMBER(SEARCH('Task Finder'!$C$7,$C352)),ISNUMBER(SEARCH('Task Finder'!$C$7,$D352)),ISNUMBER(SEARCH('Task Finder'!$C$7,$K352)))),TRUE))))))))))</f>
        <v/>
      </c>
      <c r="Q352" s="150">
        <f>IF($F352="High","High Priority","")</f>
        <v/>
      </c>
      <c r="R352" s="150">
        <f>IF(AND($I352&lt;&gt;"",$I352&lt;TODAY()),"Overdue","")</f>
        <v/>
      </c>
      <c r="S352" s="150">
        <f>IF(AND($I352&lt;&gt;"",$I352&gt;=TODAY(),$I352&lt;=TODAY()+7),"Due This Week","")</f>
        <v/>
      </c>
      <c r="T352" s="150">
        <f>IF(AND($H352&lt;&gt;"",$M352&lt;=VLOOKUP(Home!$C$7,Lists!$N$2:$O$6,2,FALSE)),$H352&amp;" Task","")</f>
        <v/>
      </c>
      <c r="U352" s="150">
        <f>IF($G352=Home!$E$7,"Fits Current Energy","")</f>
        <v/>
      </c>
      <c r="V352" s="150">
        <f>IF($Q352&lt;&gt;""," • "&amp;$Q352,"")&amp;IF($R352&lt;&gt;""," • "&amp;$R352,"")&amp;IF($S352&lt;&gt;""," • "&amp;$S352,"")&amp;IF($T352&lt;&gt;""," • "&amp;$T352,"")&amp;IF($U352&lt;&gt;""," • "&amp;$U352,"")&amp;" • No Blockers"</f>
        <v/>
      </c>
    </row>
    <row r="353">
      <c r="A353" s="19" t="n"/>
      <c r="B353" s="19" t="n"/>
      <c r="C353" s="19" t="n"/>
      <c r="D353" s="19" t="n"/>
      <c r="E353" s="19" t="n"/>
      <c r="F353" s="19" t="n"/>
      <c r="G353" s="19" t="n"/>
      <c r="H353" s="19" t="n"/>
      <c r="I353" s="19" t="n"/>
      <c r="J353" s="19" t="n"/>
      <c r="K353" s="19" t="n"/>
      <c r="L353" s="125" t="n"/>
      <c r="M353" s="88">
        <f>IF($D353="","",IFERROR(VLOOKUP($H353,Lists!$N$2:$O$6,2,FALSE),0))</f>
        <v/>
      </c>
      <c r="N353" s="88">
        <f>IF($D353="","",IF(OR($E353="Blocked",$E353="Done",$E353="Archive"),-9999,IF(AND($E353="Waiting",SUMPRODUCT((($E$5:$E$500="Next")+($E$5:$E$500="In Progress")+($E$5:$E$500="Captured"))*($D$5:$D$500&lt;&gt;""))&gt;0),-500,VLOOKUP($F353,Lists!$L$2:$M$4,2,FALSE)+IF($E353="In Progress",10,0)+IF(AND($I353&lt;&gt;"",$I353&lt;TODAY()),25,0)+IF(AND($I353&lt;&gt;"",$I353&gt;=TODAY(),$I353&lt;=TODAY()+7),15,0)+IF($H353="",0,IF($M353&lt;=VLOOKUP(Home!$C$7,Lists!$N$2:$O$6,2,FALSE),20,-10))+IF($G353=Home!$E$7,15,IF(Home!$E$7="",0,-5))-ROW()/100000)))</f>
        <v/>
      </c>
      <c r="O353" s="88">
        <f>IF($D353="","",IF($N353&lt;=-500,"Not recommended right now",IF($E353="Waiting","Nothing else actionable right now — Waiting on: "&amp;IF($K353="","this item",$K353),MID($V353,4,9999))))</f>
        <v/>
      </c>
      <c r="P353" s="88">
        <f>IF($D353="","",IF('Task Finder'!$C$6="High Priority",AND($F353="High",$E353&lt;&gt;"Done",$E353&lt;&gt;"Archive"),IF('Task Finder'!$C$6="Due This Week",AND($I353&lt;&gt;"",$I353&gt;=TODAY(),$I353&lt;=TODAY()+7,$E353&lt;&gt;"Done"),IF('Task Finder'!$C$6="Quick Wins (15 mins or less)",AND($M353&lt;=15,$E353&lt;&gt;"Done",$E353&lt;&gt;"Blocked"),IF('Task Finder'!$C$6="Deep Thinking",AND($G353="Deep Thinking",$E353&lt;&gt;"Done"),IF('Task Finder'!$C$6="Processing",AND($G353="Processing",$E353&lt;&gt;"Done"),IF('Task Finder'!$C$6="Blocked",$E353="Blocked",IF('Task Finder'!$C$6="Waiting",$E353="Waiting",IF('Task Finder'!$C$6="Recently Updated",AND($L353&lt;&gt;"",$L353&gt;=TODAY()-7),IF('Task Finder'!$C$6="Keyword",AND('Task Finder'!$C$7&lt;&gt;"",OR(ISNUMBER(SEARCH('Task Finder'!$C$7,$A353)),ISNUMBER(SEARCH('Task Finder'!$C$7,$B353)),ISNUMBER(SEARCH('Task Finder'!$C$7,$C353)),ISNUMBER(SEARCH('Task Finder'!$C$7,$D353)),ISNUMBER(SEARCH('Task Finder'!$C$7,$K353)))),TRUE))))))))))</f>
        <v/>
      </c>
      <c r="Q353" s="150">
        <f>IF($F353="High","High Priority","")</f>
        <v/>
      </c>
      <c r="R353" s="150">
        <f>IF(AND($I353&lt;&gt;"",$I353&lt;TODAY()),"Overdue","")</f>
        <v/>
      </c>
      <c r="S353" s="150">
        <f>IF(AND($I353&lt;&gt;"",$I353&gt;=TODAY(),$I353&lt;=TODAY()+7),"Due This Week","")</f>
        <v/>
      </c>
      <c r="T353" s="150">
        <f>IF(AND($H353&lt;&gt;"",$M353&lt;=VLOOKUP(Home!$C$7,Lists!$N$2:$O$6,2,FALSE)),$H353&amp;" Task","")</f>
        <v/>
      </c>
      <c r="U353" s="150">
        <f>IF($G353=Home!$E$7,"Fits Current Energy","")</f>
        <v/>
      </c>
      <c r="V353" s="150">
        <f>IF($Q353&lt;&gt;""," • "&amp;$Q353,"")&amp;IF($R353&lt;&gt;""," • "&amp;$R353,"")&amp;IF($S353&lt;&gt;""," • "&amp;$S353,"")&amp;IF($T353&lt;&gt;""," • "&amp;$T353,"")&amp;IF($U353&lt;&gt;""," • "&amp;$U353,"")&amp;" • No Blockers"</f>
        <v/>
      </c>
    </row>
    <row r="354">
      <c r="A354" s="19" t="n"/>
      <c r="B354" s="19" t="n"/>
      <c r="C354" s="19" t="n"/>
      <c r="D354" s="19" t="n"/>
      <c r="E354" s="19" t="n"/>
      <c r="F354" s="19" t="n"/>
      <c r="G354" s="19" t="n"/>
      <c r="H354" s="19" t="n"/>
      <c r="I354" s="19" t="n"/>
      <c r="J354" s="19" t="n"/>
      <c r="K354" s="19" t="n"/>
      <c r="L354" s="125" t="n"/>
      <c r="M354" s="88">
        <f>IF($D354="","",IFERROR(VLOOKUP($H354,Lists!$N$2:$O$6,2,FALSE),0))</f>
        <v/>
      </c>
      <c r="N354" s="88">
        <f>IF($D354="","",IF(OR($E354="Blocked",$E354="Done",$E354="Archive"),-9999,IF(AND($E354="Waiting",SUMPRODUCT((($E$5:$E$500="Next")+($E$5:$E$500="In Progress")+($E$5:$E$500="Captured"))*($D$5:$D$500&lt;&gt;""))&gt;0),-500,VLOOKUP($F354,Lists!$L$2:$M$4,2,FALSE)+IF($E354="In Progress",10,0)+IF(AND($I354&lt;&gt;"",$I354&lt;TODAY()),25,0)+IF(AND($I354&lt;&gt;"",$I354&gt;=TODAY(),$I354&lt;=TODAY()+7),15,0)+IF($H354="",0,IF($M354&lt;=VLOOKUP(Home!$C$7,Lists!$N$2:$O$6,2,FALSE),20,-10))+IF($G354=Home!$E$7,15,IF(Home!$E$7="",0,-5))-ROW()/100000)))</f>
        <v/>
      </c>
      <c r="O354" s="88">
        <f>IF($D354="","",IF($N354&lt;=-500,"Not recommended right now",IF($E354="Waiting","Nothing else actionable right now — Waiting on: "&amp;IF($K354="","this item",$K354),MID($V354,4,9999))))</f>
        <v/>
      </c>
      <c r="P354" s="88">
        <f>IF($D354="","",IF('Task Finder'!$C$6="High Priority",AND($F354="High",$E354&lt;&gt;"Done",$E354&lt;&gt;"Archive"),IF('Task Finder'!$C$6="Due This Week",AND($I354&lt;&gt;"",$I354&gt;=TODAY(),$I354&lt;=TODAY()+7,$E354&lt;&gt;"Done"),IF('Task Finder'!$C$6="Quick Wins (15 mins or less)",AND($M354&lt;=15,$E354&lt;&gt;"Done",$E354&lt;&gt;"Blocked"),IF('Task Finder'!$C$6="Deep Thinking",AND($G354="Deep Thinking",$E354&lt;&gt;"Done"),IF('Task Finder'!$C$6="Processing",AND($G354="Processing",$E354&lt;&gt;"Done"),IF('Task Finder'!$C$6="Blocked",$E354="Blocked",IF('Task Finder'!$C$6="Waiting",$E354="Waiting",IF('Task Finder'!$C$6="Recently Updated",AND($L354&lt;&gt;"",$L354&gt;=TODAY()-7),IF('Task Finder'!$C$6="Keyword",AND('Task Finder'!$C$7&lt;&gt;"",OR(ISNUMBER(SEARCH('Task Finder'!$C$7,$A354)),ISNUMBER(SEARCH('Task Finder'!$C$7,$B354)),ISNUMBER(SEARCH('Task Finder'!$C$7,$C354)),ISNUMBER(SEARCH('Task Finder'!$C$7,$D354)),ISNUMBER(SEARCH('Task Finder'!$C$7,$K354)))),TRUE))))))))))</f>
        <v/>
      </c>
      <c r="Q354" s="150">
        <f>IF($F354="High","High Priority","")</f>
        <v/>
      </c>
      <c r="R354" s="150">
        <f>IF(AND($I354&lt;&gt;"",$I354&lt;TODAY()),"Overdue","")</f>
        <v/>
      </c>
      <c r="S354" s="150">
        <f>IF(AND($I354&lt;&gt;"",$I354&gt;=TODAY(),$I354&lt;=TODAY()+7),"Due This Week","")</f>
        <v/>
      </c>
      <c r="T354" s="150">
        <f>IF(AND($H354&lt;&gt;"",$M354&lt;=VLOOKUP(Home!$C$7,Lists!$N$2:$O$6,2,FALSE)),$H354&amp;" Task","")</f>
        <v/>
      </c>
      <c r="U354" s="150">
        <f>IF($G354=Home!$E$7,"Fits Current Energy","")</f>
        <v/>
      </c>
      <c r="V354" s="150">
        <f>IF($Q354&lt;&gt;""," • "&amp;$Q354,"")&amp;IF($R354&lt;&gt;""," • "&amp;$R354,"")&amp;IF($S354&lt;&gt;""," • "&amp;$S354,"")&amp;IF($T354&lt;&gt;""," • "&amp;$T354,"")&amp;IF($U354&lt;&gt;""," • "&amp;$U354,"")&amp;" • No Blockers"</f>
        <v/>
      </c>
    </row>
    <row r="355">
      <c r="A355" s="19" t="n"/>
      <c r="B355" s="19" t="n"/>
      <c r="C355" s="19" t="n"/>
      <c r="D355" s="19" t="n"/>
      <c r="E355" s="19" t="n"/>
      <c r="F355" s="19" t="n"/>
      <c r="G355" s="19" t="n"/>
      <c r="H355" s="19" t="n"/>
      <c r="I355" s="19" t="n"/>
      <c r="J355" s="19" t="n"/>
      <c r="K355" s="19" t="n"/>
      <c r="L355" s="125" t="n"/>
      <c r="M355" s="88">
        <f>IF($D355="","",IFERROR(VLOOKUP($H355,Lists!$N$2:$O$6,2,FALSE),0))</f>
        <v/>
      </c>
      <c r="N355" s="88">
        <f>IF($D355="","",IF(OR($E355="Blocked",$E355="Done",$E355="Archive"),-9999,IF(AND($E355="Waiting",SUMPRODUCT((($E$5:$E$500="Next")+($E$5:$E$500="In Progress")+($E$5:$E$500="Captured"))*($D$5:$D$500&lt;&gt;""))&gt;0),-500,VLOOKUP($F355,Lists!$L$2:$M$4,2,FALSE)+IF($E355="In Progress",10,0)+IF(AND($I355&lt;&gt;"",$I355&lt;TODAY()),25,0)+IF(AND($I355&lt;&gt;"",$I355&gt;=TODAY(),$I355&lt;=TODAY()+7),15,0)+IF($H355="",0,IF($M355&lt;=VLOOKUP(Home!$C$7,Lists!$N$2:$O$6,2,FALSE),20,-10))+IF($G355=Home!$E$7,15,IF(Home!$E$7="",0,-5))-ROW()/100000)))</f>
        <v/>
      </c>
      <c r="O355" s="88">
        <f>IF($D355="","",IF($N355&lt;=-500,"Not recommended right now",IF($E355="Waiting","Nothing else actionable right now — Waiting on: "&amp;IF($K355="","this item",$K355),MID($V355,4,9999))))</f>
        <v/>
      </c>
      <c r="P355" s="88">
        <f>IF($D355="","",IF('Task Finder'!$C$6="High Priority",AND($F355="High",$E355&lt;&gt;"Done",$E355&lt;&gt;"Archive"),IF('Task Finder'!$C$6="Due This Week",AND($I355&lt;&gt;"",$I355&gt;=TODAY(),$I355&lt;=TODAY()+7,$E355&lt;&gt;"Done"),IF('Task Finder'!$C$6="Quick Wins (15 mins or less)",AND($M355&lt;=15,$E355&lt;&gt;"Done",$E355&lt;&gt;"Blocked"),IF('Task Finder'!$C$6="Deep Thinking",AND($G355="Deep Thinking",$E355&lt;&gt;"Done"),IF('Task Finder'!$C$6="Processing",AND($G355="Processing",$E355&lt;&gt;"Done"),IF('Task Finder'!$C$6="Blocked",$E355="Blocked",IF('Task Finder'!$C$6="Waiting",$E355="Waiting",IF('Task Finder'!$C$6="Recently Updated",AND($L355&lt;&gt;"",$L355&gt;=TODAY()-7),IF('Task Finder'!$C$6="Keyword",AND('Task Finder'!$C$7&lt;&gt;"",OR(ISNUMBER(SEARCH('Task Finder'!$C$7,$A355)),ISNUMBER(SEARCH('Task Finder'!$C$7,$B355)),ISNUMBER(SEARCH('Task Finder'!$C$7,$C355)),ISNUMBER(SEARCH('Task Finder'!$C$7,$D355)),ISNUMBER(SEARCH('Task Finder'!$C$7,$K355)))),TRUE))))))))))</f>
        <v/>
      </c>
      <c r="Q355" s="150">
        <f>IF($F355="High","High Priority","")</f>
        <v/>
      </c>
      <c r="R355" s="150">
        <f>IF(AND($I355&lt;&gt;"",$I355&lt;TODAY()),"Overdue","")</f>
        <v/>
      </c>
      <c r="S355" s="150">
        <f>IF(AND($I355&lt;&gt;"",$I355&gt;=TODAY(),$I355&lt;=TODAY()+7),"Due This Week","")</f>
        <v/>
      </c>
      <c r="T355" s="150">
        <f>IF(AND($H355&lt;&gt;"",$M355&lt;=VLOOKUP(Home!$C$7,Lists!$N$2:$O$6,2,FALSE)),$H355&amp;" Task","")</f>
        <v/>
      </c>
      <c r="U355" s="150">
        <f>IF($G355=Home!$E$7,"Fits Current Energy","")</f>
        <v/>
      </c>
      <c r="V355" s="150">
        <f>IF($Q355&lt;&gt;""," • "&amp;$Q355,"")&amp;IF($R355&lt;&gt;""," • "&amp;$R355,"")&amp;IF($S355&lt;&gt;""," • "&amp;$S355,"")&amp;IF($T355&lt;&gt;""," • "&amp;$T355,"")&amp;IF($U355&lt;&gt;""," • "&amp;$U355,"")&amp;" • No Blockers"</f>
        <v/>
      </c>
    </row>
    <row r="356">
      <c r="A356" s="19" t="n"/>
      <c r="B356" s="19" t="n"/>
      <c r="C356" s="19" t="n"/>
      <c r="D356" s="19" t="n"/>
      <c r="E356" s="19" t="n"/>
      <c r="F356" s="19" t="n"/>
      <c r="G356" s="19" t="n"/>
      <c r="H356" s="19" t="n"/>
      <c r="I356" s="19" t="n"/>
      <c r="J356" s="19" t="n"/>
      <c r="K356" s="19" t="n"/>
      <c r="L356" s="125" t="n"/>
      <c r="M356" s="88">
        <f>IF($D356="","",IFERROR(VLOOKUP($H356,Lists!$N$2:$O$6,2,FALSE),0))</f>
        <v/>
      </c>
      <c r="N356" s="88">
        <f>IF($D356="","",IF(OR($E356="Blocked",$E356="Done",$E356="Archive"),-9999,IF(AND($E356="Waiting",SUMPRODUCT((($E$5:$E$500="Next")+($E$5:$E$500="In Progress")+($E$5:$E$500="Captured"))*($D$5:$D$500&lt;&gt;""))&gt;0),-500,VLOOKUP($F356,Lists!$L$2:$M$4,2,FALSE)+IF($E356="In Progress",10,0)+IF(AND($I356&lt;&gt;"",$I356&lt;TODAY()),25,0)+IF(AND($I356&lt;&gt;"",$I356&gt;=TODAY(),$I356&lt;=TODAY()+7),15,0)+IF($H356="",0,IF($M356&lt;=VLOOKUP(Home!$C$7,Lists!$N$2:$O$6,2,FALSE),20,-10))+IF($G356=Home!$E$7,15,IF(Home!$E$7="",0,-5))-ROW()/100000)))</f>
        <v/>
      </c>
      <c r="O356" s="88">
        <f>IF($D356="","",IF($N356&lt;=-500,"Not recommended right now",IF($E356="Waiting","Nothing else actionable right now — Waiting on: "&amp;IF($K356="","this item",$K356),MID($V356,4,9999))))</f>
        <v/>
      </c>
      <c r="P356" s="88">
        <f>IF($D356="","",IF('Task Finder'!$C$6="High Priority",AND($F356="High",$E356&lt;&gt;"Done",$E356&lt;&gt;"Archive"),IF('Task Finder'!$C$6="Due This Week",AND($I356&lt;&gt;"",$I356&gt;=TODAY(),$I356&lt;=TODAY()+7,$E356&lt;&gt;"Done"),IF('Task Finder'!$C$6="Quick Wins (15 mins or less)",AND($M356&lt;=15,$E356&lt;&gt;"Done",$E356&lt;&gt;"Blocked"),IF('Task Finder'!$C$6="Deep Thinking",AND($G356="Deep Thinking",$E356&lt;&gt;"Done"),IF('Task Finder'!$C$6="Processing",AND($G356="Processing",$E356&lt;&gt;"Done"),IF('Task Finder'!$C$6="Blocked",$E356="Blocked",IF('Task Finder'!$C$6="Waiting",$E356="Waiting",IF('Task Finder'!$C$6="Recently Updated",AND($L356&lt;&gt;"",$L356&gt;=TODAY()-7),IF('Task Finder'!$C$6="Keyword",AND('Task Finder'!$C$7&lt;&gt;"",OR(ISNUMBER(SEARCH('Task Finder'!$C$7,$A356)),ISNUMBER(SEARCH('Task Finder'!$C$7,$B356)),ISNUMBER(SEARCH('Task Finder'!$C$7,$C356)),ISNUMBER(SEARCH('Task Finder'!$C$7,$D356)),ISNUMBER(SEARCH('Task Finder'!$C$7,$K356)))),TRUE))))))))))</f>
        <v/>
      </c>
      <c r="Q356" s="150">
        <f>IF($F356="High","High Priority","")</f>
        <v/>
      </c>
      <c r="R356" s="150">
        <f>IF(AND($I356&lt;&gt;"",$I356&lt;TODAY()),"Overdue","")</f>
        <v/>
      </c>
      <c r="S356" s="150">
        <f>IF(AND($I356&lt;&gt;"",$I356&gt;=TODAY(),$I356&lt;=TODAY()+7),"Due This Week","")</f>
        <v/>
      </c>
      <c r="T356" s="150">
        <f>IF(AND($H356&lt;&gt;"",$M356&lt;=VLOOKUP(Home!$C$7,Lists!$N$2:$O$6,2,FALSE)),$H356&amp;" Task","")</f>
        <v/>
      </c>
      <c r="U356" s="150">
        <f>IF($G356=Home!$E$7,"Fits Current Energy","")</f>
        <v/>
      </c>
      <c r="V356" s="150">
        <f>IF($Q356&lt;&gt;""," • "&amp;$Q356,"")&amp;IF($R356&lt;&gt;""," • "&amp;$R356,"")&amp;IF($S356&lt;&gt;""," • "&amp;$S356,"")&amp;IF($T356&lt;&gt;""," • "&amp;$T356,"")&amp;IF($U356&lt;&gt;""," • "&amp;$U356,"")&amp;" • No Blockers"</f>
        <v/>
      </c>
    </row>
    <row r="357">
      <c r="A357" s="19" t="n"/>
      <c r="B357" s="19" t="n"/>
      <c r="C357" s="19" t="n"/>
      <c r="D357" s="19" t="n"/>
      <c r="E357" s="19" t="n"/>
      <c r="F357" s="19" t="n"/>
      <c r="G357" s="19" t="n"/>
      <c r="H357" s="19" t="n"/>
      <c r="I357" s="19" t="n"/>
      <c r="J357" s="19" t="n"/>
      <c r="K357" s="19" t="n"/>
      <c r="L357" s="125" t="n"/>
      <c r="M357" s="88">
        <f>IF($D357="","",IFERROR(VLOOKUP($H357,Lists!$N$2:$O$6,2,FALSE),0))</f>
        <v/>
      </c>
      <c r="N357" s="88">
        <f>IF($D357="","",IF(OR($E357="Blocked",$E357="Done",$E357="Archive"),-9999,IF(AND($E357="Waiting",SUMPRODUCT((($E$5:$E$500="Next")+($E$5:$E$500="In Progress")+($E$5:$E$500="Captured"))*($D$5:$D$500&lt;&gt;""))&gt;0),-500,VLOOKUP($F357,Lists!$L$2:$M$4,2,FALSE)+IF($E357="In Progress",10,0)+IF(AND($I357&lt;&gt;"",$I357&lt;TODAY()),25,0)+IF(AND($I357&lt;&gt;"",$I357&gt;=TODAY(),$I357&lt;=TODAY()+7),15,0)+IF($H357="",0,IF($M357&lt;=VLOOKUP(Home!$C$7,Lists!$N$2:$O$6,2,FALSE),20,-10))+IF($G357=Home!$E$7,15,IF(Home!$E$7="",0,-5))-ROW()/100000)))</f>
        <v/>
      </c>
      <c r="O357" s="88">
        <f>IF($D357="","",IF($N357&lt;=-500,"Not recommended right now",IF($E357="Waiting","Nothing else actionable right now — Waiting on: "&amp;IF($K357="","this item",$K357),MID($V357,4,9999))))</f>
        <v/>
      </c>
      <c r="P357" s="88">
        <f>IF($D357="","",IF('Task Finder'!$C$6="High Priority",AND($F357="High",$E357&lt;&gt;"Done",$E357&lt;&gt;"Archive"),IF('Task Finder'!$C$6="Due This Week",AND($I357&lt;&gt;"",$I357&gt;=TODAY(),$I357&lt;=TODAY()+7,$E357&lt;&gt;"Done"),IF('Task Finder'!$C$6="Quick Wins (15 mins or less)",AND($M357&lt;=15,$E357&lt;&gt;"Done",$E357&lt;&gt;"Blocked"),IF('Task Finder'!$C$6="Deep Thinking",AND($G357="Deep Thinking",$E357&lt;&gt;"Done"),IF('Task Finder'!$C$6="Processing",AND($G357="Processing",$E357&lt;&gt;"Done"),IF('Task Finder'!$C$6="Blocked",$E357="Blocked",IF('Task Finder'!$C$6="Waiting",$E357="Waiting",IF('Task Finder'!$C$6="Recently Updated",AND($L357&lt;&gt;"",$L357&gt;=TODAY()-7),IF('Task Finder'!$C$6="Keyword",AND('Task Finder'!$C$7&lt;&gt;"",OR(ISNUMBER(SEARCH('Task Finder'!$C$7,$A357)),ISNUMBER(SEARCH('Task Finder'!$C$7,$B357)),ISNUMBER(SEARCH('Task Finder'!$C$7,$C357)),ISNUMBER(SEARCH('Task Finder'!$C$7,$D357)),ISNUMBER(SEARCH('Task Finder'!$C$7,$K357)))),TRUE))))))))))</f>
        <v/>
      </c>
      <c r="Q357" s="150">
        <f>IF($F357="High","High Priority","")</f>
        <v/>
      </c>
      <c r="R357" s="150">
        <f>IF(AND($I357&lt;&gt;"",$I357&lt;TODAY()),"Overdue","")</f>
        <v/>
      </c>
      <c r="S357" s="150">
        <f>IF(AND($I357&lt;&gt;"",$I357&gt;=TODAY(),$I357&lt;=TODAY()+7),"Due This Week","")</f>
        <v/>
      </c>
      <c r="T357" s="150">
        <f>IF(AND($H357&lt;&gt;"",$M357&lt;=VLOOKUP(Home!$C$7,Lists!$N$2:$O$6,2,FALSE)),$H357&amp;" Task","")</f>
        <v/>
      </c>
      <c r="U357" s="150">
        <f>IF($G357=Home!$E$7,"Fits Current Energy","")</f>
        <v/>
      </c>
      <c r="V357" s="150">
        <f>IF($Q357&lt;&gt;""," • "&amp;$Q357,"")&amp;IF($R357&lt;&gt;""," • "&amp;$R357,"")&amp;IF($S357&lt;&gt;""," • "&amp;$S357,"")&amp;IF($T357&lt;&gt;""," • "&amp;$T357,"")&amp;IF($U357&lt;&gt;""," • "&amp;$U357,"")&amp;" • No Blockers"</f>
        <v/>
      </c>
    </row>
    <row r="358">
      <c r="A358" s="19" t="n"/>
      <c r="B358" s="19" t="n"/>
      <c r="C358" s="19" t="n"/>
      <c r="D358" s="19" t="n"/>
      <c r="E358" s="19" t="n"/>
      <c r="F358" s="19" t="n"/>
      <c r="G358" s="19" t="n"/>
      <c r="H358" s="19" t="n"/>
      <c r="I358" s="19" t="n"/>
      <c r="J358" s="19" t="n"/>
      <c r="K358" s="19" t="n"/>
      <c r="L358" s="125" t="n"/>
      <c r="M358" s="88">
        <f>IF($D358="","",IFERROR(VLOOKUP($H358,Lists!$N$2:$O$6,2,FALSE),0))</f>
        <v/>
      </c>
      <c r="N358" s="88">
        <f>IF($D358="","",IF(OR($E358="Blocked",$E358="Done",$E358="Archive"),-9999,IF(AND($E358="Waiting",SUMPRODUCT((($E$5:$E$500="Next")+($E$5:$E$500="In Progress")+($E$5:$E$500="Captured"))*($D$5:$D$500&lt;&gt;""))&gt;0),-500,VLOOKUP($F358,Lists!$L$2:$M$4,2,FALSE)+IF($E358="In Progress",10,0)+IF(AND($I358&lt;&gt;"",$I358&lt;TODAY()),25,0)+IF(AND($I358&lt;&gt;"",$I358&gt;=TODAY(),$I358&lt;=TODAY()+7),15,0)+IF($H358="",0,IF($M358&lt;=VLOOKUP(Home!$C$7,Lists!$N$2:$O$6,2,FALSE),20,-10))+IF($G358=Home!$E$7,15,IF(Home!$E$7="",0,-5))-ROW()/100000)))</f>
        <v/>
      </c>
      <c r="O358" s="88">
        <f>IF($D358="","",IF($N358&lt;=-500,"Not recommended right now",IF($E358="Waiting","Nothing else actionable right now — Waiting on: "&amp;IF($K358="","this item",$K358),MID($V358,4,9999))))</f>
        <v/>
      </c>
      <c r="P358" s="88">
        <f>IF($D358="","",IF('Task Finder'!$C$6="High Priority",AND($F358="High",$E358&lt;&gt;"Done",$E358&lt;&gt;"Archive"),IF('Task Finder'!$C$6="Due This Week",AND($I358&lt;&gt;"",$I358&gt;=TODAY(),$I358&lt;=TODAY()+7,$E358&lt;&gt;"Done"),IF('Task Finder'!$C$6="Quick Wins (15 mins or less)",AND($M358&lt;=15,$E358&lt;&gt;"Done",$E358&lt;&gt;"Blocked"),IF('Task Finder'!$C$6="Deep Thinking",AND($G358="Deep Thinking",$E358&lt;&gt;"Done"),IF('Task Finder'!$C$6="Processing",AND($G358="Processing",$E358&lt;&gt;"Done"),IF('Task Finder'!$C$6="Blocked",$E358="Blocked",IF('Task Finder'!$C$6="Waiting",$E358="Waiting",IF('Task Finder'!$C$6="Recently Updated",AND($L358&lt;&gt;"",$L358&gt;=TODAY()-7),IF('Task Finder'!$C$6="Keyword",AND('Task Finder'!$C$7&lt;&gt;"",OR(ISNUMBER(SEARCH('Task Finder'!$C$7,$A358)),ISNUMBER(SEARCH('Task Finder'!$C$7,$B358)),ISNUMBER(SEARCH('Task Finder'!$C$7,$C358)),ISNUMBER(SEARCH('Task Finder'!$C$7,$D358)),ISNUMBER(SEARCH('Task Finder'!$C$7,$K358)))),TRUE))))))))))</f>
        <v/>
      </c>
      <c r="Q358" s="150">
        <f>IF($F358="High","High Priority","")</f>
        <v/>
      </c>
      <c r="R358" s="150">
        <f>IF(AND($I358&lt;&gt;"",$I358&lt;TODAY()),"Overdue","")</f>
        <v/>
      </c>
      <c r="S358" s="150">
        <f>IF(AND($I358&lt;&gt;"",$I358&gt;=TODAY(),$I358&lt;=TODAY()+7),"Due This Week","")</f>
        <v/>
      </c>
      <c r="T358" s="150">
        <f>IF(AND($H358&lt;&gt;"",$M358&lt;=VLOOKUP(Home!$C$7,Lists!$N$2:$O$6,2,FALSE)),$H358&amp;" Task","")</f>
        <v/>
      </c>
      <c r="U358" s="150">
        <f>IF($G358=Home!$E$7,"Fits Current Energy","")</f>
        <v/>
      </c>
      <c r="V358" s="150">
        <f>IF($Q358&lt;&gt;""," • "&amp;$Q358,"")&amp;IF($R358&lt;&gt;""," • "&amp;$R358,"")&amp;IF($S358&lt;&gt;""," • "&amp;$S358,"")&amp;IF($T358&lt;&gt;""," • "&amp;$T358,"")&amp;IF($U358&lt;&gt;""," • "&amp;$U358,"")&amp;" • No Blockers"</f>
        <v/>
      </c>
    </row>
    <row r="359">
      <c r="A359" s="19" t="n"/>
      <c r="B359" s="19" t="n"/>
      <c r="C359" s="19" t="n"/>
      <c r="D359" s="19" t="n"/>
      <c r="E359" s="19" t="n"/>
      <c r="F359" s="19" t="n"/>
      <c r="G359" s="19" t="n"/>
      <c r="H359" s="19" t="n"/>
      <c r="I359" s="19" t="n"/>
      <c r="J359" s="19" t="n"/>
      <c r="K359" s="19" t="n"/>
      <c r="L359" s="125" t="n"/>
      <c r="M359" s="88">
        <f>IF($D359="","",IFERROR(VLOOKUP($H359,Lists!$N$2:$O$6,2,FALSE),0))</f>
        <v/>
      </c>
      <c r="N359" s="88">
        <f>IF($D359="","",IF(OR($E359="Blocked",$E359="Done",$E359="Archive"),-9999,IF(AND($E359="Waiting",SUMPRODUCT((($E$5:$E$500="Next")+($E$5:$E$500="In Progress")+($E$5:$E$500="Captured"))*($D$5:$D$500&lt;&gt;""))&gt;0),-500,VLOOKUP($F359,Lists!$L$2:$M$4,2,FALSE)+IF($E359="In Progress",10,0)+IF(AND($I359&lt;&gt;"",$I359&lt;TODAY()),25,0)+IF(AND($I359&lt;&gt;"",$I359&gt;=TODAY(),$I359&lt;=TODAY()+7),15,0)+IF($H359="",0,IF($M359&lt;=VLOOKUP(Home!$C$7,Lists!$N$2:$O$6,2,FALSE),20,-10))+IF($G359=Home!$E$7,15,IF(Home!$E$7="",0,-5))-ROW()/100000)))</f>
        <v/>
      </c>
      <c r="O359" s="88">
        <f>IF($D359="","",IF($N359&lt;=-500,"Not recommended right now",IF($E359="Waiting","Nothing else actionable right now — Waiting on: "&amp;IF($K359="","this item",$K359),MID($V359,4,9999))))</f>
        <v/>
      </c>
      <c r="P359" s="88">
        <f>IF($D359="","",IF('Task Finder'!$C$6="High Priority",AND($F359="High",$E359&lt;&gt;"Done",$E359&lt;&gt;"Archive"),IF('Task Finder'!$C$6="Due This Week",AND($I359&lt;&gt;"",$I359&gt;=TODAY(),$I359&lt;=TODAY()+7,$E359&lt;&gt;"Done"),IF('Task Finder'!$C$6="Quick Wins (15 mins or less)",AND($M359&lt;=15,$E359&lt;&gt;"Done",$E359&lt;&gt;"Blocked"),IF('Task Finder'!$C$6="Deep Thinking",AND($G359="Deep Thinking",$E359&lt;&gt;"Done"),IF('Task Finder'!$C$6="Processing",AND($G359="Processing",$E359&lt;&gt;"Done"),IF('Task Finder'!$C$6="Blocked",$E359="Blocked",IF('Task Finder'!$C$6="Waiting",$E359="Waiting",IF('Task Finder'!$C$6="Recently Updated",AND($L359&lt;&gt;"",$L359&gt;=TODAY()-7),IF('Task Finder'!$C$6="Keyword",AND('Task Finder'!$C$7&lt;&gt;"",OR(ISNUMBER(SEARCH('Task Finder'!$C$7,$A359)),ISNUMBER(SEARCH('Task Finder'!$C$7,$B359)),ISNUMBER(SEARCH('Task Finder'!$C$7,$C359)),ISNUMBER(SEARCH('Task Finder'!$C$7,$D359)),ISNUMBER(SEARCH('Task Finder'!$C$7,$K359)))),TRUE))))))))))</f>
        <v/>
      </c>
      <c r="Q359" s="150">
        <f>IF($F359="High","High Priority","")</f>
        <v/>
      </c>
      <c r="R359" s="150">
        <f>IF(AND($I359&lt;&gt;"",$I359&lt;TODAY()),"Overdue","")</f>
        <v/>
      </c>
      <c r="S359" s="150">
        <f>IF(AND($I359&lt;&gt;"",$I359&gt;=TODAY(),$I359&lt;=TODAY()+7),"Due This Week","")</f>
        <v/>
      </c>
      <c r="T359" s="150">
        <f>IF(AND($H359&lt;&gt;"",$M359&lt;=VLOOKUP(Home!$C$7,Lists!$N$2:$O$6,2,FALSE)),$H359&amp;" Task","")</f>
        <v/>
      </c>
      <c r="U359" s="150">
        <f>IF($G359=Home!$E$7,"Fits Current Energy","")</f>
        <v/>
      </c>
      <c r="V359" s="150">
        <f>IF($Q359&lt;&gt;""," • "&amp;$Q359,"")&amp;IF($R359&lt;&gt;""," • "&amp;$R359,"")&amp;IF($S359&lt;&gt;""," • "&amp;$S359,"")&amp;IF($T359&lt;&gt;""," • "&amp;$T359,"")&amp;IF($U359&lt;&gt;""," • "&amp;$U359,"")&amp;" • No Blockers"</f>
        <v/>
      </c>
    </row>
    <row r="360">
      <c r="A360" s="19" t="n"/>
      <c r="B360" s="19" t="n"/>
      <c r="C360" s="19" t="n"/>
      <c r="D360" s="19" t="n"/>
      <c r="E360" s="19" t="n"/>
      <c r="F360" s="19" t="n"/>
      <c r="G360" s="19" t="n"/>
      <c r="H360" s="19" t="n"/>
      <c r="I360" s="19" t="n"/>
      <c r="J360" s="19" t="n"/>
      <c r="K360" s="19" t="n"/>
      <c r="L360" s="125" t="n"/>
      <c r="M360" s="88">
        <f>IF($D360="","",IFERROR(VLOOKUP($H360,Lists!$N$2:$O$6,2,FALSE),0))</f>
        <v/>
      </c>
      <c r="N360" s="88">
        <f>IF($D360="","",IF(OR($E360="Blocked",$E360="Done",$E360="Archive"),-9999,IF(AND($E360="Waiting",SUMPRODUCT((($E$5:$E$500="Next")+($E$5:$E$500="In Progress")+($E$5:$E$500="Captured"))*($D$5:$D$500&lt;&gt;""))&gt;0),-500,VLOOKUP($F360,Lists!$L$2:$M$4,2,FALSE)+IF($E360="In Progress",10,0)+IF(AND($I360&lt;&gt;"",$I360&lt;TODAY()),25,0)+IF(AND($I360&lt;&gt;"",$I360&gt;=TODAY(),$I360&lt;=TODAY()+7),15,0)+IF($H360="",0,IF($M360&lt;=VLOOKUP(Home!$C$7,Lists!$N$2:$O$6,2,FALSE),20,-10))+IF($G360=Home!$E$7,15,IF(Home!$E$7="",0,-5))-ROW()/100000)))</f>
        <v/>
      </c>
      <c r="O360" s="88">
        <f>IF($D360="","",IF($N360&lt;=-500,"Not recommended right now",IF($E360="Waiting","Nothing else actionable right now — Waiting on: "&amp;IF($K360="","this item",$K360),MID($V360,4,9999))))</f>
        <v/>
      </c>
      <c r="P360" s="88">
        <f>IF($D360="","",IF('Task Finder'!$C$6="High Priority",AND($F360="High",$E360&lt;&gt;"Done",$E360&lt;&gt;"Archive"),IF('Task Finder'!$C$6="Due This Week",AND($I360&lt;&gt;"",$I360&gt;=TODAY(),$I360&lt;=TODAY()+7,$E360&lt;&gt;"Done"),IF('Task Finder'!$C$6="Quick Wins (15 mins or less)",AND($M360&lt;=15,$E360&lt;&gt;"Done",$E360&lt;&gt;"Blocked"),IF('Task Finder'!$C$6="Deep Thinking",AND($G360="Deep Thinking",$E360&lt;&gt;"Done"),IF('Task Finder'!$C$6="Processing",AND($G360="Processing",$E360&lt;&gt;"Done"),IF('Task Finder'!$C$6="Blocked",$E360="Blocked",IF('Task Finder'!$C$6="Waiting",$E360="Waiting",IF('Task Finder'!$C$6="Recently Updated",AND($L360&lt;&gt;"",$L360&gt;=TODAY()-7),IF('Task Finder'!$C$6="Keyword",AND('Task Finder'!$C$7&lt;&gt;"",OR(ISNUMBER(SEARCH('Task Finder'!$C$7,$A360)),ISNUMBER(SEARCH('Task Finder'!$C$7,$B360)),ISNUMBER(SEARCH('Task Finder'!$C$7,$C360)),ISNUMBER(SEARCH('Task Finder'!$C$7,$D360)),ISNUMBER(SEARCH('Task Finder'!$C$7,$K360)))),TRUE))))))))))</f>
        <v/>
      </c>
      <c r="Q360" s="150">
        <f>IF($F360="High","High Priority","")</f>
        <v/>
      </c>
      <c r="R360" s="150">
        <f>IF(AND($I360&lt;&gt;"",$I360&lt;TODAY()),"Overdue","")</f>
        <v/>
      </c>
      <c r="S360" s="150">
        <f>IF(AND($I360&lt;&gt;"",$I360&gt;=TODAY(),$I360&lt;=TODAY()+7),"Due This Week","")</f>
        <v/>
      </c>
      <c r="T360" s="150">
        <f>IF(AND($H360&lt;&gt;"",$M360&lt;=VLOOKUP(Home!$C$7,Lists!$N$2:$O$6,2,FALSE)),$H360&amp;" Task","")</f>
        <v/>
      </c>
      <c r="U360" s="150">
        <f>IF($G360=Home!$E$7,"Fits Current Energy","")</f>
        <v/>
      </c>
      <c r="V360" s="150">
        <f>IF($Q360&lt;&gt;""," • "&amp;$Q360,"")&amp;IF($R360&lt;&gt;""," • "&amp;$R360,"")&amp;IF($S360&lt;&gt;""," • "&amp;$S360,"")&amp;IF($T360&lt;&gt;""," • "&amp;$T360,"")&amp;IF($U360&lt;&gt;""," • "&amp;$U360,"")&amp;" • No Blockers"</f>
        <v/>
      </c>
    </row>
    <row r="361">
      <c r="A361" s="19" t="n"/>
      <c r="B361" s="19" t="n"/>
      <c r="C361" s="19" t="n"/>
      <c r="D361" s="19" t="n"/>
      <c r="E361" s="19" t="n"/>
      <c r="F361" s="19" t="n"/>
      <c r="G361" s="19" t="n"/>
      <c r="H361" s="19" t="n"/>
      <c r="I361" s="19" t="n"/>
      <c r="J361" s="19" t="n"/>
      <c r="K361" s="19" t="n"/>
      <c r="L361" s="125" t="n"/>
      <c r="M361" s="88">
        <f>IF($D361="","",IFERROR(VLOOKUP($H361,Lists!$N$2:$O$6,2,FALSE),0))</f>
        <v/>
      </c>
      <c r="N361" s="88">
        <f>IF($D361="","",IF(OR($E361="Blocked",$E361="Done",$E361="Archive"),-9999,IF(AND($E361="Waiting",SUMPRODUCT((($E$5:$E$500="Next")+($E$5:$E$500="In Progress")+($E$5:$E$500="Captured"))*($D$5:$D$500&lt;&gt;""))&gt;0),-500,VLOOKUP($F361,Lists!$L$2:$M$4,2,FALSE)+IF($E361="In Progress",10,0)+IF(AND($I361&lt;&gt;"",$I361&lt;TODAY()),25,0)+IF(AND($I361&lt;&gt;"",$I361&gt;=TODAY(),$I361&lt;=TODAY()+7),15,0)+IF($H361="",0,IF($M361&lt;=VLOOKUP(Home!$C$7,Lists!$N$2:$O$6,2,FALSE),20,-10))+IF($G361=Home!$E$7,15,IF(Home!$E$7="",0,-5))-ROW()/100000)))</f>
        <v/>
      </c>
      <c r="O361" s="88">
        <f>IF($D361="","",IF($N361&lt;=-500,"Not recommended right now",IF($E361="Waiting","Nothing else actionable right now — Waiting on: "&amp;IF($K361="","this item",$K361),MID($V361,4,9999))))</f>
        <v/>
      </c>
      <c r="P361" s="88">
        <f>IF($D361="","",IF('Task Finder'!$C$6="High Priority",AND($F361="High",$E361&lt;&gt;"Done",$E361&lt;&gt;"Archive"),IF('Task Finder'!$C$6="Due This Week",AND($I361&lt;&gt;"",$I361&gt;=TODAY(),$I361&lt;=TODAY()+7,$E361&lt;&gt;"Done"),IF('Task Finder'!$C$6="Quick Wins (15 mins or less)",AND($M361&lt;=15,$E361&lt;&gt;"Done",$E361&lt;&gt;"Blocked"),IF('Task Finder'!$C$6="Deep Thinking",AND($G361="Deep Thinking",$E361&lt;&gt;"Done"),IF('Task Finder'!$C$6="Processing",AND($G361="Processing",$E361&lt;&gt;"Done"),IF('Task Finder'!$C$6="Blocked",$E361="Blocked",IF('Task Finder'!$C$6="Waiting",$E361="Waiting",IF('Task Finder'!$C$6="Recently Updated",AND($L361&lt;&gt;"",$L361&gt;=TODAY()-7),IF('Task Finder'!$C$6="Keyword",AND('Task Finder'!$C$7&lt;&gt;"",OR(ISNUMBER(SEARCH('Task Finder'!$C$7,$A361)),ISNUMBER(SEARCH('Task Finder'!$C$7,$B361)),ISNUMBER(SEARCH('Task Finder'!$C$7,$C361)),ISNUMBER(SEARCH('Task Finder'!$C$7,$D361)),ISNUMBER(SEARCH('Task Finder'!$C$7,$K361)))),TRUE))))))))))</f>
        <v/>
      </c>
      <c r="Q361" s="150">
        <f>IF($F361="High","High Priority","")</f>
        <v/>
      </c>
      <c r="R361" s="150">
        <f>IF(AND($I361&lt;&gt;"",$I361&lt;TODAY()),"Overdue","")</f>
        <v/>
      </c>
      <c r="S361" s="150">
        <f>IF(AND($I361&lt;&gt;"",$I361&gt;=TODAY(),$I361&lt;=TODAY()+7),"Due This Week","")</f>
        <v/>
      </c>
      <c r="T361" s="150">
        <f>IF(AND($H361&lt;&gt;"",$M361&lt;=VLOOKUP(Home!$C$7,Lists!$N$2:$O$6,2,FALSE)),$H361&amp;" Task","")</f>
        <v/>
      </c>
      <c r="U361" s="150">
        <f>IF($G361=Home!$E$7,"Fits Current Energy","")</f>
        <v/>
      </c>
      <c r="V361" s="150">
        <f>IF($Q361&lt;&gt;""," • "&amp;$Q361,"")&amp;IF($R361&lt;&gt;""," • "&amp;$R361,"")&amp;IF($S361&lt;&gt;""," • "&amp;$S361,"")&amp;IF($T361&lt;&gt;""," • "&amp;$T361,"")&amp;IF($U361&lt;&gt;""," • "&amp;$U361,"")&amp;" • No Blockers"</f>
        <v/>
      </c>
    </row>
    <row r="362">
      <c r="A362" s="19" t="n"/>
      <c r="B362" s="19" t="n"/>
      <c r="C362" s="19" t="n"/>
      <c r="D362" s="19" t="n"/>
      <c r="E362" s="19" t="n"/>
      <c r="F362" s="19" t="n"/>
      <c r="G362" s="19" t="n"/>
      <c r="H362" s="19" t="n"/>
      <c r="I362" s="19" t="n"/>
      <c r="J362" s="19" t="n"/>
      <c r="K362" s="19" t="n"/>
      <c r="L362" s="125" t="n"/>
      <c r="M362" s="88">
        <f>IF($D362="","",IFERROR(VLOOKUP($H362,Lists!$N$2:$O$6,2,FALSE),0))</f>
        <v/>
      </c>
      <c r="N362" s="88">
        <f>IF($D362="","",IF(OR($E362="Blocked",$E362="Done",$E362="Archive"),-9999,IF(AND($E362="Waiting",SUMPRODUCT((($E$5:$E$500="Next")+($E$5:$E$500="In Progress")+($E$5:$E$500="Captured"))*($D$5:$D$500&lt;&gt;""))&gt;0),-500,VLOOKUP($F362,Lists!$L$2:$M$4,2,FALSE)+IF($E362="In Progress",10,0)+IF(AND($I362&lt;&gt;"",$I362&lt;TODAY()),25,0)+IF(AND($I362&lt;&gt;"",$I362&gt;=TODAY(),$I362&lt;=TODAY()+7),15,0)+IF($H362="",0,IF($M362&lt;=VLOOKUP(Home!$C$7,Lists!$N$2:$O$6,2,FALSE),20,-10))+IF($G362=Home!$E$7,15,IF(Home!$E$7="",0,-5))-ROW()/100000)))</f>
        <v/>
      </c>
      <c r="O362" s="88">
        <f>IF($D362="","",IF($N362&lt;=-500,"Not recommended right now",IF($E362="Waiting","Nothing else actionable right now — Waiting on: "&amp;IF($K362="","this item",$K362),MID($V362,4,9999))))</f>
        <v/>
      </c>
      <c r="P362" s="88">
        <f>IF($D362="","",IF('Task Finder'!$C$6="High Priority",AND($F362="High",$E362&lt;&gt;"Done",$E362&lt;&gt;"Archive"),IF('Task Finder'!$C$6="Due This Week",AND($I362&lt;&gt;"",$I362&gt;=TODAY(),$I362&lt;=TODAY()+7,$E362&lt;&gt;"Done"),IF('Task Finder'!$C$6="Quick Wins (15 mins or less)",AND($M362&lt;=15,$E362&lt;&gt;"Done",$E362&lt;&gt;"Blocked"),IF('Task Finder'!$C$6="Deep Thinking",AND($G362="Deep Thinking",$E362&lt;&gt;"Done"),IF('Task Finder'!$C$6="Processing",AND($G362="Processing",$E362&lt;&gt;"Done"),IF('Task Finder'!$C$6="Blocked",$E362="Blocked",IF('Task Finder'!$C$6="Waiting",$E362="Waiting",IF('Task Finder'!$C$6="Recently Updated",AND($L362&lt;&gt;"",$L362&gt;=TODAY()-7),IF('Task Finder'!$C$6="Keyword",AND('Task Finder'!$C$7&lt;&gt;"",OR(ISNUMBER(SEARCH('Task Finder'!$C$7,$A362)),ISNUMBER(SEARCH('Task Finder'!$C$7,$B362)),ISNUMBER(SEARCH('Task Finder'!$C$7,$C362)),ISNUMBER(SEARCH('Task Finder'!$C$7,$D362)),ISNUMBER(SEARCH('Task Finder'!$C$7,$K362)))),TRUE))))))))))</f>
        <v/>
      </c>
      <c r="Q362" s="150">
        <f>IF($F362="High","High Priority","")</f>
        <v/>
      </c>
      <c r="R362" s="150">
        <f>IF(AND($I362&lt;&gt;"",$I362&lt;TODAY()),"Overdue","")</f>
        <v/>
      </c>
      <c r="S362" s="150">
        <f>IF(AND($I362&lt;&gt;"",$I362&gt;=TODAY(),$I362&lt;=TODAY()+7),"Due This Week","")</f>
        <v/>
      </c>
      <c r="T362" s="150">
        <f>IF(AND($H362&lt;&gt;"",$M362&lt;=VLOOKUP(Home!$C$7,Lists!$N$2:$O$6,2,FALSE)),$H362&amp;" Task","")</f>
        <v/>
      </c>
      <c r="U362" s="150">
        <f>IF($G362=Home!$E$7,"Fits Current Energy","")</f>
        <v/>
      </c>
      <c r="V362" s="150">
        <f>IF($Q362&lt;&gt;""," • "&amp;$Q362,"")&amp;IF($R362&lt;&gt;""," • "&amp;$R362,"")&amp;IF($S362&lt;&gt;""," • "&amp;$S362,"")&amp;IF($T362&lt;&gt;""," • "&amp;$T362,"")&amp;IF($U362&lt;&gt;""," • "&amp;$U362,"")&amp;" • No Blockers"</f>
        <v/>
      </c>
    </row>
    <row r="363">
      <c r="A363" s="19" t="n"/>
      <c r="B363" s="19" t="n"/>
      <c r="C363" s="19" t="n"/>
      <c r="D363" s="19" t="n"/>
      <c r="E363" s="19" t="n"/>
      <c r="F363" s="19" t="n"/>
      <c r="G363" s="19" t="n"/>
      <c r="H363" s="19" t="n"/>
      <c r="I363" s="19" t="n"/>
      <c r="J363" s="19" t="n"/>
      <c r="K363" s="19" t="n"/>
      <c r="L363" s="125" t="n"/>
      <c r="M363" s="88">
        <f>IF($D363="","",IFERROR(VLOOKUP($H363,Lists!$N$2:$O$6,2,FALSE),0))</f>
        <v/>
      </c>
      <c r="N363" s="88">
        <f>IF($D363="","",IF(OR($E363="Blocked",$E363="Done",$E363="Archive"),-9999,IF(AND($E363="Waiting",SUMPRODUCT((($E$5:$E$500="Next")+($E$5:$E$500="In Progress")+($E$5:$E$500="Captured"))*($D$5:$D$500&lt;&gt;""))&gt;0),-500,VLOOKUP($F363,Lists!$L$2:$M$4,2,FALSE)+IF($E363="In Progress",10,0)+IF(AND($I363&lt;&gt;"",$I363&lt;TODAY()),25,0)+IF(AND($I363&lt;&gt;"",$I363&gt;=TODAY(),$I363&lt;=TODAY()+7),15,0)+IF($H363="",0,IF($M363&lt;=VLOOKUP(Home!$C$7,Lists!$N$2:$O$6,2,FALSE),20,-10))+IF($G363=Home!$E$7,15,IF(Home!$E$7="",0,-5))-ROW()/100000)))</f>
        <v/>
      </c>
      <c r="O363" s="88">
        <f>IF($D363="","",IF($N363&lt;=-500,"Not recommended right now",IF($E363="Waiting","Nothing else actionable right now — Waiting on: "&amp;IF($K363="","this item",$K363),MID($V363,4,9999))))</f>
        <v/>
      </c>
      <c r="P363" s="88">
        <f>IF($D363="","",IF('Task Finder'!$C$6="High Priority",AND($F363="High",$E363&lt;&gt;"Done",$E363&lt;&gt;"Archive"),IF('Task Finder'!$C$6="Due This Week",AND($I363&lt;&gt;"",$I363&gt;=TODAY(),$I363&lt;=TODAY()+7,$E363&lt;&gt;"Done"),IF('Task Finder'!$C$6="Quick Wins (15 mins or less)",AND($M363&lt;=15,$E363&lt;&gt;"Done",$E363&lt;&gt;"Blocked"),IF('Task Finder'!$C$6="Deep Thinking",AND($G363="Deep Thinking",$E363&lt;&gt;"Done"),IF('Task Finder'!$C$6="Processing",AND($G363="Processing",$E363&lt;&gt;"Done"),IF('Task Finder'!$C$6="Blocked",$E363="Blocked",IF('Task Finder'!$C$6="Waiting",$E363="Waiting",IF('Task Finder'!$C$6="Recently Updated",AND($L363&lt;&gt;"",$L363&gt;=TODAY()-7),IF('Task Finder'!$C$6="Keyword",AND('Task Finder'!$C$7&lt;&gt;"",OR(ISNUMBER(SEARCH('Task Finder'!$C$7,$A363)),ISNUMBER(SEARCH('Task Finder'!$C$7,$B363)),ISNUMBER(SEARCH('Task Finder'!$C$7,$C363)),ISNUMBER(SEARCH('Task Finder'!$C$7,$D363)),ISNUMBER(SEARCH('Task Finder'!$C$7,$K363)))),TRUE))))))))))</f>
        <v/>
      </c>
      <c r="Q363" s="150">
        <f>IF($F363="High","High Priority","")</f>
        <v/>
      </c>
      <c r="R363" s="150">
        <f>IF(AND($I363&lt;&gt;"",$I363&lt;TODAY()),"Overdue","")</f>
        <v/>
      </c>
      <c r="S363" s="150">
        <f>IF(AND($I363&lt;&gt;"",$I363&gt;=TODAY(),$I363&lt;=TODAY()+7),"Due This Week","")</f>
        <v/>
      </c>
      <c r="T363" s="150">
        <f>IF(AND($H363&lt;&gt;"",$M363&lt;=VLOOKUP(Home!$C$7,Lists!$N$2:$O$6,2,FALSE)),$H363&amp;" Task","")</f>
        <v/>
      </c>
      <c r="U363" s="150">
        <f>IF($G363=Home!$E$7,"Fits Current Energy","")</f>
        <v/>
      </c>
      <c r="V363" s="150">
        <f>IF($Q363&lt;&gt;""," • "&amp;$Q363,"")&amp;IF($R363&lt;&gt;""," • "&amp;$R363,"")&amp;IF($S363&lt;&gt;""," • "&amp;$S363,"")&amp;IF($T363&lt;&gt;""," • "&amp;$T363,"")&amp;IF($U363&lt;&gt;""," • "&amp;$U363,"")&amp;" • No Blockers"</f>
        <v/>
      </c>
    </row>
    <row r="364">
      <c r="A364" s="19" t="n"/>
      <c r="B364" s="19" t="n"/>
      <c r="C364" s="19" t="n"/>
      <c r="D364" s="19" t="n"/>
      <c r="E364" s="19" t="n"/>
      <c r="F364" s="19" t="n"/>
      <c r="G364" s="19" t="n"/>
      <c r="H364" s="19" t="n"/>
      <c r="I364" s="19" t="n"/>
      <c r="J364" s="19" t="n"/>
      <c r="K364" s="19" t="n"/>
      <c r="L364" s="125" t="n"/>
      <c r="M364" s="88">
        <f>IF($D364="","",IFERROR(VLOOKUP($H364,Lists!$N$2:$O$6,2,FALSE),0))</f>
        <v/>
      </c>
      <c r="N364" s="88">
        <f>IF($D364="","",IF(OR($E364="Blocked",$E364="Done",$E364="Archive"),-9999,IF(AND($E364="Waiting",SUMPRODUCT((($E$5:$E$500="Next")+($E$5:$E$500="In Progress")+($E$5:$E$500="Captured"))*($D$5:$D$500&lt;&gt;""))&gt;0),-500,VLOOKUP($F364,Lists!$L$2:$M$4,2,FALSE)+IF($E364="In Progress",10,0)+IF(AND($I364&lt;&gt;"",$I364&lt;TODAY()),25,0)+IF(AND($I364&lt;&gt;"",$I364&gt;=TODAY(),$I364&lt;=TODAY()+7),15,0)+IF($H364="",0,IF($M364&lt;=VLOOKUP(Home!$C$7,Lists!$N$2:$O$6,2,FALSE),20,-10))+IF($G364=Home!$E$7,15,IF(Home!$E$7="",0,-5))-ROW()/100000)))</f>
        <v/>
      </c>
      <c r="O364" s="88">
        <f>IF($D364="","",IF($N364&lt;=-500,"Not recommended right now",IF($E364="Waiting","Nothing else actionable right now — Waiting on: "&amp;IF($K364="","this item",$K364),MID($V364,4,9999))))</f>
        <v/>
      </c>
      <c r="P364" s="88">
        <f>IF($D364="","",IF('Task Finder'!$C$6="High Priority",AND($F364="High",$E364&lt;&gt;"Done",$E364&lt;&gt;"Archive"),IF('Task Finder'!$C$6="Due This Week",AND($I364&lt;&gt;"",$I364&gt;=TODAY(),$I364&lt;=TODAY()+7,$E364&lt;&gt;"Done"),IF('Task Finder'!$C$6="Quick Wins (15 mins or less)",AND($M364&lt;=15,$E364&lt;&gt;"Done",$E364&lt;&gt;"Blocked"),IF('Task Finder'!$C$6="Deep Thinking",AND($G364="Deep Thinking",$E364&lt;&gt;"Done"),IF('Task Finder'!$C$6="Processing",AND($G364="Processing",$E364&lt;&gt;"Done"),IF('Task Finder'!$C$6="Blocked",$E364="Blocked",IF('Task Finder'!$C$6="Waiting",$E364="Waiting",IF('Task Finder'!$C$6="Recently Updated",AND($L364&lt;&gt;"",$L364&gt;=TODAY()-7),IF('Task Finder'!$C$6="Keyword",AND('Task Finder'!$C$7&lt;&gt;"",OR(ISNUMBER(SEARCH('Task Finder'!$C$7,$A364)),ISNUMBER(SEARCH('Task Finder'!$C$7,$B364)),ISNUMBER(SEARCH('Task Finder'!$C$7,$C364)),ISNUMBER(SEARCH('Task Finder'!$C$7,$D364)),ISNUMBER(SEARCH('Task Finder'!$C$7,$K364)))),TRUE))))))))))</f>
        <v/>
      </c>
      <c r="Q364" s="150">
        <f>IF($F364="High","High Priority","")</f>
        <v/>
      </c>
      <c r="R364" s="150">
        <f>IF(AND($I364&lt;&gt;"",$I364&lt;TODAY()),"Overdue","")</f>
        <v/>
      </c>
      <c r="S364" s="150">
        <f>IF(AND($I364&lt;&gt;"",$I364&gt;=TODAY(),$I364&lt;=TODAY()+7),"Due This Week","")</f>
        <v/>
      </c>
      <c r="T364" s="150">
        <f>IF(AND($H364&lt;&gt;"",$M364&lt;=VLOOKUP(Home!$C$7,Lists!$N$2:$O$6,2,FALSE)),$H364&amp;" Task","")</f>
        <v/>
      </c>
      <c r="U364" s="150">
        <f>IF($G364=Home!$E$7,"Fits Current Energy","")</f>
        <v/>
      </c>
      <c r="V364" s="150">
        <f>IF($Q364&lt;&gt;""," • "&amp;$Q364,"")&amp;IF($R364&lt;&gt;""," • "&amp;$R364,"")&amp;IF($S364&lt;&gt;""," • "&amp;$S364,"")&amp;IF($T364&lt;&gt;""," • "&amp;$T364,"")&amp;IF($U364&lt;&gt;""," • "&amp;$U364,"")&amp;" • No Blockers"</f>
        <v/>
      </c>
    </row>
    <row r="365">
      <c r="A365" s="19" t="n"/>
      <c r="B365" s="19" t="n"/>
      <c r="C365" s="19" t="n"/>
      <c r="D365" s="19" t="n"/>
      <c r="E365" s="19" t="n"/>
      <c r="F365" s="19" t="n"/>
      <c r="G365" s="19" t="n"/>
      <c r="H365" s="19" t="n"/>
      <c r="I365" s="19" t="n"/>
      <c r="J365" s="19" t="n"/>
      <c r="K365" s="19" t="n"/>
      <c r="L365" s="125" t="n"/>
      <c r="M365" s="88">
        <f>IF($D365="","",IFERROR(VLOOKUP($H365,Lists!$N$2:$O$6,2,FALSE),0))</f>
        <v/>
      </c>
      <c r="N365" s="88">
        <f>IF($D365="","",IF(OR($E365="Blocked",$E365="Done",$E365="Archive"),-9999,IF(AND($E365="Waiting",SUMPRODUCT((($E$5:$E$500="Next")+($E$5:$E$500="In Progress")+($E$5:$E$500="Captured"))*($D$5:$D$500&lt;&gt;""))&gt;0),-500,VLOOKUP($F365,Lists!$L$2:$M$4,2,FALSE)+IF($E365="In Progress",10,0)+IF(AND($I365&lt;&gt;"",$I365&lt;TODAY()),25,0)+IF(AND($I365&lt;&gt;"",$I365&gt;=TODAY(),$I365&lt;=TODAY()+7),15,0)+IF($H365="",0,IF($M365&lt;=VLOOKUP(Home!$C$7,Lists!$N$2:$O$6,2,FALSE),20,-10))+IF($G365=Home!$E$7,15,IF(Home!$E$7="",0,-5))-ROW()/100000)))</f>
        <v/>
      </c>
      <c r="O365" s="88">
        <f>IF($D365="","",IF($N365&lt;=-500,"Not recommended right now",IF($E365="Waiting","Nothing else actionable right now — Waiting on: "&amp;IF($K365="","this item",$K365),MID($V365,4,9999))))</f>
        <v/>
      </c>
      <c r="P365" s="88">
        <f>IF($D365="","",IF('Task Finder'!$C$6="High Priority",AND($F365="High",$E365&lt;&gt;"Done",$E365&lt;&gt;"Archive"),IF('Task Finder'!$C$6="Due This Week",AND($I365&lt;&gt;"",$I365&gt;=TODAY(),$I365&lt;=TODAY()+7,$E365&lt;&gt;"Done"),IF('Task Finder'!$C$6="Quick Wins (15 mins or less)",AND($M365&lt;=15,$E365&lt;&gt;"Done",$E365&lt;&gt;"Blocked"),IF('Task Finder'!$C$6="Deep Thinking",AND($G365="Deep Thinking",$E365&lt;&gt;"Done"),IF('Task Finder'!$C$6="Processing",AND($G365="Processing",$E365&lt;&gt;"Done"),IF('Task Finder'!$C$6="Blocked",$E365="Blocked",IF('Task Finder'!$C$6="Waiting",$E365="Waiting",IF('Task Finder'!$C$6="Recently Updated",AND($L365&lt;&gt;"",$L365&gt;=TODAY()-7),IF('Task Finder'!$C$6="Keyword",AND('Task Finder'!$C$7&lt;&gt;"",OR(ISNUMBER(SEARCH('Task Finder'!$C$7,$A365)),ISNUMBER(SEARCH('Task Finder'!$C$7,$B365)),ISNUMBER(SEARCH('Task Finder'!$C$7,$C365)),ISNUMBER(SEARCH('Task Finder'!$C$7,$D365)),ISNUMBER(SEARCH('Task Finder'!$C$7,$K365)))),TRUE))))))))))</f>
        <v/>
      </c>
      <c r="Q365" s="150">
        <f>IF($F365="High","High Priority","")</f>
        <v/>
      </c>
      <c r="R365" s="150">
        <f>IF(AND($I365&lt;&gt;"",$I365&lt;TODAY()),"Overdue","")</f>
        <v/>
      </c>
      <c r="S365" s="150">
        <f>IF(AND($I365&lt;&gt;"",$I365&gt;=TODAY(),$I365&lt;=TODAY()+7),"Due This Week","")</f>
        <v/>
      </c>
      <c r="T365" s="150">
        <f>IF(AND($H365&lt;&gt;"",$M365&lt;=VLOOKUP(Home!$C$7,Lists!$N$2:$O$6,2,FALSE)),$H365&amp;" Task","")</f>
        <v/>
      </c>
      <c r="U365" s="150">
        <f>IF($G365=Home!$E$7,"Fits Current Energy","")</f>
        <v/>
      </c>
      <c r="V365" s="150">
        <f>IF($Q365&lt;&gt;""," • "&amp;$Q365,"")&amp;IF($R365&lt;&gt;""," • "&amp;$R365,"")&amp;IF($S365&lt;&gt;""," • "&amp;$S365,"")&amp;IF($T365&lt;&gt;""," • "&amp;$T365,"")&amp;IF($U365&lt;&gt;""," • "&amp;$U365,"")&amp;" • No Blockers"</f>
        <v/>
      </c>
    </row>
    <row r="366">
      <c r="A366" s="19" t="n"/>
      <c r="B366" s="19" t="n"/>
      <c r="C366" s="19" t="n"/>
      <c r="D366" s="19" t="n"/>
      <c r="E366" s="19" t="n"/>
      <c r="F366" s="19" t="n"/>
      <c r="G366" s="19" t="n"/>
      <c r="H366" s="19" t="n"/>
      <c r="I366" s="19" t="n"/>
      <c r="J366" s="19" t="n"/>
      <c r="K366" s="19" t="n"/>
      <c r="L366" s="125" t="n"/>
      <c r="M366" s="88">
        <f>IF($D366="","",IFERROR(VLOOKUP($H366,Lists!$N$2:$O$6,2,FALSE),0))</f>
        <v/>
      </c>
      <c r="N366" s="88">
        <f>IF($D366="","",IF(OR($E366="Blocked",$E366="Done",$E366="Archive"),-9999,IF(AND($E366="Waiting",SUMPRODUCT((($E$5:$E$500="Next")+($E$5:$E$500="In Progress")+($E$5:$E$500="Captured"))*($D$5:$D$500&lt;&gt;""))&gt;0),-500,VLOOKUP($F366,Lists!$L$2:$M$4,2,FALSE)+IF($E366="In Progress",10,0)+IF(AND($I366&lt;&gt;"",$I366&lt;TODAY()),25,0)+IF(AND($I366&lt;&gt;"",$I366&gt;=TODAY(),$I366&lt;=TODAY()+7),15,0)+IF($H366="",0,IF($M366&lt;=VLOOKUP(Home!$C$7,Lists!$N$2:$O$6,2,FALSE),20,-10))+IF($G366=Home!$E$7,15,IF(Home!$E$7="",0,-5))-ROW()/100000)))</f>
        <v/>
      </c>
      <c r="O366" s="88">
        <f>IF($D366="","",IF($N366&lt;=-500,"Not recommended right now",IF($E366="Waiting","Nothing else actionable right now — Waiting on: "&amp;IF($K366="","this item",$K366),MID($V366,4,9999))))</f>
        <v/>
      </c>
      <c r="P366" s="88">
        <f>IF($D366="","",IF('Task Finder'!$C$6="High Priority",AND($F366="High",$E366&lt;&gt;"Done",$E366&lt;&gt;"Archive"),IF('Task Finder'!$C$6="Due This Week",AND($I366&lt;&gt;"",$I366&gt;=TODAY(),$I366&lt;=TODAY()+7,$E366&lt;&gt;"Done"),IF('Task Finder'!$C$6="Quick Wins (15 mins or less)",AND($M366&lt;=15,$E366&lt;&gt;"Done",$E366&lt;&gt;"Blocked"),IF('Task Finder'!$C$6="Deep Thinking",AND($G366="Deep Thinking",$E366&lt;&gt;"Done"),IF('Task Finder'!$C$6="Processing",AND($G366="Processing",$E366&lt;&gt;"Done"),IF('Task Finder'!$C$6="Blocked",$E366="Blocked",IF('Task Finder'!$C$6="Waiting",$E366="Waiting",IF('Task Finder'!$C$6="Recently Updated",AND($L366&lt;&gt;"",$L366&gt;=TODAY()-7),IF('Task Finder'!$C$6="Keyword",AND('Task Finder'!$C$7&lt;&gt;"",OR(ISNUMBER(SEARCH('Task Finder'!$C$7,$A366)),ISNUMBER(SEARCH('Task Finder'!$C$7,$B366)),ISNUMBER(SEARCH('Task Finder'!$C$7,$C366)),ISNUMBER(SEARCH('Task Finder'!$C$7,$D366)),ISNUMBER(SEARCH('Task Finder'!$C$7,$K366)))),TRUE))))))))))</f>
        <v/>
      </c>
      <c r="Q366" s="150">
        <f>IF($F366="High","High Priority","")</f>
        <v/>
      </c>
      <c r="R366" s="150">
        <f>IF(AND($I366&lt;&gt;"",$I366&lt;TODAY()),"Overdue","")</f>
        <v/>
      </c>
      <c r="S366" s="150">
        <f>IF(AND($I366&lt;&gt;"",$I366&gt;=TODAY(),$I366&lt;=TODAY()+7),"Due This Week","")</f>
        <v/>
      </c>
      <c r="T366" s="150">
        <f>IF(AND($H366&lt;&gt;"",$M366&lt;=VLOOKUP(Home!$C$7,Lists!$N$2:$O$6,2,FALSE)),$H366&amp;" Task","")</f>
        <v/>
      </c>
      <c r="U366" s="150">
        <f>IF($G366=Home!$E$7,"Fits Current Energy","")</f>
        <v/>
      </c>
      <c r="V366" s="150">
        <f>IF($Q366&lt;&gt;""," • "&amp;$Q366,"")&amp;IF($R366&lt;&gt;""," • "&amp;$R366,"")&amp;IF($S366&lt;&gt;""," • "&amp;$S366,"")&amp;IF($T366&lt;&gt;""," • "&amp;$T366,"")&amp;IF($U366&lt;&gt;""," • "&amp;$U366,"")&amp;" • No Blockers"</f>
        <v/>
      </c>
    </row>
    <row r="367">
      <c r="A367" s="19" t="n"/>
      <c r="B367" s="19" t="n"/>
      <c r="C367" s="19" t="n"/>
      <c r="D367" s="19" t="n"/>
      <c r="E367" s="19" t="n"/>
      <c r="F367" s="19" t="n"/>
      <c r="G367" s="19" t="n"/>
      <c r="H367" s="19" t="n"/>
      <c r="I367" s="19" t="n"/>
      <c r="J367" s="19" t="n"/>
      <c r="K367" s="19" t="n"/>
      <c r="L367" s="125" t="n"/>
      <c r="M367" s="88">
        <f>IF($D367="","",IFERROR(VLOOKUP($H367,Lists!$N$2:$O$6,2,FALSE),0))</f>
        <v/>
      </c>
      <c r="N367" s="88">
        <f>IF($D367="","",IF(OR($E367="Blocked",$E367="Done",$E367="Archive"),-9999,IF(AND($E367="Waiting",SUMPRODUCT((($E$5:$E$500="Next")+($E$5:$E$500="In Progress")+($E$5:$E$500="Captured"))*($D$5:$D$500&lt;&gt;""))&gt;0),-500,VLOOKUP($F367,Lists!$L$2:$M$4,2,FALSE)+IF($E367="In Progress",10,0)+IF(AND($I367&lt;&gt;"",$I367&lt;TODAY()),25,0)+IF(AND($I367&lt;&gt;"",$I367&gt;=TODAY(),$I367&lt;=TODAY()+7),15,0)+IF($H367="",0,IF($M367&lt;=VLOOKUP(Home!$C$7,Lists!$N$2:$O$6,2,FALSE),20,-10))+IF($G367=Home!$E$7,15,IF(Home!$E$7="",0,-5))-ROW()/100000)))</f>
        <v/>
      </c>
      <c r="O367" s="88">
        <f>IF($D367="","",IF($N367&lt;=-500,"Not recommended right now",IF($E367="Waiting","Nothing else actionable right now — Waiting on: "&amp;IF($K367="","this item",$K367),MID($V367,4,9999))))</f>
        <v/>
      </c>
      <c r="P367" s="88">
        <f>IF($D367="","",IF('Task Finder'!$C$6="High Priority",AND($F367="High",$E367&lt;&gt;"Done",$E367&lt;&gt;"Archive"),IF('Task Finder'!$C$6="Due This Week",AND($I367&lt;&gt;"",$I367&gt;=TODAY(),$I367&lt;=TODAY()+7,$E367&lt;&gt;"Done"),IF('Task Finder'!$C$6="Quick Wins (15 mins or less)",AND($M367&lt;=15,$E367&lt;&gt;"Done",$E367&lt;&gt;"Blocked"),IF('Task Finder'!$C$6="Deep Thinking",AND($G367="Deep Thinking",$E367&lt;&gt;"Done"),IF('Task Finder'!$C$6="Processing",AND($G367="Processing",$E367&lt;&gt;"Done"),IF('Task Finder'!$C$6="Blocked",$E367="Blocked",IF('Task Finder'!$C$6="Waiting",$E367="Waiting",IF('Task Finder'!$C$6="Recently Updated",AND($L367&lt;&gt;"",$L367&gt;=TODAY()-7),IF('Task Finder'!$C$6="Keyword",AND('Task Finder'!$C$7&lt;&gt;"",OR(ISNUMBER(SEARCH('Task Finder'!$C$7,$A367)),ISNUMBER(SEARCH('Task Finder'!$C$7,$B367)),ISNUMBER(SEARCH('Task Finder'!$C$7,$C367)),ISNUMBER(SEARCH('Task Finder'!$C$7,$D367)),ISNUMBER(SEARCH('Task Finder'!$C$7,$K367)))),TRUE))))))))))</f>
        <v/>
      </c>
      <c r="Q367" s="150">
        <f>IF($F367="High","High Priority","")</f>
        <v/>
      </c>
      <c r="R367" s="150">
        <f>IF(AND($I367&lt;&gt;"",$I367&lt;TODAY()),"Overdue","")</f>
        <v/>
      </c>
      <c r="S367" s="150">
        <f>IF(AND($I367&lt;&gt;"",$I367&gt;=TODAY(),$I367&lt;=TODAY()+7),"Due This Week","")</f>
        <v/>
      </c>
      <c r="T367" s="150">
        <f>IF(AND($H367&lt;&gt;"",$M367&lt;=VLOOKUP(Home!$C$7,Lists!$N$2:$O$6,2,FALSE)),$H367&amp;" Task","")</f>
        <v/>
      </c>
      <c r="U367" s="150">
        <f>IF($G367=Home!$E$7,"Fits Current Energy","")</f>
        <v/>
      </c>
      <c r="V367" s="150">
        <f>IF($Q367&lt;&gt;""," • "&amp;$Q367,"")&amp;IF($R367&lt;&gt;""," • "&amp;$R367,"")&amp;IF($S367&lt;&gt;""," • "&amp;$S367,"")&amp;IF($T367&lt;&gt;""," • "&amp;$T367,"")&amp;IF($U367&lt;&gt;""," • "&amp;$U367,"")&amp;" • No Blockers"</f>
        <v/>
      </c>
    </row>
    <row r="368">
      <c r="A368" s="19" t="n"/>
      <c r="B368" s="19" t="n"/>
      <c r="C368" s="19" t="n"/>
      <c r="D368" s="19" t="n"/>
      <c r="E368" s="19" t="n"/>
      <c r="F368" s="19" t="n"/>
      <c r="G368" s="19" t="n"/>
      <c r="H368" s="19" t="n"/>
      <c r="I368" s="19" t="n"/>
      <c r="J368" s="19" t="n"/>
      <c r="K368" s="19" t="n"/>
      <c r="L368" s="125" t="n"/>
      <c r="M368" s="88">
        <f>IF($D368="","",IFERROR(VLOOKUP($H368,Lists!$N$2:$O$6,2,FALSE),0))</f>
        <v/>
      </c>
      <c r="N368" s="88">
        <f>IF($D368="","",IF(OR($E368="Blocked",$E368="Done",$E368="Archive"),-9999,IF(AND($E368="Waiting",SUMPRODUCT((($E$5:$E$500="Next")+($E$5:$E$500="In Progress")+($E$5:$E$500="Captured"))*($D$5:$D$500&lt;&gt;""))&gt;0),-500,VLOOKUP($F368,Lists!$L$2:$M$4,2,FALSE)+IF($E368="In Progress",10,0)+IF(AND($I368&lt;&gt;"",$I368&lt;TODAY()),25,0)+IF(AND($I368&lt;&gt;"",$I368&gt;=TODAY(),$I368&lt;=TODAY()+7),15,0)+IF($H368="",0,IF($M368&lt;=VLOOKUP(Home!$C$7,Lists!$N$2:$O$6,2,FALSE),20,-10))+IF($G368=Home!$E$7,15,IF(Home!$E$7="",0,-5))-ROW()/100000)))</f>
        <v/>
      </c>
      <c r="O368" s="88">
        <f>IF($D368="","",IF($N368&lt;=-500,"Not recommended right now",IF($E368="Waiting","Nothing else actionable right now — Waiting on: "&amp;IF($K368="","this item",$K368),MID($V368,4,9999))))</f>
        <v/>
      </c>
      <c r="P368" s="88">
        <f>IF($D368="","",IF('Task Finder'!$C$6="High Priority",AND($F368="High",$E368&lt;&gt;"Done",$E368&lt;&gt;"Archive"),IF('Task Finder'!$C$6="Due This Week",AND($I368&lt;&gt;"",$I368&gt;=TODAY(),$I368&lt;=TODAY()+7,$E368&lt;&gt;"Done"),IF('Task Finder'!$C$6="Quick Wins (15 mins or less)",AND($M368&lt;=15,$E368&lt;&gt;"Done",$E368&lt;&gt;"Blocked"),IF('Task Finder'!$C$6="Deep Thinking",AND($G368="Deep Thinking",$E368&lt;&gt;"Done"),IF('Task Finder'!$C$6="Processing",AND($G368="Processing",$E368&lt;&gt;"Done"),IF('Task Finder'!$C$6="Blocked",$E368="Blocked",IF('Task Finder'!$C$6="Waiting",$E368="Waiting",IF('Task Finder'!$C$6="Recently Updated",AND($L368&lt;&gt;"",$L368&gt;=TODAY()-7),IF('Task Finder'!$C$6="Keyword",AND('Task Finder'!$C$7&lt;&gt;"",OR(ISNUMBER(SEARCH('Task Finder'!$C$7,$A368)),ISNUMBER(SEARCH('Task Finder'!$C$7,$B368)),ISNUMBER(SEARCH('Task Finder'!$C$7,$C368)),ISNUMBER(SEARCH('Task Finder'!$C$7,$D368)),ISNUMBER(SEARCH('Task Finder'!$C$7,$K368)))),TRUE))))))))))</f>
        <v/>
      </c>
      <c r="Q368" s="150">
        <f>IF($F368="High","High Priority","")</f>
        <v/>
      </c>
      <c r="R368" s="150">
        <f>IF(AND($I368&lt;&gt;"",$I368&lt;TODAY()),"Overdue","")</f>
        <v/>
      </c>
      <c r="S368" s="150">
        <f>IF(AND($I368&lt;&gt;"",$I368&gt;=TODAY(),$I368&lt;=TODAY()+7),"Due This Week","")</f>
        <v/>
      </c>
      <c r="T368" s="150">
        <f>IF(AND($H368&lt;&gt;"",$M368&lt;=VLOOKUP(Home!$C$7,Lists!$N$2:$O$6,2,FALSE)),$H368&amp;" Task","")</f>
        <v/>
      </c>
      <c r="U368" s="150">
        <f>IF($G368=Home!$E$7,"Fits Current Energy","")</f>
        <v/>
      </c>
      <c r="V368" s="150">
        <f>IF($Q368&lt;&gt;""," • "&amp;$Q368,"")&amp;IF($R368&lt;&gt;""," • "&amp;$R368,"")&amp;IF($S368&lt;&gt;""," • "&amp;$S368,"")&amp;IF($T368&lt;&gt;""," • "&amp;$T368,"")&amp;IF($U368&lt;&gt;""," • "&amp;$U368,"")&amp;" • No Blockers"</f>
        <v/>
      </c>
    </row>
    <row r="369">
      <c r="A369" s="19" t="n"/>
      <c r="B369" s="19" t="n"/>
      <c r="C369" s="19" t="n"/>
      <c r="D369" s="19" t="n"/>
      <c r="E369" s="19" t="n"/>
      <c r="F369" s="19" t="n"/>
      <c r="G369" s="19" t="n"/>
      <c r="H369" s="19" t="n"/>
      <c r="I369" s="19" t="n"/>
      <c r="J369" s="19" t="n"/>
      <c r="K369" s="19" t="n"/>
      <c r="L369" s="125" t="n"/>
      <c r="M369" s="88">
        <f>IF($D369="","",IFERROR(VLOOKUP($H369,Lists!$N$2:$O$6,2,FALSE),0))</f>
        <v/>
      </c>
      <c r="N369" s="88">
        <f>IF($D369="","",IF(OR($E369="Blocked",$E369="Done",$E369="Archive"),-9999,IF(AND($E369="Waiting",SUMPRODUCT((($E$5:$E$500="Next")+($E$5:$E$500="In Progress")+($E$5:$E$500="Captured"))*($D$5:$D$500&lt;&gt;""))&gt;0),-500,VLOOKUP($F369,Lists!$L$2:$M$4,2,FALSE)+IF($E369="In Progress",10,0)+IF(AND($I369&lt;&gt;"",$I369&lt;TODAY()),25,0)+IF(AND($I369&lt;&gt;"",$I369&gt;=TODAY(),$I369&lt;=TODAY()+7),15,0)+IF($H369="",0,IF($M369&lt;=VLOOKUP(Home!$C$7,Lists!$N$2:$O$6,2,FALSE),20,-10))+IF($G369=Home!$E$7,15,IF(Home!$E$7="",0,-5))-ROW()/100000)))</f>
        <v/>
      </c>
      <c r="O369" s="88">
        <f>IF($D369="","",IF($N369&lt;=-500,"Not recommended right now",IF($E369="Waiting","Nothing else actionable right now — Waiting on: "&amp;IF($K369="","this item",$K369),MID($V369,4,9999))))</f>
        <v/>
      </c>
      <c r="P369" s="88">
        <f>IF($D369="","",IF('Task Finder'!$C$6="High Priority",AND($F369="High",$E369&lt;&gt;"Done",$E369&lt;&gt;"Archive"),IF('Task Finder'!$C$6="Due This Week",AND($I369&lt;&gt;"",$I369&gt;=TODAY(),$I369&lt;=TODAY()+7,$E369&lt;&gt;"Done"),IF('Task Finder'!$C$6="Quick Wins (15 mins or less)",AND($M369&lt;=15,$E369&lt;&gt;"Done",$E369&lt;&gt;"Blocked"),IF('Task Finder'!$C$6="Deep Thinking",AND($G369="Deep Thinking",$E369&lt;&gt;"Done"),IF('Task Finder'!$C$6="Processing",AND($G369="Processing",$E369&lt;&gt;"Done"),IF('Task Finder'!$C$6="Blocked",$E369="Blocked",IF('Task Finder'!$C$6="Waiting",$E369="Waiting",IF('Task Finder'!$C$6="Recently Updated",AND($L369&lt;&gt;"",$L369&gt;=TODAY()-7),IF('Task Finder'!$C$6="Keyword",AND('Task Finder'!$C$7&lt;&gt;"",OR(ISNUMBER(SEARCH('Task Finder'!$C$7,$A369)),ISNUMBER(SEARCH('Task Finder'!$C$7,$B369)),ISNUMBER(SEARCH('Task Finder'!$C$7,$C369)),ISNUMBER(SEARCH('Task Finder'!$C$7,$D369)),ISNUMBER(SEARCH('Task Finder'!$C$7,$K369)))),TRUE))))))))))</f>
        <v/>
      </c>
      <c r="Q369" s="150">
        <f>IF($F369="High","High Priority","")</f>
        <v/>
      </c>
      <c r="R369" s="150">
        <f>IF(AND($I369&lt;&gt;"",$I369&lt;TODAY()),"Overdue","")</f>
        <v/>
      </c>
      <c r="S369" s="150">
        <f>IF(AND($I369&lt;&gt;"",$I369&gt;=TODAY(),$I369&lt;=TODAY()+7),"Due This Week","")</f>
        <v/>
      </c>
      <c r="T369" s="150">
        <f>IF(AND($H369&lt;&gt;"",$M369&lt;=VLOOKUP(Home!$C$7,Lists!$N$2:$O$6,2,FALSE)),$H369&amp;" Task","")</f>
        <v/>
      </c>
      <c r="U369" s="150">
        <f>IF($G369=Home!$E$7,"Fits Current Energy","")</f>
        <v/>
      </c>
      <c r="V369" s="150">
        <f>IF($Q369&lt;&gt;""," • "&amp;$Q369,"")&amp;IF($R369&lt;&gt;""," • "&amp;$R369,"")&amp;IF($S369&lt;&gt;""," • "&amp;$S369,"")&amp;IF($T369&lt;&gt;""," • "&amp;$T369,"")&amp;IF($U369&lt;&gt;""," • "&amp;$U369,"")&amp;" • No Blockers"</f>
        <v/>
      </c>
    </row>
    <row r="370">
      <c r="A370" s="19" t="n"/>
      <c r="B370" s="19" t="n"/>
      <c r="C370" s="19" t="n"/>
      <c r="D370" s="19" t="n"/>
      <c r="E370" s="19" t="n"/>
      <c r="F370" s="19" t="n"/>
      <c r="G370" s="19" t="n"/>
      <c r="H370" s="19" t="n"/>
      <c r="I370" s="19" t="n"/>
      <c r="J370" s="19" t="n"/>
      <c r="K370" s="19" t="n"/>
      <c r="L370" s="125" t="n"/>
      <c r="M370" s="88">
        <f>IF($D370="","",IFERROR(VLOOKUP($H370,Lists!$N$2:$O$6,2,FALSE),0))</f>
        <v/>
      </c>
      <c r="N370" s="88">
        <f>IF($D370="","",IF(OR($E370="Blocked",$E370="Done",$E370="Archive"),-9999,IF(AND($E370="Waiting",SUMPRODUCT((($E$5:$E$500="Next")+($E$5:$E$500="In Progress")+($E$5:$E$500="Captured"))*($D$5:$D$500&lt;&gt;""))&gt;0),-500,VLOOKUP($F370,Lists!$L$2:$M$4,2,FALSE)+IF($E370="In Progress",10,0)+IF(AND($I370&lt;&gt;"",$I370&lt;TODAY()),25,0)+IF(AND($I370&lt;&gt;"",$I370&gt;=TODAY(),$I370&lt;=TODAY()+7),15,0)+IF($H370="",0,IF($M370&lt;=VLOOKUP(Home!$C$7,Lists!$N$2:$O$6,2,FALSE),20,-10))+IF($G370=Home!$E$7,15,IF(Home!$E$7="",0,-5))-ROW()/100000)))</f>
        <v/>
      </c>
      <c r="O370" s="88">
        <f>IF($D370="","",IF($N370&lt;=-500,"Not recommended right now",IF($E370="Waiting","Nothing else actionable right now — Waiting on: "&amp;IF($K370="","this item",$K370),MID($V370,4,9999))))</f>
        <v/>
      </c>
      <c r="P370" s="88">
        <f>IF($D370="","",IF('Task Finder'!$C$6="High Priority",AND($F370="High",$E370&lt;&gt;"Done",$E370&lt;&gt;"Archive"),IF('Task Finder'!$C$6="Due This Week",AND($I370&lt;&gt;"",$I370&gt;=TODAY(),$I370&lt;=TODAY()+7,$E370&lt;&gt;"Done"),IF('Task Finder'!$C$6="Quick Wins (15 mins or less)",AND($M370&lt;=15,$E370&lt;&gt;"Done",$E370&lt;&gt;"Blocked"),IF('Task Finder'!$C$6="Deep Thinking",AND($G370="Deep Thinking",$E370&lt;&gt;"Done"),IF('Task Finder'!$C$6="Processing",AND($G370="Processing",$E370&lt;&gt;"Done"),IF('Task Finder'!$C$6="Blocked",$E370="Blocked",IF('Task Finder'!$C$6="Waiting",$E370="Waiting",IF('Task Finder'!$C$6="Recently Updated",AND($L370&lt;&gt;"",$L370&gt;=TODAY()-7),IF('Task Finder'!$C$6="Keyword",AND('Task Finder'!$C$7&lt;&gt;"",OR(ISNUMBER(SEARCH('Task Finder'!$C$7,$A370)),ISNUMBER(SEARCH('Task Finder'!$C$7,$B370)),ISNUMBER(SEARCH('Task Finder'!$C$7,$C370)),ISNUMBER(SEARCH('Task Finder'!$C$7,$D370)),ISNUMBER(SEARCH('Task Finder'!$C$7,$K370)))),TRUE))))))))))</f>
        <v/>
      </c>
      <c r="Q370" s="150">
        <f>IF($F370="High","High Priority","")</f>
        <v/>
      </c>
      <c r="R370" s="150">
        <f>IF(AND($I370&lt;&gt;"",$I370&lt;TODAY()),"Overdue","")</f>
        <v/>
      </c>
      <c r="S370" s="150">
        <f>IF(AND($I370&lt;&gt;"",$I370&gt;=TODAY(),$I370&lt;=TODAY()+7),"Due This Week","")</f>
        <v/>
      </c>
      <c r="T370" s="150">
        <f>IF(AND($H370&lt;&gt;"",$M370&lt;=VLOOKUP(Home!$C$7,Lists!$N$2:$O$6,2,FALSE)),$H370&amp;" Task","")</f>
        <v/>
      </c>
      <c r="U370" s="150">
        <f>IF($G370=Home!$E$7,"Fits Current Energy","")</f>
        <v/>
      </c>
      <c r="V370" s="150">
        <f>IF($Q370&lt;&gt;""," • "&amp;$Q370,"")&amp;IF($R370&lt;&gt;""," • "&amp;$R370,"")&amp;IF($S370&lt;&gt;""," • "&amp;$S370,"")&amp;IF($T370&lt;&gt;""," • "&amp;$T370,"")&amp;IF($U370&lt;&gt;""," • "&amp;$U370,"")&amp;" • No Blockers"</f>
        <v/>
      </c>
    </row>
    <row r="371">
      <c r="A371" s="19" t="n"/>
      <c r="B371" s="19" t="n"/>
      <c r="C371" s="19" t="n"/>
      <c r="D371" s="19" t="n"/>
      <c r="E371" s="19" t="n"/>
      <c r="F371" s="19" t="n"/>
      <c r="G371" s="19" t="n"/>
      <c r="H371" s="19" t="n"/>
      <c r="I371" s="19" t="n"/>
      <c r="J371" s="19" t="n"/>
      <c r="K371" s="19" t="n"/>
      <c r="L371" s="125" t="n"/>
      <c r="M371" s="88">
        <f>IF($D371="","",IFERROR(VLOOKUP($H371,Lists!$N$2:$O$6,2,FALSE),0))</f>
        <v/>
      </c>
      <c r="N371" s="88">
        <f>IF($D371="","",IF(OR($E371="Blocked",$E371="Done",$E371="Archive"),-9999,IF(AND($E371="Waiting",SUMPRODUCT((($E$5:$E$500="Next")+($E$5:$E$500="In Progress")+($E$5:$E$500="Captured"))*($D$5:$D$500&lt;&gt;""))&gt;0),-500,VLOOKUP($F371,Lists!$L$2:$M$4,2,FALSE)+IF($E371="In Progress",10,0)+IF(AND($I371&lt;&gt;"",$I371&lt;TODAY()),25,0)+IF(AND($I371&lt;&gt;"",$I371&gt;=TODAY(),$I371&lt;=TODAY()+7),15,0)+IF($H371="",0,IF($M371&lt;=VLOOKUP(Home!$C$7,Lists!$N$2:$O$6,2,FALSE),20,-10))+IF($G371=Home!$E$7,15,IF(Home!$E$7="",0,-5))-ROW()/100000)))</f>
        <v/>
      </c>
      <c r="O371" s="88">
        <f>IF($D371="","",IF($N371&lt;=-500,"Not recommended right now",IF($E371="Waiting","Nothing else actionable right now — Waiting on: "&amp;IF($K371="","this item",$K371),MID($V371,4,9999))))</f>
        <v/>
      </c>
      <c r="P371" s="88">
        <f>IF($D371="","",IF('Task Finder'!$C$6="High Priority",AND($F371="High",$E371&lt;&gt;"Done",$E371&lt;&gt;"Archive"),IF('Task Finder'!$C$6="Due This Week",AND($I371&lt;&gt;"",$I371&gt;=TODAY(),$I371&lt;=TODAY()+7,$E371&lt;&gt;"Done"),IF('Task Finder'!$C$6="Quick Wins (15 mins or less)",AND($M371&lt;=15,$E371&lt;&gt;"Done",$E371&lt;&gt;"Blocked"),IF('Task Finder'!$C$6="Deep Thinking",AND($G371="Deep Thinking",$E371&lt;&gt;"Done"),IF('Task Finder'!$C$6="Processing",AND($G371="Processing",$E371&lt;&gt;"Done"),IF('Task Finder'!$C$6="Blocked",$E371="Blocked",IF('Task Finder'!$C$6="Waiting",$E371="Waiting",IF('Task Finder'!$C$6="Recently Updated",AND($L371&lt;&gt;"",$L371&gt;=TODAY()-7),IF('Task Finder'!$C$6="Keyword",AND('Task Finder'!$C$7&lt;&gt;"",OR(ISNUMBER(SEARCH('Task Finder'!$C$7,$A371)),ISNUMBER(SEARCH('Task Finder'!$C$7,$B371)),ISNUMBER(SEARCH('Task Finder'!$C$7,$C371)),ISNUMBER(SEARCH('Task Finder'!$C$7,$D371)),ISNUMBER(SEARCH('Task Finder'!$C$7,$K371)))),TRUE))))))))))</f>
        <v/>
      </c>
      <c r="Q371" s="150">
        <f>IF($F371="High","High Priority","")</f>
        <v/>
      </c>
      <c r="R371" s="150">
        <f>IF(AND($I371&lt;&gt;"",$I371&lt;TODAY()),"Overdue","")</f>
        <v/>
      </c>
      <c r="S371" s="150">
        <f>IF(AND($I371&lt;&gt;"",$I371&gt;=TODAY(),$I371&lt;=TODAY()+7),"Due This Week","")</f>
        <v/>
      </c>
      <c r="T371" s="150">
        <f>IF(AND($H371&lt;&gt;"",$M371&lt;=VLOOKUP(Home!$C$7,Lists!$N$2:$O$6,2,FALSE)),$H371&amp;" Task","")</f>
        <v/>
      </c>
      <c r="U371" s="150">
        <f>IF($G371=Home!$E$7,"Fits Current Energy","")</f>
        <v/>
      </c>
      <c r="V371" s="150">
        <f>IF($Q371&lt;&gt;""," • "&amp;$Q371,"")&amp;IF($R371&lt;&gt;""," • "&amp;$R371,"")&amp;IF($S371&lt;&gt;""," • "&amp;$S371,"")&amp;IF($T371&lt;&gt;""," • "&amp;$T371,"")&amp;IF($U371&lt;&gt;""," • "&amp;$U371,"")&amp;" • No Blockers"</f>
        <v/>
      </c>
    </row>
    <row r="372">
      <c r="A372" s="19" t="n"/>
      <c r="B372" s="19" t="n"/>
      <c r="C372" s="19" t="n"/>
      <c r="D372" s="19" t="n"/>
      <c r="E372" s="19" t="n"/>
      <c r="F372" s="19" t="n"/>
      <c r="G372" s="19" t="n"/>
      <c r="H372" s="19" t="n"/>
      <c r="I372" s="19" t="n"/>
      <c r="J372" s="19" t="n"/>
      <c r="K372" s="19" t="n"/>
      <c r="L372" s="125" t="n"/>
      <c r="M372" s="88">
        <f>IF($D372="","",IFERROR(VLOOKUP($H372,Lists!$N$2:$O$6,2,FALSE),0))</f>
        <v/>
      </c>
      <c r="N372" s="88">
        <f>IF($D372="","",IF(OR($E372="Blocked",$E372="Done",$E372="Archive"),-9999,IF(AND($E372="Waiting",SUMPRODUCT((($E$5:$E$500="Next")+($E$5:$E$500="In Progress")+($E$5:$E$500="Captured"))*($D$5:$D$500&lt;&gt;""))&gt;0),-500,VLOOKUP($F372,Lists!$L$2:$M$4,2,FALSE)+IF($E372="In Progress",10,0)+IF(AND($I372&lt;&gt;"",$I372&lt;TODAY()),25,0)+IF(AND($I372&lt;&gt;"",$I372&gt;=TODAY(),$I372&lt;=TODAY()+7),15,0)+IF($H372="",0,IF($M372&lt;=VLOOKUP(Home!$C$7,Lists!$N$2:$O$6,2,FALSE),20,-10))+IF($G372=Home!$E$7,15,IF(Home!$E$7="",0,-5))-ROW()/100000)))</f>
        <v/>
      </c>
      <c r="O372" s="88">
        <f>IF($D372="","",IF($N372&lt;=-500,"Not recommended right now",IF($E372="Waiting","Nothing else actionable right now — Waiting on: "&amp;IF($K372="","this item",$K372),MID($V372,4,9999))))</f>
        <v/>
      </c>
      <c r="P372" s="88">
        <f>IF($D372="","",IF('Task Finder'!$C$6="High Priority",AND($F372="High",$E372&lt;&gt;"Done",$E372&lt;&gt;"Archive"),IF('Task Finder'!$C$6="Due This Week",AND($I372&lt;&gt;"",$I372&gt;=TODAY(),$I372&lt;=TODAY()+7,$E372&lt;&gt;"Done"),IF('Task Finder'!$C$6="Quick Wins (15 mins or less)",AND($M372&lt;=15,$E372&lt;&gt;"Done",$E372&lt;&gt;"Blocked"),IF('Task Finder'!$C$6="Deep Thinking",AND($G372="Deep Thinking",$E372&lt;&gt;"Done"),IF('Task Finder'!$C$6="Processing",AND($G372="Processing",$E372&lt;&gt;"Done"),IF('Task Finder'!$C$6="Blocked",$E372="Blocked",IF('Task Finder'!$C$6="Waiting",$E372="Waiting",IF('Task Finder'!$C$6="Recently Updated",AND($L372&lt;&gt;"",$L372&gt;=TODAY()-7),IF('Task Finder'!$C$6="Keyword",AND('Task Finder'!$C$7&lt;&gt;"",OR(ISNUMBER(SEARCH('Task Finder'!$C$7,$A372)),ISNUMBER(SEARCH('Task Finder'!$C$7,$B372)),ISNUMBER(SEARCH('Task Finder'!$C$7,$C372)),ISNUMBER(SEARCH('Task Finder'!$C$7,$D372)),ISNUMBER(SEARCH('Task Finder'!$C$7,$K372)))),TRUE))))))))))</f>
        <v/>
      </c>
      <c r="Q372" s="150">
        <f>IF($F372="High","High Priority","")</f>
        <v/>
      </c>
      <c r="R372" s="150">
        <f>IF(AND($I372&lt;&gt;"",$I372&lt;TODAY()),"Overdue","")</f>
        <v/>
      </c>
      <c r="S372" s="150">
        <f>IF(AND($I372&lt;&gt;"",$I372&gt;=TODAY(),$I372&lt;=TODAY()+7),"Due This Week","")</f>
        <v/>
      </c>
      <c r="T372" s="150">
        <f>IF(AND($H372&lt;&gt;"",$M372&lt;=VLOOKUP(Home!$C$7,Lists!$N$2:$O$6,2,FALSE)),$H372&amp;" Task","")</f>
        <v/>
      </c>
      <c r="U372" s="150">
        <f>IF($G372=Home!$E$7,"Fits Current Energy","")</f>
        <v/>
      </c>
      <c r="V372" s="150">
        <f>IF($Q372&lt;&gt;""," • "&amp;$Q372,"")&amp;IF($R372&lt;&gt;""," • "&amp;$R372,"")&amp;IF($S372&lt;&gt;""," • "&amp;$S372,"")&amp;IF($T372&lt;&gt;""," • "&amp;$T372,"")&amp;IF($U372&lt;&gt;""," • "&amp;$U372,"")&amp;" • No Blockers"</f>
        <v/>
      </c>
    </row>
    <row r="373">
      <c r="A373" s="19" t="n"/>
      <c r="B373" s="19" t="n"/>
      <c r="C373" s="19" t="n"/>
      <c r="D373" s="19" t="n"/>
      <c r="E373" s="19" t="n"/>
      <c r="F373" s="19" t="n"/>
      <c r="G373" s="19" t="n"/>
      <c r="H373" s="19" t="n"/>
      <c r="I373" s="19" t="n"/>
      <c r="J373" s="19" t="n"/>
      <c r="K373" s="19" t="n"/>
      <c r="L373" s="125" t="n"/>
      <c r="M373" s="88">
        <f>IF($D373="","",IFERROR(VLOOKUP($H373,Lists!$N$2:$O$6,2,FALSE),0))</f>
        <v/>
      </c>
      <c r="N373" s="88">
        <f>IF($D373="","",IF(OR($E373="Blocked",$E373="Done",$E373="Archive"),-9999,IF(AND($E373="Waiting",SUMPRODUCT((($E$5:$E$500="Next")+($E$5:$E$500="In Progress")+($E$5:$E$500="Captured"))*($D$5:$D$500&lt;&gt;""))&gt;0),-500,VLOOKUP($F373,Lists!$L$2:$M$4,2,FALSE)+IF($E373="In Progress",10,0)+IF(AND($I373&lt;&gt;"",$I373&lt;TODAY()),25,0)+IF(AND($I373&lt;&gt;"",$I373&gt;=TODAY(),$I373&lt;=TODAY()+7),15,0)+IF($H373="",0,IF($M373&lt;=VLOOKUP(Home!$C$7,Lists!$N$2:$O$6,2,FALSE),20,-10))+IF($G373=Home!$E$7,15,IF(Home!$E$7="",0,-5))-ROW()/100000)))</f>
        <v/>
      </c>
      <c r="O373" s="88">
        <f>IF($D373="","",IF($N373&lt;=-500,"Not recommended right now",IF($E373="Waiting","Nothing else actionable right now — Waiting on: "&amp;IF($K373="","this item",$K373),MID($V373,4,9999))))</f>
        <v/>
      </c>
      <c r="P373" s="88">
        <f>IF($D373="","",IF('Task Finder'!$C$6="High Priority",AND($F373="High",$E373&lt;&gt;"Done",$E373&lt;&gt;"Archive"),IF('Task Finder'!$C$6="Due This Week",AND($I373&lt;&gt;"",$I373&gt;=TODAY(),$I373&lt;=TODAY()+7,$E373&lt;&gt;"Done"),IF('Task Finder'!$C$6="Quick Wins (15 mins or less)",AND($M373&lt;=15,$E373&lt;&gt;"Done",$E373&lt;&gt;"Blocked"),IF('Task Finder'!$C$6="Deep Thinking",AND($G373="Deep Thinking",$E373&lt;&gt;"Done"),IF('Task Finder'!$C$6="Processing",AND($G373="Processing",$E373&lt;&gt;"Done"),IF('Task Finder'!$C$6="Blocked",$E373="Blocked",IF('Task Finder'!$C$6="Waiting",$E373="Waiting",IF('Task Finder'!$C$6="Recently Updated",AND($L373&lt;&gt;"",$L373&gt;=TODAY()-7),IF('Task Finder'!$C$6="Keyword",AND('Task Finder'!$C$7&lt;&gt;"",OR(ISNUMBER(SEARCH('Task Finder'!$C$7,$A373)),ISNUMBER(SEARCH('Task Finder'!$C$7,$B373)),ISNUMBER(SEARCH('Task Finder'!$C$7,$C373)),ISNUMBER(SEARCH('Task Finder'!$C$7,$D373)),ISNUMBER(SEARCH('Task Finder'!$C$7,$K373)))),TRUE))))))))))</f>
        <v/>
      </c>
      <c r="Q373" s="150">
        <f>IF($F373="High","High Priority","")</f>
        <v/>
      </c>
      <c r="R373" s="150">
        <f>IF(AND($I373&lt;&gt;"",$I373&lt;TODAY()),"Overdue","")</f>
        <v/>
      </c>
      <c r="S373" s="150">
        <f>IF(AND($I373&lt;&gt;"",$I373&gt;=TODAY(),$I373&lt;=TODAY()+7),"Due This Week","")</f>
        <v/>
      </c>
      <c r="T373" s="150">
        <f>IF(AND($H373&lt;&gt;"",$M373&lt;=VLOOKUP(Home!$C$7,Lists!$N$2:$O$6,2,FALSE)),$H373&amp;" Task","")</f>
        <v/>
      </c>
      <c r="U373" s="150">
        <f>IF($G373=Home!$E$7,"Fits Current Energy","")</f>
        <v/>
      </c>
      <c r="V373" s="150">
        <f>IF($Q373&lt;&gt;""," • "&amp;$Q373,"")&amp;IF($R373&lt;&gt;""," • "&amp;$R373,"")&amp;IF($S373&lt;&gt;""," • "&amp;$S373,"")&amp;IF($T373&lt;&gt;""," • "&amp;$T373,"")&amp;IF($U373&lt;&gt;""," • "&amp;$U373,"")&amp;" • No Blockers"</f>
        <v/>
      </c>
    </row>
    <row r="374">
      <c r="A374" s="19" t="n"/>
      <c r="B374" s="19" t="n"/>
      <c r="C374" s="19" t="n"/>
      <c r="D374" s="19" t="n"/>
      <c r="E374" s="19" t="n"/>
      <c r="F374" s="19" t="n"/>
      <c r="G374" s="19" t="n"/>
      <c r="H374" s="19" t="n"/>
      <c r="I374" s="19" t="n"/>
      <c r="J374" s="19" t="n"/>
      <c r="K374" s="19" t="n"/>
      <c r="L374" s="125" t="n"/>
      <c r="M374" s="88">
        <f>IF($D374="","",IFERROR(VLOOKUP($H374,Lists!$N$2:$O$6,2,FALSE),0))</f>
        <v/>
      </c>
      <c r="N374" s="88">
        <f>IF($D374="","",IF(OR($E374="Blocked",$E374="Done",$E374="Archive"),-9999,IF(AND($E374="Waiting",SUMPRODUCT((($E$5:$E$500="Next")+($E$5:$E$500="In Progress")+($E$5:$E$500="Captured"))*($D$5:$D$500&lt;&gt;""))&gt;0),-500,VLOOKUP($F374,Lists!$L$2:$M$4,2,FALSE)+IF($E374="In Progress",10,0)+IF(AND($I374&lt;&gt;"",$I374&lt;TODAY()),25,0)+IF(AND($I374&lt;&gt;"",$I374&gt;=TODAY(),$I374&lt;=TODAY()+7),15,0)+IF($H374="",0,IF($M374&lt;=VLOOKUP(Home!$C$7,Lists!$N$2:$O$6,2,FALSE),20,-10))+IF($G374=Home!$E$7,15,IF(Home!$E$7="",0,-5))-ROW()/100000)))</f>
        <v/>
      </c>
      <c r="O374" s="88">
        <f>IF($D374="","",IF($N374&lt;=-500,"Not recommended right now",IF($E374="Waiting","Nothing else actionable right now — Waiting on: "&amp;IF($K374="","this item",$K374),MID($V374,4,9999))))</f>
        <v/>
      </c>
      <c r="P374" s="88">
        <f>IF($D374="","",IF('Task Finder'!$C$6="High Priority",AND($F374="High",$E374&lt;&gt;"Done",$E374&lt;&gt;"Archive"),IF('Task Finder'!$C$6="Due This Week",AND($I374&lt;&gt;"",$I374&gt;=TODAY(),$I374&lt;=TODAY()+7,$E374&lt;&gt;"Done"),IF('Task Finder'!$C$6="Quick Wins (15 mins or less)",AND($M374&lt;=15,$E374&lt;&gt;"Done",$E374&lt;&gt;"Blocked"),IF('Task Finder'!$C$6="Deep Thinking",AND($G374="Deep Thinking",$E374&lt;&gt;"Done"),IF('Task Finder'!$C$6="Processing",AND($G374="Processing",$E374&lt;&gt;"Done"),IF('Task Finder'!$C$6="Blocked",$E374="Blocked",IF('Task Finder'!$C$6="Waiting",$E374="Waiting",IF('Task Finder'!$C$6="Recently Updated",AND($L374&lt;&gt;"",$L374&gt;=TODAY()-7),IF('Task Finder'!$C$6="Keyword",AND('Task Finder'!$C$7&lt;&gt;"",OR(ISNUMBER(SEARCH('Task Finder'!$C$7,$A374)),ISNUMBER(SEARCH('Task Finder'!$C$7,$B374)),ISNUMBER(SEARCH('Task Finder'!$C$7,$C374)),ISNUMBER(SEARCH('Task Finder'!$C$7,$D374)),ISNUMBER(SEARCH('Task Finder'!$C$7,$K374)))),TRUE))))))))))</f>
        <v/>
      </c>
      <c r="Q374" s="150">
        <f>IF($F374="High","High Priority","")</f>
        <v/>
      </c>
      <c r="R374" s="150">
        <f>IF(AND($I374&lt;&gt;"",$I374&lt;TODAY()),"Overdue","")</f>
        <v/>
      </c>
      <c r="S374" s="150">
        <f>IF(AND($I374&lt;&gt;"",$I374&gt;=TODAY(),$I374&lt;=TODAY()+7),"Due This Week","")</f>
        <v/>
      </c>
      <c r="T374" s="150">
        <f>IF(AND($H374&lt;&gt;"",$M374&lt;=VLOOKUP(Home!$C$7,Lists!$N$2:$O$6,2,FALSE)),$H374&amp;" Task","")</f>
        <v/>
      </c>
      <c r="U374" s="150">
        <f>IF($G374=Home!$E$7,"Fits Current Energy","")</f>
        <v/>
      </c>
      <c r="V374" s="150">
        <f>IF($Q374&lt;&gt;""," • "&amp;$Q374,"")&amp;IF($R374&lt;&gt;""," • "&amp;$R374,"")&amp;IF($S374&lt;&gt;""," • "&amp;$S374,"")&amp;IF($T374&lt;&gt;""," • "&amp;$T374,"")&amp;IF($U374&lt;&gt;""," • "&amp;$U374,"")&amp;" • No Blockers"</f>
        <v/>
      </c>
    </row>
    <row r="375">
      <c r="A375" s="19" t="n"/>
      <c r="B375" s="19" t="n"/>
      <c r="C375" s="19" t="n"/>
      <c r="D375" s="19" t="n"/>
      <c r="E375" s="19" t="n"/>
      <c r="F375" s="19" t="n"/>
      <c r="G375" s="19" t="n"/>
      <c r="H375" s="19" t="n"/>
      <c r="I375" s="19" t="n"/>
      <c r="J375" s="19" t="n"/>
      <c r="K375" s="19" t="n"/>
      <c r="L375" s="125" t="n"/>
      <c r="M375" s="88">
        <f>IF($D375="","",IFERROR(VLOOKUP($H375,Lists!$N$2:$O$6,2,FALSE),0))</f>
        <v/>
      </c>
      <c r="N375" s="88">
        <f>IF($D375="","",IF(OR($E375="Blocked",$E375="Done",$E375="Archive"),-9999,IF(AND($E375="Waiting",SUMPRODUCT((($E$5:$E$500="Next")+($E$5:$E$500="In Progress")+($E$5:$E$500="Captured"))*($D$5:$D$500&lt;&gt;""))&gt;0),-500,VLOOKUP($F375,Lists!$L$2:$M$4,2,FALSE)+IF($E375="In Progress",10,0)+IF(AND($I375&lt;&gt;"",$I375&lt;TODAY()),25,0)+IF(AND($I375&lt;&gt;"",$I375&gt;=TODAY(),$I375&lt;=TODAY()+7),15,0)+IF($H375="",0,IF($M375&lt;=VLOOKUP(Home!$C$7,Lists!$N$2:$O$6,2,FALSE),20,-10))+IF($G375=Home!$E$7,15,IF(Home!$E$7="",0,-5))-ROW()/100000)))</f>
        <v/>
      </c>
      <c r="O375" s="88">
        <f>IF($D375="","",IF($N375&lt;=-500,"Not recommended right now",IF($E375="Waiting","Nothing else actionable right now — Waiting on: "&amp;IF($K375="","this item",$K375),MID($V375,4,9999))))</f>
        <v/>
      </c>
      <c r="P375" s="88">
        <f>IF($D375="","",IF('Task Finder'!$C$6="High Priority",AND($F375="High",$E375&lt;&gt;"Done",$E375&lt;&gt;"Archive"),IF('Task Finder'!$C$6="Due This Week",AND($I375&lt;&gt;"",$I375&gt;=TODAY(),$I375&lt;=TODAY()+7,$E375&lt;&gt;"Done"),IF('Task Finder'!$C$6="Quick Wins (15 mins or less)",AND($M375&lt;=15,$E375&lt;&gt;"Done",$E375&lt;&gt;"Blocked"),IF('Task Finder'!$C$6="Deep Thinking",AND($G375="Deep Thinking",$E375&lt;&gt;"Done"),IF('Task Finder'!$C$6="Processing",AND($G375="Processing",$E375&lt;&gt;"Done"),IF('Task Finder'!$C$6="Blocked",$E375="Blocked",IF('Task Finder'!$C$6="Waiting",$E375="Waiting",IF('Task Finder'!$C$6="Recently Updated",AND($L375&lt;&gt;"",$L375&gt;=TODAY()-7),IF('Task Finder'!$C$6="Keyword",AND('Task Finder'!$C$7&lt;&gt;"",OR(ISNUMBER(SEARCH('Task Finder'!$C$7,$A375)),ISNUMBER(SEARCH('Task Finder'!$C$7,$B375)),ISNUMBER(SEARCH('Task Finder'!$C$7,$C375)),ISNUMBER(SEARCH('Task Finder'!$C$7,$D375)),ISNUMBER(SEARCH('Task Finder'!$C$7,$K375)))),TRUE))))))))))</f>
        <v/>
      </c>
      <c r="Q375" s="150">
        <f>IF($F375="High","High Priority","")</f>
        <v/>
      </c>
      <c r="R375" s="150">
        <f>IF(AND($I375&lt;&gt;"",$I375&lt;TODAY()),"Overdue","")</f>
        <v/>
      </c>
      <c r="S375" s="150">
        <f>IF(AND($I375&lt;&gt;"",$I375&gt;=TODAY(),$I375&lt;=TODAY()+7),"Due This Week","")</f>
        <v/>
      </c>
      <c r="T375" s="150">
        <f>IF(AND($H375&lt;&gt;"",$M375&lt;=VLOOKUP(Home!$C$7,Lists!$N$2:$O$6,2,FALSE)),$H375&amp;" Task","")</f>
        <v/>
      </c>
      <c r="U375" s="150">
        <f>IF($G375=Home!$E$7,"Fits Current Energy","")</f>
        <v/>
      </c>
      <c r="V375" s="150">
        <f>IF($Q375&lt;&gt;""," • "&amp;$Q375,"")&amp;IF($R375&lt;&gt;""," • "&amp;$R375,"")&amp;IF($S375&lt;&gt;""," • "&amp;$S375,"")&amp;IF($T375&lt;&gt;""," • "&amp;$T375,"")&amp;IF($U375&lt;&gt;""," • "&amp;$U375,"")&amp;" • No Blockers"</f>
        <v/>
      </c>
    </row>
    <row r="376">
      <c r="A376" s="19" t="n"/>
      <c r="B376" s="19" t="n"/>
      <c r="C376" s="19" t="n"/>
      <c r="D376" s="19" t="n"/>
      <c r="E376" s="19" t="n"/>
      <c r="F376" s="19" t="n"/>
      <c r="G376" s="19" t="n"/>
      <c r="H376" s="19" t="n"/>
      <c r="I376" s="19" t="n"/>
      <c r="J376" s="19" t="n"/>
      <c r="K376" s="19" t="n"/>
      <c r="L376" s="125" t="n"/>
      <c r="M376" s="88">
        <f>IF($D376="","",IFERROR(VLOOKUP($H376,Lists!$N$2:$O$6,2,FALSE),0))</f>
        <v/>
      </c>
      <c r="N376" s="88">
        <f>IF($D376="","",IF(OR($E376="Blocked",$E376="Done",$E376="Archive"),-9999,IF(AND($E376="Waiting",SUMPRODUCT((($E$5:$E$500="Next")+($E$5:$E$500="In Progress")+($E$5:$E$500="Captured"))*($D$5:$D$500&lt;&gt;""))&gt;0),-500,VLOOKUP($F376,Lists!$L$2:$M$4,2,FALSE)+IF($E376="In Progress",10,0)+IF(AND($I376&lt;&gt;"",$I376&lt;TODAY()),25,0)+IF(AND($I376&lt;&gt;"",$I376&gt;=TODAY(),$I376&lt;=TODAY()+7),15,0)+IF($H376="",0,IF($M376&lt;=VLOOKUP(Home!$C$7,Lists!$N$2:$O$6,2,FALSE),20,-10))+IF($G376=Home!$E$7,15,IF(Home!$E$7="",0,-5))-ROW()/100000)))</f>
        <v/>
      </c>
      <c r="O376" s="88">
        <f>IF($D376="","",IF($N376&lt;=-500,"Not recommended right now",IF($E376="Waiting","Nothing else actionable right now — Waiting on: "&amp;IF($K376="","this item",$K376),MID($V376,4,9999))))</f>
        <v/>
      </c>
      <c r="P376" s="88">
        <f>IF($D376="","",IF('Task Finder'!$C$6="High Priority",AND($F376="High",$E376&lt;&gt;"Done",$E376&lt;&gt;"Archive"),IF('Task Finder'!$C$6="Due This Week",AND($I376&lt;&gt;"",$I376&gt;=TODAY(),$I376&lt;=TODAY()+7,$E376&lt;&gt;"Done"),IF('Task Finder'!$C$6="Quick Wins (15 mins or less)",AND($M376&lt;=15,$E376&lt;&gt;"Done",$E376&lt;&gt;"Blocked"),IF('Task Finder'!$C$6="Deep Thinking",AND($G376="Deep Thinking",$E376&lt;&gt;"Done"),IF('Task Finder'!$C$6="Processing",AND($G376="Processing",$E376&lt;&gt;"Done"),IF('Task Finder'!$C$6="Blocked",$E376="Blocked",IF('Task Finder'!$C$6="Waiting",$E376="Waiting",IF('Task Finder'!$C$6="Recently Updated",AND($L376&lt;&gt;"",$L376&gt;=TODAY()-7),IF('Task Finder'!$C$6="Keyword",AND('Task Finder'!$C$7&lt;&gt;"",OR(ISNUMBER(SEARCH('Task Finder'!$C$7,$A376)),ISNUMBER(SEARCH('Task Finder'!$C$7,$B376)),ISNUMBER(SEARCH('Task Finder'!$C$7,$C376)),ISNUMBER(SEARCH('Task Finder'!$C$7,$D376)),ISNUMBER(SEARCH('Task Finder'!$C$7,$K376)))),TRUE))))))))))</f>
        <v/>
      </c>
      <c r="Q376" s="150">
        <f>IF($F376="High","High Priority","")</f>
        <v/>
      </c>
      <c r="R376" s="150">
        <f>IF(AND($I376&lt;&gt;"",$I376&lt;TODAY()),"Overdue","")</f>
        <v/>
      </c>
      <c r="S376" s="150">
        <f>IF(AND($I376&lt;&gt;"",$I376&gt;=TODAY(),$I376&lt;=TODAY()+7),"Due This Week","")</f>
        <v/>
      </c>
      <c r="T376" s="150">
        <f>IF(AND($H376&lt;&gt;"",$M376&lt;=VLOOKUP(Home!$C$7,Lists!$N$2:$O$6,2,FALSE)),$H376&amp;" Task","")</f>
        <v/>
      </c>
      <c r="U376" s="150">
        <f>IF($G376=Home!$E$7,"Fits Current Energy","")</f>
        <v/>
      </c>
      <c r="V376" s="150">
        <f>IF($Q376&lt;&gt;""," • "&amp;$Q376,"")&amp;IF($R376&lt;&gt;""," • "&amp;$R376,"")&amp;IF($S376&lt;&gt;""," • "&amp;$S376,"")&amp;IF($T376&lt;&gt;""," • "&amp;$T376,"")&amp;IF($U376&lt;&gt;""," • "&amp;$U376,"")&amp;" • No Blockers"</f>
        <v/>
      </c>
    </row>
    <row r="377">
      <c r="A377" s="19" t="n"/>
      <c r="B377" s="19" t="n"/>
      <c r="C377" s="19" t="n"/>
      <c r="D377" s="19" t="n"/>
      <c r="E377" s="19" t="n"/>
      <c r="F377" s="19" t="n"/>
      <c r="G377" s="19" t="n"/>
      <c r="H377" s="19" t="n"/>
      <c r="I377" s="19" t="n"/>
      <c r="J377" s="19" t="n"/>
      <c r="K377" s="19" t="n"/>
      <c r="L377" s="125" t="n"/>
      <c r="M377" s="88">
        <f>IF($D377="","",IFERROR(VLOOKUP($H377,Lists!$N$2:$O$6,2,FALSE),0))</f>
        <v/>
      </c>
      <c r="N377" s="88">
        <f>IF($D377="","",IF(OR($E377="Blocked",$E377="Done",$E377="Archive"),-9999,IF(AND($E377="Waiting",SUMPRODUCT((($E$5:$E$500="Next")+($E$5:$E$500="In Progress")+($E$5:$E$500="Captured"))*($D$5:$D$500&lt;&gt;""))&gt;0),-500,VLOOKUP($F377,Lists!$L$2:$M$4,2,FALSE)+IF($E377="In Progress",10,0)+IF(AND($I377&lt;&gt;"",$I377&lt;TODAY()),25,0)+IF(AND($I377&lt;&gt;"",$I377&gt;=TODAY(),$I377&lt;=TODAY()+7),15,0)+IF($H377="",0,IF($M377&lt;=VLOOKUP(Home!$C$7,Lists!$N$2:$O$6,2,FALSE),20,-10))+IF($G377=Home!$E$7,15,IF(Home!$E$7="",0,-5))-ROW()/100000)))</f>
        <v/>
      </c>
      <c r="O377" s="88">
        <f>IF($D377="","",IF($N377&lt;=-500,"Not recommended right now",IF($E377="Waiting","Nothing else actionable right now — Waiting on: "&amp;IF($K377="","this item",$K377),MID($V377,4,9999))))</f>
        <v/>
      </c>
      <c r="P377" s="88">
        <f>IF($D377="","",IF('Task Finder'!$C$6="High Priority",AND($F377="High",$E377&lt;&gt;"Done",$E377&lt;&gt;"Archive"),IF('Task Finder'!$C$6="Due This Week",AND($I377&lt;&gt;"",$I377&gt;=TODAY(),$I377&lt;=TODAY()+7,$E377&lt;&gt;"Done"),IF('Task Finder'!$C$6="Quick Wins (15 mins or less)",AND($M377&lt;=15,$E377&lt;&gt;"Done",$E377&lt;&gt;"Blocked"),IF('Task Finder'!$C$6="Deep Thinking",AND($G377="Deep Thinking",$E377&lt;&gt;"Done"),IF('Task Finder'!$C$6="Processing",AND($G377="Processing",$E377&lt;&gt;"Done"),IF('Task Finder'!$C$6="Blocked",$E377="Blocked",IF('Task Finder'!$C$6="Waiting",$E377="Waiting",IF('Task Finder'!$C$6="Recently Updated",AND($L377&lt;&gt;"",$L377&gt;=TODAY()-7),IF('Task Finder'!$C$6="Keyword",AND('Task Finder'!$C$7&lt;&gt;"",OR(ISNUMBER(SEARCH('Task Finder'!$C$7,$A377)),ISNUMBER(SEARCH('Task Finder'!$C$7,$B377)),ISNUMBER(SEARCH('Task Finder'!$C$7,$C377)),ISNUMBER(SEARCH('Task Finder'!$C$7,$D377)),ISNUMBER(SEARCH('Task Finder'!$C$7,$K377)))),TRUE))))))))))</f>
        <v/>
      </c>
      <c r="Q377" s="150">
        <f>IF($F377="High","High Priority","")</f>
        <v/>
      </c>
      <c r="R377" s="150">
        <f>IF(AND($I377&lt;&gt;"",$I377&lt;TODAY()),"Overdue","")</f>
        <v/>
      </c>
      <c r="S377" s="150">
        <f>IF(AND($I377&lt;&gt;"",$I377&gt;=TODAY(),$I377&lt;=TODAY()+7),"Due This Week","")</f>
        <v/>
      </c>
      <c r="T377" s="150">
        <f>IF(AND($H377&lt;&gt;"",$M377&lt;=VLOOKUP(Home!$C$7,Lists!$N$2:$O$6,2,FALSE)),$H377&amp;" Task","")</f>
        <v/>
      </c>
      <c r="U377" s="150">
        <f>IF($G377=Home!$E$7,"Fits Current Energy","")</f>
        <v/>
      </c>
      <c r="V377" s="150">
        <f>IF($Q377&lt;&gt;""," • "&amp;$Q377,"")&amp;IF($R377&lt;&gt;""," • "&amp;$R377,"")&amp;IF($S377&lt;&gt;""," • "&amp;$S377,"")&amp;IF($T377&lt;&gt;""," • "&amp;$T377,"")&amp;IF($U377&lt;&gt;""," • "&amp;$U377,"")&amp;" • No Blockers"</f>
        <v/>
      </c>
    </row>
    <row r="378">
      <c r="A378" s="19" t="n"/>
      <c r="B378" s="19" t="n"/>
      <c r="C378" s="19" t="n"/>
      <c r="D378" s="19" t="n"/>
      <c r="E378" s="19" t="n"/>
      <c r="F378" s="19" t="n"/>
      <c r="G378" s="19" t="n"/>
      <c r="H378" s="19" t="n"/>
      <c r="I378" s="19" t="n"/>
      <c r="J378" s="19" t="n"/>
      <c r="K378" s="19" t="n"/>
      <c r="L378" s="125" t="n"/>
      <c r="M378" s="88">
        <f>IF($D378="","",IFERROR(VLOOKUP($H378,Lists!$N$2:$O$6,2,FALSE),0))</f>
        <v/>
      </c>
      <c r="N378" s="88">
        <f>IF($D378="","",IF(OR($E378="Blocked",$E378="Done",$E378="Archive"),-9999,IF(AND($E378="Waiting",SUMPRODUCT((($E$5:$E$500="Next")+($E$5:$E$500="In Progress")+($E$5:$E$500="Captured"))*($D$5:$D$500&lt;&gt;""))&gt;0),-500,VLOOKUP($F378,Lists!$L$2:$M$4,2,FALSE)+IF($E378="In Progress",10,0)+IF(AND($I378&lt;&gt;"",$I378&lt;TODAY()),25,0)+IF(AND($I378&lt;&gt;"",$I378&gt;=TODAY(),$I378&lt;=TODAY()+7),15,0)+IF($H378="",0,IF($M378&lt;=VLOOKUP(Home!$C$7,Lists!$N$2:$O$6,2,FALSE),20,-10))+IF($G378=Home!$E$7,15,IF(Home!$E$7="",0,-5))-ROW()/100000)))</f>
        <v/>
      </c>
      <c r="O378" s="88">
        <f>IF($D378="","",IF($N378&lt;=-500,"Not recommended right now",IF($E378="Waiting","Nothing else actionable right now — Waiting on: "&amp;IF($K378="","this item",$K378),MID($V378,4,9999))))</f>
        <v/>
      </c>
      <c r="P378" s="88">
        <f>IF($D378="","",IF('Task Finder'!$C$6="High Priority",AND($F378="High",$E378&lt;&gt;"Done",$E378&lt;&gt;"Archive"),IF('Task Finder'!$C$6="Due This Week",AND($I378&lt;&gt;"",$I378&gt;=TODAY(),$I378&lt;=TODAY()+7,$E378&lt;&gt;"Done"),IF('Task Finder'!$C$6="Quick Wins (15 mins or less)",AND($M378&lt;=15,$E378&lt;&gt;"Done",$E378&lt;&gt;"Blocked"),IF('Task Finder'!$C$6="Deep Thinking",AND($G378="Deep Thinking",$E378&lt;&gt;"Done"),IF('Task Finder'!$C$6="Processing",AND($G378="Processing",$E378&lt;&gt;"Done"),IF('Task Finder'!$C$6="Blocked",$E378="Blocked",IF('Task Finder'!$C$6="Waiting",$E378="Waiting",IF('Task Finder'!$C$6="Recently Updated",AND($L378&lt;&gt;"",$L378&gt;=TODAY()-7),IF('Task Finder'!$C$6="Keyword",AND('Task Finder'!$C$7&lt;&gt;"",OR(ISNUMBER(SEARCH('Task Finder'!$C$7,$A378)),ISNUMBER(SEARCH('Task Finder'!$C$7,$B378)),ISNUMBER(SEARCH('Task Finder'!$C$7,$C378)),ISNUMBER(SEARCH('Task Finder'!$C$7,$D378)),ISNUMBER(SEARCH('Task Finder'!$C$7,$K378)))),TRUE))))))))))</f>
        <v/>
      </c>
      <c r="Q378" s="150">
        <f>IF($F378="High","High Priority","")</f>
        <v/>
      </c>
      <c r="R378" s="150">
        <f>IF(AND($I378&lt;&gt;"",$I378&lt;TODAY()),"Overdue","")</f>
        <v/>
      </c>
      <c r="S378" s="150">
        <f>IF(AND($I378&lt;&gt;"",$I378&gt;=TODAY(),$I378&lt;=TODAY()+7),"Due This Week","")</f>
        <v/>
      </c>
      <c r="T378" s="150">
        <f>IF(AND($H378&lt;&gt;"",$M378&lt;=VLOOKUP(Home!$C$7,Lists!$N$2:$O$6,2,FALSE)),$H378&amp;" Task","")</f>
        <v/>
      </c>
      <c r="U378" s="150">
        <f>IF($G378=Home!$E$7,"Fits Current Energy","")</f>
        <v/>
      </c>
      <c r="V378" s="150">
        <f>IF($Q378&lt;&gt;""," • "&amp;$Q378,"")&amp;IF($R378&lt;&gt;""," • "&amp;$R378,"")&amp;IF($S378&lt;&gt;""," • "&amp;$S378,"")&amp;IF($T378&lt;&gt;""," • "&amp;$T378,"")&amp;IF($U378&lt;&gt;""," • "&amp;$U378,"")&amp;" • No Blockers"</f>
        <v/>
      </c>
    </row>
    <row r="379">
      <c r="A379" s="19" t="n"/>
      <c r="B379" s="19" t="n"/>
      <c r="C379" s="19" t="n"/>
      <c r="D379" s="19" t="n"/>
      <c r="E379" s="19" t="n"/>
      <c r="F379" s="19" t="n"/>
      <c r="G379" s="19" t="n"/>
      <c r="H379" s="19" t="n"/>
      <c r="I379" s="19" t="n"/>
      <c r="J379" s="19" t="n"/>
      <c r="K379" s="19" t="n"/>
      <c r="L379" s="125" t="n"/>
      <c r="M379" s="88">
        <f>IF($D379="","",IFERROR(VLOOKUP($H379,Lists!$N$2:$O$6,2,FALSE),0))</f>
        <v/>
      </c>
      <c r="N379" s="88">
        <f>IF($D379="","",IF(OR($E379="Blocked",$E379="Done",$E379="Archive"),-9999,IF(AND($E379="Waiting",SUMPRODUCT((($E$5:$E$500="Next")+($E$5:$E$500="In Progress")+($E$5:$E$500="Captured"))*($D$5:$D$500&lt;&gt;""))&gt;0),-500,VLOOKUP($F379,Lists!$L$2:$M$4,2,FALSE)+IF($E379="In Progress",10,0)+IF(AND($I379&lt;&gt;"",$I379&lt;TODAY()),25,0)+IF(AND($I379&lt;&gt;"",$I379&gt;=TODAY(),$I379&lt;=TODAY()+7),15,0)+IF($H379="",0,IF($M379&lt;=VLOOKUP(Home!$C$7,Lists!$N$2:$O$6,2,FALSE),20,-10))+IF($G379=Home!$E$7,15,IF(Home!$E$7="",0,-5))-ROW()/100000)))</f>
        <v/>
      </c>
      <c r="O379" s="88">
        <f>IF($D379="","",IF($N379&lt;=-500,"Not recommended right now",IF($E379="Waiting","Nothing else actionable right now — Waiting on: "&amp;IF($K379="","this item",$K379),MID($V379,4,9999))))</f>
        <v/>
      </c>
      <c r="P379" s="88">
        <f>IF($D379="","",IF('Task Finder'!$C$6="High Priority",AND($F379="High",$E379&lt;&gt;"Done",$E379&lt;&gt;"Archive"),IF('Task Finder'!$C$6="Due This Week",AND($I379&lt;&gt;"",$I379&gt;=TODAY(),$I379&lt;=TODAY()+7,$E379&lt;&gt;"Done"),IF('Task Finder'!$C$6="Quick Wins (15 mins or less)",AND($M379&lt;=15,$E379&lt;&gt;"Done",$E379&lt;&gt;"Blocked"),IF('Task Finder'!$C$6="Deep Thinking",AND($G379="Deep Thinking",$E379&lt;&gt;"Done"),IF('Task Finder'!$C$6="Processing",AND($G379="Processing",$E379&lt;&gt;"Done"),IF('Task Finder'!$C$6="Blocked",$E379="Blocked",IF('Task Finder'!$C$6="Waiting",$E379="Waiting",IF('Task Finder'!$C$6="Recently Updated",AND($L379&lt;&gt;"",$L379&gt;=TODAY()-7),IF('Task Finder'!$C$6="Keyword",AND('Task Finder'!$C$7&lt;&gt;"",OR(ISNUMBER(SEARCH('Task Finder'!$C$7,$A379)),ISNUMBER(SEARCH('Task Finder'!$C$7,$B379)),ISNUMBER(SEARCH('Task Finder'!$C$7,$C379)),ISNUMBER(SEARCH('Task Finder'!$C$7,$D379)),ISNUMBER(SEARCH('Task Finder'!$C$7,$K379)))),TRUE))))))))))</f>
        <v/>
      </c>
      <c r="Q379" s="150">
        <f>IF($F379="High","High Priority","")</f>
        <v/>
      </c>
      <c r="R379" s="150">
        <f>IF(AND($I379&lt;&gt;"",$I379&lt;TODAY()),"Overdue","")</f>
        <v/>
      </c>
      <c r="S379" s="150">
        <f>IF(AND($I379&lt;&gt;"",$I379&gt;=TODAY(),$I379&lt;=TODAY()+7),"Due This Week","")</f>
        <v/>
      </c>
      <c r="T379" s="150">
        <f>IF(AND($H379&lt;&gt;"",$M379&lt;=VLOOKUP(Home!$C$7,Lists!$N$2:$O$6,2,FALSE)),$H379&amp;" Task","")</f>
        <v/>
      </c>
      <c r="U379" s="150">
        <f>IF($G379=Home!$E$7,"Fits Current Energy","")</f>
        <v/>
      </c>
      <c r="V379" s="150">
        <f>IF($Q379&lt;&gt;""," • "&amp;$Q379,"")&amp;IF($R379&lt;&gt;""," • "&amp;$R379,"")&amp;IF($S379&lt;&gt;""," • "&amp;$S379,"")&amp;IF($T379&lt;&gt;""," • "&amp;$T379,"")&amp;IF($U379&lt;&gt;""," • "&amp;$U379,"")&amp;" • No Blockers"</f>
        <v/>
      </c>
    </row>
    <row r="380">
      <c r="A380" s="19" t="n"/>
      <c r="B380" s="19" t="n"/>
      <c r="C380" s="19" t="n"/>
      <c r="D380" s="19" t="n"/>
      <c r="E380" s="19" t="n"/>
      <c r="F380" s="19" t="n"/>
      <c r="G380" s="19" t="n"/>
      <c r="H380" s="19" t="n"/>
      <c r="I380" s="19" t="n"/>
      <c r="J380" s="19" t="n"/>
      <c r="K380" s="19" t="n"/>
      <c r="L380" s="125" t="n"/>
      <c r="M380" s="88">
        <f>IF($D380="","",IFERROR(VLOOKUP($H380,Lists!$N$2:$O$6,2,FALSE),0))</f>
        <v/>
      </c>
      <c r="N380" s="88">
        <f>IF($D380="","",IF(OR($E380="Blocked",$E380="Done",$E380="Archive"),-9999,IF(AND($E380="Waiting",SUMPRODUCT((($E$5:$E$500="Next")+($E$5:$E$500="In Progress")+($E$5:$E$500="Captured"))*($D$5:$D$500&lt;&gt;""))&gt;0),-500,VLOOKUP($F380,Lists!$L$2:$M$4,2,FALSE)+IF($E380="In Progress",10,0)+IF(AND($I380&lt;&gt;"",$I380&lt;TODAY()),25,0)+IF(AND($I380&lt;&gt;"",$I380&gt;=TODAY(),$I380&lt;=TODAY()+7),15,0)+IF($H380="",0,IF($M380&lt;=VLOOKUP(Home!$C$7,Lists!$N$2:$O$6,2,FALSE),20,-10))+IF($G380=Home!$E$7,15,IF(Home!$E$7="",0,-5))-ROW()/100000)))</f>
        <v/>
      </c>
      <c r="O380" s="88">
        <f>IF($D380="","",IF($N380&lt;=-500,"Not recommended right now",IF($E380="Waiting","Nothing else actionable right now — Waiting on: "&amp;IF($K380="","this item",$K380),MID($V380,4,9999))))</f>
        <v/>
      </c>
      <c r="P380" s="88">
        <f>IF($D380="","",IF('Task Finder'!$C$6="High Priority",AND($F380="High",$E380&lt;&gt;"Done",$E380&lt;&gt;"Archive"),IF('Task Finder'!$C$6="Due This Week",AND($I380&lt;&gt;"",$I380&gt;=TODAY(),$I380&lt;=TODAY()+7,$E380&lt;&gt;"Done"),IF('Task Finder'!$C$6="Quick Wins (15 mins or less)",AND($M380&lt;=15,$E380&lt;&gt;"Done",$E380&lt;&gt;"Blocked"),IF('Task Finder'!$C$6="Deep Thinking",AND($G380="Deep Thinking",$E380&lt;&gt;"Done"),IF('Task Finder'!$C$6="Processing",AND($G380="Processing",$E380&lt;&gt;"Done"),IF('Task Finder'!$C$6="Blocked",$E380="Blocked",IF('Task Finder'!$C$6="Waiting",$E380="Waiting",IF('Task Finder'!$C$6="Recently Updated",AND($L380&lt;&gt;"",$L380&gt;=TODAY()-7),IF('Task Finder'!$C$6="Keyword",AND('Task Finder'!$C$7&lt;&gt;"",OR(ISNUMBER(SEARCH('Task Finder'!$C$7,$A380)),ISNUMBER(SEARCH('Task Finder'!$C$7,$B380)),ISNUMBER(SEARCH('Task Finder'!$C$7,$C380)),ISNUMBER(SEARCH('Task Finder'!$C$7,$D380)),ISNUMBER(SEARCH('Task Finder'!$C$7,$K380)))),TRUE))))))))))</f>
        <v/>
      </c>
      <c r="Q380" s="150">
        <f>IF($F380="High","High Priority","")</f>
        <v/>
      </c>
      <c r="R380" s="150">
        <f>IF(AND($I380&lt;&gt;"",$I380&lt;TODAY()),"Overdue","")</f>
        <v/>
      </c>
      <c r="S380" s="150">
        <f>IF(AND($I380&lt;&gt;"",$I380&gt;=TODAY(),$I380&lt;=TODAY()+7),"Due This Week","")</f>
        <v/>
      </c>
      <c r="T380" s="150">
        <f>IF(AND($H380&lt;&gt;"",$M380&lt;=VLOOKUP(Home!$C$7,Lists!$N$2:$O$6,2,FALSE)),$H380&amp;" Task","")</f>
        <v/>
      </c>
      <c r="U380" s="150">
        <f>IF($G380=Home!$E$7,"Fits Current Energy","")</f>
        <v/>
      </c>
      <c r="V380" s="150">
        <f>IF($Q380&lt;&gt;""," • "&amp;$Q380,"")&amp;IF($R380&lt;&gt;""," • "&amp;$R380,"")&amp;IF($S380&lt;&gt;""," • "&amp;$S380,"")&amp;IF($T380&lt;&gt;""," • "&amp;$T380,"")&amp;IF($U380&lt;&gt;""," • "&amp;$U380,"")&amp;" • No Blockers"</f>
        <v/>
      </c>
    </row>
    <row r="381">
      <c r="A381" s="19" t="n"/>
      <c r="B381" s="19" t="n"/>
      <c r="C381" s="19" t="n"/>
      <c r="D381" s="19" t="n"/>
      <c r="E381" s="19" t="n"/>
      <c r="F381" s="19" t="n"/>
      <c r="G381" s="19" t="n"/>
      <c r="H381" s="19" t="n"/>
      <c r="I381" s="19" t="n"/>
      <c r="J381" s="19" t="n"/>
      <c r="K381" s="19" t="n"/>
      <c r="L381" s="125" t="n"/>
      <c r="M381" s="88">
        <f>IF($D381="","",IFERROR(VLOOKUP($H381,Lists!$N$2:$O$6,2,FALSE),0))</f>
        <v/>
      </c>
      <c r="N381" s="88">
        <f>IF($D381="","",IF(OR($E381="Blocked",$E381="Done",$E381="Archive"),-9999,IF(AND($E381="Waiting",SUMPRODUCT((($E$5:$E$500="Next")+($E$5:$E$500="In Progress")+($E$5:$E$500="Captured"))*($D$5:$D$500&lt;&gt;""))&gt;0),-500,VLOOKUP($F381,Lists!$L$2:$M$4,2,FALSE)+IF($E381="In Progress",10,0)+IF(AND($I381&lt;&gt;"",$I381&lt;TODAY()),25,0)+IF(AND($I381&lt;&gt;"",$I381&gt;=TODAY(),$I381&lt;=TODAY()+7),15,0)+IF($H381="",0,IF($M381&lt;=VLOOKUP(Home!$C$7,Lists!$N$2:$O$6,2,FALSE),20,-10))+IF($G381=Home!$E$7,15,IF(Home!$E$7="",0,-5))-ROW()/100000)))</f>
        <v/>
      </c>
      <c r="O381" s="88">
        <f>IF($D381="","",IF($N381&lt;=-500,"Not recommended right now",IF($E381="Waiting","Nothing else actionable right now — Waiting on: "&amp;IF($K381="","this item",$K381),MID($V381,4,9999))))</f>
        <v/>
      </c>
      <c r="P381" s="88">
        <f>IF($D381="","",IF('Task Finder'!$C$6="High Priority",AND($F381="High",$E381&lt;&gt;"Done",$E381&lt;&gt;"Archive"),IF('Task Finder'!$C$6="Due This Week",AND($I381&lt;&gt;"",$I381&gt;=TODAY(),$I381&lt;=TODAY()+7,$E381&lt;&gt;"Done"),IF('Task Finder'!$C$6="Quick Wins (15 mins or less)",AND($M381&lt;=15,$E381&lt;&gt;"Done",$E381&lt;&gt;"Blocked"),IF('Task Finder'!$C$6="Deep Thinking",AND($G381="Deep Thinking",$E381&lt;&gt;"Done"),IF('Task Finder'!$C$6="Processing",AND($G381="Processing",$E381&lt;&gt;"Done"),IF('Task Finder'!$C$6="Blocked",$E381="Blocked",IF('Task Finder'!$C$6="Waiting",$E381="Waiting",IF('Task Finder'!$C$6="Recently Updated",AND($L381&lt;&gt;"",$L381&gt;=TODAY()-7),IF('Task Finder'!$C$6="Keyword",AND('Task Finder'!$C$7&lt;&gt;"",OR(ISNUMBER(SEARCH('Task Finder'!$C$7,$A381)),ISNUMBER(SEARCH('Task Finder'!$C$7,$B381)),ISNUMBER(SEARCH('Task Finder'!$C$7,$C381)),ISNUMBER(SEARCH('Task Finder'!$C$7,$D381)),ISNUMBER(SEARCH('Task Finder'!$C$7,$K381)))),TRUE))))))))))</f>
        <v/>
      </c>
      <c r="Q381" s="150">
        <f>IF($F381="High","High Priority","")</f>
        <v/>
      </c>
      <c r="R381" s="150">
        <f>IF(AND($I381&lt;&gt;"",$I381&lt;TODAY()),"Overdue","")</f>
        <v/>
      </c>
      <c r="S381" s="150">
        <f>IF(AND($I381&lt;&gt;"",$I381&gt;=TODAY(),$I381&lt;=TODAY()+7),"Due This Week","")</f>
        <v/>
      </c>
      <c r="T381" s="150">
        <f>IF(AND($H381&lt;&gt;"",$M381&lt;=VLOOKUP(Home!$C$7,Lists!$N$2:$O$6,2,FALSE)),$H381&amp;" Task","")</f>
        <v/>
      </c>
      <c r="U381" s="150">
        <f>IF($G381=Home!$E$7,"Fits Current Energy","")</f>
        <v/>
      </c>
      <c r="V381" s="150">
        <f>IF($Q381&lt;&gt;""," • "&amp;$Q381,"")&amp;IF($R381&lt;&gt;""," • "&amp;$R381,"")&amp;IF($S381&lt;&gt;""," • "&amp;$S381,"")&amp;IF($T381&lt;&gt;""," • "&amp;$T381,"")&amp;IF($U381&lt;&gt;""," • "&amp;$U381,"")&amp;" • No Blockers"</f>
        <v/>
      </c>
    </row>
    <row r="382">
      <c r="A382" s="19" t="n"/>
      <c r="B382" s="19" t="n"/>
      <c r="C382" s="19" t="n"/>
      <c r="D382" s="19" t="n"/>
      <c r="E382" s="19" t="n"/>
      <c r="F382" s="19" t="n"/>
      <c r="G382" s="19" t="n"/>
      <c r="H382" s="19" t="n"/>
      <c r="I382" s="19" t="n"/>
      <c r="J382" s="19" t="n"/>
      <c r="K382" s="19" t="n"/>
      <c r="L382" s="125" t="n"/>
      <c r="M382" s="88">
        <f>IF($D382="","",IFERROR(VLOOKUP($H382,Lists!$N$2:$O$6,2,FALSE),0))</f>
        <v/>
      </c>
      <c r="N382" s="88">
        <f>IF($D382="","",IF(OR($E382="Blocked",$E382="Done",$E382="Archive"),-9999,IF(AND($E382="Waiting",SUMPRODUCT((($E$5:$E$500="Next")+($E$5:$E$500="In Progress")+($E$5:$E$500="Captured"))*($D$5:$D$500&lt;&gt;""))&gt;0),-500,VLOOKUP($F382,Lists!$L$2:$M$4,2,FALSE)+IF($E382="In Progress",10,0)+IF(AND($I382&lt;&gt;"",$I382&lt;TODAY()),25,0)+IF(AND($I382&lt;&gt;"",$I382&gt;=TODAY(),$I382&lt;=TODAY()+7),15,0)+IF($H382="",0,IF($M382&lt;=VLOOKUP(Home!$C$7,Lists!$N$2:$O$6,2,FALSE),20,-10))+IF($G382=Home!$E$7,15,IF(Home!$E$7="",0,-5))-ROW()/100000)))</f>
        <v/>
      </c>
      <c r="O382" s="88">
        <f>IF($D382="","",IF($N382&lt;=-500,"Not recommended right now",IF($E382="Waiting","Nothing else actionable right now — Waiting on: "&amp;IF($K382="","this item",$K382),MID($V382,4,9999))))</f>
        <v/>
      </c>
      <c r="P382" s="88">
        <f>IF($D382="","",IF('Task Finder'!$C$6="High Priority",AND($F382="High",$E382&lt;&gt;"Done",$E382&lt;&gt;"Archive"),IF('Task Finder'!$C$6="Due This Week",AND($I382&lt;&gt;"",$I382&gt;=TODAY(),$I382&lt;=TODAY()+7,$E382&lt;&gt;"Done"),IF('Task Finder'!$C$6="Quick Wins (15 mins or less)",AND($M382&lt;=15,$E382&lt;&gt;"Done",$E382&lt;&gt;"Blocked"),IF('Task Finder'!$C$6="Deep Thinking",AND($G382="Deep Thinking",$E382&lt;&gt;"Done"),IF('Task Finder'!$C$6="Processing",AND($G382="Processing",$E382&lt;&gt;"Done"),IF('Task Finder'!$C$6="Blocked",$E382="Blocked",IF('Task Finder'!$C$6="Waiting",$E382="Waiting",IF('Task Finder'!$C$6="Recently Updated",AND($L382&lt;&gt;"",$L382&gt;=TODAY()-7),IF('Task Finder'!$C$6="Keyword",AND('Task Finder'!$C$7&lt;&gt;"",OR(ISNUMBER(SEARCH('Task Finder'!$C$7,$A382)),ISNUMBER(SEARCH('Task Finder'!$C$7,$B382)),ISNUMBER(SEARCH('Task Finder'!$C$7,$C382)),ISNUMBER(SEARCH('Task Finder'!$C$7,$D382)),ISNUMBER(SEARCH('Task Finder'!$C$7,$K382)))),TRUE))))))))))</f>
        <v/>
      </c>
      <c r="Q382" s="150">
        <f>IF($F382="High","High Priority","")</f>
        <v/>
      </c>
      <c r="R382" s="150">
        <f>IF(AND($I382&lt;&gt;"",$I382&lt;TODAY()),"Overdue","")</f>
        <v/>
      </c>
      <c r="S382" s="150">
        <f>IF(AND($I382&lt;&gt;"",$I382&gt;=TODAY(),$I382&lt;=TODAY()+7),"Due This Week","")</f>
        <v/>
      </c>
      <c r="T382" s="150">
        <f>IF(AND($H382&lt;&gt;"",$M382&lt;=VLOOKUP(Home!$C$7,Lists!$N$2:$O$6,2,FALSE)),$H382&amp;" Task","")</f>
        <v/>
      </c>
      <c r="U382" s="150">
        <f>IF($G382=Home!$E$7,"Fits Current Energy","")</f>
        <v/>
      </c>
      <c r="V382" s="150">
        <f>IF($Q382&lt;&gt;""," • "&amp;$Q382,"")&amp;IF($R382&lt;&gt;""," • "&amp;$R382,"")&amp;IF($S382&lt;&gt;""," • "&amp;$S382,"")&amp;IF($T382&lt;&gt;""," • "&amp;$T382,"")&amp;IF($U382&lt;&gt;""," • "&amp;$U382,"")&amp;" • No Blockers"</f>
        <v/>
      </c>
    </row>
    <row r="383">
      <c r="A383" s="19" t="n"/>
      <c r="B383" s="19" t="n"/>
      <c r="C383" s="19" t="n"/>
      <c r="D383" s="19" t="n"/>
      <c r="E383" s="19" t="n"/>
      <c r="F383" s="19" t="n"/>
      <c r="G383" s="19" t="n"/>
      <c r="H383" s="19" t="n"/>
      <c r="I383" s="19" t="n"/>
      <c r="J383" s="19" t="n"/>
      <c r="K383" s="19" t="n"/>
      <c r="L383" s="125" t="n"/>
      <c r="M383" s="88">
        <f>IF($D383="","",IFERROR(VLOOKUP($H383,Lists!$N$2:$O$6,2,FALSE),0))</f>
        <v/>
      </c>
      <c r="N383" s="88">
        <f>IF($D383="","",IF(OR($E383="Blocked",$E383="Done",$E383="Archive"),-9999,IF(AND($E383="Waiting",SUMPRODUCT((($E$5:$E$500="Next")+($E$5:$E$500="In Progress")+($E$5:$E$500="Captured"))*($D$5:$D$500&lt;&gt;""))&gt;0),-500,VLOOKUP($F383,Lists!$L$2:$M$4,2,FALSE)+IF($E383="In Progress",10,0)+IF(AND($I383&lt;&gt;"",$I383&lt;TODAY()),25,0)+IF(AND($I383&lt;&gt;"",$I383&gt;=TODAY(),$I383&lt;=TODAY()+7),15,0)+IF($H383="",0,IF($M383&lt;=VLOOKUP(Home!$C$7,Lists!$N$2:$O$6,2,FALSE),20,-10))+IF($G383=Home!$E$7,15,IF(Home!$E$7="",0,-5))-ROW()/100000)))</f>
        <v/>
      </c>
      <c r="O383" s="88">
        <f>IF($D383="","",IF($N383&lt;=-500,"Not recommended right now",IF($E383="Waiting","Nothing else actionable right now — Waiting on: "&amp;IF($K383="","this item",$K383),MID($V383,4,9999))))</f>
        <v/>
      </c>
      <c r="P383" s="88">
        <f>IF($D383="","",IF('Task Finder'!$C$6="High Priority",AND($F383="High",$E383&lt;&gt;"Done",$E383&lt;&gt;"Archive"),IF('Task Finder'!$C$6="Due This Week",AND($I383&lt;&gt;"",$I383&gt;=TODAY(),$I383&lt;=TODAY()+7,$E383&lt;&gt;"Done"),IF('Task Finder'!$C$6="Quick Wins (15 mins or less)",AND($M383&lt;=15,$E383&lt;&gt;"Done",$E383&lt;&gt;"Blocked"),IF('Task Finder'!$C$6="Deep Thinking",AND($G383="Deep Thinking",$E383&lt;&gt;"Done"),IF('Task Finder'!$C$6="Processing",AND($G383="Processing",$E383&lt;&gt;"Done"),IF('Task Finder'!$C$6="Blocked",$E383="Blocked",IF('Task Finder'!$C$6="Waiting",$E383="Waiting",IF('Task Finder'!$C$6="Recently Updated",AND($L383&lt;&gt;"",$L383&gt;=TODAY()-7),IF('Task Finder'!$C$6="Keyword",AND('Task Finder'!$C$7&lt;&gt;"",OR(ISNUMBER(SEARCH('Task Finder'!$C$7,$A383)),ISNUMBER(SEARCH('Task Finder'!$C$7,$B383)),ISNUMBER(SEARCH('Task Finder'!$C$7,$C383)),ISNUMBER(SEARCH('Task Finder'!$C$7,$D383)),ISNUMBER(SEARCH('Task Finder'!$C$7,$K383)))),TRUE))))))))))</f>
        <v/>
      </c>
      <c r="Q383" s="150">
        <f>IF($F383="High","High Priority","")</f>
        <v/>
      </c>
      <c r="R383" s="150">
        <f>IF(AND($I383&lt;&gt;"",$I383&lt;TODAY()),"Overdue","")</f>
        <v/>
      </c>
      <c r="S383" s="150">
        <f>IF(AND($I383&lt;&gt;"",$I383&gt;=TODAY(),$I383&lt;=TODAY()+7),"Due This Week","")</f>
        <v/>
      </c>
      <c r="T383" s="150">
        <f>IF(AND($H383&lt;&gt;"",$M383&lt;=VLOOKUP(Home!$C$7,Lists!$N$2:$O$6,2,FALSE)),$H383&amp;" Task","")</f>
        <v/>
      </c>
      <c r="U383" s="150">
        <f>IF($G383=Home!$E$7,"Fits Current Energy","")</f>
        <v/>
      </c>
      <c r="V383" s="150">
        <f>IF($Q383&lt;&gt;""," • "&amp;$Q383,"")&amp;IF($R383&lt;&gt;""," • "&amp;$R383,"")&amp;IF($S383&lt;&gt;""," • "&amp;$S383,"")&amp;IF($T383&lt;&gt;""," • "&amp;$T383,"")&amp;IF($U383&lt;&gt;""," • "&amp;$U383,"")&amp;" • No Blockers"</f>
        <v/>
      </c>
    </row>
    <row r="384">
      <c r="A384" s="19" t="n"/>
      <c r="B384" s="19" t="n"/>
      <c r="C384" s="19" t="n"/>
      <c r="D384" s="19" t="n"/>
      <c r="E384" s="19" t="n"/>
      <c r="F384" s="19" t="n"/>
      <c r="G384" s="19" t="n"/>
      <c r="H384" s="19" t="n"/>
      <c r="I384" s="19" t="n"/>
      <c r="J384" s="19" t="n"/>
      <c r="K384" s="19" t="n"/>
      <c r="L384" s="125" t="n"/>
      <c r="M384" s="88">
        <f>IF($D384="","",IFERROR(VLOOKUP($H384,Lists!$N$2:$O$6,2,FALSE),0))</f>
        <v/>
      </c>
      <c r="N384" s="88">
        <f>IF($D384="","",IF(OR($E384="Blocked",$E384="Done",$E384="Archive"),-9999,IF(AND($E384="Waiting",SUMPRODUCT((($E$5:$E$500="Next")+($E$5:$E$500="In Progress")+($E$5:$E$500="Captured"))*($D$5:$D$500&lt;&gt;""))&gt;0),-500,VLOOKUP($F384,Lists!$L$2:$M$4,2,FALSE)+IF($E384="In Progress",10,0)+IF(AND($I384&lt;&gt;"",$I384&lt;TODAY()),25,0)+IF(AND($I384&lt;&gt;"",$I384&gt;=TODAY(),$I384&lt;=TODAY()+7),15,0)+IF($H384="",0,IF($M384&lt;=VLOOKUP(Home!$C$7,Lists!$N$2:$O$6,2,FALSE),20,-10))+IF($G384=Home!$E$7,15,IF(Home!$E$7="",0,-5))-ROW()/100000)))</f>
        <v/>
      </c>
      <c r="O384" s="88">
        <f>IF($D384="","",IF($N384&lt;=-500,"Not recommended right now",IF($E384="Waiting","Nothing else actionable right now — Waiting on: "&amp;IF($K384="","this item",$K384),MID($V384,4,9999))))</f>
        <v/>
      </c>
      <c r="P384" s="88">
        <f>IF($D384="","",IF('Task Finder'!$C$6="High Priority",AND($F384="High",$E384&lt;&gt;"Done",$E384&lt;&gt;"Archive"),IF('Task Finder'!$C$6="Due This Week",AND($I384&lt;&gt;"",$I384&gt;=TODAY(),$I384&lt;=TODAY()+7,$E384&lt;&gt;"Done"),IF('Task Finder'!$C$6="Quick Wins (15 mins or less)",AND($M384&lt;=15,$E384&lt;&gt;"Done",$E384&lt;&gt;"Blocked"),IF('Task Finder'!$C$6="Deep Thinking",AND($G384="Deep Thinking",$E384&lt;&gt;"Done"),IF('Task Finder'!$C$6="Processing",AND($G384="Processing",$E384&lt;&gt;"Done"),IF('Task Finder'!$C$6="Blocked",$E384="Blocked",IF('Task Finder'!$C$6="Waiting",$E384="Waiting",IF('Task Finder'!$C$6="Recently Updated",AND($L384&lt;&gt;"",$L384&gt;=TODAY()-7),IF('Task Finder'!$C$6="Keyword",AND('Task Finder'!$C$7&lt;&gt;"",OR(ISNUMBER(SEARCH('Task Finder'!$C$7,$A384)),ISNUMBER(SEARCH('Task Finder'!$C$7,$B384)),ISNUMBER(SEARCH('Task Finder'!$C$7,$C384)),ISNUMBER(SEARCH('Task Finder'!$C$7,$D384)),ISNUMBER(SEARCH('Task Finder'!$C$7,$K384)))),TRUE))))))))))</f>
        <v/>
      </c>
      <c r="Q384" s="150">
        <f>IF($F384="High","High Priority","")</f>
        <v/>
      </c>
      <c r="R384" s="150">
        <f>IF(AND($I384&lt;&gt;"",$I384&lt;TODAY()),"Overdue","")</f>
        <v/>
      </c>
      <c r="S384" s="150">
        <f>IF(AND($I384&lt;&gt;"",$I384&gt;=TODAY(),$I384&lt;=TODAY()+7),"Due This Week","")</f>
        <v/>
      </c>
      <c r="T384" s="150">
        <f>IF(AND($H384&lt;&gt;"",$M384&lt;=VLOOKUP(Home!$C$7,Lists!$N$2:$O$6,2,FALSE)),$H384&amp;" Task","")</f>
        <v/>
      </c>
      <c r="U384" s="150">
        <f>IF($G384=Home!$E$7,"Fits Current Energy","")</f>
        <v/>
      </c>
      <c r="V384" s="150">
        <f>IF($Q384&lt;&gt;""," • "&amp;$Q384,"")&amp;IF($R384&lt;&gt;""," • "&amp;$R384,"")&amp;IF($S384&lt;&gt;""," • "&amp;$S384,"")&amp;IF($T384&lt;&gt;""," • "&amp;$T384,"")&amp;IF($U384&lt;&gt;""," • "&amp;$U384,"")&amp;" • No Blockers"</f>
        <v/>
      </c>
    </row>
    <row r="385">
      <c r="A385" s="19" t="n"/>
      <c r="B385" s="19" t="n"/>
      <c r="C385" s="19" t="n"/>
      <c r="D385" s="19" t="n"/>
      <c r="E385" s="19" t="n"/>
      <c r="F385" s="19" t="n"/>
      <c r="G385" s="19" t="n"/>
      <c r="H385" s="19" t="n"/>
      <c r="I385" s="19" t="n"/>
      <c r="J385" s="19" t="n"/>
      <c r="K385" s="19" t="n"/>
      <c r="L385" s="125" t="n"/>
      <c r="M385" s="88">
        <f>IF($D385="","",IFERROR(VLOOKUP($H385,Lists!$N$2:$O$6,2,FALSE),0))</f>
        <v/>
      </c>
      <c r="N385" s="88">
        <f>IF($D385="","",IF(OR($E385="Blocked",$E385="Done",$E385="Archive"),-9999,IF(AND($E385="Waiting",SUMPRODUCT((($E$5:$E$500="Next")+($E$5:$E$500="In Progress")+($E$5:$E$500="Captured"))*($D$5:$D$500&lt;&gt;""))&gt;0),-500,VLOOKUP($F385,Lists!$L$2:$M$4,2,FALSE)+IF($E385="In Progress",10,0)+IF(AND($I385&lt;&gt;"",$I385&lt;TODAY()),25,0)+IF(AND($I385&lt;&gt;"",$I385&gt;=TODAY(),$I385&lt;=TODAY()+7),15,0)+IF($H385="",0,IF($M385&lt;=VLOOKUP(Home!$C$7,Lists!$N$2:$O$6,2,FALSE),20,-10))+IF($G385=Home!$E$7,15,IF(Home!$E$7="",0,-5))-ROW()/100000)))</f>
        <v/>
      </c>
      <c r="O385" s="88">
        <f>IF($D385="","",IF($N385&lt;=-500,"Not recommended right now",IF($E385="Waiting","Nothing else actionable right now — Waiting on: "&amp;IF($K385="","this item",$K385),MID($V385,4,9999))))</f>
        <v/>
      </c>
      <c r="P385" s="88">
        <f>IF($D385="","",IF('Task Finder'!$C$6="High Priority",AND($F385="High",$E385&lt;&gt;"Done",$E385&lt;&gt;"Archive"),IF('Task Finder'!$C$6="Due This Week",AND($I385&lt;&gt;"",$I385&gt;=TODAY(),$I385&lt;=TODAY()+7,$E385&lt;&gt;"Done"),IF('Task Finder'!$C$6="Quick Wins (15 mins or less)",AND($M385&lt;=15,$E385&lt;&gt;"Done",$E385&lt;&gt;"Blocked"),IF('Task Finder'!$C$6="Deep Thinking",AND($G385="Deep Thinking",$E385&lt;&gt;"Done"),IF('Task Finder'!$C$6="Processing",AND($G385="Processing",$E385&lt;&gt;"Done"),IF('Task Finder'!$C$6="Blocked",$E385="Blocked",IF('Task Finder'!$C$6="Waiting",$E385="Waiting",IF('Task Finder'!$C$6="Recently Updated",AND($L385&lt;&gt;"",$L385&gt;=TODAY()-7),IF('Task Finder'!$C$6="Keyword",AND('Task Finder'!$C$7&lt;&gt;"",OR(ISNUMBER(SEARCH('Task Finder'!$C$7,$A385)),ISNUMBER(SEARCH('Task Finder'!$C$7,$B385)),ISNUMBER(SEARCH('Task Finder'!$C$7,$C385)),ISNUMBER(SEARCH('Task Finder'!$C$7,$D385)),ISNUMBER(SEARCH('Task Finder'!$C$7,$K385)))),TRUE))))))))))</f>
        <v/>
      </c>
      <c r="Q385" s="150">
        <f>IF($F385="High","High Priority","")</f>
        <v/>
      </c>
      <c r="R385" s="150">
        <f>IF(AND($I385&lt;&gt;"",$I385&lt;TODAY()),"Overdue","")</f>
        <v/>
      </c>
      <c r="S385" s="150">
        <f>IF(AND($I385&lt;&gt;"",$I385&gt;=TODAY(),$I385&lt;=TODAY()+7),"Due This Week","")</f>
        <v/>
      </c>
      <c r="T385" s="150">
        <f>IF(AND($H385&lt;&gt;"",$M385&lt;=VLOOKUP(Home!$C$7,Lists!$N$2:$O$6,2,FALSE)),$H385&amp;" Task","")</f>
        <v/>
      </c>
      <c r="U385" s="150">
        <f>IF($G385=Home!$E$7,"Fits Current Energy","")</f>
        <v/>
      </c>
      <c r="V385" s="150">
        <f>IF($Q385&lt;&gt;""," • "&amp;$Q385,"")&amp;IF($R385&lt;&gt;""," • "&amp;$R385,"")&amp;IF($S385&lt;&gt;""," • "&amp;$S385,"")&amp;IF($T385&lt;&gt;""," • "&amp;$T385,"")&amp;IF($U385&lt;&gt;""," • "&amp;$U385,"")&amp;" • No Blockers"</f>
        <v/>
      </c>
    </row>
    <row r="386">
      <c r="A386" s="19" t="n"/>
      <c r="B386" s="19" t="n"/>
      <c r="C386" s="19" t="n"/>
      <c r="D386" s="19" t="n"/>
      <c r="E386" s="19" t="n"/>
      <c r="F386" s="19" t="n"/>
      <c r="G386" s="19" t="n"/>
      <c r="H386" s="19" t="n"/>
      <c r="I386" s="19" t="n"/>
      <c r="J386" s="19" t="n"/>
      <c r="K386" s="19" t="n"/>
      <c r="L386" s="125" t="n"/>
      <c r="M386" s="88">
        <f>IF($D386="","",IFERROR(VLOOKUP($H386,Lists!$N$2:$O$6,2,FALSE),0))</f>
        <v/>
      </c>
      <c r="N386" s="88">
        <f>IF($D386="","",IF(OR($E386="Blocked",$E386="Done",$E386="Archive"),-9999,IF(AND($E386="Waiting",SUMPRODUCT((($E$5:$E$500="Next")+($E$5:$E$500="In Progress")+($E$5:$E$500="Captured"))*($D$5:$D$500&lt;&gt;""))&gt;0),-500,VLOOKUP($F386,Lists!$L$2:$M$4,2,FALSE)+IF($E386="In Progress",10,0)+IF(AND($I386&lt;&gt;"",$I386&lt;TODAY()),25,0)+IF(AND($I386&lt;&gt;"",$I386&gt;=TODAY(),$I386&lt;=TODAY()+7),15,0)+IF($H386="",0,IF($M386&lt;=VLOOKUP(Home!$C$7,Lists!$N$2:$O$6,2,FALSE),20,-10))+IF($G386=Home!$E$7,15,IF(Home!$E$7="",0,-5))-ROW()/100000)))</f>
        <v/>
      </c>
      <c r="O386" s="88">
        <f>IF($D386="","",IF($N386&lt;=-500,"Not recommended right now",IF($E386="Waiting","Nothing else actionable right now — Waiting on: "&amp;IF($K386="","this item",$K386),MID($V386,4,9999))))</f>
        <v/>
      </c>
      <c r="P386" s="88">
        <f>IF($D386="","",IF('Task Finder'!$C$6="High Priority",AND($F386="High",$E386&lt;&gt;"Done",$E386&lt;&gt;"Archive"),IF('Task Finder'!$C$6="Due This Week",AND($I386&lt;&gt;"",$I386&gt;=TODAY(),$I386&lt;=TODAY()+7,$E386&lt;&gt;"Done"),IF('Task Finder'!$C$6="Quick Wins (15 mins or less)",AND($M386&lt;=15,$E386&lt;&gt;"Done",$E386&lt;&gt;"Blocked"),IF('Task Finder'!$C$6="Deep Thinking",AND($G386="Deep Thinking",$E386&lt;&gt;"Done"),IF('Task Finder'!$C$6="Processing",AND($G386="Processing",$E386&lt;&gt;"Done"),IF('Task Finder'!$C$6="Blocked",$E386="Blocked",IF('Task Finder'!$C$6="Waiting",$E386="Waiting",IF('Task Finder'!$C$6="Recently Updated",AND($L386&lt;&gt;"",$L386&gt;=TODAY()-7),IF('Task Finder'!$C$6="Keyword",AND('Task Finder'!$C$7&lt;&gt;"",OR(ISNUMBER(SEARCH('Task Finder'!$C$7,$A386)),ISNUMBER(SEARCH('Task Finder'!$C$7,$B386)),ISNUMBER(SEARCH('Task Finder'!$C$7,$C386)),ISNUMBER(SEARCH('Task Finder'!$C$7,$D386)),ISNUMBER(SEARCH('Task Finder'!$C$7,$K386)))),TRUE))))))))))</f>
        <v/>
      </c>
      <c r="Q386" s="150">
        <f>IF($F386="High","High Priority","")</f>
        <v/>
      </c>
      <c r="R386" s="150">
        <f>IF(AND($I386&lt;&gt;"",$I386&lt;TODAY()),"Overdue","")</f>
        <v/>
      </c>
      <c r="S386" s="150">
        <f>IF(AND($I386&lt;&gt;"",$I386&gt;=TODAY(),$I386&lt;=TODAY()+7),"Due This Week","")</f>
        <v/>
      </c>
      <c r="T386" s="150">
        <f>IF(AND($H386&lt;&gt;"",$M386&lt;=VLOOKUP(Home!$C$7,Lists!$N$2:$O$6,2,FALSE)),$H386&amp;" Task","")</f>
        <v/>
      </c>
      <c r="U386" s="150">
        <f>IF($G386=Home!$E$7,"Fits Current Energy","")</f>
        <v/>
      </c>
      <c r="V386" s="150">
        <f>IF($Q386&lt;&gt;""," • "&amp;$Q386,"")&amp;IF($R386&lt;&gt;""," • "&amp;$R386,"")&amp;IF($S386&lt;&gt;""," • "&amp;$S386,"")&amp;IF($T386&lt;&gt;""," • "&amp;$T386,"")&amp;IF($U386&lt;&gt;""," • "&amp;$U386,"")&amp;" • No Blockers"</f>
        <v/>
      </c>
    </row>
    <row r="387">
      <c r="A387" s="19" t="n"/>
      <c r="B387" s="19" t="n"/>
      <c r="C387" s="19" t="n"/>
      <c r="D387" s="19" t="n"/>
      <c r="E387" s="19" t="n"/>
      <c r="F387" s="19" t="n"/>
      <c r="G387" s="19" t="n"/>
      <c r="H387" s="19" t="n"/>
      <c r="I387" s="19" t="n"/>
      <c r="J387" s="19" t="n"/>
      <c r="K387" s="19" t="n"/>
      <c r="L387" s="125" t="n"/>
      <c r="M387" s="88">
        <f>IF($D387="","",IFERROR(VLOOKUP($H387,Lists!$N$2:$O$6,2,FALSE),0))</f>
        <v/>
      </c>
      <c r="N387" s="88">
        <f>IF($D387="","",IF(OR($E387="Blocked",$E387="Done",$E387="Archive"),-9999,IF(AND($E387="Waiting",SUMPRODUCT((($E$5:$E$500="Next")+($E$5:$E$500="In Progress")+($E$5:$E$500="Captured"))*($D$5:$D$500&lt;&gt;""))&gt;0),-500,VLOOKUP($F387,Lists!$L$2:$M$4,2,FALSE)+IF($E387="In Progress",10,0)+IF(AND($I387&lt;&gt;"",$I387&lt;TODAY()),25,0)+IF(AND($I387&lt;&gt;"",$I387&gt;=TODAY(),$I387&lt;=TODAY()+7),15,0)+IF($H387="",0,IF($M387&lt;=VLOOKUP(Home!$C$7,Lists!$N$2:$O$6,2,FALSE),20,-10))+IF($G387=Home!$E$7,15,IF(Home!$E$7="",0,-5))-ROW()/100000)))</f>
        <v/>
      </c>
      <c r="O387" s="88">
        <f>IF($D387="","",IF($N387&lt;=-500,"Not recommended right now",IF($E387="Waiting","Nothing else actionable right now — Waiting on: "&amp;IF($K387="","this item",$K387),MID($V387,4,9999))))</f>
        <v/>
      </c>
      <c r="P387" s="88">
        <f>IF($D387="","",IF('Task Finder'!$C$6="High Priority",AND($F387="High",$E387&lt;&gt;"Done",$E387&lt;&gt;"Archive"),IF('Task Finder'!$C$6="Due This Week",AND($I387&lt;&gt;"",$I387&gt;=TODAY(),$I387&lt;=TODAY()+7,$E387&lt;&gt;"Done"),IF('Task Finder'!$C$6="Quick Wins (15 mins or less)",AND($M387&lt;=15,$E387&lt;&gt;"Done",$E387&lt;&gt;"Blocked"),IF('Task Finder'!$C$6="Deep Thinking",AND($G387="Deep Thinking",$E387&lt;&gt;"Done"),IF('Task Finder'!$C$6="Processing",AND($G387="Processing",$E387&lt;&gt;"Done"),IF('Task Finder'!$C$6="Blocked",$E387="Blocked",IF('Task Finder'!$C$6="Waiting",$E387="Waiting",IF('Task Finder'!$C$6="Recently Updated",AND($L387&lt;&gt;"",$L387&gt;=TODAY()-7),IF('Task Finder'!$C$6="Keyword",AND('Task Finder'!$C$7&lt;&gt;"",OR(ISNUMBER(SEARCH('Task Finder'!$C$7,$A387)),ISNUMBER(SEARCH('Task Finder'!$C$7,$B387)),ISNUMBER(SEARCH('Task Finder'!$C$7,$C387)),ISNUMBER(SEARCH('Task Finder'!$C$7,$D387)),ISNUMBER(SEARCH('Task Finder'!$C$7,$K387)))),TRUE))))))))))</f>
        <v/>
      </c>
      <c r="Q387" s="150">
        <f>IF($F387="High","High Priority","")</f>
        <v/>
      </c>
      <c r="R387" s="150">
        <f>IF(AND($I387&lt;&gt;"",$I387&lt;TODAY()),"Overdue","")</f>
        <v/>
      </c>
      <c r="S387" s="150">
        <f>IF(AND($I387&lt;&gt;"",$I387&gt;=TODAY(),$I387&lt;=TODAY()+7),"Due This Week","")</f>
        <v/>
      </c>
      <c r="T387" s="150">
        <f>IF(AND($H387&lt;&gt;"",$M387&lt;=VLOOKUP(Home!$C$7,Lists!$N$2:$O$6,2,FALSE)),$H387&amp;" Task","")</f>
        <v/>
      </c>
      <c r="U387" s="150">
        <f>IF($G387=Home!$E$7,"Fits Current Energy","")</f>
        <v/>
      </c>
      <c r="V387" s="150">
        <f>IF($Q387&lt;&gt;""," • "&amp;$Q387,"")&amp;IF($R387&lt;&gt;""," • "&amp;$R387,"")&amp;IF($S387&lt;&gt;""," • "&amp;$S387,"")&amp;IF($T387&lt;&gt;""," • "&amp;$T387,"")&amp;IF($U387&lt;&gt;""," • "&amp;$U387,"")&amp;" • No Blockers"</f>
        <v/>
      </c>
    </row>
    <row r="388">
      <c r="A388" s="19" t="n"/>
      <c r="B388" s="19" t="n"/>
      <c r="C388" s="19" t="n"/>
      <c r="D388" s="19" t="n"/>
      <c r="E388" s="19" t="n"/>
      <c r="F388" s="19" t="n"/>
      <c r="G388" s="19" t="n"/>
      <c r="H388" s="19" t="n"/>
      <c r="I388" s="19" t="n"/>
      <c r="J388" s="19" t="n"/>
      <c r="K388" s="19" t="n"/>
      <c r="L388" s="125" t="n"/>
      <c r="M388" s="88">
        <f>IF($D388="","",IFERROR(VLOOKUP($H388,Lists!$N$2:$O$6,2,FALSE),0))</f>
        <v/>
      </c>
      <c r="N388" s="88">
        <f>IF($D388="","",IF(OR($E388="Blocked",$E388="Done",$E388="Archive"),-9999,IF(AND($E388="Waiting",SUMPRODUCT((($E$5:$E$500="Next")+($E$5:$E$500="In Progress")+($E$5:$E$500="Captured"))*($D$5:$D$500&lt;&gt;""))&gt;0),-500,VLOOKUP($F388,Lists!$L$2:$M$4,2,FALSE)+IF($E388="In Progress",10,0)+IF(AND($I388&lt;&gt;"",$I388&lt;TODAY()),25,0)+IF(AND($I388&lt;&gt;"",$I388&gt;=TODAY(),$I388&lt;=TODAY()+7),15,0)+IF($H388="",0,IF($M388&lt;=VLOOKUP(Home!$C$7,Lists!$N$2:$O$6,2,FALSE),20,-10))+IF($G388=Home!$E$7,15,IF(Home!$E$7="",0,-5))-ROW()/100000)))</f>
        <v/>
      </c>
      <c r="O388" s="88">
        <f>IF($D388="","",IF($N388&lt;=-500,"Not recommended right now",IF($E388="Waiting","Nothing else actionable right now — Waiting on: "&amp;IF($K388="","this item",$K388),MID($V388,4,9999))))</f>
        <v/>
      </c>
      <c r="P388" s="88">
        <f>IF($D388="","",IF('Task Finder'!$C$6="High Priority",AND($F388="High",$E388&lt;&gt;"Done",$E388&lt;&gt;"Archive"),IF('Task Finder'!$C$6="Due This Week",AND($I388&lt;&gt;"",$I388&gt;=TODAY(),$I388&lt;=TODAY()+7,$E388&lt;&gt;"Done"),IF('Task Finder'!$C$6="Quick Wins (15 mins or less)",AND($M388&lt;=15,$E388&lt;&gt;"Done",$E388&lt;&gt;"Blocked"),IF('Task Finder'!$C$6="Deep Thinking",AND($G388="Deep Thinking",$E388&lt;&gt;"Done"),IF('Task Finder'!$C$6="Processing",AND($G388="Processing",$E388&lt;&gt;"Done"),IF('Task Finder'!$C$6="Blocked",$E388="Blocked",IF('Task Finder'!$C$6="Waiting",$E388="Waiting",IF('Task Finder'!$C$6="Recently Updated",AND($L388&lt;&gt;"",$L388&gt;=TODAY()-7),IF('Task Finder'!$C$6="Keyword",AND('Task Finder'!$C$7&lt;&gt;"",OR(ISNUMBER(SEARCH('Task Finder'!$C$7,$A388)),ISNUMBER(SEARCH('Task Finder'!$C$7,$B388)),ISNUMBER(SEARCH('Task Finder'!$C$7,$C388)),ISNUMBER(SEARCH('Task Finder'!$C$7,$D388)),ISNUMBER(SEARCH('Task Finder'!$C$7,$K388)))),TRUE))))))))))</f>
        <v/>
      </c>
      <c r="Q388" s="150">
        <f>IF($F388="High","High Priority","")</f>
        <v/>
      </c>
      <c r="R388" s="150">
        <f>IF(AND($I388&lt;&gt;"",$I388&lt;TODAY()),"Overdue","")</f>
        <v/>
      </c>
      <c r="S388" s="150">
        <f>IF(AND($I388&lt;&gt;"",$I388&gt;=TODAY(),$I388&lt;=TODAY()+7),"Due This Week","")</f>
        <v/>
      </c>
      <c r="T388" s="150">
        <f>IF(AND($H388&lt;&gt;"",$M388&lt;=VLOOKUP(Home!$C$7,Lists!$N$2:$O$6,2,FALSE)),$H388&amp;" Task","")</f>
        <v/>
      </c>
      <c r="U388" s="150">
        <f>IF($G388=Home!$E$7,"Fits Current Energy","")</f>
        <v/>
      </c>
      <c r="V388" s="150">
        <f>IF($Q388&lt;&gt;""," • "&amp;$Q388,"")&amp;IF($R388&lt;&gt;""," • "&amp;$R388,"")&amp;IF($S388&lt;&gt;""," • "&amp;$S388,"")&amp;IF($T388&lt;&gt;""," • "&amp;$T388,"")&amp;IF($U388&lt;&gt;""," • "&amp;$U388,"")&amp;" • No Blockers"</f>
        <v/>
      </c>
    </row>
    <row r="389">
      <c r="A389" s="19" t="n"/>
      <c r="B389" s="19" t="n"/>
      <c r="C389" s="19" t="n"/>
      <c r="D389" s="19" t="n"/>
      <c r="E389" s="19" t="n"/>
      <c r="F389" s="19" t="n"/>
      <c r="G389" s="19" t="n"/>
      <c r="H389" s="19" t="n"/>
      <c r="I389" s="19" t="n"/>
      <c r="J389" s="19" t="n"/>
      <c r="K389" s="19" t="n"/>
      <c r="L389" s="125" t="n"/>
      <c r="M389" s="88">
        <f>IF($D389="","",IFERROR(VLOOKUP($H389,Lists!$N$2:$O$6,2,FALSE),0))</f>
        <v/>
      </c>
      <c r="N389" s="88">
        <f>IF($D389="","",IF(OR($E389="Blocked",$E389="Done",$E389="Archive"),-9999,IF(AND($E389="Waiting",SUMPRODUCT((($E$5:$E$500="Next")+($E$5:$E$500="In Progress")+($E$5:$E$500="Captured"))*($D$5:$D$500&lt;&gt;""))&gt;0),-500,VLOOKUP($F389,Lists!$L$2:$M$4,2,FALSE)+IF($E389="In Progress",10,0)+IF(AND($I389&lt;&gt;"",$I389&lt;TODAY()),25,0)+IF(AND($I389&lt;&gt;"",$I389&gt;=TODAY(),$I389&lt;=TODAY()+7),15,0)+IF($H389="",0,IF($M389&lt;=VLOOKUP(Home!$C$7,Lists!$N$2:$O$6,2,FALSE),20,-10))+IF($G389=Home!$E$7,15,IF(Home!$E$7="",0,-5))-ROW()/100000)))</f>
        <v/>
      </c>
      <c r="O389" s="88">
        <f>IF($D389="","",IF($N389&lt;=-500,"Not recommended right now",IF($E389="Waiting","Nothing else actionable right now — Waiting on: "&amp;IF($K389="","this item",$K389),MID($V389,4,9999))))</f>
        <v/>
      </c>
      <c r="P389" s="88">
        <f>IF($D389="","",IF('Task Finder'!$C$6="High Priority",AND($F389="High",$E389&lt;&gt;"Done",$E389&lt;&gt;"Archive"),IF('Task Finder'!$C$6="Due This Week",AND($I389&lt;&gt;"",$I389&gt;=TODAY(),$I389&lt;=TODAY()+7,$E389&lt;&gt;"Done"),IF('Task Finder'!$C$6="Quick Wins (15 mins or less)",AND($M389&lt;=15,$E389&lt;&gt;"Done",$E389&lt;&gt;"Blocked"),IF('Task Finder'!$C$6="Deep Thinking",AND($G389="Deep Thinking",$E389&lt;&gt;"Done"),IF('Task Finder'!$C$6="Processing",AND($G389="Processing",$E389&lt;&gt;"Done"),IF('Task Finder'!$C$6="Blocked",$E389="Blocked",IF('Task Finder'!$C$6="Waiting",$E389="Waiting",IF('Task Finder'!$C$6="Recently Updated",AND($L389&lt;&gt;"",$L389&gt;=TODAY()-7),IF('Task Finder'!$C$6="Keyword",AND('Task Finder'!$C$7&lt;&gt;"",OR(ISNUMBER(SEARCH('Task Finder'!$C$7,$A389)),ISNUMBER(SEARCH('Task Finder'!$C$7,$B389)),ISNUMBER(SEARCH('Task Finder'!$C$7,$C389)),ISNUMBER(SEARCH('Task Finder'!$C$7,$D389)),ISNUMBER(SEARCH('Task Finder'!$C$7,$K389)))),TRUE))))))))))</f>
        <v/>
      </c>
      <c r="Q389" s="150">
        <f>IF($F389="High","High Priority","")</f>
        <v/>
      </c>
      <c r="R389" s="150">
        <f>IF(AND($I389&lt;&gt;"",$I389&lt;TODAY()),"Overdue","")</f>
        <v/>
      </c>
      <c r="S389" s="150">
        <f>IF(AND($I389&lt;&gt;"",$I389&gt;=TODAY(),$I389&lt;=TODAY()+7),"Due This Week","")</f>
        <v/>
      </c>
      <c r="T389" s="150">
        <f>IF(AND($H389&lt;&gt;"",$M389&lt;=VLOOKUP(Home!$C$7,Lists!$N$2:$O$6,2,FALSE)),$H389&amp;" Task","")</f>
        <v/>
      </c>
      <c r="U389" s="150">
        <f>IF($G389=Home!$E$7,"Fits Current Energy","")</f>
        <v/>
      </c>
      <c r="V389" s="150">
        <f>IF($Q389&lt;&gt;""," • "&amp;$Q389,"")&amp;IF($R389&lt;&gt;""," • "&amp;$R389,"")&amp;IF($S389&lt;&gt;""," • "&amp;$S389,"")&amp;IF($T389&lt;&gt;""," • "&amp;$T389,"")&amp;IF($U389&lt;&gt;""," • "&amp;$U389,"")&amp;" • No Blockers"</f>
        <v/>
      </c>
    </row>
    <row r="390">
      <c r="A390" s="19" t="n"/>
      <c r="B390" s="19" t="n"/>
      <c r="C390" s="19" t="n"/>
      <c r="D390" s="19" t="n"/>
      <c r="E390" s="19" t="n"/>
      <c r="F390" s="19" t="n"/>
      <c r="G390" s="19" t="n"/>
      <c r="H390" s="19" t="n"/>
      <c r="I390" s="19" t="n"/>
      <c r="J390" s="19" t="n"/>
      <c r="K390" s="19" t="n"/>
      <c r="L390" s="125" t="n"/>
      <c r="M390" s="88">
        <f>IF($D390="","",IFERROR(VLOOKUP($H390,Lists!$N$2:$O$6,2,FALSE),0))</f>
        <v/>
      </c>
      <c r="N390" s="88">
        <f>IF($D390="","",IF(OR($E390="Blocked",$E390="Done",$E390="Archive"),-9999,IF(AND($E390="Waiting",SUMPRODUCT((($E$5:$E$500="Next")+($E$5:$E$500="In Progress")+($E$5:$E$500="Captured"))*($D$5:$D$500&lt;&gt;""))&gt;0),-500,VLOOKUP($F390,Lists!$L$2:$M$4,2,FALSE)+IF($E390="In Progress",10,0)+IF(AND($I390&lt;&gt;"",$I390&lt;TODAY()),25,0)+IF(AND($I390&lt;&gt;"",$I390&gt;=TODAY(),$I390&lt;=TODAY()+7),15,0)+IF($H390="",0,IF($M390&lt;=VLOOKUP(Home!$C$7,Lists!$N$2:$O$6,2,FALSE),20,-10))+IF($G390=Home!$E$7,15,IF(Home!$E$7="",0,-5))-ROW()/100000)))</f>
        <v/>
      </c>
      <c r="O390" s="88">
        <f>IF($D390="","",IF($N390&lt;=-500,"Not recommended right now",IF($E390="Waiting","Nothing else actionable right now — Waiting on: "&amp;IF($K390="","this item",$K390),MID($V390,4,9999))))</f>
        <v/>
      </c>
      <c r="P390" s="88">
        <f>IF($D390="","",IF('Task Finder'!$C$6="High Priority",AND($F390="High",$E390&lt;&gt;"Done",$E390&lt;&gt;"Archive"),IF('Task Finder'!$C$6="Due This Week",AND($I390&lt;&gt;"",$I390&gt;=TODAY(),$I390&lt;=TODAY()+7,$E390&lt;&gt;"Done"),IF('Task Finder'!$C$6="Quick Wins (15 mins or less)",AND($M390&lt;=15,$E390&lt;&gt;"Done",$E390&lt;&gt;"Blocked"),IF('Task Finder'!$C$6="Deep Thinking",AND($G390="Deep Thinking",$E390&lt;&gt;"Done"),IF('Task Finder'!$C$6="Processing",AND($G390="Processing",$E390&lt;&gt;"Done"),IF('Task Finder'!$C$6="Blocked",$E390="Blocked",IF('Task Finder'!$C$6="Waiting",$E390="Waiting",IF('Task Finder'!$C$6="Recently Updated",AND($L390&lt;&gt;"",$L390&gt;=TODAY()-7),IF('Task Finder'!$C$6="Keyword",AND('Task Finder'!$C$7&lt;&gt;"",OR(ISNUMBER(SEARCH('Task Finder'!$C$7,$A390)),ISNUMBER(SEARCH('Task Finder'!$C$7,$B390)),ISNUMBER(SEARCH('Task Finder'!$C$7,$C390)),ISNUMBER(SEARCH('Task Finder'!$C$7,$D390)),ISNUMBER(SEARCH('Task Finder'!$C$7,$K390)))),TRUE))))))))))</f>
        <v/>
      </c>
      <c r="Q390" s="150">
        <f>IF($F390="High","High Priority","")</f>
        <v/>
      </c>
      <c r="R390" s="150">
        <f>IF(AND($I390&lt;&gt;"",$I390&lt;TODAY()),"Overdue","")</f>
        <v/>
      </c>
      <c r="S390" s="150">
        <f>IF(AND($I390&lt;&gt;"",$I390&gt;=TODAY(),$I390&lt;=TODAY()+7),"Due This Week","")</f>
        <v/>
      </c>
      <c r="T390" s="150">
        <f>IF(AND($H390&lt;&gt;"",$M390&lt;=VLOOKUP(Home!$C$7,Lists!$N$2:$O$6,2,FALSE)),$H390&amp;" Task","")</f>
        <v/>
      </c>
      <c r="U390" s="150">
        <f>IF($G390=Home!$E$7,"Fits Current Energy","")</f>
        <v/>
      </c>
      <c r="V390" s="150">
        <f>IF($Q390&lt;&gt;""," • "&amp;$Q390,"")&amp;IF($R390&lt;&gt;""," • "&amp;$R390,"")&amp;IF($S390&lt;&gt;""," • "&amp;$S390,"")&amp;IF($T390&lt;&gt;""," • "&amp;$T390,"")&amp;IF($U390&lt;&gt;""," • "&amp;$U390,"")&amp;" • No Blockers"</f>
        <v/>
      </c>
    </row>
    <row r="391">
      <c r="A391" s="19" t="n"/>
      <c r="B391" s="19" t="n"/>
      <c r="C391" s="19" t="n"/>
      <c r="D391" s="19" t="n"/>
      <c r="E391" s="19" t="n"/>
      <c r="F391" s="19" t="n"/>
      <c r="G391" s="19" t="n"/>
      <c r="H391" s="19" t="n"/>
      <c r="I391" s="19" t="n"/>
      <c r="J391" s="19" t="n"/>
      <c r="K391" s="19" t="n"/>
      <c r="L391" s="125" t="n"/>
      <c r="M391" s="88">
        <f>IF($D391="","",IFERROR(VLOOKUP($H391,Lists!$N$2:$O$6,2,FALSE),0))</f>
        <v/>
      </c>
      <c r="N391" s="88">
        <f>IF($D391="","",IF(OR($E391="Blocked",$E391="Done",$E391="Archive"),-9999,IF(AND($E391="Waiting",SUMPRODUCT((($E$5:$E$500="Next")+($E$5:$E$500="In Progress")+($E$5:$E$500="Captured"))*($D$5:$D$500&lt;&gt;""))&gt;0),-500,VLOOKUP($F391,Lists!$L$2:$M$4,2,FALSE)+IF($E391="In Progress",10,0)+IF(AND($I391&lt;&gt;"",$I391&lt;TODAY()),25,0)+IF(AND($I391&lt;&gt;"",$I391&gt;=TODAY(),$I391&lt;=TODAY()+7),15,0)+IF($H391="",0,IF($M391&lt;=VLOOKUP(Home!$C$7,Lists!$N$2:$O$6,2,FALSE),20,-10))+IF($G391=Home!$E$7,15,IF(Home!$E$7="",0,-5))-ROW()/100000)))</f>
        <v/>
      </c>
      <c r="O391" s="88">
        <f>IF($D391="","",IF($N391&lt;=-500,"Not recommended right now",IF($E391="Waiting","Nothing else actionable right now — Waiting on: "&amp;IF($K391="","this item",$K391),MID($V391,4,9999))))</f>
        <v/>
      </c>
      <c r="P391" s="88">
        <f>IF($D391="","",IF('Task Finder'!$C$6="High Priority",AND($F391="High",$E391&lt;&gt;"Done",$E391&lt;&gt;"Archive"),IF('Task Finder'!$C$6="Due This Week",AND($I391&lt;&gt;"",$I391&gt;=TODAY(),$I391&lt;=TODAY()+7,$E391&lt;&gt;"Done"),IF('Task Finder'!$C$6="Quick Wins (15 mins or less)",AND($M391&lt;=15,$E391&lt;&gt;"Done",$E391&lt;&gt;"Blocked"),IF('Task Finder'!$C$6="Deep Thinking",AND($G391="Deep Thinking",$E391&lt;&gt;"Done"),IF('Task Finder'!$C$6="Processing",AND($G391="Processing",$E391&lt;&gt;"Done"),IF('Task Finder'!$C$6="Blocked",$E391="Blocked",IF('Task Finder'!$C$6="Waiting",$E391="Waiting",IF('Task Finder'!$C$6="Recently Updated",AND($L391&lt;&gt;"",$L391&gt;=TODAY()-7),IF('Task Finder'!$C$6="Keyword",AND('Task Finder'!$C$7&lt;&gt;"",OR(ISNUMBER(SEARCH('Task Finder'!$C$7,$A391)),ISNUMBER(SEARCH('Task Finder'!$C$7,$B391)),ISNUMBER(SEARCH('Task Finder'!$C$7,$C391)),ISNUMBER(SEARCH('Task Finder'!$C$7,$D391)),ISNUMBER(SEARCH('Task Finder'!$C$7,$K391)))),TRUE))))))))))</f>
        <v/>
      </c>
      <c r="Q391" s="150">
        <f>IF($F391="High","High Priority","")</f>
        <v/>
      </c>
      <c r="R391" s="150">
        <f>IF(AND($I391&lt;&gt;"",$I391&lt;TODAY()),"Overdue","")</f>
        <v/>
      </c>
      <c r="S391" s="150">
        <f>IF(AND($I391&lt;&gt;"",$I391&gt;=TODAY(),$I391&lt;=TODAY()+7),"Due This Week","")</f>
        <v/>
      </c>
      <c r="T391" s="150">
        <f>IF(AND($H391&lt;&gt;"",$M391&lt;=VLOOKUP(Home!$C$7,Lists!$N$2:$O$6,2,FALSE)),$H391&amp;" Task","")</f>
        <v/>
      </c>
      <c r="U391" s="150">
        <f>IF($G391=Home!$E$7,"Fits Current Energy","")</f>
        <v/>
      </c>
      <c r="V391" s="150">
        <f>IF($Q391&lt;&gt;""," • "&amp;$Q391,"")&amp;IF($R391&lt;&gt;""," • "&amp;$R391,"")&amp;IF($S391&lt;&gt;""," • "&amp;$S391,"")&amp;IF($T391&lt;&gt;""," • "&amp;$T391,"")&amp;IF($U391&lt;&gt;""," • "&amp;$U391,"")&amp;" • No Blockers"</f>
        <v/>
      </c>
    </row>
    <row r="392">
      <c r="A392" s="19" t="n"/>
      <c r="B392" s="19" t="n"/>
      <c r="C392" s="19" t="n"/>
      <c r="D392" s="19" t="n"/>
      <c r="E392" s="19" t="n"/>
      <c r="F392" s="19" t="n"/>
      <c r="G392" s="19" t="n"/>
      <c r="H392" s="19" t="n"/>
      <c r="I392" s="19" t="n"/>
      <c r="J392" s="19" t="n"/>
      <c r="K392" s="19" t="n"/>
      <c r="L392" s="125" t="n"/>
      <c r="M392" s="88">
        <f>IF($D392="","",IFERROR(VLOOKUP($H392,Lists!$N$2:$O$6,2,FALSE),0))</f>
        <v/>
      </c>
      <c r="N392" s="88">
        <f>IF($D392="","",IF(OR($E392="Blocked",$E392="Done",$E392="Archive"),-9999,IF(AND($E392="Waiting",SUMPRODUCT((($E$5:$E$500="Next")+($E$5:$E$500="In Progress")+($E$5:$E$500="Captured"))*($D$5:$D$500&lt;&gt;""))&gt;0),-500,VLOOKUP($F392,Lists!$L$2:$M$4,2,FALSE)+IF($E392="In Progress",10,0)+IF(AND($I392&lt;&gt;"",$I392&lt;TODAY()),25,0)+IF(AND($I392&lt;&gt;"",$I392&gt;=TODAY(),$I392&lt;=TODAY()+7),15,0)+IF($H392="",0,IF($M392&lt;=VLOOKUP(Home!$C$7,Lists!$N$2:$O$6,2,FALSE),20,-10))+IF($G392=Home!$E$7,15,IF(Home!$E$7="",0,-5))-ROW()/100000)))</f>
        <v/>
      </c>
      <c r="O392" s="88">
        <f>IF($D392="","",IF($N392&lt;=-500,"Not recommended right now",IF($E392="Waiting","Nothing else actionable right now — Waiting on: "&amp;IF($K392="","this item",$K392),MID($V392,4,9999))))</f>
        <v/>
      </c>
      <c r="P392" s="88">
        <f>IF($D392="","",IF('Task Finder'!$C$6="High Priority",AND($F392="High",$E392&lt;&gt;"Done",$E392&lt;&gt;"Archive"),IF('Task Finder'!$C$6="Due This Week",AND($I392&lt;&gt;"",$I392&gt;=TODAY(),$I392&lt;=TODAY()+7,$E392&lt;&gt;"Done"),IF('Task Finder'!$C$6="Quick Wins (15 mins or less)",AND($M392&lt;=15,$E392&lt;&gt;"Done",$E392&lt;&gt;"Blocked"),IF('Task Finder'!$C$6="Deep Thinking",AND($G392="Deep Thinking",$E392&lt;&gt;"Done"),IF('Task Finder'!$C$6="Processing",AND($G392="Processing",$E392&lt;&gt;"Done"),IF('Task Finder'!$C$6="Blocked",$E392="Blocked",IF('Task Finder'!$C$6="Waiting",$E392="Waiting",IF('Task Finder'!$C$6="Recently Updated",AND($L392&lt;&gt;"",$L392&gt;=TODAY()-7),IF('Task Finder'!$C$6="Keyword",AND('Task Finder'!$C$7&lt;&gt;"",OR(ISNUMBER(SEARCH('Task Finder'!$C$7,$A392)),ISNUMBER(SEARCH('Task Finder'!$C$7,$B392)),ISNUMBER(SEARCH('Task Finder'!$C$7,$C392)),ISNUMBER(SEARCH('Task Finder'!$C$7,$D392)),ISNUMBER(SEARCH('Task Finder'!$C$7,$K392)))),TRUE))))))))))</f>
        <v/>
      </c>
      <c r="Q392" s="150">
        <f>IF($F392="High","High Priority","")</f>
        <v/>
      </c>
      <c r="R392" s="150">
        <f>IF(AND($I392&lt;&gt;"",$I392&lt;TODAY()),"Overdue","")</f>
        <v/>
      </c>
      <c r="S392" s="150">
        <f>IF(AND($I392&lt;&gt;"",$I392&gt;=TODAY(),$I392&lt;=TODAY()+7),"Due This Week","")</f>
        <v/>
      </c>
      <c r="T392" s="150">
        <f>IF(AND($H392&lt;&gt;"",$M392&lt;=VLOOKUP(Home!$C$7,Lists!$N$2:$O$6,2,FALSE)),$H392&amp;" Task","")</f>
        <v/>
      </c>
      <c r="U392" s="150">
        <f>IF($G392=Home!$E$7,"Fits Current Energy","")</f>
        <v/>
      </c>
      <c r="V392" s="150">
        <f>IF($Q392&lt;&gt;""," • "&amp;$Q392,"")&amp;IF($R392&lt;&gt;""," • "&amp;$R392,"")&amp;IF($S392&lt;&gt;""," • "&amp;$S392,"")&amp;IF($T392&lt;&gt;""," • "&amp;$T392,"")&amp;IF($U392&lt;&gt;""," • "&amp;$U392,"")&amp;" • No Blockers"</f>
        <v/>
      </c>
    </row>
    <row r="393">
      <c r="A393" s="19" t="n"/>
      <c r="B393" s="19" t="n"/>
      <c r="C393" s="19" t="n"/>
      <c r="D393" s="19" t="n"/>
      <c r="E393" s="19" t="n"/>
      <c r="F393" s="19" t="n"/>
      <c r="G393" s="19" t="n"/>
      <c r="H393" s="19" t="n"/>
      <c r="I393" s="19" t="n"/>
      <c r="J393" s="19" t="n"/>
      <c r="K393" s="19" t="n"/>
      <c r="L393" s="125" t="n"/>
      <c r="M393" s="88">
        <f>IF($D393="","",IFERROR(VLOOKUP($H393,Lists!$N$2:$O$6,2,FALSE),0))</f>
        <v/>
      </c>
      <c r="N393" s="88">
        <f>IF($D393="","",IF(OR($E393="Blocked",$E393="Done",$E393="Archive"),-9999,IF(AND($E393="Waiting",SUMPRODUCT((($E$5:$E$500="Next")+($E$5:$E$500="In Progress")+($E$5:$E$500="Captured"))*($D$5:$D$500&lt;&gt;""))&gt;0),-500,VLOOKUP($F393,Lists!$L$2:$M$4,2,FALSE)+IF($E393="In Progress",10,0)+IF(AND($I393&lt;&gt;"",$I393&lt;TODAY()),25,0)+IF(AND($I393&lt;&gt;"",$I393&gt;=TODAY(),$I393&lt;=TODAY()+7),15,0)+IF($H393="",0,IF($M393&lt;=VLOOKUP(Home!$C$7,Lists!$N$2:$O$6,2,FALSE),20,-10))+IF($G393=Home!$E$7,15,IF(Home!$E$7="",0,-5))-ROW()/100000)))</f>
        <v/>
      </c>
      <c r="O393" s="88">
        <f>IF($D393="","",IF($N393&lt;=-500,"Not recommended right now",IF($E393="Waiting","Nothing else actionable right now — Waiting on: "&amp;IF($K393="","this item",$K393),MID($V393,4,9999))))</f>
        <v/>
      </c>
      <c r="P393" s="88">
        <f>IF($D393="","",IF('Task Finder'!$C$6="High Priority",AND($F393="High",$E393&lt;&gt;"Done",$E393&lt;&gt;"Archive"),IF('Task Finder'!$C$6="Due This Week",AND($I393&lt;&gt;"",$I393&gt;=TODAY(),$I393&lt;=TODAY()+7,$E393&lt;&gt;"Done"),IF('Task Finder'!$C$6="Quick Wins (15 mins or less)",AND($M393&lt;=15,$E393&lt;&gt;"Done",$E393&lt;&gt;"Blocked"),IF('Task Finder'!$C$6="Deep Thinking",AND($G393="Deep Thinking",$E393&lt;&gt;"Done"),IF('Task Finder'!$C$6="Processing",AND($G393="Processing",$E393&lt;&gt;"Done"),IF('Task Finder'!$C$6="Blocked",$E393="Blocked",IF('Task Finder'!$C$6="Waiting",$E393="Waiting",IF('Task Finder'!$C$6="Recently Updated",AND($L393&lt;&gt;"",$L393&gt;=TODAY()-7),IF('Task Finder'!$C$6="Keyword",AND('Task Finder'!$C$7&lt;&gt;"",OR(ISNUMBER(SEARCH('Task Finder'!$C$7,$A393)),ISNUMBER(SEARCH('Task Finder'!$C$7,$B393)),ISNUMBER(SEARCH('Task Finder'!$C$7,$C393)),ISNUMBER(SEARCH('Task Finder'!$C$7,$D393)),ISNUMBER(SEARCH('Task Finder'!$C$7,$K393)))),TRUE))))))))))</f>
        <v/>
      </c>
      <c r="Q393" s="150">
        <f>IF($F393="High","High Priority","")</f>
        <v/>
      </c>
      <c r="R393" s="150">
        <f>IF(AND($I393&lt;&gt;"",$I393&lt;TODAY()),"Overdue","")</f>
        <v/>
      </c>
      <c r="S393" s="150">
        <f>IF(AND($I393&lt;&gt;"",$I393&gt;=TODAY(),$I393&lt;=TODAY()+7),"Due This Week","")</f>
        <v/>
      </c>
      <c r="T393" s="150">
        <f>IF(AND($H393&lt;&gt;"",$M393&lt;=VLOOKUP(Home!$C$7,Lists!$N$2:$O$6,2,FALSE)),$H393&amp;" Task","")</f>
        <v/>
      </c>
      <c r="U393" s="150">
        <f>IF($G393=Home!$E$7,"Fits Current Energy","")</f>
        <v/>
      </c>
      <c r="V393" s="150">
        <f>IF($Q393&lt;&gt;""," • "&amp;$Q393,"")&amp;IF($R393&lt;&gt;""," • "&amp;$R393,"")&amp;IF($S393&lt;&gt;""," • "&amp;$S393,"")&amp;IF($T393&lt;&gt;""," • "&amp;$T393,"")&amp;IF($U393&lt;&gt;""," • "&amp;$U393,"")&amp;" • No Blockers"</f>
        <v/>
      </c>
    </row>
    <row r="394">
      <c r="A394" s="19" t="n"/>
      <c r="B394" s="19" t="n"/>
      <c r="C394" s="19" t="n"/>
      <c r="D394" s="19" t="n"/>
      <c r="E394" s="19" t="n"/>
      <c r="F394" s="19" t="n"/>
      <c r="G394" s="19" t="n"/>
      <c r="H394" s="19" t="n"/>
      <c r="I394" s="19" t="n"/>
      <c r="J394" s="19" t="n"/>
      <c r="K394" s="19" t="n"/>
      <c r="L394" s="125" t="n"/>
      <c r="M394" s="88">
        <f>IF($D394="","",IFERROR(VLOOKUP($H394,Lists!$N$2:$O$6,2,FALSE),0))</f>
        <v/>
      </c>
      <c r="N394" s="88">
        <f>IF($D394="","",IF(OR($E394="Blocked",$E394="Done",$E394="Archive"),-9999,IF(AND($E394="Waiting",SUMPRODUCT((($E$5:$E$500="Next")+($E$5:$E$500="In Progress")+($E$5:$E$500="Captured"))*($D$5:$D$500&lt;&gt;""))&gt;0),-500,VLOOKUP($F394,Lists!$L$2:$M$4,2,FALSE)+IF($E394="In Progress",10,0)+IF(AND($I394&lt;&gt;"",$I394&lt;TODAY()),25,0)+IF(AND($I394&lt;&gt;"",$I394&gt;=TODAY(),$I394&lt;=TODAY()+7),15,0)+IF($H394="",0,IF($M394&lt;=VLOOKUP(Home!$C$7,Lists!$N$2:$O$6,2,FALSE),20,-10))+IF($G394=Home!$E$7,15,IF(Home!$E$7="",0,-5))-ROW()/100000)))</f>
        <v/>
      </c>
      <c r="O394" s="88">
        <f>IF($D394="","",IF($N394&lt;=-500,"Not recommended right now",IF($E394="Waiting","Nothing else actionable right now — Waiting on: "&amp;IF($K394="","this item",$K394),MID($V394,4,9999))))</f>
        <v/>
      </c>
      <c r="P394" s="88">
        <f>IF($D394="","",IF('Task Finder'!$C$6="High Priority",AND($F394="High",$E394&lt;&gt;"Done",$E394&lt;&gt;"Archive"),IF('Task Finder'!$C$6="Due This Week",AND($I394&lt;&gt;"",$I394&gt;=TODAY(),$I394&lt;=TODAY()+7,$E394&lt;&gt;"Done"),IF('Task Finder'!$C$6="Quick Wins (15 mins or less)",AND($M394&lt;=15,$E394&lt;&gt;"Done",$E394&lt;&gt;"Blocked"),IF('Task Finder'!$C$6="Deep Thinking",AND($G394="Deep Thinking",$E394&lt;&gt;"Done"),IF('Task Finder'!$C$6="Processing",AND($G394="Processing",$E394&lt;&gt;"Done"),IF('Task Finder'!$C$6="Blocked",$E394="Blocked",IF('Task Finder'!$C$6="Waiting",$E394="Waiting",IF('Task Finder'!$C$6="Recently Updated",AND($L394&lt;&gt;"",$L394&gt;=TODAY()-7),IF('Task Finder'!$C$6="Keyword",AND('Task Finder'!$C$7&lt;&gt;"",OR(ISNUMBER(SEARCH('Task Finder'!$C$7,$A394)),ISNUMBER(SEARCH('Task Finder'!$C$7,$B394)),ISNUMBER(SEARCH('Task Finder'!$C$7,$C394)),ISNUMBER(SEARCH('Task Finder'!$C$7,$D394)),ISNUMBER(SEARCH('Task Finder'!$C$7,$K394)))),TRUE))))))))))</f>
        <v/>
      </c>
      <c r="Q394" s="150">
        <f>IF($F394="High","High Priority","")</f>
        <v/>
      </c>
      <c r="R394" s="150">
        <f>IF(AND($I394&lt;&gt;"",$I394&lt;TODAY()),"Overdue","")</f>
        <v/>
      </c>
      <c r="S394" s="150">
        <f>IF(AND($I394&lt;&gt;"",$I394&gt;=TODAY(),$I394&lt;=TODAY()+7),"Due This Week","")</f>
        <v/>
      </c>
      <c r="T394" s="150">
        <f>IF(AND($H394&lt;&gt;"",$M394&lt;=VLOOKUP(Home!$C$7,Lists!$N$2:$O$6,2,FALSE)),$H394&amp;" Task","")</f>
        <v/>
      </c>
      <c r="U394" s="150">
        <f>IF($G394=Home!$E$7,"Fits Current Energy","")</f>
        <v/>
      </c>
      <c r="V394" s="150">
        <f>IF($Q394&lt;&gt;""," • "&amp;$Q394,"")&amp;IF($R394&lt;&gt;""," • "&amp;$R394,"")&amp;IF($S394&lt;&gt;""," • "&amp;$S394,"")&amp;IF($T394&lt;&gt;""," • "&amp;$T394,"")&amp;IF($U394&lt;&gt;""," • "&amp;$U394,"")&amp;" • No Blockers"</f>
        <v/>
      </c>
    </row>
    <row r="395">
      <c r="A395" s="19" t="n"/>
      <c r="B395" s="19" t="n"/>
      <c r="C395" s="19" t="n"/>
      <c r="D395" s="19" t="n"/>
      <c r="E395" s="19" t="n"/>
      <c r="F395" s="19" t="n"/>
      <c r="G395" s="19" t="n"/>
      <c r="H395" s="19" t="n"/>
      <c r="I395" s="19" t="n"/>
      <c r="J395" s="19" t="n"/>
      <c r="K395" s="19" t="n"/>
      <c r="L395" s="125" t="n"/>
      <c r="M395" s="88">
        <f>IF($D395="","",IFERROR(VLOOKUP($H395,Lists!$N$2:$O$6,2,FALSE),0))</f>
        <v/>
      </c>
      <c r="N395" s="88">
        <f>IF($D395="","",IF(OR($E395="Blocked",$E395="Done",$E395="Archive"),-9999,IF(AND($E395="Waiting",SUMPRODUCT((($E$5:$E$500="Next")+($E$5:$E$500="In Progress")+($E$5:$E$500="Captured"))*($D$5:$D$500&lt;&gt;""))&gt;0),-500,VLOOKUP($F395,Lists!$L$2:$M$4,2,FALSE)+IF($E395="In Progress",10,0)+IF(AND($I395&lt;&gt;"",$I395&lt;TODAY()),25,0)+IF(AND($I395&lt;&gt;"",$I395&gt;=TODAY(),$I395&lt;=TODAY()+7),15,0)+IF($H395="",0,IF($M395&lt;=VLOOKUP(Home!$C$7,Lists!$N$2:$O$6,2,FALSE),20,-10))+IF($G395=Home!$E$7,15,IF(Home!$E$7="",0,-5))-ROW()/100000)))</f>
        <v/>
      </c>
      <c r="O395" s="88">
        <f>IF($D395="","",IF($N395&lt;=-500,"Not recommended right now",IF($E395="Waiting","Nothing else actionable right now — Waiting on: "&amp;IF($K395="","this item",$K395),MID($V395,4,9999))))</f>
        <v/>
      </c>
      <c r="P395" s="88">
        <f>IF($D395="","",IF('Task Finder'!$C$6="High Priority",AND($F395="High",$E395&lt;&gt;"Done",$E395&lt;&gt;"Archive"),IF('Task Finder'!$C$6="Due This Week",AND($I395&lt;&gt;"",$I395&gt;=TODAY(),$I395&lt;=TODAY()+7,$E395&lt;&gt;"Done"),IF('Task Finder'!$C$6="Quick Wins (15 mins or less)",AND($M395&lt;=15,$E395&lt;&gt;"Done",$E395&lt;&gt;"Blocked"),IF('Task Finder'!$C$6="Deep Thinking",AND($G395="Deep Thinking",$E395&lt;&gt;"Done"),IF('Task Finder'!$C$6="Processing",AND($G395="Processing",$E395&lt;&gt;"Done"),IF('Task Finder'!$C$6="Blocked",$E395="Blocked",IF('Task Finder'!$C$6="Waiting",$E395="Waiting",IF('Task Finder'!$C$6="Recently Updated",AND($L395&lt;&gt;"",$L395&gt;=TODAY()-7),IF('Task Finder'!$C$6="Keyword",AND('Task Finder'!$C$7&lt;&gt;"",OR(ISNUMBER(SEARCH('Task Finder'!$C$7,$A395)),ISNUMBER(SEARCH('Task Finder'!$C$7,$B395)),ISNUMBER(SEARCH('Task Finder'!$C$7,$C395)),ISNUMBER(SEARCH('Task Finder'!$C$7,$D395)),ISNUMBER(SEARCH('Task Finder'!$C$7,$K395)))),TRUE))))))))))</f>
        <v/>
      </c>
      <c r="Q395" s="150">
        <f>IF($F395="High","High Priority","")</f>
        <v/>
      </c>
      <c r="R395" s="150">
        <f>IF(AND($I395&lt;&gt;"",$I395&lt;TODAY()),"Overdue","")</f>
        <v/>
      </c>
      <c r="S395" s="150">
        <f>IF(AND($I395&lt;&gt;"",$I395&gt;=TODAY(),$I395&lt;=TODAY()+7),"Due This Week","")</f>
        <v/>
      </c>
      <c r="T395" s="150">
        <f>IF(AND($H395&lt;&gt;"",$M395&lt;=VLOOKUP(Home!$C$7,Lists!$N$2:$O$6,2,FALSE)),$H395&amp;" Task","")</f>
        <v/>
      </c>
      <c r="U395" s="150">
        <f>IF($G395=Home!$E$7,"Fits Current Energy","")</f>
        <v/>
      </c>
      <c r="V395" s="150">
        <f>IF($Q395&lt;&gt;""," • "&amp;$Q395,"")&amp;IF($R395&lt;&gt;""," • "&amp;$R395,"")&amp;IF($S395&lt;&gt;""," • "&amp;$S395,"")&amp;IF($T395&lt;&gt;""," • "&amp;$T395,"")&amp;IF($U395&lt;&gt;""," • "&amp;$U395,"")&amp;" • No Blockers"</f>
        <v/>
      </c>
    </row>
    <row r="396">
      <c r="A396" s="19" t="n"/>
      <c r="B396" s="19" t="n"/>
      <c r="C396" s="19" t="n"/>
      <c r="D396" s="19" t="n"/>
      <c r="E396" s="19" t="n"/>
      <c r="F396" s="19" t="n"/>
      <c r="G396" s="19" t="n"/>
      <c r="H396" s="19" t="n"/>
      <c r="I396" s="19" t="n"/>
      <c r="J396" s="19" t="n"/>
      <c r="K396" s="19" t="n"/>
      <c r="L396" s="125" t="n"/>
      <c r="M396" s="88">
        <f>IF($D396="","",IFERROR(VLOOKUP($H396,Lists!$N$2:$O$6,2,FALSE),0))</f>
        <v/>
      </c>
      <c r="N396" s="88">
        <f>IF($D396="","",IF(OR($E396="Blocked",$E396="Done",$E396="Archive"),-9999,IF(AND($E396="Waiting",SUMPRODUCT((($E$5:$E$500="Next")+($E$5:$E$500="In Progress")+($E$5:$E$500="Captured"))*($D$5:$D$500&lt;&gt;""))&gt;0),-500,VLOOKUP($F396,Lists!$L$2:$M$4,2,FALSE)+IF($E396="In Progress",10,0)+IF(AND($I396&lt;&gt;"",$I396&lt;TODAY()),25,0)+IF(AND($I396&lt;&gt;"",$I396&gt;=TODAY(),$I396&lt;=TODAY()+7),15,0)+IF($H396="",0,IF($M396&lt;=VLOOKUP(Home!$C$7,Lists!$N$2:$O$6,2,FALSE),20,-10))+IF($G396=Home!$E$7,15,IF(Home!$E$7="",0,-5))-ROW()/100000)))</f>
        <v/>
      </c>
      <c r="O396" s="88">
        <f>IF($D396="","",IF($N396&lt;=-500,"Not recommended right now",IF($E396="Waiting","Nothing else actionable right now — Waiting on: "&amp;IF($K396="","this item",$K396),MID($V396,4,9999))))</f>
        <v/>
      </c>
      <c r="P396" s="88">
        <f>IF($D396="","",IF('Task Finder'!$C$6="High Priority",AND($F396="High",$E396&lt;&gt;"Done",$E396&lt;&gt;"Archive"),IF('Task Finder'!$C$6="Due This Week",AND($I396&lt;&gt;"",$I396&gt;=TODAY(),$I396&lt;=TODAY()+7,$E396&lt;&gt;"Done"),IF('Task Finder'!$C$6="Quick Wins (15 mins or less)",AND($M396&lt;=15,$E396&lt;&gt;"Done",$E396&lt;&gt;"Blocked"),IF('Task Finder'!$C$6="Deep Thinking",AND($G396="Deep Thinking",$E396&lt;&gt;"Done"),IF('Task Finder'!$C$6="Processing",AND($G396="Processing",$E396&lt;&gt;"Done"),IF('Task Finder'!$C$6="Blocked",$E396="Blocked",IF('Task Finder'!$C$6="Waiting",$E396="Waiting",IF('Task Finder'!$C$6="Recently Updated",AND($L396&lt;&gt;"",$L396&gt;=TODAY()-7),IF('Task Finder'!$C$6="Keyword",AND('Task Finder'!$C$7&lt;&gt;"",OR(ISNUMBER(SEARCH('Task Finder'!$C$7,$A396)),ISNUMBER(SEARCH('Task Finder'!$C$7,$B396)),ISNUMBER(SEARCH('Task Finder'!$C$7,$C396)),ISNUMBER(SEARCH('Task Finder'!$C$7,$D396)),ISNUMBER(SEARCH('Task Finder'!$C$7,$K396)))),TRUE))))))))))</f>
        <v/>
      </c>
      <c r="Q396" s="150">
        <f>IF($F396="High","High Priority","")</f>
        <v/>
      </c>
      <c r="R396" s="150">
        <f>IF(AND($I396&lt;&gt;"",$I396&lt;TODAY()),"Overdue","")</f>
        <v/>
      </c>
      <c r="S396" s="150">
        <f>IF(AND($I396&lt;&gt;"",$I396&gt;=TODAY(),$I396&lt;=TODAY()+7),"Due This Week","")</f>
        <v/>
      </c>
      <c r="T396" s="150">
        <f>IF(AND($H396&lt;&gt;"",$M396&lt;=VLOOKUP(Home!$C$7,Lists!$N$2:$O$6,2,FALSE)),$H396&amp;" Task","")</f>
        <v/>
      </c>
      <c r="U396" s="150">
        <f>IF($G396=Home!$E$7,"Fits Current Energy","")</f>
        <v/>
      </c>
      <c r="V396" s="150">
        <f>IF($Q396&lt;&gt;""," • "&amp;$Q396,"")&amp;IF($R396&lt;&gt;""," • "&amp;$R396,"")&amp;IF($S396&lt;&gt;""," • "&amp;$S396,"")&amp;IF($T396&lt;&gt;""," • "&amp;$T396,"")&amp;IF($U396&lt;&gt;""," • "&amp;$U396,"")&amp;" • No Blockers"</f>
        <v/>
      </c>
    </row>
    <row r="397">
      <c r="A397" s="19" t="n"/>
      <c r="B397" s="19" t="n"/>
      <c r="C397" s="19" t="n"/>
      <c r="D397" s="19" t="n"/>
      <c r="E397" s="19" t="n"/>
      <c r="F397" s="19" t="n"/>
      <c r="G397" s="19" t="n"/>
      <c r="H397" s="19" t="n"/>
      <c r="I397" s="19" t="n"/>
      <c r="J397" s="19" t="n"/>
      <c r="K397" s="19" t="n"/>
      <c r="L397" s="125" t="n"/>
      <c r="M397" s="88">
        <f>IF($D397="","",IFERROR(VLOOKUP($H397,Lists!$N$2:$O$6,2,FALSE),0))</f>
        <v/>
      </c>
      <c r="N397" s="88">
        <f>IF($D397="","",IF(OR($E397="Blocked",$E397="Done",$E397="Archive"),-9999,IF(AND($E397="Waiting",SUMPRODUCT((($E$5:$E$500="Next")+($E$5:$E$500="In Progress")+($E$5:$E$500="Captured"))*($D$5:$D$500&lt;&gt;""))&gt;0),-500,VLOOKUP($F397,Lists!$L$2:$M$4,2,FALSE)+IF($E397="In Progress",10,0)+IF(AND($I397&lt;&gt;"",$I397&lt;TODAY()),25,0)+IF(AND($I397&lt;&gt;"",$I397&gt;=TODAY(),$I397&lt;=TODAY()+7),15,0)+IF($H397="",0,IF($M397&lt;=VLOOKUP(Home!$C$7,Lists!$N$2:$O$6,2,FALSE),20,-10))+IF($G397=Home!$E$7,15,IF(Home!$E$7="",0,-5))-ROW()/100000)))</f>
        <v/>
      </c>
      <c r="O397" s="88">
        <f>IF($D397="","",IF($N397&lt;=-500,"Not recommended right now",IF($E397="Waiting","Nothing else actionable right now — Waiting on: "&amp;IF($K397="","this item",$K397),MID($V397,4,9999))))</f>
        <v/>
      </c>
      <c r="P397" s="88">
        <f>IF($D397="","",IF('Task Finder'!$C$6="High Priority",AND($F397="High",$E397&lt;&gt;"Done",$E397&lt;&gt;"Archive"),IF('Task Finder'!$C$6="Due This Week",AND($I397&lt;&gt;"",$I397&gt;=TODAY(),$I397&lt;=TODAY()+7,$E397&lt;&gt;"Done"),IF('Task Finder'!$C$6="Quick Wins (15 mins or less)",AND($M397&lt;=15,$E397&lt;&gt;"Done",$E397&lt;&gt;"Blocked"),IF('Task Finder'!$C$6="Deep Thinking",AND($G397="Deep Thinking",$E397&lt;&gt;"Done"),IF('Task Finder'!$C$6="Processing",AND($G397="Processing",$E397&lt;&gt;"Done"),IF('Task Finder'!$C$6="Blocked",$E397="Blocked",IF('Task Finder'!$C$6="Waiting",$E397="Waiting",IF('Task Finder'!$C$6="Recently Updated",AND($L397&lt;&gt;"",$L397&gt;=TODAY()-7),IF('Task Finder'!$C$6="Keyword",AND('Task Finder'!$C$7&lt;&gt;"",OR(ISNUMBER(SEARCH('Task Finder'!$C$7,$A397)),ISNUMBER(SEARCH('Task Finder'!$C$7,$B397)),ISNUMBER(SEARCH('Task Finder'!$C$7,$C397)),ISNUMBER(SEARCH('Task Finder'!$C$7,$D397)),ISNUMBER(SEARCH('Task Finder'!$C$7,$K397)))),TRUE))))))))))</f>
        <v/>
      </c>
      <c r="Q397" s="150">
        <f>IF($F397="High","High Priority","")</f>
        <v/>
      </c>
      <c r="R397" s="150">
        <f>IF(AND($I397&lt;&gt;"",$I397&lt;TODAY()),"Overdue","")</f>
        <v/>
      </c>
      <c r="S397" s="150">
        <f>IF(AND($I397&lt;&gt;"",$I397&gt;=TODAY(),$I397&lt;=TODAY()+7),"Due This Week","")</f>
        <v/>
      </c>
      <c r="T397" s="150">
        <f>IF(AND($H397&lt;&gt;"",$M397&lt;=VLOOKUP(Home!$C$7,Lists!$N$2:$O$6,2,FALSE)),$H397&amp;" Task","")</f>
        <v/>
      </c>
      <c r="U397" s="150">
        <f>IF($G397=Home!$E$7,"Fits Current Energy","")</f>
        <v/>
      </c>
      <c r="V397" s="150">
        <f>IF($Q397&lt;&gt;""," • "&amp;$Q397,"")&amp;IF($R397&lt;&gt;""," • "&amp;$R397,"")&amp;IF($S397&lt;&gt;""," • "&amp;$S397,"")&amp;IF($T397&lt;&gt;""," • "&amp;$T397,"")&amp;IF($U397&lt;&gt;""," • "&amp;$U397,"")&amp;" • No Blockers"</f>
        <v/>
      </c>
    </row>
    <row r="398">
      <c r="A398" s="19" t="n"/>
      <c r="B398" s="19" t="n"/>
      <c r="C398" s="19" t="n"/>
      <c r="D398" s="19" t="n"/>
      <c r="E398" s="19" t="n"/>
      <c r="F398" s="19" t="n"/>
      <c r="G398" s="19" t="n"/>
      <c r="H398" s="19" t="n"/>
      <c r="I398" s="19" t="n"/>
      <c r="J398" s="19" t="n"/>
      <c r="K398" s="19" t="n"/>
      <c r="L398" s="125" t="n"/>
      <c r="M398" s="88">
        <f>IF($D398="","",IFERROR(VLOOKUP($H398,Lists!$N$2:$O$6,2,FALSE),0))</f>
        <v/>
      </c>
      <c r="N398" s="88">
        <f>IF($D398="","",IF(OR($E398="Blocked",$E398="Done",$E398="Archive"),-9999,IF(AND($E398="Waiting",SUMPRODUCT((($E$5:$E$500="Next")+($E$5:$E$500="In Progress")+($E$5:$E$500="Captured"))*($D$5:$D$500&lt;&gt;""))&gt;0),-500,VLOOKUP($F398,Lists!$L$2:$M$4,2,FALSE)+IF($E398="In Progress",10,0)+IF(AND($I398&lt;&gt;"",$I398&lt;TODAY()),25,0)+IF(AND($I398&lt;&gt;"",$I398&gt;=TODAY(),$I398&lt;=TODAY()+7),15,0)+IF($H398="",0,IF($M398&lt;=VLOOKUP(Home!$C$7,Lists!$N$2:$O$6,2,FALSE),20,-10))+IF($G398=Home!$E$7,15,IF(Home!$E$7="",0,-5))-ROW()/100000)))</f>
        <v/>
      </c>
      <c r="O398" s="88">
        <f>IF($D398="","",IF($N398&lt;=-500,"Not recommended right now",IF($E398="Waiting","Nothing else actionable right now — Waiting on: "&amp;IF($K398="","this item",$K398),MID($V398,4,9999))))</f>
        <v/>
      </c>
      <c r="P398" s="88">
        <f>IF($D398="","",IF('Task Finder'!$C$6="High Priority",AND($F398="High",$E398&lt;&gt;"Done",$E398&lt;&gt;"Archive"),IF('Task Finder'!$C$6="Due This Week",AND($I398&lt;&gt;"",$I398&gt;=TODAY(),$I398&lt;=TODAY()+7,$E398&lt;&gt;"Done"),IF('Task Finder'!$C$6="Quick Wins (15 mins or less)",AND($M398&lt;=15,$E398&lt;&gt;"Done",$E398&lt;&gt;"Blocked"),IF('Task Finder'!$C$6="Deep Thinking",AND($G398="Deep Thinking",$E398&lt;&gt;"Done"),IF('Task Finder'!$C$6="Processing",AND($G398="Processing",$E398&lt;&gt;"Done"),IF('Task Finder'!$C$6="Blocked",$E398="Blocked",IF('Task Finder'!$C$6="Waiting",$E398="Waiting",IF('Task Finder'!$C$6="Recently Updated",AND($L398&lt;&gt;"",$L398&gt;=TODAY()-7),IF('Task Finder'!$C$6="Keyword",AND('Task Finder'!$C$7&lt;&gt;"",OR(ISNUMBER(SEARCH('Task Finder'!$C$7,$A398)),ISNUMBER(SEARCH('Task Finder'!$C$7,$B398)),ISNUMBER(SEARCH('Task Finder'!$C$7,$C398)),ISNUMBER(SEARCH('Task Finder'!$C$7,$D398)),ISNUMBER(SEARCH('Task Finder'!$C$7,$K398)))),TRUE))))))))))</f>
        <v/>
      </c>
      <c r="Q398" s="150">
        <f>IF($F398="High","High Priority","")</f>
        <v/>
      </c>
      <c r="R398" s="150">
        <f>IF(AND($I398&lt;&gt;"",$I398&lt;TODAY()),"Overdue","")</f>
        <v/>
      </c>
      <c r="S398" s="150">
        <f>IF(AND($I398&lt;&gt;"",$I398&gt;=TODAY(),$I398&lt;=TODAY()+7),"Due This Week","")</f>
        <v/>
      </c>
      <c r="T398" s="150">
        <f>IF(AND($H398&lt;&gt;"",$M398&lt;=VLOOKUP(Home!$C$7,Lists!$N$2:$O$6,2,FALSE)),$H398&amp;" Task","")</f>
        <v/>
      </c>
      <c r="U398" s="150">
        <f>IF($G398=Home!$E$7,"Fits Current Energy","")</f>
        <v/>
      </c>
      <c r="V398" s="150">
        <f>IF($Q398&lt;&gt;""," • "&amp;$Q398,"")&amp;IF($R398&lt;&gt;""," • "&amp;$R398,"")&amp;IF($S398&lt;&gt;""," • "&amp;$S398,"")&amp;IF($T398&lt;&gt;""," • "&amp;$T398,"")&amp;IF($U398&lt;&gt;""," • "&amp;$U398,"")&amp;" • No Blockers"</f>
        <v/>
      </c>
    </row>
    <row r="399">
      <c r="A399" s="19" t="n"/>
      <c r="B399" s="19" t="n"/>
      <c r="C399" s="19" t="n"/>
      <c r="D399" s="19" t="n"/>
      <c r="E399" s="19" t="n"/>
      <c r="F399" s="19" t="n"/>
      <c r="G399" s="19" t="n"/>
      <c r="H399" s="19" t="n"/>
      <c r="I399" s="19" t="n"/>
      <c r="J399" s="19" t="n"/>
      <c r="K399" s="19" t="n"/>
      <c r="L399" s="125" t="n"/>
      <c r="M399" s="88">
        <f>IF($D399="","",IFERROR(VLOOKUP($H399,Lists!$N$2:$O$6,2,FALSE),0))</f>
        <v/>
      </c>
      <c r="N399" s="88">
        <f>IF($D399="","",IF(OR($E399="Blocked",$E399="Done",$E399="Archive"),-9999,IF(AND($E399="Waiting",SUMPRODUCT((($E$5:$E$500="Next")+($E$5:$E$500="In Progress")+($E$5:$E$500="Captured"))*($D$5:$D$500&lt;&gt;""))&gt;0),-500,VLOOKUP($F399,Lists!$L$2:$M$4,2,FALSE)+IF($E399="In Progress",10,0)+IF(AND($I399&lt;&gt;"",$I399&lt;TODAY()),25,0)+IF(AND($I399&lt;&gt;"",$I399&gt;=TODAY(),$I399&lt;=TODAY()+7),15,0)+IF($H399="",0,IF($M399&lt;=VLOOKUP(Home!$C$7,Lists!$N$2:$O$6,2,FALSE),20,-10))+IF($G399=Home!$E$7,15,IF(Home!$E$7="",0,-5))-ROW()/100000)))</f>
        <v/>
      </c>
      <c r="O399" s="88">
        <f>IF($D399="","",IF($N399&lt;=-500,"Not recommended right now",IF($E399="Waiting","Nothing else actionable right now — Waiting on: "&amp;IF($K399="","this item",$K399),MID($V399,4,9999))))</f>
        <v/>
      </c>
      <c r="P399" s="88">
        <f>IF($D399="","",IF('Task Finder'!$C$6="High Priority",AND($F399="High",$E399&lt;&gt;"Done",$E399&lt;&gt;"Archive"),IF('Task Finder'!$C$6="Due This Week",AND($I399&lt;&gt;"",$I399&gt;=TODAY(),$I399&lt;=TODAY()+7,$E399&lt;&gt;"Done"),IF('Task Finder'!$C$6="Quick Wins (15 mins or less)",AND($M399&lt;=15,$E399&lt;&gt;"Done",$E399&lt;&gt;"Blocked"),IF('Task Finder'!$C$6="Deep Thinking",AND($G399="Deep Thinking",$E399&lt;&gt;"Done"),IF('Task Finder'!$C$6="Processing",AND($G399="Processing",$E399&lt;&gt;"Done"),IF('Task Finder'!$C$6="Blocked",$E399="Blocked",IF('Task Finder'!$C$6="Waiting",$E399="Waiting",IF('Task Finder'!$C$6="Recently Updated",AND($L399&lt;&gt;"",$L399&gt;=TODAY()-7),IF('Task Finder'!$C$6="Keyword",AND('Task Finder'!$C$7&lt;&gt;"",OR(ISNUMBER(SEARCH('Task Finder'!$C$7,$A399)),ISNUMBER(SEARCH('Task Finder'!$C$7,$B399)),ISNUMBER(SEARCH('Task Finder'!$C$7,$C399)),ISNUMBER(SEARCH('Task Finder'!$C$7,$D399)),ISNUMBER(SEARCH('Task Finder'!$C$7,$K399)))),TRUE))))))))))</f>
        <v/>
      </c>
      <c r="Q399" s="150">
        <f>IF($F399="High","High Priority","")</f>
        <v/>
      </c>
      <c r="R399" s="150">
        <f>IF(AND($I399&lt;&gt;"",$I399&lt;TODAY()),"Overdue","")</f>
        <v/>
      </c>
      <c r="S399" s="150">
        <f>IF(AND($I399&lt;&gt;"",$I399&gt;=TODAY(),$I399&lt;=TODAY()+7),"Due This Week","")</f>
        <v/>
      </c>
      <c r="T399" s="150">
        <f>IF(AND($H399&lt;&gt;"",$M399&lt;=VLOOKUP(Home!$C$7,Lists!$N$2:$O$6,2,FALSE)),$H399&amp;" Task","")</f>
        <v/>
      </c>
      <c r="U399" s="150">
        <f>IF($G399=Home!$E$7,"Fits Current Energy","")</f>
        <v/>
      </c>
      <c r="V399" s="150">
        <f>IF($Q399&lt;&gt;""," • "&amp;$Q399,"")&amp;IF($R399&lt;&gt;""," • "&amp;$R399,"")&amp;IF($S399&lt;&gt;""," • "&amp;$S399,"")&amp;IF($T399&lt;&gt;""," • "&amp;$T399,"")&amp;IF($U399&lt;&gt;""," • "&amp;$U399,"")&amp;" • No Blockers"</f>
        <v/>
      </c>
    </row>
    <row r="400">
      <c r="A400" s="19" t="n"/>
      <c r="B400" s="19" t="n"/>
      <c r="C400" s="19" t="n"/>
      <c r="D400" s="19" t="n"/>
      <c r="E400" s="19" t="n"/>
      <c r="F400" s="19" t="n"/>
      <c r="G400" s="19" t="n"/>
      <c r="H400" s="19" t="n"/>
      <c r="I400" s="19" t="n"/>
      <c r="J400" s="19" t="n"/>
      <c r="K400" s="19" t="n"/>
      <c r="L400" s="125" t="n"/>
      <c r="M400" s="88">
        <f>IF($D400="","",IFERROR(VLOOKUP($H400,Lists!$N$2:$O$6,2,FALSE),0))</f>
        <v/>
      </c>
      <c r="N400" s="88">
        <f>IF($D400="","",IF(OR($E400="Blocked",$E400="Done",$E400="Archive"),-9999,IF(AND($E400="Waiting",SUMPRODUCT((($E$5:$E$500="Next")+($E$5:$E$500="In Progress")+($E$5:$E$500="Captured"))*($D$5:$D$500&lt;&gt;""))&gt;0),-500,VLOOKUP($F400,Lists!$L$2:$M$4,2,FALSE)+IF($E400="In Progress",10,0)+IF(AND($I400&lt;&gt;"",$I400&lt;TODAY()),25,0)+IF(AND($I400&lt;&gt;"",$I400&gt;=TODAY(),$I400&lt;=TODAY()+7),15,0)+IF($H400="",0,IF($M400&lt;=VLOOKUP(Home!$C$7,Lists!$N$2:$O$6,2,FALSE),20,-10))+IF($G400=Home!$E$7,15,IF(Home!$E$7="",0,-5))-ROW()/100000)))</f>
        <v/>
      </c>
      <c r="O400" s="88">
        <f>IF($D400="","",IF($N400&lt;=-500,"Not recommended right now",IF($E400="Waiting","Nothing else actionable right now — Waiting on: "&amp;IF($K400="","this item",$K400),MID($V400,4,9999))))</f>
        <v/>
      </c>
      <c r="P400" s="88">
        <f>IF($D400="","",IF('Task Finder'!$C$6="High Priority",AND($F400="High",$E400&lt;&gt;"Done",$E400&lt;&gt;"Archive"),IF('Task Finder'!$C$6="Due This Week",AND($I400&lt;&gt;"",$I400&gt;=TODAY(),$I400&lt;=TODAY()+7,$E400&lt;&gt;"Done"),IF('Task Finder'!$C$6="Quick Wins (15 mins or less)",AND($M400&lt;=15,$E400&lt;&gt;"Done",$E400&lt;&gt;"Blocked"),IF('Task Finder'!$C$6="Deep Thinking",AND($G400="Deep Thinking",$E400&lt;&gt;"Done"),IF('Task Finder'!$C$6="Processing",AND($G400="Processing",$E400&lt;&gt;"Done"),IF('Task Finder'!$C$6="Blocked",$E400="Blocked",IF('Task Finder'!$C$6="Waiting",$E400="Waiting",IF('Task Finder'!$C$6="Recently Updated",AND($L400&lt;&gt;"",$L400&gt;=TODAY()-7),IF('Task Finder'!$C$6="Keyword",AND('Task Finder'!$C$7&lt;&gt;"",OR(ISNUMBER(SEARCH('Task Finder'!$C$7,$A400)),ISNUMBER(SEARCH('Task Finder'!$C$7,$B400)),ISNUMBER(SEARCH('Task Finder'!$C$7,$C400)),ISNUMBER(SEARCH('Task Finder'!$C$7,$D400)),ISNUMBER(SEARCH('Task Finder'!$C$7,$K400)))),TRUE))))))))))</f>
        <v/>
      </c>
      <c r="Q400" s="150">
        <f>IF($F400="High","High Priority","")</f>
        <v/>
      </c>
      <c r="R400" s="150">
        <f>IF(AND($I400&lt;&gt;"",$I400&lt;TODAY()),"Overdue","")</f>
        <v/>
      </c>
      <c r="S400" s="150">
        <f>IF(AND($I400&lt;&gt;"",$I400&gt;=TODAY(),$I400&lt;=TODAY()+7),"Due This Week","")</f>
        <v/>
      </c>
      <c r="T400" s="150">
        <f>IF(AND($H400&lt;&gt;"",$M400&lt;=VLOOKUP(Home!$C$7,Lists!$N$2:$O$6,2,FALSE)),$H400&amp;" Task","")</f>
        <v/>
      </c>
      <c r="U400" s="150">
        <f>IF($G400=Home!$E$7,"Fits Current Energy","")</f>
        <v/>
      </c>
      <c r="V400" s="150">
        <f>IF($Q400&lt;&gt;""," • "&amp;$Q400,"")&amp;IF($R400&lt;&gt;""," • "&amp;$R400,"")&amp;IF($S400&lt;&gt;""," • "&amp;$S400,"")&amp;IF($T400&lt;&gt;""," • "&amp;$T400,"")&amp;IF($U400&lt;&gt;""," • "&amp;$U400,"")&amp;" • No Blockers"</f>
        <v/>
      </c>
    </row>
    <row r="401">
      <c r="A401" s="19" t="n"/>
      <c r="B401" s="19" t="n"/>
      <c r="C401" s="19" t="n"/>
      <c r="D401" s="19" t="n"/>
      <c r="E401" s="19" t="n"/>
      <c r="F401" s="19" t="n"/>
      <c r="G401" s="19" t="n"/>
      <c r="H401" s="19" t="n"/>
      <c r="I401" s="19" t="n"/>
      <c r="J401" s="19" t="n"/>
      <c r="K401" s="19" t="n"/>
      <c r="L401" s="125" t="n"/>
      <c r="M401" s="88">
        <f>IF($D401="","",IFERROR(VLOOKUP($H401,Lists!$N$2:$O$6,2,FALSE),0))</f>
        <v/>
      </c>
      <c r="N401" s="88">
        <f>IF($D401="","",IF(OR($E401="Blocked",$E401="Done",$E401="Archive"),-9999,IF(AND($E401="Waiting",SUMPRODUCT((($E$5:$E$500="Next")+($E$5:$E$500="In Progress")+($E$5:$E$500="Captured"))*($D$5:$D$500&lt;&gt;""))&gt;0),-500,VLOOKUP($F401,Lists!$L$2:$M$4,2,FALSE)+IF($E401="In Progress",10,0)+IF(AND($I401&lt;&gt;"",$I401&lt;TODAY()),25,0)+IF(AND($I401&lt;&gt;"",$I401&gt;=TODAY(),$I401&lt;=TODAY()+7),15,0)+IF($H401="",0,IF($M401&lt;=VLOOKUP(Home!$C$7,Lists!$N$2:$O$6,2,FALSE),20,-10))+IF($G401=Home!$E$7,15,IF(Home!$E$7="",0,-5))-ROW()/100000)))</f>
        <v/>
      </c>
      <c r="O401" s="88">
        <f>IF($D401="","",IF($N401&lt;=-500,"Not recommended right now",IF($E401="Waiting","Nothing else actionable right now — Waiting on: "&amp;IF($K401="","this item",$K401),MID($V401,4,9999))))</f>
        <v/>
      </c>
      <c r="P401" s="88">
        <f>IF($D401="","",IF('Task Finder'!$C$6="High Priority",AND($F401="High",$E401&lt;&gt;"Done",$E401&lt;&gt;"Archive"),IF('Task Finder'!$C$6="Due This Week",AND($I401&lt;&gt;"",$I401&gt;=TODAY(),$I401&lt;=TODAY()+7,$E401&lt;&gt;"Done"),IF('Task Finder'!$C$6="Quick Wins (15 mins or less)",AND($M401&lt;=15,$E401&lt;&gt;"Done",$E401&lt;&gt;"Blocked"),IF('Task Finder'!$C$6="Deep Thinking",AND($G401="Deep Thinking",$E401&lt;&gt;"Done"),IF('Task Finder'!$C$6="Processing",AND($G401="Processing",$E401&lt;&gt;"Done"),IF('Task Finder'!$C$6="Blocked",$E401="Blocked",IF('Task Finder'!$C$6="Waiting",$E401="Waiting",IF('Task Finder'!$C$6="Recently Updated",AND($L401&lt;&gt;"",$L401&gt;=TODAY()-7),IF('Task Finder'!$C$6="Keyword",AND('Task Finder'!$C$7&lt;&gt;"",OR(ISNUMBER(SEARCH('Task Finder'!$C$7,$A401)),ISNUMBER(SEARCH('Task Finder'!$C$7,$B401)),ISNUMBER(SEARCH('Task Finder'!$C$7,$C401)),ISNUMBER(SEARCH('Task Finder'!$C$7,$D401)),ISNUMBER(SEARCH('Task Finder'!$C$7,$K401)))),TRUE))))))))))</f>
        <v/>
      </c>
      <c r="Q401" s="150">
        <f>IF($F401="High","High Priority","")</f>
        <v/>
      </c>
      <c r="R401" s="150">
        <f>IF(AND($I401&lt;&gt;"",$I401&lt;TODAY()),"Overdue","")</f>
        <v/>
      </c>
      <c r="S401" s="150">
        <f>IF(AND($I401&lt;&gt;"",$I401&gt;=TODAY(),$I401&lt;=TODAY()+7),"Due This Week","")</f>
        <v/>
      </c>
      <c r="T401" s="150">
        <f>IF(AND($H401&lt;&gt;"",$M401&lt;=VLOOKUP(Home!$C$7,Lists!$N$2:$O$6,2,FALSE)),$H401&amp;" Task","")</f>
        <v/>
      </c>
      <c r="U401" s="150">
        <f>IF($G401=Home!$E$7,"Fits Current Energy","")</f>
        <v/>
      </c>
      <c r="V401" s="150">
        <f>IF($Q401&lt;&gt;""," • "&amp;$Q401,"")&amp;IF($R401&lt;&gt;""," • "&amp;$R401,"")&amp;IF($S401&lt;&gt;""," • "&amp;$S401,"")&amp;IF($T401&lt;&gt;""," • "&amp;$T401,"")&amp;IF($U401&lt;&gt;""," • "&amp;$U401,"")&amp;" • No Blockers"</f>
        <v/>
      </c>
    </row>
    <row r="402">
      <c r="A402" s="19" t="n"/>
      <c r="B402" s="19" t="n"/>
      <c r="C402" s="19" t="n"/>
      <c r="D402" s="19" t="n"/>
      <c r="E402" s="19" t="n"/>
      <c r="F402" s="19" t="n"/>
      <c r="G402" s="19" t="n"/>
      <c r="H402" s="19" t="n"/>
      <c r="I402" s="19" t="n"/>
      <c r="J402" s="19" t="n"/>
      <c r="K402" s="19" t="n"/>
      <c r="L402" s="125" t="n"/>
      <c r="M402" s="88">
        <f>IF($D402="","",IFERROR(VLOOKUP($H402,Lists!$N$2:$O$6,2,FALSE),0))</f>
        <v/>
      </c>
      <c r="N402" s="88">
        <f>IF($D402="","",IF(OR($E402="Blocked",$E402="Done",$E402="Archive"),-9999,IF(AND($E402="Waiting",SUMPRODUCT((($E$5:$E$500="Next")+($E$5:$E$500="In Progress")+($E$5:$E$500="Captured"))*($D$5:$D$500&lt;&gt;""))&gt;0),-500,VLOOKUP($F402,Lists!$L$2:$M$4,2,FALSE)+IF($E402="In Progress",10,0)+IF(AND($I402&lt;&gt;"",$I402&lt;TODAY()),25,0)+IF(AND($I402&lt;&gt;"",$I402&gt;=TODAY(),$I402&lt;=TODAY()+7),15,0)+IF($H402="",0,IF($M402&lt;=VLOOKUP(Home!$C$7,Lists!$N$2:$O$6,2,FALSE),20,-10))+IF($G402=Home!$E$7,15,IF(Home!$E$7="",0,-5))-ROW()/100000)))</f>
        <v/>
      </c>
      <c r="O402" s="88">
        <f>IF($D402="","",IF($N402&lt;=-500,"Not recommended right now",IF($E402="Waiting","Nothing else actionable right now — Waiting on: "&amp;IF($K402="","this item",$K402),MID($V402,4,9999))))</f>
        <v/>
      </c>
      <c r="P402" s="88">
        <f>IF($D402="","",IF('Task Finder'!$C$6="High Priority",AND($F402="High",$E402&lt;&gt;"Done",$E402&lt;&gt;"Archive"),IF('Task Finder'!$C$6="Due This Week",AND($I402&lt;&gt;"",$I402&gt;=TODAY(),$I402&lt;=TODAY()+7,$E402&lt;&gt;"Done"),IF('Task Finder'!$C$6="Quick Wins (15 mins or less)",AND($M402&lt;=15,$E402&lt;&gt;"Done",$E402&lt;&gt;"Blocked"),IF('Task Finder'!$C$6="Deep Thinking",AND($G402="Deep Thinking",$E402&lt;&gt;"Done"),IF('Task Finder'!$C$6="Processing",AND($G402="Processing",$E402&lt;&gt;"Done"),IF('Task Finder'!$C$6="Blocked",$E402="Blocked",IF('Task Finder'!$C$6="Waiting",$E402="Waiting",IF('Task Finder'!$C$6="Recently Updated",AND($L402&lt;&gt;"",$L402&gt;=TODAY()-7),IF('Task Finder'!$C$6="Keyword",AND('Task Finder'!$C$7&lt;&gt;"",OR(ISNUMBER(SEARCH('Task Finder'!$C$7,$A402)),ISNUMBER(SEARCH('Task Finder'!$C$7,$B402)),ISNUMBER(SEARCH('Task Finder'!$C$7,$C402)),ISNUMBER(SEARCH('Task Finder'!$C$7,$D402)),ISNUMBER(SEARCH('Task Finder'!$C$7,$K402)))),TRUE))))))))))</f>
        <v/>
      </c>
      <c r="Q402" s="150">
        <f>IF($F402="High","High Priority","")</f>
        <v/>
      </c>
      <c r="R402" s="150">
        <f>IF(AND($I402&lt;&gt;"",$I402&lt;TODAY()),"Overdue","")</f>
        <v/>
      </c>
      <c r="S402" s="150">
        <f>IF(AND($I402&lt;&gt;"",$I402&gt;=TODAY(),$I402&lt;=TODAY()+7),"Due This Week","")</f>
        <v/>
      </c>
      <c r="T402" s="150">
        <f>IF(AND($H402&lt;&gt;"",$M402&lt;=VLOOKUP(Home!$C$7,Lists!$N$2:$O$6,2,FALSE)),$H402&amp;" Task","")</f>
        <v/>
      </c>
      <c r="U402" s="150">
        <f>IF($G402=Home!$E$7,"Fits Current Energy","")</f>
        <v/>
      </c>
      <c r="V402" s="150">
        <f>IF($Q402&lt;&gt;""," • "&amp;$Q402,"")&amp;IF($R402&lt;&gt;""," • "&amp;$R402,"")&amp;IF($S402&lt;&gt;""," • "&amp;$S402,"")&amp;IF($T402&lt;&gt;""," • "&amp;$T402,"")&amp;IF($U402&lt;&gt;""," • "&amp;$U402,"")&amp;" • No Blockers"</f>
        <v/>
      </c>
    </row>
    <row r="403">
      <c r="A403" s="19" t="n"/>
      <c r="B403" s="19" t="n"/>
      <c r="C403" s="19" t="n"/>
      <c r="D403" s="19" t="n"/>
      <c r="E403" s="19" t="n"/>
      <c r="F403" s="19" t="n"/>
      <c r="G403" s="19" t="n"/>
      <c r="H403" s="19" t="n"/>
      <c r="I403" s="19" t="n"/>
      <c r="J403" s="19" t="n"/>
      <c r="K403" s="19" t="n"/>
      <c r="L403" s="125" t="n"/>
      <c r="M403" s="88">
        <f>IF($D403="","",IFERROR(VLOOKUP($H403,Lists!$N$2:$O$6,2,FALSE),0))</f>
        <v/>
      </c>
      <c r="N403" s="88">
        <f>IF($D403="","",IF(OR($E403="Blocked",$E403="Done",$E403="Archive"),-9999,IF(AND($E403="Waiting",SUMPRODUCT((($E$5:$E$500="Next")+($E$5:$E$500="In Progress")+($E$5:$E$500="Captured"))*($D$5:$D$500&lt;&gt;""))&gt;0),-500,VLOOKUP($F403,Lists!$L$2:$M$4,2,FALSE)+IF($E403="In Progress",10,0)+IF(AND($I403&lt;&gt;"",$I403&lt;TODAY()),25,0)+IF(AND($I403&lt;&gt;"",$I403&gt;=TODAY(),$I403&lt;=TODAY()+7),15,0)+IF($H403="",0,IF($M403&lt;=VLOOKUP(Home!$C$7,Lists!$N$2:$O$6,2,FALSE),20,-10))+IF($G403=Home!$E$7,15,IF(Home!$E$7="",0,-5))-ROW()/100000)))</f>
        <v/>
      </c>
      <c r="O403" s="88">
        <f>IF($D403="","",IF($N403&lt;=-500,"Not recommended right now",IF($E403="Waiting","Nothing else actionable right now — Waiting on: "&amp;IF($K403="","this item",$K403),MID($V403,4,9999))))</f>
        <v/>
      </c>
      <c r="P403" s="88">
        <f>IF($D403="","",IF('Task Finder'!$C$6="High Priority",AND($F403="High",$E403&lt;&gt;"Done",$E403&lt;&gt;"Archive"),IF('Task Finder'!$C$6="Due This Week",AND($I403&lt;&gt;"",$I403&gt;=TODAY(),$I403&lt;=TODAY()+7,$E403&lt;&gt;"Done"),IF('Task Finder'!$C$6="Quick Wins (15 mins or less)",AND($M403&lt;=15,$E403&lt;&gt;"Done",$E403&lt;&gt;"Blocked"),IF('Task Finder'!$C$6="Deep Thinking",AND($G403="Deep Thinking",$E403&lt;&gt;"Done"),IF('Task Finder'!$C$6="Processing",AND($G403="Processing",$E403&lt;&gt;"Done"),IF('Task Finder'!$C$6="Blocked",$E403="Blocked",IF('Task Finder'!$C$6="Waiting",$E403="Waiting",IF('Task Finder'!$C$6="Recently Updated",AND($L403&lt;&gt;"",$L403&gt;=TODAY()-7),IF('Task Finder'!$C$6="Keyword",AND('Task Finder'!$C$7&lt;&gt;"",OR(ISNUMBER(SEARCH('Task Finder'!$C$7,$A403)),ISNUMBER(SEARCH('Task Finder'!$C$7,$B403)),ISNUMBER(SEARCH('Task Finder'!$C$7,$C403)),ISNUMBER(SEARCH('Task Finder'!$C$7,$D403)),ISNUMBER(SEARCH('Task Finder'!$C$7,$K403)))),TRUE))))))))))</f>
        <v/>
      </c>
      <c r="Q403" s="150">
        <f>IF($F403="High","High Priority","")</f>
        <v/>
      </c>
      <c r="R403" s="150">
        <f>IF(AND($I403&lt;&gt;"",$I403&lt;TODAY()),"Overdue","")</f>
        <v/>
      </c>
      <c r="S403" s="150">
        <f>IF(AND($I403&lt;&gt;"",$I403&gt;=TODAY(),$I403&lt;=TODAY()+7),"Due This Week","")</f>
        <v/>
      </c>
      <c r="T403" s="150">
        <f>IF(AND($H403&lt;&gt;"",$M403&lt;=VLOOKUP(Home!$C$7,Lists!$N$2:$O$6,2,FALSE)),$H403&amp;" Task","")</f>
        <v/>
      </c>
      <c r="U403" s="150">
        <f>IF($G403=Home!$E$7,"Fits Current Energy","")</f>
        <v/>
      </c>
      <c r="V403" s="150">
        <f>IF($Q403&lt;&gt;""," • "&amp;$Q403,"")&amp;IF($R403&lt;&gt;""," • "&amp;$R403,"")&amp;IF($S403&lt;&gt;""," • "&amp;$S403,"")&amp;IF($T403&lt;&gt;""," • "&amp;$T403,"")&amp;IF($U403&lt;&gt;""," • "&amp;$U403,"")&amp;" • No Blockers"</f>
        <v/>
      </c>
    </row>
    <row r="404">
      <c r="A404" s="19" t="n"/>
      <c r="B404" s="19" t="n"/>
      <c r="C404" s="19" t="n"/>
      <c r="D404" s="19" t="n"/>
      <c r="E404" s="19" t="n"/>
      <c r="F404" s="19" t="n"/>
      <c r="G404" s="19" t="n"/>
      <c r="H404" s="19" t="n"/>
      <c r="I404" s="19" t="n"/>
      <c r="J404" s="19" t="n"/>
      <c r="K404" s="19" t="n"/>
      <c r="L404" s="125" t="n"/>
      <c r="M404" s="88">
        <f>IF($D404="","",IFERROR(VLOOKUP($H404,Lists!$N$2:$O$6,2,FALSE),0))</f>
        <v/>
      </c>
      <c r="N404" s="88">
        <f>IF($D404="","",IF(OR($E404="Blocked",$E404="Done",$E404="Archive"),-9999,IF(AND($E404="Waiting",SUMPRODUCT((($E$5:$E$500="Next")+($E$5:$E$500="In Progress")+($E$5:$E$500="Captured"))*($D$5:$D$500&lt;&gt;""))&gt;0),-500,VLOOKUP($F404,Lists!$L$2:$M$4,2,FALSE)+IF($E404="In Progress",10,0)+IF(AND($I404&lt;&gt;"",$I404&lt;TODAY()),25,0)+IF(AND($I404&lt;&gt;"",$I404&gt;=TODAY(),$I404&lt;=TODAY()+7),15,0)+IF($H404="",0,IF($M404&lt;=VLOOKUP(Home!$C$7,Lists!$N$2:$O$6,2,FALSE),20,-10))+IF($G404=Home!$E$7,15,IF(Home!$E$7="",0,-5))-ROW()/100000)))</f>
        <v/>
      </c>
      <c r="O404" s="88">
        <f>IF($D404="","",IF($N404&lt;=-500,"Not recommended right now",IF($E404="Waiting","Nothing else actionable right now — Waiting on: "&amp;IF($K404="","this item",$K404),MID($V404,4,9999))))</f>
        <v/>
      </c>
      <c r="P404" s="88">
        <f>IF($D404="","",IF('Task Finder'!$C$6="High Priority",AND($F404="High",$E404&lt;&gt;"Done",$E404&lt;&gt;"Archive"),IF('Task Finder'!$C$6="Due This Week",AND($I404&lt;&gt;"",$I404&gt;=TODAY(),$I404&lt;=TODAY()+7,$E404&lt;&gt;"Done"),IF('Task Finder'!$C$6="Quick Wins (15 mins or less)",AND($M404&lt;=15,$E404&lt;&gt;"Done",$E404&lt;&gt;"Blocked"),IF('Task Finder'!$C$6="Deep Thinking",AND($G404="Deep Thinking",$E404&lt;&gt;"Done"),IF('Task Finder'!$C$6="Processing",AND($G404="Processing",$E404&lt;&gt;"Done"),IF('Task Finder'!$C$6="Blocked",$E404="Blocked",IF('Task Finder'!$C$6="Waiting",$E404="Waiting",IF('Task Finder'!$C$6="Recently Updated",AND($L404&lt;&gt;"",$L404&gt;=TODAY()-7),IF('Task Finder'!$C$6="Keyword",AND('Task Finder'!$C$7&lt;&gt;"",OR(ISNUMBER(SEARCH('Task Finder'!$C$7,$A404)),ISNUMBER(SEARCH('Task Finder'!$C$7,$B404)),ISNUMBER(SEARCH('Task Finder'!$C$7,$C404)),ISNUMBER(SEARCH('Task Finder'!$C$7,$D404)),ISNUMBER(SEARCH('Task Finder'!$C$7,$K404)))),TRUE))))))))))</f>
        <v/>
      </c>
      <c r="Q404" s="150">
        <f>IF($F404="High","High Priority","")</f>
        <v/>
      </c>
      <c r="R404" s="150">
        <f>IF(AND($I404&lt;&gt;"",$I404&lt;TODAY()),"Overdue","")</f>
        <v/>
      </c>
      <c r="S404" s="150">
        <f>IF(AND($I404&lt;&gt;"",$I404&gt;=TODAY(),$I404&lt;=TODAY()+7),"Due This Week","")</f>
        <v/>
      </c>
      <c r="T404" s="150">
        <f>IF(AND($H404&lt;&gt;"",$M404&lt;=VLOOKUP(Home!$C$7,Lists!$N$2:$O$6,2,FALSE)),$H404&amp;" Task","")</f>
        <v/>
      </c>
      <c r="U404" s="150">
        <f>IF($G404=Home!$E$7,"Fits Current Energy","")</f>
        <v/>
      </c>
      <c r="V404" s="150">
        <f>IF($Q404&lt;&gt;""," • "&amp;$Q404,"")&amp;IF($R404&lt;&gt;""," • "&amp;$R404,"")&amp;IF($S404&lt;&gt;""," • "&amp;$S404,"")&amp;IF($T404&lt;&gt;""," • "&amp;$T404,"")&amp;IF($U404&lt;&gt;""," • "&amp;$U404,"")&amp;" • No Blockers"</f>
        <v/>
      </c>
    </row>
    <row r="405">
      <c r="A405" s="19" t="n"/>
      <c r="B405" s="19" t="n"/>
      <c r="C405" s="19" t="n"/>
      <c r="D405" s="19" t="n"/>
      <c r="E405" s="19" t="n"/>
      <c r="F405" s="19" t="n"/>
      <c r="G405" s="19" t="n"/>
      <c r="H405" s="19" t="n"/>
      <c r="I405" s="19" t="n"/>
      <c r="J405" s="19" t="n"/>
      <c r="K405" s="19" t="n"/>
      <c r="L405" s="125" t="n"/>
      <c r="M405" s="88">
        <f>IF($D405="","",IFERROR(VLOOKUP($H405,Lists!$N$2:$O$6,2,FALSE),0))</f>
        <v/>
      </c>
      <c r="N405" s="88">
        <f>IF($D405="","",IF(OR($E405="Blocked",$E405="Done",$E405="Archive"),-9999,IF(AND($E405="Waiting",SUMPRODUCT((($E$5:$E$500="Next")+($E$5:$E$500="In Progress")+($E$5:$E$500="Captured"))*($D$5:$D$500&lt;&gt;""))&gt;0),-500,VLOOKUP($F405,Lists!$L$2:$M$4,2,FALSE)+IF($E405="In Progress",10,0)+IF(AND($I405&lt;&gt;"",$I405&lt;TODAY()),25,0)+IF(AND($I405&lt;&gt;"",$I405&gt;=TODAY(),$I405&lt;=TODAY()+7),15,0)+IF($H405="",0,IF($M405&lt;=VLOOKUP(Home!$C$7,Lists!$N$2:$O$6,2,FALSE),20,-10))+IF($G405=Home!$E$7,15,IF(Home!$E$7="",0,-5))-ROW()/100000)))</f>
        <v/>
      </c>
      <c r="O405" s="88">
        <f>IF($D405="","",IF($N405&lt;=-500,"Not recommended right now",IF($E405="Waiting","Nothing else actionable right now — Waiting on: "&amp;IF($K405="","this item",$K405),MID($V405,4,9999))))</f>
        <v/>
      </c>
      <c r="P405" s="88">
        <f>IF($D405="","",IF('Task Finder'!$C$6="High Priority",AND($F405="High",$E405&lt;&gt;"Done",$E405&lt;&gt;"Archive"),IF('Task Finder'!$C$6="Due This Week",AND($I405&lt;&gt;"",$I405&gt;=TODAY(),$I405&lt;=TODAY()+7,$E405&lt;&gt;"Done"),IF('Task Finder'!$C$6="Quick Wins (15 mins or less)",AND($M405&lt;=15,$E405&lt;&gt;"Done",$E405&lt;&gt;"Blocked"),IF('Task Finder'!$C$6="Deep Thinking",AND($G405="Deep Thinking",$E405&lt;&gt;"Done"),IF('Task Finder'!$C$6="Processing",AND($G405="Processing",$E405&lt;&gt;"Done"),IF('Task Finder'!$C$6="Blocked",$E405="Blocked",IF('Task Finder'!$C$6="Waiting",$E405="Waiting",IF('Task Finder'!$C$6="Recently Updated",AND($L405&lt;&gt;"",$L405&gt;=TODAY()-7),IF('Task Finder'!$C$6="Keyword",AND('Task Finder'!$C$7&lt;&gt;"",OR(ISNUMBER(SEARCH('Task Finder'!$C$7,$A405)),ISNUMBER(SEARCH('Task Finder'!$C$7,$B405)),ISNUMBER(SEARCH('Task Finder'!$C$7,$C405)),ISNUMBER(SEARCH('Task Finder'!$C$7,$D405)),ISNUMBER(SEARCH('Task Finder'!$C$7,$K405)))),TRUE))))))))))</f>
        <v/>
      </c>
      <c r="Q405" s="150">
        <f>IF($F405="High","High Priority","")</f>
        <v/>
      </c>
      <c r="R405" s="150">
        <f>IF(AND($I405&lt;&gt;"",$I405&lt;TODAY()),"Overdue","")</f>
        <v/>
      </c>
      <c r="S405" s="150">
        <f>IF(AND($I405&lt;&gt;"",$I405&gt;=TODAY(),$I405&lt;=TODAY()+7),"Due This Week","")</f>
        <v/>
      </c>
      <c r="T405" s="150">
        <f>IF(AND($H405&lt;&gt;"",$M405&lt;=VLOOKUP(Home!$C$7,Lists!$N$2:$O$6,2,FALSE)),$H405&amp;" Task","")</f>
        <v/>
      </c>
      <c r="U405" s="150">
        <f>IF($G405=Home!$E$7,"Fits Current Energy","")</f>
        <v/>
      </c>
      <c r="V405" s="150">
        <f>IF($Q405&lt;&gt;""," • "&amp;$Q405,"")&amp;IF($R405&lt;&gt;""," • "&amp;$R405,"")&amp;IF($S405&lt;&gt;""," • "&amp;$S405,"")&amp;IF($T405&lt;&gt;""," • "&amp;$T405,"")&amp;IF($U405&lt;&gt;""," • "&amp;$U405,"")&amp;" • No Blockers"</f>
        <v/>
      </c>
    </row>
    <row r="406">
      <c r="A406" s="19" t="n"/>
      <c r="B406" s="19" t="n"/>
      <c r="C406" s="19" t="n"/>
      <c r="D406" s="19" t="n"/>
      <c r="E406" s="19" t="n"/>
      <c r="F406" s="19" t="n"/>
      <c r="G406" s="19" t="n"/>
      <c r="H406" s="19" t="n"/>
      <c r="I406" s="19" t="n"/>
      <c r="J406" s="19" t="n"/>
      <c r="K406" s="19" t="n"/>
      <c r="L406" s="125" t="n"/>
      <c r="M406" s="88">
        <f>IF($D406="","",IFERROR(VLOOKUP($H406,Lists!$N$2:$O$6,2,FALSE),0))</f>
        <v/>
      </c>
      <c r="N406" s="88">
        <f>IF($D406="","",IF(OR($E406="Blocked",$E406="Done",$E406="Archive"),-9999,IF(AND($E406="Waiting",SUMPRODUCT((($E$5:$E$500="Next")+($E$5:$E$500="In Progress")+($E$5:$E$500="Captured"))*($D$5:$D$500&lt;&gt;""))&gt;0),-500,VLOOKUP($F406,Lists!$L$2:$M$4,2,FALSE)+IF($E406="In Progress",10,0)+IF(AND($I406&lt;&gt;"",$I406&lt;TODAY()),25,0)+IF(AND($I406&lt;&gt;"",$I406&gt;=TODAY(),$I406&lt;=TODAY()+7),15,0)+IF($H406="",0,IF($M406&lt;=VLOOKUP(Home!$C$7,Lists!$N$2:$O$6,2,FALSE),20,-10))+IF($G406=Home!$E$7,15,IF(Home!$E$7="",0,-5))-ROW()/100000)))</f>
        <v/>
      </c>
      <c r="O406" s="88">
        <f>IF($D406="","",IF($N406&lt;=-500,"Not recommended right now",IF($E406="Waiting","Nothing else actionable right now — Waiting on: "&amp;IF($K406="","this item",$K406),MID($V406,4,9999))))</f>
        <v/>
      </c>
      <c r="P406" s="88">
        <f>IF($D406="","",IF('Task Finder'!$C$6="High Priority",AND($F406="High",$E406&lt;&gt;"Done",$E406&lt;&gt;"Archive"),IF('Task Finder'!$C$6="Due This Week",AND($I406&lt;&gt;"",$I406&gt;=TODAY(),$I406&lt;=TODAY()+7,$E406&lt;&gt;"Done"),IF('Task Finder'!$C$6="Quick Wins (15 mins or less)",AND($M406&lt;=15,$E406&lt;&gt;"Done",$E406&lt;&gt;"Blocked"),IF('Task Finder'!$C$6="Deep Thinking",AND($G406="Deep Thinking",$E406&lt;&gt;"Done"),IF('Task Finder'!$C$6="Processing",AND($G406="Processing",$E406&lt;&gt;"Done"),IF('Task Finder'!$C$6="Blocked",$E406="Blocked",IF('Task Finder'!$C$6="Waiting",$E406="Waiting",IF('Task Finder'!$C$6="Recently Updated",AND($L406&lt;&gt;"",$L406&gt;=TODAY()-7),IF('Task Finder'!$C$6="Keyword",AND('Task Finder'!$C$7&lt;&gt;"",OR(ISNUMBER(SEARCH('Task Finder'!$C$7,$A406)),ISNUMBER(SEARCH('Task Finder'!$C$7,$B406)),ISNUMBER(SEARCH('Task Finder'!$C$7,$C406)),ISNUMBER(SEARCH('Task Finder'!$C$7,$D406)),ISNUMBER(SEARCH('Task Finder'!$C$7,$K406)))),TRUE))))))))))</f>
        <v/>
      </c>
      <c r="Q406" s="150">
        <f>IF($F406="High","High Priority","")</f>
        <v/>
      </c>
      <c r="R406" s="150">
        <f>IF(AND($I406&lt;&gt;"",$I406&lt;TODAY()),"Overdue","")</f>
        <v/>
      </c>
      <c r="S406" s="150">
        <f>IF(AND($I406&lt;&gt;"",$I406&gt;=TODAY(),$I406&lt;=TODAY()+7),"Due This Week","")</f>
        <v/>
      </c>
      <c r="T406" s="150">
        <f>IF(AND($H406&lt;&gt;"",$M406&lt;=VLOOKUP(Home!$C$7,Lists!$N$2:$O$6,2,FALSE)),$H406&amp;" Task","")</f>
        <v/>
      </c>
      <c r="U406" s="150">
        <f>IF($G406=Home!$E$7,"Fits Current Energy","")</f>
        <v/>
      </c>
      <c r="V406" s="150">
        <f>IF($Q406&lt;&gt;""," • "&amp;$Q406,"")&amp;IF($R406&lt;&gt;""," • "&amp;$R406,"")&amp;IF($S406&lt;&gt;""," • "&amp;$S406,"")&amp;IF($T406&lt;&gt;""," • "&amp;$T406,"")&amp;IF($U406&lt;&gt;""," • "&amp;$U406,"")&amp;" • No Blockers"</f>
        <v/>
      </c>
    </row>
    <row r="407">
      <c r="A407" s="19" t="n"/>
      <c r="B407" s="19" t="n"/>
      <c r="C407" s="19" t="n"/>
      <c r="D407" s="19" t="n"/>
      <c r="E407" s="19" t="n"/>
      <c r="F407" s="19" t="n"/>
      <c r="G407" s="19" t="n"/>
      <c r="H407" s="19" t="n"/>
      <c r="I407" s="19" t="n"/>
      <c r="J407" s="19" t="n"/>
      <c r="K407" s="19" t="n"/>
      <c r="L407" s="125" t="n"/>
      <c r="M407" s="88">
        <f>IF($D407="","",IFERROR(VLOOKUP($H407,Lists!$N$2:$O$6,2,FALSE),0))</f>
        <v/>
      </c>
      <c r="N407" s="88">
        <f>IF($D407="","",IF(OR($E407="Blocked",$E407="Done",$E407="Archive"),-9999,IF(AND($E407="Waiting",SUMPRODUCT((($E$5:$E$500="Next")+($E$5:$E$500="In Progress")+($E$5:$E$500="Captured"))*($D$5:$D$500&lt;&gt;""))&gt;0),-500,VLOOKUP($F407,Lists!$L$2:$M$4,2,FALSE)+IF($E407="In Progress",10,0)+IF(AND($I407&lt;&gt;"",$I407&lt;TODAY()),25,0)+IF(AND($I407&lt;&gt;"",$I407&gt;=TODAY(),$I407&lt;=TODAY()+7),15,0)+IF($H407="",0,IF($M407&lt;=VLOOKUP(Home!$C$7,Lists!$N$2:$O$6,2,FALSE),20,-10))+IF($G407=Home!$E$7,15,IF(Home!$E$7="",0,-5))-ROW()/100000)))</f>
        <v/>
      </c>
      <c r="O407" s="88">
        <f>IF($D407="","",IF($N407&lt;=-500,"Not recommended right now",IF($E407="Waiting","Nothing else actionable right now — Waiting on: "&amp;IF($K407="","this item",$K407),MID($V407,4,9999))))</f>
        <v/>
      </c>
      <c r="P407" s="88">
        <f>IF($D407="","",IF('Task Finder'!$C$6="High Priority",AND($F407="High",$E407&lt;&gt;"Done",$E407&lt;&gt;"Archive"),IF('Task Finder'!$C$6="Due This Week",AND($I407&lt;&gt;"",$I407&gt;=TODAY(),$I407&lt;=TODAY()+7,$E407&lt;&gt;"Done"),IF('Task Finder'!$C$6="Quick Wins (15 mins or less)",AND($M407&lt;=15,$E407&lt;&gt;"Done",$E407&lt;&gt;"Blocked"),IF('Task Finder'!$C$6="Deep Thinking",AND($G407="Deep Thinking",$E407&lt;&gt;"Done"),IF('Task Finder'!$C$6="Processing",AND($G407="Processing",$E407&lt;&gt;"Done"),IF('Task Finder'!$C$6="Blocked",$E407="Blocked",IF('Task Finder'!$C$6="Waiting",$E407="Waiting",IF('Task Finder'!$C$6="Recently Updated",AND($L407&lt;&gt;"",$L407&gt;=TODAY()-7),IF('Task Finder'!$C$6="Keyword",AND('Task Finder'!$C$7&lt;&gt;"",OR(ISNUMBER(SEARCH('Task Finder'!$C$7,$A407)),ISNUMBER(SEARCH('Task Finder'!$C$7,$B407)),ISNUMBER(SEARCH('Task Finder'!$C$7,$C407)),ISNUMBER(SEARCH('Task Finder'!$C$7,$D407)),ISNUMBER(SEARCH('Task Finder'!$C$7,$K407)))),TRUE))))))))))</f>
        <v/>
      </c>
      <c r="Q407" s="150">
        <f>IF($F407="High","High Priority","")</f>
        <v/>
      </c>
      <c r="R407" s="150">
        <f>IF(AND($I407&lt;&gt;"",$I407&lt;TODAY()),"Overdue","")</f>
        <v/>
      </c>
      <c r="S407" s="150">
        <f>IF(AND($I407&lt;&gt;"",$I407&gt;=TODAY(),$I407&lt;=TODAY()+7),"Due This Week","")</f>
        <v/>
      </c>
      <c r="T407" s="150">
        <f>IF(AND($H407&lt;&gt;"",$M407&lt;=VLOOKUP(Home!$C$7,Lists!$N$2:$O$6,2,FALSE)),$H407&amp;" Task","")</f>
        <v/>
      </c>
      <c r="U407" s="150">
        <f>IF($G407=Home!$E$7,"Fits Current Energy","")</f>
        <v/>
      </c>
      <c r="V407" s="150">
        <f>IF($Q407&lt;&gt;""," • "&amp;$Q407,"")&amp;IF($R407&lt;&gt;""," • "&amp;$R407,"")&amp;IF($S407&lt;&gt;""," • "&amp;$S407,"")&amp;IF($T407&lt;&gt;""," • "&amp;$T407,"")&amp;IF($U407&lt;&gt;""," • "&amp;$U407,"")&amp;" • No Blockers"</f>
        <v/>
      </c>
    </row>
    <row r="408">
      <c r="A408" s="19" t="n"/>
      <c r="B408" s="19" t="n"/>
      <c r="C408" s="19" t="n"/>
      <c r="D408" s="19" t="n"/>
      <c r="E408" s="19" t="n"/>
      <c r="F408" s="19" t="n"/>
      <c r="G408" s="19" t="n"/>
      <c r="H408" s="19" t="n"/>
      <c r="I408" s="19" t="n"/>
      <c r="J408" s="19" t="n"/>
      <c r="K408" s="19" t="n"/>
      <c r="L408" s="125" t="n"/>
      <c r="M408" s="88">
        <f>IF($D408="","",IFERROR(VLOOKUP($H408,Lists!$N$2:$O$6,2,FALSE),0))</f>
        <v/>
      </c>
      <c r="N408" s="88">
        <f>IF($D408="","",IF(OR($E408="Blocked",$E408="Done",$E408="Archive"),-9999,IF(AND($E408="Waiting",SUMPRODUCT((($E$5:$E$500="Next")+($E$5:$E$500="In Progress")+($E$5:$E$500="Captured"))*($D$5:$D$500&lt;&gt;""))&gt;0),-500,VLOOKUP($F408,Lists!$L$2:$M$4,2,FALSE)+IF($E408="In Progress",10,0)+IF(AND($I408&lt;&gt;"",$I408&lt;TODAY()),25,0)+IF(AND($I408&lt;&gt;"",$I408&gt;=TODAY(),$I408&lt;=TODAY()+7),15,0)+IF($H408="",0,IF($M408&lt;=VLOOKUP(Home!$C$7,Lists!$N$2:$O$6,2,FALSE),20,-10))+IF($G408=Home!$E$7,15,IF(Home!$E$7="",0,-5))-ROW()/100000)))</f>
        <v/>
      </c>
      <c r="O408" s="88">
        <f>IF($D408="","",IF($N408&lt;=-500,"Not recommended right now",IF($E408="Waiting","Nothing else actionable right now — Waiting on: "&amp;IF($K408="","this item",$K408),MID($V408,4,9999))))</f>
        <v/>
      </c>
      <c r="P408" s="88">
        <f>IF($D408="","",IF('Task Finder'!$C$6="High Priority",AND($F408="High",$E408&lt;&gt;"Done",$E408&lt;&gt;"Archive"),IF('Task Finder'!$C$6="Due This Week",AND($I408&lt;&gt;"",$I408&gt;=TODAY(),$I408&lt;=TODAY()+7,$E408&lt;&gt;"Done"),IF('Task Finder'!$C$6="Quick Wins (15 mins or less)",AND($M408&lt;=15,$E408&lt;&gt;"Done",$E408&lt;&gt;"Blocked"),IF('Task Finder'!$C$6="Deep Thinking",AND($G408="Deep Thinking",$E408&lt;&gt;"Done"),IF('Task Finder'!$C$6="Processing",AND($G408="Processing",$E408&lt;&gt;"Done"),IF('Task Finder'!$C$6="Blocked",$E408="Blocked",IF('Task Finder'!$C$6="Waiting",$E408="Waiting",IF('Task Finder'!$C$6="Recently Updated",AND($L408&lt;&gt;"",$L408&gt;=TODAY()-7),IF('Task Finder'!$C$6="Keyword",AND('Task Finder'!$C$7&lt;&gt;"",OR(ISNUMBER(SEARCH('Task Finder'!$C$7,$A408)),ISNUMBER(SEARCH('Task Finder'!$C$7,$B408)),ISNUMBER(SEARCH('Task Finder'!$C$7,$C408)),ISNUMBER(SEARCH('Task Finder'!$C$7,$D408)),ISNUMBER(SEARCH('Task Finder'!$C$7,$K408)))),TRUE))))))))))</f>
        <v/>
      </c>
      <c r="Q408" s="150">
        <f>IF($F408="High","High Priority","")</f>
        <v/>
      </c>
      <c r="R408" s="150">
        <f>IF(AND($I408&lt;&gt;"",$I408&lt;TODAY()),"Overdue","")</f>
        <v/>
      </c>
      <c r="S408" s="150">
        <f>IF(AND($I408&lt;&gt;"",$I408&gt;=TODAY(),$I408&lt;=TODAY()+7),"Due This Week","")</f>
        <v/>
      </c>
      <c r="T408" s="150">
        <f>IF(AND($H408&lt;&gt;"",$M408&lt;=VLOOKUP(Home!$C$7,Lists!$N$2:$O$6,2,FALSE)),$H408&amp;" Task","")</f>
        <v/>
      </c>
      <c r="U408" s="150">
        <f>IF($G408=Home!$E$7,"Fits Current Energy","")</f>
        <v/>
      </c>
      <c r="V408" s="150">
        <f>IF($Q408&lt;&gt;""," • "&amp;$Q408,"")&amp;IF($R408&lt;&gt;""," • "&amp;$R408,"")&amp;IF($S408&lt;&gt;""," • "&amp;$S408,"")&amp;IF($T408&lt;&gt;""," • "&amp;$T408,"")&amp;IF($U408&lt;&gt;""," • "&amp;$U408,"")&amp;" • No Blockers"</f>
        <v/>
      </c>
    </row>
    <row r="409">
      <c r="A409" s="19" t="n"/>
      <c r="B409" s="19" t="n"/>
      <c r="C409" s="19" t="n"/>
      <c r="D409" s="19" t="n"/>
      <c r="E409" s="19" t="n"/>
      <c r="F409" s="19" t="n"/>
      <c r="G409" s="19" t="n"/>
      <c r="H409" s="19" t="n"/>
      <c r="I409" s="19" t="n"/>
      <c r="J409" s="19" t="n"/>
      <c r="K409" s="19" t="n"/>
      <c r="L409" s="125" t="n"/>
      <c r="M409" s="88">
        <f>IF($D409="","",IFERROR(VLOOKUP($H409,Lists!$N$2:$O$6,2,FALSE),0))</f>
        <v/>
      </c>
      <c r="N409" s="88">
        <f>IF($D409="","",IF(OR($E409="Blocked",$E409="Done",$E409="Archive"),-9999,IF(AND($E409="Waiting",SUMPRODUCT((($E$5:$E$500="Next")+($E$5:$E$500="In Progress")+($E$5:$E$500="Captured"))*($D$5:$D$500&lt;&gt;""))&gt;0),-500,VLOOKUP($F409,Lists!$L$2:$M$4,2,FALSE)+IF($E409="In Progress",10,0)+IF(AND($I409&lt;&gt;"",$I409&lt;TODAY()),25,0)+IF(AND($I409&lt;&gt;"",$I409&gt;=TODAY(),$I409&lt;=TODAY()+7),15,0)+IF($H409="",0,IF($M409&lt;=VLOOKUP(Home!$C$7,Lists!$N$2:$O$6,2,FALSE),20,-10))+IF($G409=Home!$E$7,15,IF(Home!$E$7="",0,-5))-ROW()/100000)))</f>
        <v/>
      </c>
      <c r="O409" s="88">
        <f>IF($D409="","",IF($N409&lt;=-500,"Not recommended right now",IF($E409="Waiting","Nothing else actionable right now — Waiting on: "&amp;IF($K409="","this item",$K409),MID($V409,4,9999))))</f>
        <v/>
      </c>
      <c r="P409" s="88">
        <f>IF($D409="","",IF('Task Finder'!$C$6="High Priority",AND($F409="High",$E409&lt;&gt;"Done",$E409&lt;&gt;"Archive"),IF('Task Finder'!$C$6="Due This Week",AND($I409&lt;&gt;"",$I409&gt;=TODAY(),$I409&lt;=TODAY()+7,$E409&lt;&gt;"Done"),IF('Task Finder'!$C$6="Quick Wins (15 mins or less)",AND($M409&lt;=15,$E409&lt;&gt;"Done",$E409&lt;&gt;"Blocked"),IF('Task Finder'!$C$6="Deep Thinking",AND($G409="Deep Thinking",$E409&lt;&gt;"Done"),IF('Task Finder'!$C$6="Processing",AND($G409="Processing",$E409&lt;&gt;"Done"),IF('Task Finder'!$C$6="Blocked",$E409="Blocked",IF('Task Finder'!$C$6="Waiting",$E409="Waiting",IF('Task Finder'!$C$6="Recently Updated",AND($L409&lt;&gt;"",$L409&gt;=TODAY()-7),IF('Task Finder'!$C$6="Keyword",AND('Task Finder'!$C$7&lt;&gt;"",OR(ISNUMBER(SEARCH('Task Finder'!$C$7,$A409)),ISNUMBER(SEARCH('Task Finder'!$C$7,$B409)),ISNUMBER(SEARCH('Task Finder'!$C$7,$C409)),ISNUMBER(SEARCH('Task Finder'!$C$7,$D409)),ISNUMBER(SEARCH('Task Finder'!$C$7,$K409)))),TRUE))))))))))</f>
        <v/>
      </c>
      <c r="Q409" s="150">
        <f>IF($F409="High","High Priority","")</f>
        <v/>
      </c>
      <c r="R409" s="150">
        <f>IF(AND($I409&lt;&gt;"",$I409&lt;TODAY()),"Overdue","")</f>
        <v/>
      </c>
      <c r="S409" s="150">
        <f>IF(AND($I409&lt;&gt;"",$I409&gt;=TODAY(),$I409&lt;=TODAY()+7),"Due This Week","")</f>
        <v/>
      </c>
      <c r="T409" s="150">
        <f>IF(AND($H409&lt;&gt;"",$M409&lt;=VLOOKUP(Home!$C$7,Lists!$N$2:$O$6,2,FALSE)),$H409&amp;" Task","")</f>
        <v/>
      </c>
      <c r="U409" s="150">
        <f>IF($G409=Home!$E$7,"Fits Current Energy","")</f>
        <v/>
      </c>
      <c r="V409" s="150">
        <f>IF($Q409&lt;&gt;""," • "&amp;$Q409,"")&amp;IF($R409&lt;&gt;""," • "&amp;$R409,"")&amp;IF($S409&lt;&gt;""," • "&amp;$S409,"")&amp;IF($T409&lt;&gt;""," • "&amp;$T409,"")&amp;IF($U409&lt;&gt;""," • "&amp;$U409,"")&amp;" • No Blockers"</f>
        <v/>
      </c>
    </row>
    <row r="410">
      <c r="A410" s="19" t="n"/>
      <c r="B410" s="19" t="n"/>
      <c r="C410" s="19" t="n"/>
      <c r="D410" s="19" t="n"/>
      <c r="E410" s="19" t="n"/>
      <c r="F410" s="19" t="n"/>
      <c r="G410" s="19" t="n"/>
      <c r="H410" s="19" t="n"/>
      <c r="I410" s="19" t="n"/>
      <c r="J410" s="19" t="n"/>
      <c r="K410" s="19" t="n"/>
      <c r="L410" s="125" t="n"/>
      <c r="M410" s="88">
        <f>IF($D410="","",IFERROR(VLOOKUP($H410,Lists!$N$2:$O$6,2,FALSE),0))</f>
        <v/>
      </c>
      <c r="N410" s="88">
        <f>IF($D410="","",IF(OR($E410="Blocked",$E410="Done",$E410="Archive"),-9999,IF(AND($E410="Waiting",SUMPRODUCT((($E$5:$E$500="Next")+($E$5:$E$500="In Progress")+($E$5:$E$500="Captured"))*($D$5:$D$500&lt;&gt;""))&gt;0),-500,VLOOKUP($F410,Lists!$L$2:$M$4,2,FALSE)+IF($E410="In Progress",10,0)+IF(AND($I410&lt;&gt;"",$I410&lt;TODAY()),25,0)+IF(AND($I410&lt;&gt;"",$I410&gt;=TODAY(),$I410&lt;=TODAY()+7),15,0)+IF($H410="",0,IF($M410&lt;=VLOOKUP(Home!$C$7,Lists!$N$2:$O$6,2,FALSE),20,-10))+IF($G410=Home!$E$7,15,IF(Home!$E$7="",0,-5))-ROW()/100000)))</f>
        <v/>
      </c>
      <c r="O410" s="88">
        <f>IF($D410="","",IF($N410&lt;=-500,"Not recommended right now",IF($E410="Waiting","Nothing else actionable right now — Waiting on: "&amp;IF($K410="","this item",$K410),MID($V410,4,9999))))</f>
        <v/>
      </c>
      <c r="P410" s="88">
        <f>IF($D410="","",IF('Task Finder'!$C$6="High Priority",AND($F410="High",$E410&lt;&gt;"Done",$E410&lt;&gt;"Archive"),IF('Task Finder'!$C$6="Due This Week",AND($I410&lt;&gt;"",$I410&gt;=TODAY(),$I410&lt;=TODAY()+7,$E410&lt;&gt;"Done"),IF('Task Finder'!$C$6="Quick Wins (15 mins or less)",AND($M410&lt;=15,$E410&lt;&gt;"Done",$E410&lt;&gt;"Blocked"),IF('Task Finder'!$C$6="Deep Thinking",AND($G410="Deep Thinking",$E410&lt;&gt;"Done"),IF('Task Finder'!$C$6="Processing",AND($G410="Processing",$E410&lt;&gt;"Done"),IF('Task Finder'!$C$6="Blocked",$E410="Blocked",IF('Task Finder'!$C$6="Waiting",$E410="Waiting",IF('Task Finder'!$C$6="Recently Updated",AND($L410&lt;&gt;"",$L410&gt;=TODAY()-7),IF('Task Finder'!$C$6="Keyword",AND('Task Finder'!$C$7&lt;&gt;"",OR(ISNUMBER(SEARCH('Task Finder'!$C$7,$A410)),ISNUMBER(SEARCH('Task Finder'!$C$7,$B410)),ISNUMBER(SEARCH('Task Finder'!$C$7,$C410)),ISNUMBER(SEARCH('Task Finder'!$C$7,$D410)),ISNUMBER(SEARCH('Task Finder'!$C$7,$K410)))),TRUE))))))))))</f>
        <v/>
      </c>
      <c r="Q410" s="150">
        <f>IF($F410="High","High Priority","")</f>
        <v/>
      </c>
      <c r="R410" s="150">
        <f>IF(AND($I410&lt;&gt;"",$I410&lt;TODAY()),"Overdue","")</f>
        <v/>
      </c>
      <c r="S410" s="150">
        <f>IF(AND($I410&lt;&gt;"",$I410&gt;=TODAY(),$I410&lt;=TODAY()+7),"Due This Week","")</f>
        <v/>
      </c>
      <c r="T410" s="150">
        <f>IF(AND($H410&lt;&gt;"",$M410&lt;=VLOOKUP(Home!$C$7,Lists!$N$2:$O$6,2,FALSE)),$H410&amp;" Task","")</f>
        <v/>
      </c>
      <c r="U410" s="150">
        <f>IF($G410=Home!$E$7,"Fits Current Energy","")</f>
        <v/>
      </c>
      <c r="V410" s="150">
        <f>IF($Q410&lt;&gt;""," • "&amp;$Q410,"")&amp;IF($R410&lt;&gt;""," • "&amp;$R410,"")&amp;IF($S410&lt;&gt;""," • "&amp;$S410,"")&amp;IF($T410&lt;&gt;""," • "&amp;$T410,"")&amp;IF($U410&lt;&gt;""," • "&amp;$U410,"")&amp;" • No Blockers"</f>
        <v/>
      </c>
    </row>
    <row r="411">
      <c r="A411" s="19" t="n"/>
      <c r="B411" s="19" t="n"/>
      <c r="C411" s="19" t="n"/>
      <c r="D411" s="19" t="n"/>
      <c r="E411" s="19" t="n"/>
      <c r="F411" s="19" t="n"/>
      <c r="G411" s="19" t="n"/>
      <c r="H411" s="19" t="n"/>
      <c r="I411" s="19" t="n"/>
      <c r="J411" s="19" t="n"/>
      <c r="K411" s="19" t="n"/>
      <c r="L411" s="125" t="n"/>
      <c r="M411" s="88">
        <f>IF($D411="","",IFERROR(VLOOKUP($H411,Lists!$N$2:$O$6,2,FALSE),0))</f>
        <v/>
      </c>
      <c r="N411" s="88">
        <f>IF($D411="","",IF(OR($E411="Blocked",$E411="Done",$E411="Archive"),-9999,IF(AND($E411="Waiting",SUMPRODUCT((($E$5:$E$500="Next")+($E$5:$E$500="In Progress")+($E$5:$E$500="Captured"))*($D$5:$D$500&lt;&gt;""))&gt;0),-500,VLOOKUP($F411,Lists!$L$2:$M$4,2,FALSE)+IF($E411="In Progress",10,0)+IF(AND($I411&lt;&gt;"",$I411&lt;TODAY()),25,0)+IF(AND($I411&lt;&gt;"",$I411&gt;=TODAY(),$I411&lt;=TODAY()+7),15,0)+IF($H411="",0,IF($M411&lt;=VLOOKUP(Home!$C$7,Lists!$N$2:$O$6,2,FALSE),20,-10))+IF($G411=Home!$E$7,15,IF(Home!$E$7="",0,-5))-ROW()/100000)))</f>
        <v/>
      </c>
      <c r="O411" s="88">
        <f>IF($D411="","",IF($N411&lt;=-500,"Not recommended right now",IF($E411="Waiting","Nothing else actionable right now — Waiting on: "&amp;IF($K411="","this item",$K411),MID($V411,4,9999))))</f>
        <v/>
      </c>
      <c r="P411" s="88">
        <f>IF($D411="","",IF('Task Finder'!$C$6="High Priority",AND($F411="High",$E411&lt;&gt;"Done",$E411&lt;&gt;"Archive"),IF('Task Finder'!$C$6="Due This Week",AND($I411&lt;&gt;"",$I411&gt;=TODAY(),$I411&lt;=TODAY()+7,$E411&lt;&gt;"Done"),IF('Task Finder'!$C$6="Quick Wins (15 mins or less)",AND($M411&lt;=15,$E411&lt;&gt;"Done",$E411&lt;&gt;"Blocked"),IF('Task Finder'!$C$6="Deep Thinking",AND($G411="Deep Thinking",$E411&lt;&gt;"Done"),IF('Task Finder'!$C$6="Processing",AND($G411="Processing",$E411&lt;&gt;"Done"),IF('Task Finder'!$C$6="Blocked",$E411="Blocked",IF('Task Finder'!$C$6="Waiting",$E411="Waiting",IF('Task Finder'!$C$6="Recently Updated",AND($L411&lt;&gt;"",$L411&gt;=TODAY()-7),IF('Task Finder'!$C$6="Keyword",AND('Task Finder'!$C$7&lt;&gt;"",OR(ISNUMBER(SEARCH('Task Finder'!$C$7,$A411)),ISNUMBER(SEARCH('Task Finder'!$C$7,$B411)),ISNUMBER(SEARCH('Task Finder'!$C$7,$C411)),ISNUMBER(SEARCH('Task Finder'!$C$7,$D411)),ISNUMBER(SEARCH('Task Finder'!$C$7,$K411)))),TRUE))))))))))</f>
        <v/>
      </c>
      <c r="Q411" s="150">
        <f>IF($F411="High","High Priority","")</f>
        <v/>
      </c>
      <c r="R411" s="150">
        <f>IF(AND($I411&lt;&gt;"",$I411&lt;TODAY()),"Overdue","")</f>
        <v/>
      </c>
      <c r="S411" s="150">
        <f>IF(AND($I411&lt;&gt;"",$I411&gt;=TODAY(),$I411&lt;=TODAY()+7),"Due This Week","")</f>
        <v/>
      </c>
      <c r="T411" s="150">
        <f>IF(AND($H411&lt;&gt;"",$M411&lt;=VLOOKUP(Home!$C$7,Lists!$N$2:$O$6,2,FALSE)),$H411&amp;" Task","")</f>
        <v/>
      </c>
      <c r="U411" s="150">
        <f>IF($G411=Home!$E$7,"Fits Current Energy","")</f>
        <v/>
      </c>
      <c r="V411" s="150">
        <f>IF($Q411&lt;&gt;""," • "&amp;$Q411,"")&amp;IF($R411&lt;&gt;""," • "&amp;$R411,"")&amp;IF($S411&lt;&gt;""," • "&amp;$S411,"")&amp;IF($T411&lt;&gt;""," • "&amp;$T411,"")&amp;IF($U411&lt;&gt;""," • "&amp;$U411,"")&amp;" • No Blockers"</f>
        <v/>
      </c>
    </row>
    <row r="412">
      <c r="A412" s="19" t="n"/>
      <c r="B412" s="19" t="n"/>
      <c r="C412" s="19" t="n"/>
      <c r="D412" s="19" t="n"/>
      <c r="E412" s="19" t="n"/>
      <c r="F412" s="19" t="n"/>
      <c r="G412" s="19" t="n"/>
      <c r="H412" s="19" t="n"/>
      <c r="I412" s="19" t="n"/>
      <c r="J412" s="19" t="n"/>
      <c r="K412" s="19" t="n"/>
      <c r="L412" s="125" t="n"/>
      <c r="M412" s="88">
        <f>IF($D412="","",IFERROR(VLOOKUP($H412,Lists!$N$2:$O$6,2,FALSE),0))</f>
        <v/>
      </c>
      <c r="N412" s="88">
        <f>IF($D412="","",IF(OR($E412="Blocked",$E412="Done",$E412="Archive"),-9999,IF(AND($E412="Waiting",SUMPRODUCT((($E$5:$E$500="Next")+($E$5:$E$500="In Progress")+($E$5:$E$500="Captured"))*($D$5:$D$500&lt;&gt;""))&gt;0),-500,VLOOKUP($F412,Lists!$L$2:$M$4,2,FALSE)+IF($E412="In Progress",10,0)+IF(AND($I412&lt;&gt;"",$I412&lt;TODAY()),25,0)+IF(AND($I412&lt;&gt;"",$I412&gt;=TODAY(),$I412&lt;=TODAY()+7),15,0)+IF($H412="",0,IF($M412&lt;=VLOOKUP(Home!$C$7,Lists!$N$2:$O$6,2,FALSE),20,-10))+IF($G412=Home!$E$7,15,IF(Home!$E$7="",0,-5))-ROW()/100000)))</f>
        <v/>
      </c>
      <c r="O412" s="88">
        <f>IF($D412="","",IF($N412&lt;=-500,"Not recommended right now",IF($E412="Waiting","Nothing else actionable right now — Waiting on: "&amp;IF($K412="","this item",$K412),MID($V412,4,9999))))</f>
        <v/>
      </c>
      <c r="P412" s="88">
        <f>IF($D412="","",IF('Task Finder'!$C$6="High Priority",AND($F412="High",$E412&lt;&gt;"Done",$E412&lt;&gt;"Archive"),IF('Task Finder'!$C$6="Due This Week",AND($I412&lt;&gt;"",$I412&gt;=TODAY(),$I412&lt;=TODAY()+7,$E412&lt;&gt;"Done"),IF('Task Finder'!$C$6="Quick Wins (15 mins or less)",AND($M412&lt;=15,$E412&lt;&gt;"Done",$E412&lt;&gt;"Blocked"),IF('Task Finder'!$C$6="Deep Thinking",AND($G412="Deep Thinking",$E412&lt;&gt;"Done"),IF('Task Finder'!$C$6="Processing",AND($G412="Processing",$E412&lt;&gt;"Done"),IF('Task Finder'!$C$6="Blocked",$E412="Blocked",IF('Task Finder'!$C$6="Waiting",$E412="Waiting",IF('Task Finder'!$C$6="Recently Updated",AND($L412&lt;&gt;"",$L412&gt;=TODAY()-7),IF('Task Finder'!$C$6="Keyword",AND('Task Finder'!$C$7&lt;&gt;"",OR(ISNUMBER(SEARCH('Task Finder'!$C$7,$A412)),ISNUMBER(SEARCH('Task Finder'!$C$7,$B412)),ISNUMBER(SEARCH('Task Finder'!$C$7,$C412)),ISNUMBER(SEARCH('Task Finder'!$C$7,$D412)),ISNUMBER(SEARCH('Task Finder'!$C$7,$K412)))),TRUE))))))))))</f>
        <v/>
      </c>
      <c r="Q412" s="150">
        <f>IF($F412="High","High Priority","")</f>
        <v/>
      </c>
      <c r="R412" s="150">
        <f>IF(AND($I412&lt;&gt;"",$I412&lt;TODAY()),"Overdue","")</f>
        <v/>
      </c>
      <c r="S412" s="150">
        <f>IF(AND($I412&lt;&gt;"",$I412&gt;=TODAY(),$I412&lt;=TODAY()+7),"Due This Week","")</f>
        <v/>
      </c>
      <c r="T412" s="150">
        <f>IF(AND($H412&lt;&gt;"",$M412&lt;=VLOOKUP(Home!$C$7,Lists!$N$2:$O$6,2,FALSE)),$H412&amp;" Task","")</f>
        <v/>
      </c>
      <c r="U412" s="150">
        <f>IF($G412=Home!$E$7,"Fits Current Energy","")</f>
        <v/>
      </c>
      <c r="V412" s="150">
        <f>IF($Q412&lt;&gt;""," • "&amp;$Q412,"")&amp;IF($R412&lt;&gt;""," • "&amp;$R412,"")&amp;IF($S412&lt;&gt;""," • "&amp;$S412,"")&amp;IF($T412&lt;&gt;""," • "&amp;$T412,"")&amp;IF($U412&lt;&gt;""," • "&amp;$U412,"")&amp;" • No Blockers"</f>
        <v/>
      </c>
    </row>
    <row r="413">
      <c r="A413" s="19" t="n"/>
      <c r="B413" s="19" t="n"/>
      <c r="C413" s="19" t="n"/>
      <c r="D413" s="19" t="n"/>
      <c r="E413" s="19" t="n"/>
      <c r="F413" s="19" t="n"/>
      <c r="G413" s="19" t="n"/>
      <c r="H413" s="19" t="n"/>
      <c r="I413" s="19" t="n"/>
      <c r="J413" s="19" t="n"/>
      <c r="K413" s="19" t="n"/>
      <c r="L413" s="125" t="n"/>
      <c r="M413" s="88">
        <f>IF($D413="","",IFERROR(VLOOKUP($H413,Lists!$N$2:$O$6,2,FALSE),0))</f>
        <v/>
      </c>
      <c r="N413" s="88">
        <f>IF($D413="","",IF(OR($E413="Blocked",$E413="Done",$E413="Archive"),-9999,IF(AND($E413="Waiting",SUMPRODUCT((($E$5:$E$500="Next")+($E$5:$E$500="In Progress")+($E$5:$E$500="Captured"))*($D$5:$D$500&lt;&gt;""))&gt;0),-500,VLOOKUP($F413,Lists!$L$2:$M$4,2,FALSE)+IF($E413="In Progress",10,0)+IF(AND($I413&lt;&gt;"",$I413&lt;TODAY()),25,0)+IF(AND($I413&lt;&gt;"",$I413&gt;=TODAY(),$I413&lt;=TODAY()+7),15,0)+IF($H413="",0,IF($M413&lt;=VLOOKUP(Home!$C$7,Lists!$N$2:$O$6,2,FALSE),20,-10))+IF($G413=Home!$E$7,15,IF(Home!$E$7="",0,-5))-ROW()/100000)))</f>
        <v/>
      </c>
      <c r="O413" s="88">
        <f>IF($D413="","",IF($N413&lt;=-500,"Not recommended right now",IF($E413="Waiting","Nothing else actionable right now — Waiting on: "&amp;IF($K413="","this item",$K413),MID($V413,4,9999))))</f>
        <v/>
      </c>
      <c r="P413" s="88">
        <f>IF($D413="","",IF('Task Finder'!$C$6="High Priority",AND($F413="High",$E413&lt;&gt;"Done",$E413&lt;&gt;"Archive"),IF('Task Finder'!$C$6="Due This Week",AND($I413&lt;&gt;"",$I413&gt;=TODAY(),$I413&lt;=TODAY()+7,$E413&lt;&gt;"Done"),IF('Task Finder'!$C$6="Quick Wins (15 mins or less)",AND($M413&lt;=15,$E413&lt;&gt;"Done",$E413&lt;&gt;"Blocked"),IF('Task Finder'!$C$6="Deep Thinking",AND($G413="Deep Thinking",$E413&lt;&gt;"Done"),IF('Task Finder'!$C$6="Processing",AND($G413="Processing",$E413&lt;&gt;"Done"),IF('Task Finder'!$C$6="Blocked",$E413="Blocked",IF('Task Finder'!$C$6="Waiting",$E413="Waiting",IF('Task Finder'!$C$6="Recently Updated",AND($L413&lt;&gt;"",$L413&gt;=TODAY()-7),IF('Task Finder'!$C$6="Keyword",AND('Task Finder'!$C$7&lt;&gt;"",OR(ISNUMBER(SEARCH('Task Finder'!$C$7,$A413)),ISNUMBER(SEARCH('Task Finder'!$C$7,$B413)),ISNUMBER(SEARCH('Task Finder'!$C$7,$C413)),ISNUMBER(SEARCH('Task Finder'!$C$7,$D413)),ISNUMBER(SEARCH('Task Finder'!$C$7,$K413)))),TRUE))))))))))</f>
        <v/>
      </c>
      <c r="Q413" s="150">
        <f>IF($F413="High","High Priority","")</f>
        <v/>
      </c>
      <c r="R413" s="150">
        <f>IF(AND($I413&lt;&gt;"",$I413&lt;TODAY()),"Overdue","")</f>
        <v/>
      </c>
      <c r="S413" s="150">
        <f>IF(AND($I413&lt;&gt;"",$I413&gt;=TODAY(),$I413&lt;=TODAY()+7),"Due This Week","")</f>
        <v/>
      </c>
      <c r="T413" s="150">
        <f>IF(AND($H413&lt;&gt;"",$M413&lt;=VLOOKUP(Home!$C$7,Lists!$N$2:$O$6,2,FALSE)),$H413&amp;" Task","")</f>
        <v/>
      </c>
      <c r="U413" s="150">
        <f>IF($G413=Home!$E$7,"Fits Current Energy","")</f>
        <v/>
      </c>
      <c r="V413" s="150">
        <f>IF($Q413&lt;&gt;""," • "&amp;$Q413,"")&amp;IF($R413&lt;&gt;""," • "&amp;$R413,"")&amp;IF($S413&lt;&gt;""," • "&amp;$S413,"")&amp;IF($T413&lt;&gt;""," • "&amp;$T413,"")&amp;IF($U413&lt;&gt;""," • "&amp;$U413,"")&amp;" • No Blockers"</f>
        <v/>
      </c>
    </row>
    <row r="414">
      <c r="A414" s="19" t="n"/>
      <c r="B414" s="19" t="n"/>
      <c r="C414" s="19" t="n"/>
      <c r="D414" s="19" t="n"/>
      <c r="E414" s="19" t="n"/>
      <c r="F414" s="19" t="n"/>
      <c r="G414" s="19" t="n"/>
      <c r="H414" s="19" t="n"/>
      <c r="I414" s="19" t="n"/>
      <c r="J414" s="19" t="n"/>
      <c r="K414" s="19" t="n"/>
      <c r="L414" s="125" t="n"/>
      <c r="M414" s="88">
        <f>IF($D414="","",IFERROR(VLOOKUP($H414,Lists!$N$2:$O$6,2,FALSE),0))</f>
        <v/>
      </c>
      <c r="N414" s="88">
        <f>IF($D414="","",IF(OR($E414="Blocked",$E414="Done",$E414="Archive"),-9999,IF(AND($E414="Waiting",SUMPRODUCT((($E$5:$E$500="Next")+($E$5:$E$500="In Progress")+($E$5:$E$500="Captured"))*($D$5:$D$500&lt;&gt;""))&gt;0),-500,VLOOKUP($F414,Lists!$L$2:$M$4,2,FALSE)+IF($E414="In Progress",10,0)+IF(AND($I414&lt;&gt;"",$I414&lt;TODAY()),25,0)+IF(AND($I414&lt;&gt;"",$I414&gt;=TODAY(),$I414&lt;=TODAY()+7),15,0)+IF($H414="",0,IF($M414&lt;=VLOOKUP(Home!$C$7,Lists!$N$2:$O$6,2,FALSE),20,-10))+IF($G414=Home!$E$7,15,IF(Home!$E$7="",0,-5))-ROW()/100000)))</f>
        <v/>
      </c>
      <c r="O414" s="88">
        <f>IF($D414="","",IF($N414&lt;=-500,"Not recommended right now",IF($E414="Waiting","Nothing else actionable right now — Waiting on: "&amp;IF($K414="","this item",$K414),MID($V414,4,9999))))</f>
        <v/>
      </c>
      <c r="P414" s="88">
        <f>IF($D414="","",IF('Task Finder'!$C$6="High Priority",AND($F414="High",$E414&lt;&gt;"Done",$E414&lt;&gt;"Archive"),IF('Task Finder'!$C$6="Due This Week",AND($I414&lt;&gt;"",$I414&gt;=TODAY(),$I414&lt;=TODAY()+7,$E414&lt;&gt;"Done"),IF('Task Finder'!$C$6="Quick Wins (15 mins or less)",AND($M414&lt;=15,$E414&lt;&gt;"Done",$E414&lt;&gt;"Blocked"),IF('Task Finder'!$C$6="Deep Thinking",AND($G414="Deep Thinking",$E414&lt;&gt;"Done"),IF('Task Finder'!$C$6="Processing",AND($G414="Processing",$E414&lt;&gt;"Done"),IF('Task Finder'!$C$6="Blocked",$E414="Blocked",IF('Task Finder'!$C$6="Waiting",$E414="Waiting",IF('Task Finder'!$C$6="Recently Updated",AND($L414&lt;&gt;"",$L414&gt;=TODAY()-7),IF('Task Finder'!$C$6="Keyword",AND('Task Finder'!$C$7&lt;&gt;"",OR(ISNUMBER(SEARCH('Task Finder'!$C$7,$A414)),ISNUMBER(SEARCH('Task Finder'!$C$7,$B414)),ISNUMBER(SEARCH('Task Finder'!$C$7,$C414)),ISNUMBER(SEARCH('Task Finder'!$C$7,$D414)),ISNUMBER(SEARCH('Task Finder'!$C$7,$K414)))),TRUE))))))))))</f>
        <v/>
      </c>
      <c r="Q414" s="150">
        <f>IF($F414="High","High Priority","")</f>
        <v/>
      </c>
      <c r="R414" s="150">
        <f>IF(AND($I414&lt;&gt;"",$I414&lt;TODAY()),"Overdue","")</f>
        <v/>
      </c>
      <c r="S414" s="150">
        <f>IF(AND($I414&lt;&gt;"",$I414&gt;=TODAY(),$I414&lt;=TODAY()+7),"Due This Week","")</f>
        <v/>
      </c>
      <c r="T414" s="150">
        <f>IF(AND($H414&lt;&gt;"",$M414&lt;=VLOOKUP(Home!$C$7,Lists!$N$2:$O$6,2,FALSE)),$H414&amp;" Task","")</f>
        <v/>
      </c>
      <c r="U414" s="150">
        <f>IF($G414=Home!$E$7,"Fits Current Energy","")</f>
        <v/>
      </c>
      <c r="V414" s="150">
        <f>IF($Q414&lt;&gt;""," • "&amp;$Q414,"")&amp;IF($R414&lt;&gt;""," • "&amp;$R414,"")&amp;IF($S414&lt;&gt;""," • "&amp;$S414,"")&amp;IF($T414&lt;&gt;""," • "&amp;$T414,"")&amp;IF($U414&lt;&gt;""," • "&amp;$U414,"")&amp;" • No Blockers"</f>
        <v/>
      </c>
    </row>
    <row r="415">
      <c r="A415" s="19" t="n"/>
      <c r="B415" s="19" t="n"/>
      <c r="C415" s="19" t="n"/>
      <c r="D415" s="19" t="n"/>
      <c r="E415" s="19" t="n"/>
      <c r="F415" s="19" t="n"/>
      <c r="G415" s="19" t="n"/>
      <c r="H415" s="19" t="n"/>
      <c r="I415" s="19" t="n"/>
      <c r="J415" s="19" t="n"/>
      <c r="K415" s="19" t="n"/>
      <c r="L415" s="125" t="n"/>
      <c r="M415" s="88">
        <f>IF($D415="","",IFERROR(VLOOKUP($H415,Lists!$N$2:$O$6,2,FALSE),0))</f>
        <v/>
      </c>
      <c r="N415" s="88">
        <f>IF($D415="","",IF(OR($E415="Blocked",$E415="Done",$E415="Archive"),-9999,IF(AND($E415="Waiting",SUMPRODUCT((($E$5:$E$500="Next")+($E$5:$E$500="In Progress")+($E$5:$E$500="Captured"))*($D$5:$D$500&lt;&gt;""))&gt;0),-500,VLOOKUP($F415,Lists!$L$2:$M$4,2,FALSE)+IF($E415="In Progress",10,0)+IF(AND($I415&lt;&gt;"",$I415&lt;TODAY()),25,0)+IF(AND($I415&lt;&gt;"",$I415&gt;=TODAY(),$I415&lt;=TODAY()+7),15,0)+IF($H415="",0,IF($M415&lt;=VLOOKUP(Home!$C$7,Lists!$N$2:$O$6,2,FALSE),20,-10))+IF($G415=Home!$E$7,15,IF(Home!$E$7="",0,-5))-ROW()/100000)))</f>
        <v/>
      </c>
      <c r="O415" s="88">
        <f>IF($D415="","",IF($N415&lt;=-500,"Not recommended right now",IF($E415="Waiting","Nothing else actionable right now — Waiting on: "&amp;IF($K415="","this item",$K415),MID($V415,4,9999))))</f>
        <v/>
      </c>
      <c r="P415" s="88">
        <f>IF($D415="","",IF('Task Finder'!$C$6="High Priority",AND($F415="High",$E415&lt;&gt;"Done",$E415&lt;&gt;"Archive"),IF('Task Finder'!$C$6="Due This Week",AND($I415&lt;&gt;"",$I415&gt;=TODAY(),$I415&lt;=TODAY()+7,$E415&lt;&gt;"Done"),IF('Task Finder'!$C$6="Quick Wins (15 mins or less)",AND($M415&lt;=15,$E415&lt;&gt;"Done",$E415&lt;&gt;"Blocked"),IF('Task Finder'!$C$6="Deep Thinking",AND($G415="Deep Thinking",$E415&lt;&gt;"Done"),IF('Task Finder'!$C$6="Processing",AND($G415="Processing",$E415&lt;&gt;"Done"),IF('Task Finder'!$C$6="Blocked",$E415="Blocked",IF('Task Finder'!$C$6="Waiting",$E415="Waiting",IF('Task Finder'!$C$6="Recently Updated",AND($L415&lt;&gt;"",$L415&gt;=TODAY()-7),IF('Task Finder'!$C$6="Keyword",AND('Task Finder'!$C$7&lt;&gt;"",OR(ISNUMBER(SEARCH('Task Finder'!$C$7,$A415)),ISNUMBER(SEARCH('Task Finder'!$C$7,$B415)),ISNUMBER(SEARCH('Task Finder'!$C$7,$C415)),ISNUMBER(SEARCH('Task Finder'!$C$7,$D415)),ISNUMBER(SEARCH('Task Finder'!$C$7,$K415)))),TRUE))))))))))</f>
        <v/>
      </c>
      <c r="Q415" s="150">
        <f>IF($F415="High","High Priority","")</f>
        <v/>
      </c>
      <c r="R415" s="150">
        <f>IF(AND($I415&lt;&gt;"",$I415&lt;TODAY()),"Overdue","")</f>
        <v/>
      </c>
      <c r="S415" s="150">
        <f>IF(AND($I415&lt;&gt;"",$I415&gt;=TODAY(),$I415&lt;=TODAY()+7),"Due This Week","")</f>
        <v/>
      </c>
      <c r="T415" s="150">
        <f>IF(AND($H415&lt;&gt;"",$M415&lt;=VLOOKUP(Home!$C$7,Lists!$N$2:$O$6,2,FALSE)),$H415&amp;" Task","")</f>
        <v/>
      </c>
      <c r="U415" s="150">
        <f>IF($G415=Home!$E$7,"Fits Current Energy","")</f>
        <v/>
      </c>
      <c r="V415" s="150">
        <f>IF($Q415&lt;&gt;""," • "&amp;$Q415,"")&amp;IF($R415&lt;&gt;""," • "&amp;$R415,"")&amp;IF($S415&lt;&gt;""," • "&amp;$S415,"")&amp;IF($T415&lt;&gt;""," • "&amp;$T415,"")&amp;IF($U415&lt;&gt;""," • "&amp;$U415,"")&amp;" • No Blockers"</f>
        <v/>
      </c>
    </row>
    <row r="416">
      <c r="A416" s="19" t="n"/>
      <c r="B416" s="19" t="n"/>
      <c r="C416" s="19" t="n"/>
      <c r="D416" s="19" t="n"/>
      <c r="E416" s="19" t="n"/>
      <c r="F416" s="19" t="n"/>
      <c r="G416" s="19" t="n"/>
      <c r="H416" s="19" t="n"/>
      <c r="I416" s="19" t="n"/>
      <c r="J416" s="19" t="n"/>
      <c r="K416" s="19" t="n"/>
      <c r="L416" s="125" t="n"/>
      <c r="M416" s="88">
        <f>IF($D416="","",IFERROR(VLOOKUP($H416,Lists!$N$2:$O$6,2,FALSE),0))</f>
        <v/>
      </c>
      <c r="N416" s="88">
        <f>IF($D416="","",IF(OR($E416="Blocked",$E416="Done",$E416="Archive"),-9999,IF(AND($E416="Waiting",SUMPRODUCT((($E$5:$E$500="Next")+($E$5:$E$500="In Progress")+($E$5:$E$500="Captured"))*($D$5:$D$500&lt;&gt;""))&gt;0),-500,VLOOKUP($F416,Lists!$L$2:$M$4,2,FALSE)+IF($E416="In Progress",10,0)+IF(AND($I416&lt;&gt;"",$I416&lt;TODAY()),25,0)+IF(AND($I416&lt;&gt;"",$I416&gt;=TODAY(),$I416&lt;=TODAY()+7),15,0)+IF($H416="",0,IF($M416&lt;=VLOOKUP(Home!$C$7,Lists!$N$2:$O$6,2,FALSE),20,-10))+IF($G416=Home!$E$7,15,IF(Home!$E$7="",0,-5))-ROW()/100000)))</f>
        <v/>
      </c>
      <c r="O416" s="88">
        <f>IF($D416="","",IF($N416&lt;=-500,"Not recommended right now",IF($E416="Waiting","Nothing else actionable right now — Waiting on: "&amp;IF($K416="","this item",$K416),MID($V416,4,9999))))</f>
        <v/>
      </c>
      <c r="P416" s="88">
        <f>IF($D416="","",IF('Task Finder'!$C$6="High Priority",AND($F416="High",$E416&lt;&gt;"Done",$E416&lt;&gt;"Archive"),IF('Task Finder'!$C$6="Due This Week",AND($I416&lt;&gt;"",$I416&gt;=TODAY(),$I416&lt;=TODAY()+7,$E416&lt;&gt;"Done"),IF('Task Finder'!$C$6="Quick Wins (15 mins or less)",AND($M416&lt;=15,$E416&lt;&gt;"Done",$E416&lt;&gt;"Blocked"),IF('Task Finder'!$C$6="Deep Thinking",AND($G416="Deep Thinking",$E416&lt;&gt;"Done"),IF('Task Finder'!$C$6="Processing",AND($G416="Processing",$E416&lt;&gt;"Done"),IF('Task Finder'!$C$6="Blocked",$E416="Blocked",IF('Task Finder'!$C$6="Waiting",$E416="Waiting",IF('Task Finder'!$C$6="Recently Updated",AND($L416&lt;&gt;"",$L416&gt;=TODAY()-7),IF('Task Finder'!$C$6="Keyword",AND('Task Finder'!$C$7&lt;&gt;"",OR(ISNUMBER(SEARCH('Task Finder'!$C$7,$A416)),ISNUMBER(SEARCH('Task Finder'!$C$7,$B416)),ISNUMBER(SEARCH('Task Finder'!$C$7,$C416)),ISNUMBER(SEARCH('Task Finder'!$C$7,$D416)),ISNUMBER(SEARCH('Task Finder'!$C$7,$K416)))),TRUE))))))))))</f>
        <v/>
      </c>
      <c r="Q416" s="150">
        <f>IF($F416="High","High Priority","")</f>
        <v/>
      </c>
      <c r="R416" s="150">
        <f>IF(AND($I416&lt;&gt;"",$I416&lt;TODAY()),"Overdue","")</f>
        <v/>
      </c>
      <c r="S416" s="150">
        <f>IF(AND($I416&lt;&gt;"",$I416&gt;=TODAY(),$I416&lt;=TODAY()+7),"Due This Week","")</f>
        <v/>
      </c>
      <c r="T416" s="150">
        <f>IF(AND($H416&lt;&gt;"",$M416&lt;=VLOOKUP(Home!$C$7,Lists!$N$2:$O$6,2,FALSE)),$H416&amp;" Task","")</f>
        <v/>
      </c>
      <c r="U416" s="150">
        <f>IF($G416=Home!$E$7,"Fits Current Energy","")</f>
        <v/>
      </c>
      <c r="V416" s="150">
        <f>IF($Q416&lt;&gt;""," • "&amp;$Q416,"")&amp;IF($R416&lt;&gt;""," • "&amp;$R416,"")&amp;IF($S416&lt;&gt;""," • "&amp;$S416,"")&amp;IF($T416&lt;&gt;""," • "&amp;$T416,"")&amp;IF($U416&lt;&gt;""," • "&amp;$U416,"")&amp;" • No Blockers"</f>
        <v/>
      </c>
    </row>
    <row r="417">
      <c r="A417" s="19" t="n"/>
      <c r="B417" s="19" t="n"/>
      <c r="C417" s="19" t="n"/>
      <c r="D417" s="19" t="n"/>
      <c r="E417" s="19" t="n"/>
      <c r="F417" s="19" t="n"/>
      <c r="G417" s="19" t="n"/>
      <c r="H417" s="19" t="n"/>
      <c r="I417" s="19" t="n"/>
      <c r="J417" s="19" t="n"/>
      <c r="K417" s="19" t="n"/>
      <c r="L417" s="125" t="n"/>
      <c r="M417" s="88">
        <f>IF($D417="","",IFERROR(VLOOKUP($H417,Lists!$N$2:$O$6,2,FALSE),0))</f>
        <v/>
      </c>
      <c r="N417" s="88">
        <f>IF($D417="","",IF(OR($E417="Blocked",$E417="Done",$E417="Archive"),-9999,IF(AND($E417="Waiting",SUMPRODUCT((($E$5:$E$500="Next")+($E$5:$E$500="In Progress")+($E$5:$E$500="Captured"))*($D$5:$D$500&lt;&gt;""))&gt;0),-500,VLOOKUP($F417,Lists!$L$2:$M$4,2,FALSE)+IF($E417="In Progress",10,0)+IF(AND($I417&lt;&gt;"",$I417&lt;TODAY()),25,0)+IF(AND($I417&lt;&gt;"",$I417&gt;=TODAY(),$I417&lt;=TODAY()+7),15,0)+IF($H417="",0,IF($M417&lt;=VLOOKUP(Home!$C$7,Lists!$N$2:$O$6,2,FALSE),20,-10))+IF($G417=Home!$E$7,15,IF(Home!$E$7="",0,-5))-ROW()/100000)))</f>
        <v/>
      </c>
      <c r="O417" s="88">
        <f>IF($D417="","",IF($N417&lt;=-500,"Not recommended right now",IF($E417="Waiting","Nothing else actionable right now — Waiting on: "&amp;IF($K417="","this item",$K417),MID($V417,4,9999))))</f>
        <v/>
      </c>
      <c r="P417" s="88">
        <f>IF($D417="","",IF('Task Finder'!$C$6="High Priority",AND($F417="High",$E417&lt;&gt;"Done",$E417&lt;&gt;"Archive"),IF('Task Finder'!$C$6="Due This Week",AND($I417&lt;&gt;"",$I417&gt;=TODAY(),$I417&lt;=TODAY()+7,$E417&lt;&gt;"Done"),IF('Task Finder'!$C$6="Quick Wins (15 mins or less)",AND($M417&lt;=15,$E417&lt;&gt;"Done",$E417&lt;&gt;"Blocked"),IF('Task Finder'!$C$6="Deep Thinking",AND($G417="Deep Thinking",$E417&lt;&gt;"Done"),IF('Task Finder'!$C$6="Processing",AND($G417="Processing",$E417&lt;&gt;"Done"),IF('Task Finder'!$C$6="Blocked",$E417="Blocked",IF('Task Finder'!$C$6="Waiting",$E417="Waiting",IF('Task Finder'!$C$6="Recently Updated",AND($L417&lt;&gt;"",$L417&gt;=TODAY()-7),IF('Task Finder'!$C$6="Keyword",AND('Task Finder'!$C$7&lt;&gt;"",OR(ISNUMBER(SEARCH('Task Finder'!$C$7,$A417)),ISNUMBER(SEARCH('Task Finder'!$C$7,$B417)),ISNUMBER(SEARCH('Task Finder'!$C$7,$C417)),ISNUMBER(SEARCH('Task Finder'!$C$7,$D417)),ISNUMBER(SEARCH('Task Finder'!$C$7,$K417)))),TRUE))))))))))</f>
        <v/>
      </c>
      <c r="Q417" s="150">
        <f>IF($F417="High","High Priority","")</f>
        <v/>
      </c>
      <c r="R417" s="150">
        <f>IF(AND($I417&lt;&gt;"",$I417&lt;TODAY()),"Overdue","")</f>
        <v/>
      </c>
      <c r="S417" s="150">
        <f>IF(AND($I417&lt;&gt;"",$I417&gt;=TODAY(),$I417&lt;=TODAY()+7),"Due This Week","")</f>
        <v/>
      </c>
      <c r="T417" s="150">
        <f>IF(AND($H417&lt;&gt;"",$M417&lt;=VLOOKUP(Home!$C$7,Lists!$N$2:$O$6,2,FALSE)),$H417&amp;" Task","")</f>
        <v/>
      </c>
      <c r="U417" s="150">
        <f>IF($G417=Home!$E$7,"Fits Current Energy","")</f>
        <v/>
      </c>
      <c r="V417" s="150">
        <f>IF($Q417&lt;&gt;""," • "&amp;$Q417,"")&amp;IF($R417&lt;&gt;""," • "&amp;$R417,"")&amp;IF($S417&lt;&gt;""," • "&amp;$S417,"")&amp;IF($T417&lt;&gt;""," • "&amp;$T417,"")&amp;IF($U417&lt;&gt;""," • "&amp;$U417,"")&amp;" • No Blockers"</f>
        <v/>
      </c>
    </row>
    <row r="418">
      <c r="A418" s="19" t="n"/>
      <c r="B418" s="19" t="n"/>
      <c r="C418" s="19" t="n"/>
      <c r="D418" s="19" t="n"/>
      <c r="E418" s="19" t="n"/>
      <c r="F418" s="19" t="n"/>
      <c r="G418" s="19" t="n"/>
      <c r="H418" s="19" t="n"/>
      <c r="I418" s="19" t="n"/>
      <c r="J418" s="19" t="n"/>
      <c r="K418" s="19" t="n"/>
      <c r="L418" s="125" t="n"/>
      <c r="M418" s="88">
        <f>IF($D418="","",IFERROR(VLOOKUP($H418,Lists!$N$2:$O$6,2,FALSE),0))</f>
        <v/>
      </c>
      <c r="N418" s="88">
        <f>IF($D418="","",IF(OR($E418="Blocked",$E418="Done",$E418="Archive"),-9999,IF(AND($E418="Waiting",SUMPRODUCT((($E$5:$E$500="Next")+($E$5:$E$500="In Progress")+($E$5:$E$500="Captured"))*($D$5:$D$500&lt;&gt;""))&gt;0),-500,VLOOKUP($F418,Lists!$L$2:$M$4,2,FALSE)+IF($E418="In Progress",10,0)+IF(AND($I418&lt;&gt;"",$I418&lt;TODAY()),25,0)+IF(AND($I418&lt;&gt;"",$I418&gt;=TODAY(),$I418&lt;=TODAY()+7),15,0)+IF($H418="",0,IF($M418&lt;=VLOOKUP(Home!$C$7,Lists!$N$2:$O$6,2,FALSE),20,-10))+IF($G418=Home!$E$7,15,IF(Home!$E$7="",0,-5))-ROW()/100000)))</f>
        <v/>
      </c>
      <c r="O418" s="88">
        <f>IF($D418="","",IF($N418&lt;=-500,"Not recommended right now",IF($E418="Waiting","Nothing else actionable right now — Waiting on: "&amp;IF($K418="","this item",$K418),MID($V418,4,9999))))</f>
        <v/>
      </c>
      <c r="P418" s="88">
        <f>IF($D418="","",IF('Task Finder'!$C$6="High Priority",AND($F418="High",$E418&lt;&gt;"Done",$E418&lt;&gt;"Archive"),IF('Task Finder'!$C$6="Due This Week",AND($I418&lt;&gt;"",$I418&gt;=TODAY(),$I418&lt;=TODAY()+7,$E418&lt;&gt;"Done"),IF('Task Finder'!$C$6="Quick Wins (15 mins or less)",AND($M418&lt;=15,$E418&lt;&gt;"Done",$E418&lt;&gt;"Blocked"),IF('Task Finder'!$C$6="Deep Thinking",AND($G418="Deep Thinking",$E418&lt;&gt;"Done"),IF('Task Finder'!$C$6="Processing",AND($G418="Processing",$E418&lt;&gt;"Done"),IF('Task Finder'!$C$6="Blocked",$E418="Blocked",IF('Task Finder'!$C$6="Waiting",$E418="Waiting",IF('Task Finder'!$C$6="Recently Updated",AND($L418&lt;&gt;"",$L418&gt;=TODAY()-7),IF('Task Finder'!$C$6="Keyword",AND('Task Finder'!$C$7&lt;&gt;"",OR(ISNUMBER(SEARCH('Task Finder'!$C$7,$A418)),ISNUMBER(SEARCH('Task Finder'!$C$7,$B418)),ISNUMBER(SEARCH('Task Finder'!$C$7,$C418)),ISNUMBER(SEARCH('Task Finder'!$C$7,$D418)),ISNUMBER(SEARCH('Task Finder'!$C$7,$K418)))),TRUE))))))))))</f>
        <v/>
      </c>
      <c r="Q418" s="150">
        <f>IF($F418="High","High Priority","")</f>
        <v/>
      </c>
      <c r="R418" s="150">
        <f>IF(AND($I418&lt;&gt;"",$I418&lt;TODAY()),"Overdue","")</f>
        <v/>
      </c>
      <c r="S418" s="150">
        <f>IF(AND($I418&lt;&gt;"",$I418&gt;=TODAY(),$I418&lt;=TODAY()+7),"Due This Week","")</f>
        <v/>
      </c>
      <c r="T418" s="150">
        <f>IF(AND($H418&lt;&gt;"",$M418&lt;=VLOOKUP(Home!$C$7,Lists!$N$2:$O$6,2,FALSE)),$H418&amp;" Task","")</f>
        <v/>
      </c>
      <c r="U418" s="150">
        <f>IF($G418=Home!$E$7,"Fits Current Energy","")</f>
        <v/>
      </c>
      <c r="V418" s="150">
        <f>IF($Q418&lt;&gt;""," • "&amp;$Q418,"")&amp;IF($R418&lt;&gt;""," • "&amp;$R418,"")&amp;IF($S418&lt;&gt;""," • "&amp;$S418,"")&amp;IF($T418&lt;&gt;""," • "&amp;$T418,"")&amp;IF($U418&lt;&gt;""," • "&amp;$U418,"")&amp;" • No Blockers"</f>
        <v/>
      </c>
    </row>
    <row r="419">
      <c r="A419" s="19" t="n"/>
      <c r="B419" s="19" t="n"/>
      <c r="C419" s="19" t="n"/>
      <c r="D419" s="19" t="n"/>
      <c r="E419" s="19" t="n"/>
      <c r="F419" s="19" t="n"/>
      <c r="G419" s="19" t="n"/>
      <c r="H419" s="19" t="n"/>
      <c r="I419" s="19" t="n"/>
      <c r="J419" s="19" t="n"/>
      <c r="K419" s="19" t="n"/>
      <c r="L419" s="125" t="n"/>
      <c r="M419" s="88">
        <f>IF($D419="","",IFERROR(VLOOKUP($H419,Lists!$N$2:$O$6,2,FALSE),0))</f>
        <v/>
      </c>
      <c r="N419" s="88">
        <f>IF($D419="","",IF(OR($E419="Blocked",$E419="Done",$E419="Archive"),-9999,IF(AND($E419="Waiting",SUMPRODUCT((($E$5:$E$500="Next")+($E$5:$E$500="In Progress")+($E$5:$E$500="Captured"))*($D$5:$D$500&lt;&gt;""))&gt;0),-500,VLOOKUP($F419,Lists!$L$2:$M$4,2,FALSE)+IF($E419="In Progress",10,0)+IF(AND($I419&lt;&gt;"",$I419&lt;TODAY()),25,0)+IF(AND($I419&lt;&gt;"",$I419&gt;=TODAY(),$I419&lt;=TODAY()+7),15,0)+IF($H419="",0,IF($M419&lt;=VLOOKUP(Home!$C$7,Lists!$N$2:$O$6,2,FALSE),20,-10))+IF($G419=Home!$E$7,15,IF(Home!$E$7="",0,-5))-ROW()/100000)))</f>
        <v/>
      </c>
      <c r="O419" s="88">
        <f>IF($D419="","",IF($N419&lt;=-500,"Not recommended right now",IF($E419="Waiting","Nothing else actionable right now — Waiting on: "&amp;IF($K419="","this item",$K419),MID($V419,4,9999))))</f>
        <v/>
      </c>
      <c r="P419" s="88">
        <f>IF($D419="","",IF('Task Finder'!$C$6="High Priority",AND($F419="High",$E419&lt;&gt;"Done",$E419&lt;&gt;"Archive"),IF('Task Finder'!$C$6="Due This Week",AND($I419&lt;&gt;"",$I419&gt;=TODAY(),$I419&lt;=TODAY()+7,$E419&lt;&gt;"Done"),IF('Task Finder'!$C$6="Quick Wins (15 mins or less)",AND($M419&lt;=15,$E419&lt;&gt;"Done",$E419&lt;&gt;"Blocked"),IF('Task Finder'!$C$6="Deep Thinking",AND($G419="Deep Thinking",$E419&lt;&gt;"Done"),IF('Task Finder'!$C$6="Processing",AND($G419="Processing",$E419&lt;&gt;"Done"),IF('Task Finder'!$C$6="Blocked",$E419="Blocked",IF('Task Finder'!$C$6="Waiting",$E419="Waiting",IF('Task Finder'!$C$6="Recently Updated",AND($L419&lt;&gt;"",$L419&gt;=TODAY()-7),IF('Task Finder'!$C$6="Keyword",AND('Task Finder'!$C$7&lt;&gt;"",OR(ISNUMBER(SEARCH('Task Finder'!$C$7,$A419)),ISNUMBER(SEARCH('Task Finder'!$C$7,$B419)),ISNUMBER(SEARCH('Task Finder'!$C$7,$C419)),ISNUMBER(SEARCH('Task Finder'!$C$7,$D419)),ISNUMBER(SEARCH('Task Finder'!$C$7,$K419)))),TRUE))))))))))</f>
        <v/>
      </c>
      <c r="Q419" s="150">
        <f>IF($F419="High","High Priority","")</f>
        <v/>
      </c>
      <c r="R419" s="150">
        <f>IF(AND($I419&lt;&gt;"",$I419&lt;TODAY()),"Overdue","")</f>
        <v/>
      </c>
      <c r="S419" s="150">
        <f>IF(AND($I419&lt;&gt;"",$I419&gt;=TODAY(),$I419&lt;=TODAY()+7),"Due This Week","")</f>
        <v/>
      </c>
      <c r="T419" s="150">
        <f>IF(AND($H419&lt;&gt;"",$M419&lt;=VLOOKUP(Home!$C$7,Lists!$N$2:$O$6,2,FALSE)),$H419&amp;" Task","")</f>
        <v/>
      </c>
      <c r="U419" s="150">
        <f>IF($G419=Home!$E$7,"Fits Current Energy","")</f>
        <v/>
      </c>
      <c r="V419" s="150">
        <f>IF($Q419&lt;&gt;""," • "&amp;$Q419,"")&amp;IF($R419&lt;&gt;""," • "&amp;$R419,"")&amp;IF($S419&lt;&gt;""," • "&amp;$S419,"")&amp;IF($T419&lt;&gt;""," • "&amp;$T419,"")&amp;IF($U419&lt;&gt;""," • "&amp;$U419,"")&amp;" • No Blockers"</f>
        <v/>
      </c>
    </row>
    <row r="420">
      <c r="A420" s="19" t="n"/>
      <c r="B420" s="19" t="n"/>
      <c r="C420" s="19" t="n"/>
      <c r="D420" s="19" t="n"/>
      <c r="E420" s="19" t="n"/>
      <c r="F420" s="19" t="n"/>
      <c r="G420" s="19" t="n"/>
      <c r="H420" s="19" t="n"/>
      <c r="I420" s="19" t="n"/>
      <c r="J420" s="19" t="n"/>
      <c r="K420" s="19" t="n"/>
      <c r="L420" s="125" t="n"/>
      <c r="M420" s="88">
        <f>IF($D420="","",IFERROR(VLOOKUP($H420,Lists!$N$2:$O$6,2,FALSE),0))</f>
        <v/>
      </c>
      <c r="N420" s="88">
        <f>IF($D420="","",IF(OR($E420="Blocked",$E420="Done",$E420="Archive"),-9999,IF(AND($E420="Waiting",SUMPRODUCT((($E$5:$E$500="Next")+($E$5:$E$500="In Progress")+($E$5:$E$500="Captured"))*($D$5:$D$500&lt;&gt;""))&gt;0),-500,VLOOKUP($F420,Lists!$L$2:$M$4,2,FALSE)+IF($E420="In Progress",10,0)+IF(AND($I420&lt;&gt;"",$I420&lt;TODAY()),25,0)+IF(AND($I420&lt;&gt;"",$I420&gt;=TODAY(),$I420&lt;=TODAY()+7),15,0)+IF($H420="",0,IF($M420&lt;=VLOOKUP(Home!$C$7,Lists!$N$2:$O$6,2,FALSE),20,-10))+IF($G420=Home!$E$7,15,IF(Home!$E$7="",0,-5))-ROW()/100000)))</f>
        <v/>
      </c>
      <c r="O420" s="88">
        <f>IF($D420="","",IF($N420&lt;=-500,"Not recommended right now",IF($E420="Waiting","Nothing else actionable right now — Waiting on: "&amp;IF($K420="","this item",$K420),MID($V420,4,9999))))</f>
        <v/>
      </c>
      <c r="P420" s="88">
        <f>IF($D420="","",IF('Task Finder'!$C$6="High Priority",AND($F420="High",$E420&lt;&gt;"Done",$E420&lt;&gt;"Archive"),IF('Task Finder'!$C$6="Due This Week",AND($I420&lt;&gt;"",$I420&gt;=TODAY(),$I420&lt;=TODAY()+7,$E420&lt;&gt;"Done"),IF('Task Finder'!$C$6="Quick Wins (15 mins or less)",AND($M420&lt;=15,$E420&lt;&gt;"Done",$E420&lt;&gt;"Blocked"),IF('Task Finder'!$C$6="Deep Thinking",AND($G420="Deep Thinking",$E420&lt;&gt;"Done"),IF('Task Finder'!$C$6="Processing",AND($G420="Processing",$E420&lt;&gt;"Done"),IF('Task Finder'!$C$6="Blocked",$E420="Blocked",IF('Task Finder'!$C$6="Waiting",$E420="Waiting",IF('Task Finder'!$C$6="Recently Updated",AND($L420&lt;&gt;"",$L420&gt;=TODAY()-7),IF('Task Finder'!$C$6="Keyword",AND('Task Finder'!$C$7&lt;&gt;"",OR(ISNUMBER(SEARCH('Task Finder'!$C$7,$A420)),ISNUMBER(SEARCH('Task Finder'!$C$7,$B420)),ISNUMBER(SEARCH('Task Finder'!$C$7,$C420)),ISNUMBER(SEARCH('Task Finder'!$C$7,$D420)),ISNUMBER(SEARCH('Task Finder'!$C$7,$K420)))),TRUE))))))))))</f>
        <v/>
      </c>
      <c r="Q420" s="150">
        <f>IF($F420="High","High Priority","")</f>
        <v/>
      </c>
      <c r="R420" s="150">
        <f>IF(AND($I420&lt;&gt;"",$I420&lt;TODAY()),"Overdue","")</f>
        <v/>
      </c>
      <c r="S420" s="150">
        <f>IF(AND($I420&lt;&gt;"",$I420&gt;=TODAY(),$I420&lt;=TODAY()+7),"Due This Week","")</f>
        <v/>
      </c>
      <c r="T420" s="150">
        <f>IF(AND($H420&lt;&gt;"",$M420&lt;=VLOOKUP(Home!$C$7,Lists!$N$2:$O$6,2,FALSE)),$H420&amp;" Task","")</f>
        <v/>
      </c>
      <c r="U420" s="150">
        <f>IF($G420=Home!$E$7,"Fits Current Energy","")</f>
        <v/>
      </c>
      <c r="V420" s="150">
        <f>IF($Q420&lt;&gt;""," • "&amp;$Q420,"")&amp;IF($R420&lt;&gt;""," • "&amp;$R420,"")&amp;IF($S420&lt;&gt;""," • "&amp;$S420,"")&amp;IF($T420&lt;&gt;""," • "&amp;$T420,"")&amp;IF($U420&lt;&gt;""," • "&amp;$U420,"")&amp;" • No Blockers"</f>
        <v/>
      </c>
    </row>
    <row r="421">
      <c r="A421" s="19" t="n"/>
      <c r="B421" s="19" t="n"/>
      <c r="C421" s="19" t="n"/>
      <c r="D421" s="19" t="n"/>
      <c r="E421" s="19" t="n"/>
      <c r="F421" s="19" t="n"/>
      <c r="G421" s="19" t="n"/>
      <c r="H421" s="19" t="n"/>
      <c r="I421" s="19" t="n"/>
      <c r="J421" s="19" t="n"/>
      <c r="K421" s="19" t="n"/>
      <c r="L421" s="125" t="n"/>
      <c r="M421" s="88">
        <f>IF($D421="","",IFERROR(VLOOKUP($H421,Lists!$N$2:$O$6,2,FALSE),0))</f>
        <v/>
      </c>
      <c r="N421" s="88">
        <f>IF($D421="","",IF(OR($E421="Blocked",$E421="Done",$E421="Archive"),-9999,IF(AND($E421="Waiting",SUMPRODUCT((($E$5:$E$500="Next")+($E$5:$E$500="In Progress")+($E$5:$E$500="Captured"))*($D$5:$D$500&lt;&gt;""))&gt;0),-500,VLOOKUP($F421,Lists!$L$2:$M$4,2,FALSE)+IF($E421="In Progress",10,0)+IF(AND($I421&lt;&gt;"",$I421&lt;TODAY()),25,0)+IF(AND($I421&lt;&gt;"",$I421&gt;=TODAY(),$I421&lt;=TODAY()+7),15,0)+IF($H421="",0,IF($M421&lt;=VLOOKUP(Home!$C$7,Lists!$N$2:$O$6,2,FALSE),20,-10))+IF($G421=Home!$E$7,15,IF(Home!$E$7="",0,-5))-ROW()/100000)))</f>
        <v/>
      </c>
      <c r="O421" s="88">
        <f>IF($D421="","",IF($N421&lt;=-500,"Not recommended right now",IF($E421="Waiting","Nothing else actionable right now — Waiting on: "&amp;IF($K421="","this item",$K421),MID($V421,4,9999))))</f>
        <v/>
      </c>
      <c r="P421" s="88">
        <f>IF($D421="","",IF('Task Finder'!$C$6="High Priority",AND($F421="High",$E421&lt;&gt;"Done",$E421&lt;&gt;"Archive"),IF('Task Finder'!$C$6="Due This Week",AND($I421&lt;&gt;"",$I421&gt;=TODAY(),$I421&lt;=TODAY()+7,$E421&lt;&gt;"Done"),IF('Task Finder'!$C$6="Quick Wins (15 mins or less)",AND($M421&lt;=15,$E421&lt;&gt;"Done",$E421&lt;&gt;"Blocked"),IF('Task Finder'!$C$6="Deep Thinking",AND($G421="Deep Thinking",$E421&lt;&gt;"Done"),IF('Task Finder'!$C$6="Processing",AND($G421="Processing",$E421&lt;&gt;"Done"),IF('Task Finder'!$C$6="Blocked",$E421="Blocked",IF('Task Finder'!$C$6="Waiting",$E421="Waiting",IF('Task Finder'!$C$6="Recently Updated",AND($L421&lt;&gt;"",$L421&gt;=TODAY()-7),IF('Task Finder'!$C$6="Keyword",AND('Task Finder'!$C$7&lt;&gt;"",OR(ISNUMBER(SEARCH('Task Finder'!$C$7,$A421)),ISNUMBER(SEARCH('Task Finder'!$C$7,$B421)),ISNUMBER(SEARCH('Task Finder'!$C$7,$C421)),ISNUMBER(SEARCH('Task Finder'!$C$7,$D421)),ISNUMBER(SEARCH('Task Finder'!$C$7,$K421)))),TRUE))))))))))</f>
        <v/>
      </c>
      <c r="Q421" s="150">
        <f>IF($F421="High","High Priority","")</f>
        <v/>
      </c>
      <c r="R421" s="150">
        <f>IF(AND($I421&lt;&gt;"",$I421&lt;TODAY()),"Overdue","")</f>
        <v/>
      </c>
      <c r="S421" s="150">
        <f>IF(AND($I421&lt;&gt;"",$I421&gt;=TODAY(),$I421&lt;=TODAY()+7),"Due This Week","")</f>
        <v/>
      </c>
      <c r="T421" s="150">
        <f>IF(AND($H421&lt;&gt;"",$M421&lt;=VLOOKUP(Home!$C$7,Lists!$N$2:$O$6,2,FALSE)),$H421&amp;" Task","")</f>
        <v/>
      </c>
      <c r="U421" s="150">
        <f>IF($G421=Home!$E$7,"Fits Current Energy","")</f>
        <v/>
      </c>
      <c r="V421" s="150">
        <f>IF($Q421&lt;&gt;""," • "&amp;$Q421,"")&amp;IF($R421&lt;&gt;""," • "&amp;$R421,"")&amp;IF($S421&lt;&gt;""," • "&amp;$S421,"")&amp;IF($T421&lt;&gt;""," • "&amp;$T421,"")&amp;IF($U421&lt;&gt;""," • "&amp;$U421,"")&amp;" • No Blockers"</f>
        <v/>
      </c>
    </row>
    <row r="422">
      <c r="A422" s="19" t="n"/>
      <c r="B422" s="19" t="n"/>
      <c r="C422" s="19" t="n"/>
      <c r="D422" s="19" t="n"/>
      <c r="E422" s="19" t="n"/>
      <c r="F422" s="19" t="n"/>
      <c r="G422" s="19" t="n"/>
      <c r="H422" s="19" t="n"/>
      <c r="I422" s="19" t="n"/>
      <c r="J422" s="19" t="n"/>
      <c r="K422" s="19" t="n"/>
      <c r="L422" s="125" t="n"/>
      <c r="M422" s="88">
        <f>IF($D422="","",IFERROR(VLOOKUP($H422,Lists!$N$2:$O$6,2,FALSE),0))</f>
        <v/>
      </c>
      <c r="N422" s="88">
        <f>IF($D422="","",IF(OR($E422="Blocked",$E422="Done",$E422="Archive"),-9999,IF(AND($E422="Waiting",SUMPRODUCT((($E$5:$E$500="Next")+($E$5:$E$500="In Progress")+($E$5:$E$500="Captured"))*($D$5:$D$500&lt;&gt;""))&gt;0),-500,VLOOKUP($F422,Lists!$L$2:$M$4,2,FALSE)+IF($E422="In Progress",10,0)+IF(AND($I422&lt;&gt;"",$I422&lt;TODAY()),25,0)+IF(AND($I422&lt;&gt;"",$I422&gt;=TODAY(),$I422&lt;=TODAY()+7),15,0)+IF($H422="",0,IF($M422&lt;=VLOOKUP(Home!$C$7,Lists!$N$2:$O$6,2,FALSE),20,-10))+IF($G422=Home!$E$7,15,IF(Home!$E$7="",0,-5))-ROW()/100000)))</f>
        <v/>
      </c>
      <c r="O422" s="88">
        <f>IF($D422="","",IF($N422&lt;=-500,"Not recommended right now",IF($E422="Waiting","Nothing else actionable right now — Waiting on: "&amp;IF($K422="","this item",$K422),MID($V422,4,9999))))</f>
        <v/>
      </c>
      <c r="P422" s="88">
        <f>IF($D422="","",IF('Task Finder'!$C$6="High Priority",AND($F422="High",$E422&lt;&gt;"Done",$E422&lt;&gt;"Archive"),IF('Task Finder'!$C$6="Due This Week",AND($I422&lt;&gt;"",$I422&gt;=TODAY(),$I422&lt;=TODAY()+7,$E422&lt;&gt;"Done"),IF('Task Finder'!$C$6="Quick Wins (15 mins or less)",AND($M422&lt;=15,$E422&lt;&gt;"Done",$E422&lt;&gt;"Blocked"),IF('Task Finder'!$C$6="Deep Thinking",AND($G422="Deep Thinking",$E422&lt;&gt;"Done"),IF('Task Finder'!$C$6="Processing",AND($G422="Processing",$E422&lt;&gt;"Done"),IF('Task Finder'!$C$6="Blocked",$E422="Blocked",IF('Task Finder'!$C$6="Waiting",$E422="Waiting",IF('Task Finder'!$C$6="Recently Updated",AND($L422&lt;&gt;"",$L422&gt;=TODAY()-7),IF('Task Finder'!$C$6="Keyword",AND('Task Finder'!$C$7&lt;&gt;"",OR(ISNUMBER(SEARCH('Task Finder'!$C$7,$A422)),ISNUMBER(SEARCH('Task Finder'!$C$7,$B422)),ISNUMBER(SEARCH('Task Finder'!$C$7,$C422)),ISNUMBER(SEARCH('Task Finder'!$C$7,$D422)),ISNUMBER(SEARCH('Task Finder'!$C$7,$K422)))),TRUE))))))))))</f>
        <v/>
      </c>
      <c r="Q422" s="150">
        <f>IF($F422="High","High Priority","")</f>
        <v/>
      </c>
      <c r="R422" s="150">
        <f>IF(AND($I422&lt;&gt;"",$I422&lt;TODAY()),"Overdue","")</f>
        <v/>
      </c>
      <c r="S422" s="150">
        <f>IF(AND($I422&lt;&gt;"",$I422&gt;=TODAY(),$I422&lt;=TODAY()+7),"Due This Week","")</f>
        <v/>
      </c>
      <c r="T422" s="150">
        <f>IF(AND($H422&lt;&gt;"",$M422&lt;=VLOOKUP(Home!$C$7,Lists!$N$2:$O$6,2,FALSE)),$H422&amp;" Task","")</f>
        <v/>
      </c>
      <c r="U422" s="150">
        <f>IF($G422=Home!$E$7,"Fits Current Energy","")</f>
        <v/>
      </c>
      <c r="V422" s="150">
        <f>IF($Q422&lt;&gt;""," • "&amp;$Q422,"")&amp;IF($R422&lt;&gt;""," • "&amp;$R422,"")&amp;IF($S422&lt;&gt;""," • "&amp;$S422,"")&amp;IF($T422&lt;&gt;""," • "&amp;$T422,"")&amp;IF($U422&lt;&gt;""," • "&amp;$U422,"")&amp;" • No Blockers"</f>
        <v/>
      </c>
    </row>
    <row r="423">
      <c r="A423" s="19" t="n"/>
      <c r="B423" s="19" t="n"/>
      <c r="C423" s="19" t="n"/>
      <c r="D423" s="19" t="n"/>
      <c r="E423" s="19" t="n"/>
      <c r="F423" s="19" t="n"/>
      <c r="G423" s="19" t="n"/>
      <c r="H423" s="19" t="n"/>
      <c r="I423" s="19" t="n"/>
      <c r="J423" s="19" t="n"/>
      <c r="K423" s="19" t="n"/>
      <c r="L423" s="125" t="n"/>
      <c r="M423" s="88">
        <f>IF($D423="","",IFERROR(VLOOKUP($H423,Lists!$N$2:$O$6,2,FALSE),0))</f>
        <v/>
      </c>
      <c r="N423" s="88">
        <f>IF($D423="","",IF(OR($E423="Blocked",$E423="Done",$E423="Archive"),-9999,IF(AND($E423="Waiting",SUMPRODUCT((($E$5:$E$500="Next")+($E$5:$E$500="In Progress")+($E$5:$E$500="Captured"))*($D$5:$D$500&lt;&gt;""))&gt;0),-500,VLOOKUP($F423,Lists!$L$2:$M$4,2,FALSE)+IF($E423="In Progress",10,0)+IF(AND($I423&lt;&gt;"",$I423&lt;TODAY()),25,0)+IF(AND($I423&lt;&gt;"",$I423&gt;=TODAY(),$I423&lt;=TODAY()+7),15,0)+IF($H423="",0,IF($M423&lt;=VLOOKUP(Home!$C$7,Lists!$N$2:$O$6,2,FALSE),20,-10))+IF($G423=Home!$E$7,15,IF(Home!$E$7="",0,-5))-ROW()/100000)))</f>
        <v/>
      </c>
      <c r="O423" s="88">
        <f>IF($D423="","",IF($N423&lt;=-500,"Not recommended right now",IF($E423="Waiting","Nothing else actionable right now — Waiting on: "&amp;IF($K423="","this item",$K423),MID($V423,4,9999))))</f>
        <v/>
      </c>
      <c r="P423" s="88">
        <f>IF($D423="","",IF('Task Finder'!$C$6="High Priority",AND($F423="High",$E423&lt;&gt;"Done",$E423&lt;&gt;"Archive"),IF('Task Finder'!$C$6="Due This Week",AND($I423&lt;&gt;"",$I423&gt;=TODAY(),$I423&lt;=TODAY()+7,$E423&lt;&gt;"Done"),IF('Task Finder'!$C$6="Quick Wins (15 mins or less)",AND($M423&lt;=15,$E423&lt;&gt;"Done",$E423&lt;&gt;"Blocked"),IF('Task Finder'!$C$6="Deep Thinking",AND($G423="Deep Thinking",$E423&lt;&gt;"Done"),IF('Task Finder'!$C$6="Processing",AND($G423="Processing",$E423&lt;&gt;"Done"),IF('Task Finder'!$C$6="Blocked",$E423="Blocked",IF('Task Finder'!$C$6="Waiting",$E423="Waiting",IF('Task Finder'!$C$6="Recently Updated",AND($L423&lt;&gt;"",$L423&gt;=TODAY()-7),IF('Task Finder'!$C$6="Keyword",AND('Task Finder'!$C$7&lt;&gt;"",OR(ISNUMBER(SEARCH('Task Finder'!$C$7,$A423)),ISNUMBER(SEARCH('Task Finder'!$C$7,$B423)),ISNUMBER(SEARCH('Task Finder'!$C$7,$C423)),ISNUMBER(SEARCH('Task Finder'!$C$7,$D423)),ISNUMBER(SEARCH('Task Finder'!$C$7,$K423)))),TRUE))))))))))</f>
        <v/>
      </c>
      <c r="Q423" s="150">
        <f>IF($F423="High","High Priority","")</f>
        <v/>
      </c>
      <c r="R423" s="150">
        <f>IF(AND($I423&lt;&gt;"",$I423&lt;TODAY()),"Overdue","")</f>
        <v/>
      </c>
      <c r="S423" s="150">
        <f>IF(AND($I423&lt;&gt;"",$I423&gt;=TODAY(),$I423&lt;=TODAY()+7),"Due This Week","")</f>
        <v/>
      </c>
      <c r="T423" s="150">
        <f>IF(AND($H423&lt;&gt;"",$M423&lt;=VLOOKUP(Home!$C$7,Lists!$N$2:$O$6,2,FALSE)),$H423&amp;" Task","")</f>
        <v/>
      </c>
      <c r="U423" s="150">
        <f>IF($G423=Home!$E$7,"Fits Current Energy","")</f>
        <v/>
      </c>
      <c r="V423" s="150">
        <f>IF($Q423&lt;&gt;""," • "&amp;$Q423,"")&amp;IF($R423&lt;&gt;""," • "&amp;$R423,"")&amp;IF($S423&lt;&gt;""," • "&amp;$S423,"")&amp;IF($T423&lt;&gt;""," • "&amp;$T423,"")&amp;IF($U423&lt;&gt;""," • "&amp;$U423,"")&amp;" • No Blockers"</f>
        <v/>
      </c>
    </row>
    <row r="424">
      <c r="A424" s="19" t="n"/>
      <c r="B424" s="19" t="n"/>
      <c r="C424" s="19" t="n"/>
      <c r="D424" s="19" t="n"/>
      <c r="E424" s="19" t="n"/>
      <c r="F424" s="19" t="n"/>
      <c r="G424" s="19" t="n"/>
      <c r="H424" s="19" t="n"/>
      <c r="I424" s="19" t="n"/>
      <c r="J424" s="19" t="n"/>
      <c r="K424" s="19" t="n"/>
      <c r="L424" s="125" t="n"/>
      <c r="M424" s="88">
        <f>IF($D424="","",IFERROR(VLOOKUP($H424,Lists!$N$2:$O$6,2,FALSE),0))</f>
        <v/>
      </c>
      <c r="N424" s="88">
        <f>IF($D424="","",IF(OR($E424="Blocked",$E424="Done",$E424="Archive"),-9999,IF(AND($E424="Waiting",SUMPRODUCT((($E$5:$E$500="Next")+($E$5:$E$500="In Progress")+($E$5:$E$500="Captured"))*($D$5:$D$500&lt;&gt;""))&gt;0),-500,VLOOKUP($F424,Lists!$L$2:$M$4,2,FALSE)+IF($E424="In Progress",10,0)+IF(AND($I424&lt;&gt;"",$I424&lt;TODAY()),25,0)+IF(AND($I424&lt;&gt;"",$I424&gt;=TODAY(),$I424&lt;=TODAY()+7),15,0)+IF($H424="",0,IF($M424&lt;=VLOOKUP(Home!$C$7,Lists!$N$2:$O$6,2,FALSE),20,-10))+IF($G424=Home!$E$7,15,IF(Home!$E$7="",0,-5))-ROW()/100000)))</f>
        <v/>
      </c>
      <c r="O424" s="88">
        <f>IF($D424="","",IF($N424&lt;=-500,"Not recommended right now",IF($E424="Waiting","Nothing else actionable right now — Waiting on: "&amp;IF($K424="","this item",$K424),MID($V424,4,9999))))</f>
        <v/>
      </c>
      <c r="P424" s="88">
        <f>IF($D424="","",IF('Task Finder'!$C$6="High Priority",AND($F424="High",$E424&lt;&gt;"Done",$E424&lt;&gt;"Archive"),IF('Task Finder'!$C$6="Due This Week",AND($I424&lt;&gt;"",$I424&gt;=TODAY(),$I424&lt;=TODAY()+7,$E424&lt;&gt;"Done"),IF('Task Finder'!$C$6="Quick Wins (15 mins or less)",AND($M424&lt;=15,$E424&lt;&gt;"Done",$E424&lt;&gt;"Blocked"),IF('Task Finder'!$C$6="Deep Thinking",AND($G424="Deep Thinking",$E424&lt;&gt;"Done"),IF('Task Finder'!$C$6="Processing",AND($G424="Processing",$E424&lt;&gt;"Done"),IF('Task Finder'!$C$6="Blocked",$E424="Blocked",IF('Task Finder'!$C$6="Waiting",$E424="Waiting",IF('Task Finder'!$C$6="Recently Updated",AND($L424&lt;&gt;"",$L424&gt;=TODAY()-7),IF('Task Finder'!$C$6="Keyword",AND('Task Finder'!$C$7&lt;&gt;"",OR(ISNUMBER(SEARCH('Task Finder'!$C$7,$A424)),ISNUMBER(SEARCH('Task Finder'!$C$7,$B424)),ISNUMBER(SEARCH('Task Finder'!$C$7,$C424)),ISNUMBER(SEARCH('Task Finder'!$C$7,$D424)),ISNUMBER(SEARCH('Task Finder'!$C$7,$K424)))),TRUE))))))))))</f>
        <v/>
      </c>
      <c r="Q424" s="150">
        <f>IF($F424="High","High Priority","")</f>
        <v/>
      </c>
      <c r="R424" s="150">
        <f>IF(AND($I424&lt;&gt;"",$I424&lt;TODAY()),"Overdue","")</f>
        <v/>
      </c>
      <c r="S424" s="150">
        <f>IF(AND($I424&lt;&gt;"",$I424&gt;=TODAY(),$I424&lt;=TODAY()+7),"Due This Week","")</f>
        <v/>
      </c>
      <c r="T424" s="150">
        <f>IF(AND($H424&lt;&gt;"",$M424&lt;=VLOOKUP(Home!$C$7,Lists!$N$2:$O$6,2,FALSE)),$H424&amp;" Task","")</f>
        <v/>
      </c>
      <c r="U424" s="150">
        <f>IF($G424=Home!$E$7,"Fits Current Energy","")</f>
        <v/>
      </c>
      <c r="V424" s="150">
        <f>IF($Q424&lt;&gt;""," • "&amp;$Q424,"")&amp;IF($R424&lt;&gt;""," • "&amp;$R424,"")&amp;IF($S424&lt;&gt;""," • "&amp;$S424,"")&amp;IF($T424&lt;&gt;""," • "&amp;$T424,"")&amp;IF($U424&lt;&gt;""," • "&amp;$U424,"")&amp;" • No Blockers"</f>
        <v/>
      </c>
    </row>
    <row r="425">
      <c r="A425" s="19" t="n"/>
      <c r="B425" s="19" t="n"/>
      <c r="C425" s="19" t="n"/>
      <c r="D425" s="19" t="n"/>
      <c r="E425" s="19" t="n"/>
      <c r="F425" s="19" t="n"/>
      <c r="G425" s="19" t="n"/>
      <c r="H425" s="19" t="n"/>
      <c r="I425" s="19" t="n"/>
      <c r="J425" s="19" t="n"/>
      <c r="K425" s="19" t="n"/>
      <c r="L425" s="125" t="n"/>
      <c r="M425" s="88">
        <f>IF($D425="","",IFERROR(VLOOKUP($H425,Lists!$N$2:$O$6,2,FALSE),0))</f>
        <v/>
      </c>
      <c r="N425" s="88">
        <f>IF($D425="","",IF(OR($E425="Blocked",$E425="Done",$E425="Archive"),-9999,IF(AND($E425="Waiting",SUMPRODUCT((($E$5:$E$500="Next")+($E$5:$E$500="In Progress")+($E$5:$E$500="Captured"))*($D$5:$D$500&lt;&gt;""))&gt;0),-500,VLOOKUP($F425,Lists!$L$2:$M$4,2,FALSE)+IF($E425="In Progress",10,0)+IF(AND($I425&lt;&gt;"",$I425&lt;TODAY()),25,0)+IF(AND($I425&lt;&gt;"",$I425&gt;=TODAY(),$I425&lt;=TODAY()+7),15,0)+IF($H425="",0,IF($M425&lt;=VLOOKUP(Home!$C$7,Lists!$N$2:$O$6,2,FALSE),20,-10))+IF($G425=Home!$E$7,15,IF(Home!$E$7="",0,-5))-ROW()/100000)))</f>
        <v/>
      </c>
      <c r="O425" s="88">
        <f>IF($D425="","",IF($N425&lt;=-500,"Not recommended right now",IF($E425="Waiting","Nothing else actionable right now — Waiting on: "&amp;IF($K425="","this item",$K425),MID($V425,4,9999))))</f>
        <v/>
      </c>
      <c r="P425" s="88">
        <f>IF($D425="","",IF('Task Finder'!$C$6="High Priority",AND($F425="High",$E425&lt;&gt;"Done",$E425&lt;&gt;"Archive"),IF('Task Finder'!$C$6="Due This Week",AND($I425&lt;&gt;"",$I425&gt;=TODAY(),$I425&lt;=TODAY()+7,$E425&lt;&gt;"Done"),IF('Task Finder'!$C$6="Quick Wins (15 mins or less)",AND($M425&lt;=15,$E425&lt;&gt;"Done",$E425&lt;&gt;"Blocked"),IF('Task Finder'!$C$6="Deep Thinking",AND($G425="Deep Thinking",$E425&lt;&gt;"Done"),IF('Task Finder'!$C$6="Processing",AND($G425="Processing",$E425&lt;&gt;"Done"),IF('Task Finder'!$C$6="Blocked",$E425="Blocked",IF('Task Finder'!$C$6="Waiting",$E425="Waiting",IF('Task Finder'!$C$6="Recently Updated",AND($L425&lt;&gt;"",$L425&gt;=TODAY()-7),IF('Task Finder'!$C$6="Keyword",AND('Task Finder'!$C$7&lt;&gt;"",OR(ISNUMBER(SEARCH('Task Finder'!$C$7,$A425)),ISNUMBER(SEARCH('Task Finder'!$C$7,$B425)),ISNUMBER(SEARCH('Task Finder'!$C$7,$C425)),ISNUMBER(SEARCH('Task Finder'!$C$7,$D425)),ISNUMBER(SEARCH('Task Finder'!$C$7,$K425)))),TRUE))))))))))</f>
        <v/>
      </c>
      <c r="Q425" s="150">
        <f>IF($F425="High","High Priority","")</f>
        <v/>
      </c>
      <c r="R425" s="150">
        <f>IF(AND($I425&lt;&gt;"",$I425&lt;TODAY()),"Overdue","")</f>
        <v/>
      </c>
      <c r="S425" s="150">
        <f>IF(AND($I425&lt;&gt;"",$I425&gt;=TODAY(),$I425&lt;=TODAY()+7),"Due This Week","")</f>
        <v/>
      </c>
      <c r="T425" s="150">
        <f>IF(AND($H425&lt;&gt;"",$M425&lt;=VLOOKUP(Home!$C$7,Lists!$N$2:$O$6,2,FALSE)),$H425&amp;" Task","")</f>
        <v/>
      </c>
      <c r="U425" s="150">
        <f>IF($G425=Home!$E$7,"Fits Current Energy","")</f>
        <v/>
      </c>
      <c r="V425" s="150">
        <f>IF($Q425&lt;&gt;""," • "&amp;$Q425,"")&amp;IF($R425&lt;&gt;""," • "&amp;$R425,"")&amp;IF($S425&lt;&gt;""," • "&amp;$S425,"")&amp;IF($T425&lt;&gt;""," • "&amp;$T425,"")&amp;IF($U425&lt;&gt;""," • "&amp;$U425,"")&amp;" • No Blockers"</f>
        <v/>
      </c>
    </row>
    <row r="426">
      <c r="A426" s="19" t="n"/>
      <c r="B426" s="19" t="n"/>
      <c r="C426" s="19" t="n"/>
      <c r="D426" s="19" t="n"/>
      <c r="E426" s="19" t="n"/>
      <c r="F426" s="19" t="n"/>
      <c r="G426" s="19" t="n"/>
      <c r="H426" s="19" t="n"/>
      <c r="I426" s="19" t="n"/>
      <c r="J426" s="19" t="n"/>
      <c r="K426" s="19" t="n"/>
      <c r="L426" s="125" t="n"/>
      <c r="M426" s="88">
        <f>IF($D426="","",IFERROR(VLOOKUP($H426,Lists!$N$2:$O$6,2,FALSE),0))</f>
        <v/>
      </c>
      <c r="N426" s="88">
        <f>IF($D426="","",IF(OR($E426="Blocked",$E426="Done",$E426="Archive"),-9999,IF(AND($E426="Waiting",SUMPRODUCT((($E$5:$E$500="Next")+($E$5:$E$500="In Progress")+($E$5:$E$500="Captured"))*($D$5:$D$500&lt;&gt;""))&gt;0),-500,VLOOKUP($F426,Lists!$L$2:$M$4,2,FALSE)+IF($E426="In Progress",10,0)+IF(AND($I426&lt;&gt;"",$I426&lt;TODAY()),25,0)+IF(AND($I426&lt;&gt;"",$I426&gt;=TODAY(),$I426&lt;=TODAY()+7),15,0)+IF($H426="",0,IF($M426&lt;=VLOOKUP(Home!$C$7,Lists!$N$2:$O$6,2,FALSE),20,-10))+IF($G426=Home!$E$7,15,IF(Home!$E$7="",0,-5))-ROW()/100000)))</f>
        <v/>
      </c>
      <c r="O426" s="88">
        <f>IF($D426="","",IF($N426&lt;=-500,"Not recommended right now",IF($E426="Waiting","Nothing else actionable right now — Waiting on: "&amp;IF($K426="","this item",$K426),MID($V426,4,9999))))</f>
        <v/>
      </c>
      <c r="P426" s="88">
        <f>IF($D426="","",IF('Task Finder'!$C$6="High Priority",AND($F426="High",$E426&lt;&gt;"Done",$E426&lt;&gt;"Archive"),IF('Task Finder'!$C$6="Due This Week",AND($I426&lt;&gt;"",$I426&gt;=TODAY(),$I426&lt;=TODAY()+7,$E426&lt;&gt;"Done"),IF('Task Finder'!$C$6="Quick Wins (15 mins or less)",AND($M426&lt;=15,$E426&lt;&gt;"Done",$E426&lt;&gt;"Blocked"),IF('Task Finder'!$C$6="Deep Thinking",AND($G426="Deep Thinking",$E426&lt;&gt;"Done"),IF('Task Finder'!$C$6="Processing",AND($G426="Processing",$E426&lt;&gt;"Done"),IF('Task Finder'!$C$6="Blocked",$E426="Blocked",IF('Task Finder'!$C$6="Waiting",$E426="Waiting",IF('Task Finder'!$C$6="Recently Updated",AND($L426&lt;&gt;"",$L426&gt;=TODAY()-7),IF('Task Finder'!$C$6="Keyword",AND('Task Finder'!$C$7&lt;&gt;"",OR(ISNUMBER(SEARCH('Task Finder'!$C$7,$A426)),ISNUMBER(SEARCH('Task Finder'!$C$7,$B426)),ISNUMBER(SEARCH('Task Finder'!$C$7,$C426)),ISNUMBER(SEARCH('Task Finder'!$C$7,$D426)),ISNUMBER(SEARCH('Task Finder'!$C$7,$K426)))),TRUE))))))))))</f>
        <v/>
      </c>
      <c r="Q426" s="150">
        <f>IF($F426="High","High Priority","")</f>
        <v/>
      </c>
      <c r="R426" s="150">
        <f>IF(AND($I426&lt;&gt;"",$I426&lt;TODAY()),"Overdue","")</f>
        <v/>
      </c>
      <c r="S426" s="150">
        <f>IF(AND($I426&lt;&gt;"",$I426&gt;=TODAY(),$I426&lt;=TODAY()+7),"Due This Week","")</f>
        <v/>
      </c>
      <c r="T426" s="150">
        <f>IF(AND($H426&lt;&gt;"",$M426&lt;=VLOOKUP(Home!$C$7,Lists!$N$2:$O$6,2,FALSE)),$H426&amp;" Task","")</f>
        <v/>
      </c>
      <c r="U426" s="150">
        <f>IF($G426=Home!$E$7,"Fits Current Energy","")</f>
        <v/>
      </c>
      <c r="V426" s="150">
        <f>IF($Q426&lt;&gt;""," • "&amp;$Q426,"")&amp;IF($R426&lt;&gt;""," • "&amp;$R426,"")&amp;IF($S426&lt;&gt;""," • "&amp;$S426,"")&amp;IF($T426&lt;&gt;""," • "&amp;$T426,"")&amp;IF($U426&lt;&gt;""," • "&amp;$U426,"")&amp;" • No Blockers"</f>
        <v/>
      </c>
    </row>
    <row r="427">
      <c r="A427" s="19" t="n"/>
      <c r="B427" s="19" t="n"/>
      <c r="C427" s="19" t="n"/>
      <c r="D427" s="19" t="n"/>
      <c r="E427" s="19" t="n"/>
      <c r="F427" s="19" t="n"/>
      <c r="G427" s="19" t="n"/>
      <c r="H427" s="19" t="n"/>
      <c r="I427" s="19" t="n"/>
      <c r="J427" s="19" t="n"/>
      <c r="K427" s="19" t="n"/>
      <c r="L427" s="125" t="n"/>
      <c r="M427" s="88">
        <f>IF($D427="","",IFERROR(VLOOKUP($H427,Lists!$N$2:$O$6,2,FALSE),0))</f>
        <v/>
      </c>
      <c r="N427" s="88">
        <f>IF($D427="","",IF(OR($E427="Blocked",$E427="Done",$E427="Archive"),-9999,IF(AND($E427="Waiting",SUMPRODUCT((($E$5:$E$500="Next")+($E$5:$E$500="In Progress")+($E$5:$E$500="Captured"))*($D$5:$D$500&lt;&gt;""))&gt;0),-500,VLOOKUP($F427,Lists!$L$2:$M$4,2,FALSE)+IF($E427="In Progress",10,0)+IF(AND($I427&lt;&gt;"",$I427&lt;TODAY()),25,0)+IF(AND($I427&lt;&gt;"",$I427&gt;=TODAY(),$I427&lt;=TODAY()+7),15,0)+IF($H427="",0,IF($M427&lt;=VLOOKUP(Home!$C$7,Lists!$N$2:$O$6,2,FALSE),20,-10))+IF($G427=Home!$E$7,15,IF(Home!$E$7="",0,-5))-ROW()/100000)))</f>
        <v/>
      </c>
      <c r="O427" s="88">
        <f>IF($D427="","",IF($N427&lt;=-500,"Not recommended right now",IF($E427="Waiting","Nothing else actionable right now — Waiting on: "&amp;IF($K427="","this item",$K427),MID($V427,4,9999))))</f>
        <v/>
      </c>
      <c r="P427" s="88">
        <f>IF($D427="","",IF('Task Finder'!$C$6="High Priority",AND($F427="High",$E427&lt;&gt;"Done",$E427&lt;&gt;"Archive"),IF('Task Finder'!$C$6="Due This Week",AND($I427&lt;&gt;"",$I427&gt;=TODAY(),$I427&lt;=TODAY()+7,$E427&lt;&gt;"Done"),IF('Task Finder'!$C$6="Quick Wins (15 mins or less)",AND($M427&lt;=15,$E427&lt;&gt;"Done",$E427&lt;&gt;"Blocked"),IF('Task Finder'!$C$6="Deep Thinking",AND($G427="Deep Thinking",$E427&lt;&gt;"Done"),IF('Task Finder'!$C$6="Processing",AND($G427="Processing",$E427&lt;&gt;"Done"),IF('Task Finder'!$C$6="Blocked",$E427="Blocked",IF('Task Finder'!$C$6="Waiting",$E427="Waiting",IF('Task Finder'!$C$6="Recently Updated",AND($L427&lt;&gt;"",$L427&gt;=TODAY()-7),IF('Task Finder'!$C$6="Keyword",AND('Task Finder'!$C$7&lt;&gt;"",OR(ISNUMBER(SEARCH('Task Finder'!$C$7,$A427)),ISNUMBER(SEARCH('Task Finder'!$C$7,$B427)),ISNUMBER(SEARCH('Task Finder'!$C$7,$C427)),ISNUMBER(SEARCH('Task Finder'!$C$7,$D427)),ISNUMBER(SEARCH('Task Finder'!$C$7,$K427)))),TRUE))))))))))</f>
        <v/>
      </c>
      <c r="Q427" s="150">
        <f>IF($F427="High","High Priority","")</f>
        <v/>
      </c>
      <c r="R427" s="150">
        <f>IF(AND($I427&lt;&gt;"",$I427&lt;TODAY()),"Overdue","")</f>
        <v/>
      </c>
      <c r="S427" s="150">
        <f>IF(AND($I427&lt;&gt;"",$I427&gt;=TODAY(),$I427&lt;=TODAY()+7),"Due This Week","")</f>
        <v/>
      </c>
      <c r="T427" s="150">
        <f>IF(AND($H427&lt;&gt;"",$M427&lt;=VLOOKUP(Home!$C$7,Lists!$N$2:$O$6,2,FALSE)),$H427&amp;" Task","")</f>
        <v/>
      </c>
      <c r="U427" s="150">
        <f>IF($G427=Home!$E$7,"Fits Current Energy","")</f>
        <v/>
      </c>
      <c r="V427" s="150">
        <f>IF($Q427&lt;&gt;""," • "&amp;$Q427,"")&amp;IF($R427&lt;&gt;""," • "&amp;$R427,"")&amp;IF($S427&lt;&gt;""," • "&amp;$S427,"")&amp;IF($T427&lt;&gt;""," • "&amp;$T427,"")&amp;IF($U427&lt;&gt;""," • "&amp;$U427,"")&amp;" • No Blockers"</f>
        <v/>
      </c>
    </row>
    <row r="428">
      <c r="A428" s="19" t="n"/>
      <c r="B428" s="19" t="n"/>
      <c r="C428" s="19" t="n"/>
      <c r="D428" s="19" t="n"/>
      <c r="E428" s="19" t="n"/>
      <c r="F428" s="19" t="n"/>
      <c r="G428" s="19" t="n"/>
      <c r="H428" s="19" t="n"/>
      <c r="I428" s="19" t="n"/>
      <c r="J428" s="19" t="n"/>
      <c r="K428" s="19" t="n"/>
      <c r="L428" s="125" t="n"/>
      <c r="M428" s="88">
        <f>IF($D428="","",IFERROR(VLOOKUP($H428,Lists!$N$2:$O$6,2,FALSE),0))</f>
        <v/>
      </c>
      <c r="N428" s="88">
        <f>IF($D428="","",IF(OR($E428="Blocked",$E428="Done",$E428="Archive"),-9999,IF(AND($E428="Waiting",SUMPRODUCT((($E$5:$E$500="Next")+($E$5:$E$500="In Progress")+($E$5:$E$500="Captured"))*($D$5:$D$500&lt;&gt;""))&gt;0),-500,VLOOKUP($F428,Lists!$L$2:$M$4,2,FALSE)+IF($E428="In Progress",10,0)+IF(AND($I428&lt;&gt;"",$I428&lt;TODAY()),25,0)+IF(AND($I428&lt;&gt;"",$I428&gt;=TODAY(),$I428&lt;=TODAY()+7),15,0)+IF($H428="",0,IF($M428&lt;=VLOOKUP(Home!$C$7,Lists!$N$2:$O$6,2,FALSE),20,-10))+IF($G428=Home!$E$7,15,IF(Home!$E$7="",0,-5))-ROW()/100000)))</f>
        <v/>
      </c>
      <c r="O428" s="88">
        <f>IF($D428="","",IF($N428&lt;=-500,"Not recommended right now",IF($E428="Waiting","Nothing else actionable right now — Waiting on: "&amp;IF($K428="","this item",$K428),MID($V428,4,9999))))</f>
        <v/>
      </c>
      <c r="P428" s="88">
        <f>IF($D428="","",IF('Task Finder'!$C$6="High Priority",AND($F428="High",$E428&lt;&gt;"Done",$E428&lt;&gt;"Archive"),IF('Task Finder'!$C$6="Due This Week",AND($I428&lt;&gt;"",$I428&gt;=TODAY(),$I428&lt;=TODAY()+7,$E428&lt;&gt;"Done"),IF('Task Finder'!$C$6="Quick Wins (15 mins or less)",AND($M428&lt;=15,$E428&lt;&gt;"Done",$E428&lt;&gt;"Blocked"),IF('Task Finder'!$C$6="Deep Thinking",AND($G428="Deep Thinking",$E428&lt;&gt;"Done"),IF('Task Finder'!$C$6="Processing",AND($G428="Processing",$E428&lt;&gt;"Done"),IF('Task Finder'!$C$6="Blocked",$E428="Blocked",IF('Task Finder'!$C$6="Waiting",$E428="Waiting",IF('Task Finder'!$C$6="Recently Updated",AND($L428&lt;&gt;"",$L428&gt;=TODAY()-7),IF('Task Finder'!$C$6="Keyword",AND('Task Finder'!$C$7&lt;&gt;"",OR(ISNUMBER(SEARCH('Task Finder'!$C$7,$A428)),ISNUMBER(SEARCH('Task Finder'!$C$7,$B428)),ISNUMBER(SEARCH('Task Finder'!$C$7,$C428)),ISNUMBER(SEARCH('Task Finder'!$C$7,$D428)),ISNUMBER(SEARCH('Task Finder'!$C$7,$K428)))),TRUE))))))))))</f>
        <v/>
      </c>
      <c r="Q428" s="150">
        <f>IF($F428="High","High Priority","")</f>
        <v/>
      </c>
      <c r="R428" s="150">
        <f>IF(AND($I428&lt;&gt;"",$I428&lt;TODAY()),"Overdue","")</f>
        <v/>
      </c>
      <c r="S428" s="150">
        <f>IF(AND($I428&lt;&gt;"",$I428&gt;=TODAY(),$I428&lt;=TODAY()+7),"Due This Week","")</f>
        <v/>
      </c>
      <c r="T428" s="150">
        <f>IF(AND($H428&lt;&gt;"",$M428&lt;=VLOOKUP(Home!$C$7,Lists!$N$2:$O$6,2,FALSE)),$H428&amp;" Task","")</f>
        <v/>
      </c>
      <c r="U428" s="150">
        <f>IF($G428=Home!$E$7,"Fits Current Energy","")</f>
        <v/>
      </c>
      <c r="V428" s="150">
        <f>IF($Q428&lt;&gt;""," • "&amp;$Q428,"")&amp;IF($R428&lt;&gt;""," • "&amp;$R428,"")&amp;IF($S428&lt;&gt;""," • "&amp;$S428,"")&amp;IF($T428&lt;&gt;""," • "&amp;$T428,"")&amp;IF($U428&lt;&gt;""," • "&amp;$U428,"")&amp;" • No Blockers"</f>
        <v/>
      </c>
    </row>
    <row r="429">
      <c r="A429" s="19" t="n"/>
      <c r="B429" s="19" t="n"/>
      <c r="C429" s="19" t="n"/>
      <c r="D429" s="19" t="n"/>
      <c r="E429" s="19" t="n"/>
      <c r="F429" s="19" t="n"/>
      <c r="G429" s="19" t="n"/>
      <c r="H429" s="19" t="n"/>
      <c r="I429" s="19" t="n"/>
      <c r="J429" s="19" t="n"/>
      <c r="K429" s="19" t="n"/>
      <c r="L429" s="125" t="n"/>
      <c r="M429" s="88">
        <f>IF($D429="","",IFERROR(VLOOKUP($H429,Lists!$N$2:$O$6,2,FALSE),0))</f>
        <v/>
      </c>
      <c r="N429" s="88">
        <f>IF($D429="","",IF(OR($E429="Blocked",$E429="Done",$E429="Archive"),-9999,IF(AND($E429="Waiting",SUMPRODUCT((($E$5:$E$500="Next")+($E$5:$E$500="In Progress")+($E$5:$E$500="Captured"))*($D$5:$D$500&lt;&gt;""))&gt;0),-500,VLOOKUP($F429,Lists!$L$2:$M$4,2,FALSE)+IF($E429="In Progress",10,0)+IF(AND($I429&lt;&gt;"",$I429&lt;TODAY()),25,0)+IF(AND($I429&lt;&gt;"",$I429&gt;=TODAY(),$I429&lt;=TODAY()+7),15,0)+IF($H429="",0,IF($M429&lt;=VLOOKUP(Home!$C$7,Lists!$N$2:$O$6,2,FALSE),20,-10))+IF($G429=Home!$E$7,15,IF(Home!$E$7="",0,-5))-ROW()/100000)))</f>
        <v/>
      </c>
      <c r="O429" s="88">
        <f>IF($D429="","",IF($N429&lt;=-500,"Not recommended right now",IF($E429="Waiting","Nothing else actionable right now — Waiting on: "&amp;IF($K429="","this item",$K429),MID($V429,4,9999))))</f>
        <v/>
      </c>
      <c r="P429" s="88">
        <f>IF($D429="","",IF('Task Finder'!$C$6="High Priority",AND($F429="High",$E429&lt;&gt;"Done",$E429&lt;&gt;"Archive"),IF('Task Finder'!$C$6="Due This Week",AND($I429&lt;&gt;"",$I429&gt;=TODAY(),$I429&lt;=TODAY()+7,$E429&lt;&gt;"Done"),IF('Task Finder'!$C$6="Quick Wins (15 mins or less)",AND($M429&lt;=15,$E429&lt;&gt;"Done",$E429&lt;&gt;"Blocked"),IF('Task Finder'!$C$6="Deep Thinking",AND($G429="Deep Thinking",$E429&lt;&gt;"Done"),IF('Task Finder'!$C$6="Processing",AND($G429="Processing",$E429&lt;&gt;"Done"),IF('Task Finder'!$C$6="Blocked",$E429="Blocked",IF('Task Finder'!$C$6="Waiting",$E429="Waiting",IF('Task Finder'!$C$6="Recently Updated",AND($L429&lt;&gt;"",$L429&gt;=TODAY()-7),IF('Task Finder'!$C$6="Keyword",AND('Task Finder'!$C$7&lt;&gt;"",OR(ISNUMBER(SEARCH('Task Finder'!$C$7,$A429)),ISNUMBER(SEARCH('Task Finder'!$C$7,$B429)),ISNUMBER(SEARCH('Task Finder'!$C$7,$C429)),ISNUMBER(SEARCH('Task Finder'!$C$7,$D429)),ISNUMBER(SEARCH('Task Finder'!$C$7,$K429)))),TRUE))))))))))</f>
        <v/>
      </c>
      <c r="Q429" s="150">
        <f>IF($F429="High","High Priority","")</f>
        <v/>
      </c>
      <c r="R429" s="150">
        <f>IF(AND($I429&lt;&gt;"",$I429&lt;TODAY()),"Overdue","")</f>
        <v/>
      </c>
      <c r="S429" s="150">
        <f>IF(AND($I429&lt;&gt;"",$I429&gt;=TODAY(),$I429&lt;=TODAY()+7),"Due This Week","")</f>
        <v/>
      </c>
      <c r="T429" s="150">
        <f>IF(AND($H429&lt;&gt;"",$M429&lt;=VLOOKUP(Home!$C$7,Lists!$N$2:$O$6,2,FALSE)),$H429&amp;" Task","")</f>
        <v/>
      </c>
      <c r="U429" s="150">
        <f>IF($G429=Home!$E$7,"Fits Current Energy","")</f>
        <v/>
      </c>
      <c r="V429" s="150">
        <f>IF($Q429&lt;&gt;""," • "&amp;$Q429,"")&amp;IF($R429&lt;&gt;""," • "&amp;$R429,"")&amp;IF($S429&lt;&gt;""," • "&amp;$S429,"")&amp;IF($T429&lt;&gt;""," • "&amp;$T429,"")&amp;IF($U429&lt;&gt;""," • "&amp;$U429,"")&amp;" • No Blockers"</f>
        <v/>
      </c>
    </row>
    <row r="430">
      <c r="A430" s="19" t="n"/>
      <c r="B430" s="19" t="n"/>
      <c r="C430" s="19" t="n"/>
      <c r="D430" s="19" t="n"/>
      <c r="E430" s="19" t="n"/>
      <c r="F430" s="19" t="n"/>
      <c r="G430" s="19" t="n"/>
      <c r="H430" s="19" t="n"/>
      <c r="I430" s="19" t="n"/>
      <c r="J430" s="19" t="n"/>
      <c r="K430" s="19" t="n"/>
      <c r="L430" s="125" t="n"/>
      <c r="M430" s="88">
        <f>IF($D430="","",IFERROR(VLOOKUP($H430,Lists!$N$2:$O$6,2,FALSE),0))</f>
        <v/>
      </c>
      <c r="N430" s="88">
        <f>IF($D430="","",IF(OR($E430="Blocked",$E430="Done",$E430="Archive"),-9999,IF(AND($E430="Waiting",SUMPRODUCT((($E$5:$E$500="Next")+($E$5:$E$500="In Progress")+($E$5:$E$500="Captured"))*($D$5:$D$500&lt;&gt;""))&gt;0),-500,VLOOKUP($F430,Lists!$L$2:$M$4,2,FALSE)+IF($E430="In Progress",10,0)+IF(AND($I430&lt;&gt;"",$I430&lt;TODAY()),25,0)+IF(AND($I430&lt;&gt;"",$I430&gt;=TODAY(),$I430&lt;=TODAY()+7),15,0)+IF($H430="",0,IF($M430&lt;=VLOOKUP(Home!$C$7,Lists!$N$2:$O$6,2,FALSE),20,-10))+IF($G430=Home!$E$7,15,IF(Home!$E$7="",0,-5))-ROW()/100000)))</f>
        <v/>
      </c>
      <c r="O430" s="88">
        <f>IF($D430="","",IF($N430&lt;=-500,"Not recommended right now",IF($E430="Waiting","Nothing else actionable right now — Waiting on: "&amp;IF($K430="","this item",$K430),MID($V430,4,9999))))</f>
        <v/>
      </c>
      <c r="P430" s="88">
        <f>IF($D430="","",IF('Task Finder'!$C$6="High Priority",AND($F430="High",$E430&lt;&gt;"Done",$E430&lt;&gt;"Archive"),IF('Task Finder'!$C$6="Due This Week",AND($I430&lt;&gt;"",$I430&gt;=TODAY(),$I430&lt;=TODAY()+7,$E430&lt;&gt;"Done"),IF('Task Finder'!$C$6="Quick Wins (15 mins or less)",AND($M430&lt;=15,$E430&lt;&gt;"Done",$E430&lt;&gt;"Blocked"),IF('Task Finder'!$C$6="Deep Thinking",AND($G430="Deep Thinking",$E430&lt;&gt;"Done"),IF('Task Finder'!$C$6="Processing",AND($G430="Processing",$E430&lt;&gt;"Done"),IF('Task Finder'!$C$6="Blocked",$E430="Blocked",IF('Task Finder'!$C$6="Waiting",$E430="Waiting",IF('Task Finder'!$C$6="Recently Updated",AND($L430&lt;&gt;"",$L430&gt;=TODAY()-7),IF('Task Finder'!$C$6="Keyword",AND('Task Finder'!$C$7&lt;&gt;"",OR(ISNUMBER(SEARCH('Task Finder'!$C$7,$A430)),ISNUMBER(SEARCH('Task Finder'!$C$7,$B430)),ISNUMBER(SEARCH('Task Finder'!$C$7,$C430)),ISNUMBER(SEARCH('Task Finder'!$C$7,$D430)),ISNUMBER(SEARCH('Task Finder'!$C$7,$K430)))),TRUE))))))))))</f>
        <v/>
      </c>
      <c r="Q430" s="150">
        <f>IF($F430="High","High Priority","")</f>
        <v/>
      </c>
      <c r="R430" s="150">
        <f>IF(AND($I430&lt;&gt;"",$I430&lt;TODAY()),"Overdue","")</f>
        <v/>
      </c>
      <c r="S430" s="150">
        <f>IF(AND($I430&lt;&gt;"",$I430&gt;=TODAY(),$I430&lt;=TODAY()+7),"Due This Week","")</f>
        <v/>
      </c>
      <c r="T430" s="150">
        <f>IF(AND($H430&lt;&gt;"",$M430&lt;=VLOOKUP(Home!$C$7,Lists!$N$2:$O$6,2,FALSE)),$H430&amp;" Task","")</f>
        <v/>
      </c>
      <c r="U430" s="150">
        <f>IF($G430=Home!$E$7,"Fits Current Energy","")</f>
        <v/>
      </c>
      <c r="V430" s="150">
        <f>IF($Q430&lt;&gt;""," • "&amp;$Q430,"")&amp;IF($R430&lt;&gt;""," • "&amp;$R430,"")&amp;IF($S430&lt;&gt;""," • "&amp;$S430,"")&amp;IF($T430&lt;&gt;""," • "&amp;$T430,"")&amp;IF($U430&lt;&gt;""," • "&amp;$U430,"")&amp;" • No Blockers"</f>
        <v/>
      </c>
    </row>
    <row r="431">
      <c r="A431" s="19" t="n"/>
      <c r="B431" s="19" t="n"/>
      <c r="C431" s="19" t="n"/>
      <c r="D431" s="19" t="n"/>
      <c r="E431" s="19" t="n"/>
      <c r="F431" s="19" t="n"/>
      <c r="G431" s="19" t="n"/>
      <c r="H431" s="19" t="n"/>
      <c r="I431" s="19" t="n"/>
      <c r="J431" s="19" t="n"/>
      <c r="K431" s="19" t="n"/>
      <c r="L431" s="125" t="n"/>
      <c r="M431" s="88">
        <f>IF($D431="","",IFERROR(VLOOKUP($H431,Lists!$N$2:$O$6,2,FALSE),0))</f>
        <v/>
      </c>
      <c r="N431" s="88">
        <f>IF($D431="","",IF(OR($E431="Blocked",$E431="Done",$E431="Archive"),-9999,IF(AND($E431="Waiting",SUMPRODUCT((($E$5:$E$500="Next")+($E$5:$E$500="In Progress")+($E$5:$E$500="Captured"))*($D$5:$D$500&lt;&gt;""))&gt;0),-500,VLOOKUP($F431,Lists!$L$2:$M$4,2,FALSE)+IF($E431="In Progress",10,0)+IF(AND($I431&lt;&gt;"",$I431&lt;TODAY()),25,0)+IF(AND($I431&lt;&gt;"",$I431&gt;=TODAY(),$I431&lt;=TODAY()+7),15,0)+IF($H431="",0,IF($M431&lt;=VLOOKUP(Home!$C$7,Lists!$N$2:$O$6,2,FALSE),20,-10))+IF($G431=Home!$E$7,15,IF(Home!$E$7="",0,-5))-ROW()/100000)))</f>
        <v/>
      </c>
      <c r="O431" s="88">
        <f>IF($D431="","",IF($N431&lt;=-500,"Not recommended right now",IF($E431="Waiting","Nothing else actionable right now — Waiting on: "&amp;IF($K431="","this item",$K431),MID($V431,4,9999))))</f>
        <v/>
      </c>
      <c r="P431" s="88">
        <f>IF($D431="","",IF('Task Finder'!$C$6="High Priority",AND($F431="High",$E431&lt;&gt;"Done",$E431&lt;&gt;"Archive"),IF('Task Finder'!$C$6="Due This Week",AND($I431&lt;&gt;"",$I431&gt;=TODAY(),$I431&lt;=TODAY()+7,$E431&lt;&gt;"Done"),IF('Task Finder'!$C$6="Quick Wins (15 mins or less)",AND($M431&lt;=15,$E431&lt;&gt;"Done",$E431&lt;&gt;"Blocked"),IF('Task Finder'!$C$6="Deep Thinking",AND($G431="Deep Thinking",$E431&lt;&gt;"Done"),IF('Task Finder'!$C$6="Processing",AND($G431="Processing",$E431&lt;&gt;"Done"),IF('Task Finder'!$C$6="Blocked",$E431="Blocked",IF('Task Finder'!$C$6="Waiting",$E431="Waiting",IF('Task Finder'!$C$6="Recently Updated",AND($L431&lt;&gt;"",$L431&gt;=TODAY()-7),IF('Task Finder'!$C$6="Keyword",AND('Task Finder'!$C$7&lt;&gt;"",OR(ISNUMBER(SEARCH('Task Finder'!$C$7,$A431)),ISNUMBER(SEARCH('Task Finder'!$C$7,$B431)),ISNUMBER(SEARCH('Task Finder'!$C$7,$C431)),ISNUMBER(SEARCH('Task Finder'!$C$7,$D431)),ISNUMBER(SEARCH('Task Finder'!$C$7,$K431)))),TRUE))))))))))</f>
        <v/>
      </c>
      <c r="Q431" s="150">
        <f>IF($F431="High","High Priority","")</f>
        <v/>
      </c>
      <c r="R431" s="150">
        <f>IF(AND($I431&lt;&gt;"",$I431&lt;TODAY()),"Overdue","")</f>
        <v/>
      </c>
      <c r="S431" s="150">
        <f>IF(AND($I431&lt;&gt;"",$I431&gt;=TODAY(),$I431&lt;=TODAY()+7),"Due This Week","")</f>
        <v/>
      </c>
      <c r="T431" s="150">
        <f>IF(AND($H431&lt;&gt;"",$M431&lt;=VLOOKUP(Home!$C$7,Lists!$N$2:$O$6,2,FALSE)),$H431&amp;" Task","")</f>
        <v/>
      </c>
      <c r="U431" s="150">
        <f>IF($G431=Home!$E$7,"Fits Current Energy","")</f>
        <v/>
      </c>
      <c r="V431" s="150">
        <f>IF($Q431&lt;&gt;""," • "&amp;$Q431,"")&amp;IF($R431&lt;&gt;""," • "&amp;$R431,"")&amp;IF($S431&lt;&gt;""," • "&amp;$S431,"")&amp;IF($T431&lt;&gt;""," • "&amp;$T431,"")&amp;IF($U431&lt;&gt;""," • "&amp;$U431,"")&amp;" • No Blockers"</f>
        <v/>
      </c>
    </row>
    <row r="432">
      <c r="A432" s="19" t="n"/>
      <c r="B432" s="19" t="n"/>
      <c r="C432" s="19" t="n"/>
      <c r="D432" s="19" t="n"/>
      <c r="E432" s="19" t="n"/>
      <c r="F432" s="19" t="n"/>
      <c r="G432" s="19" t="n"/>
      <c r="H432" s="19" t="n"/>
      <c r="I432" s="19" t="n"/>
      <c r="J432" s="19" t="n"/>
      <c r="K432" s="19" t="n"/>
      <c r="L432" s="125" t="n"/>
      <c r="M432" s="88">
        <f>IF($D432="","",IFERROR(VLOOKUP($H432,Lists!$N$2:$O$6,2,FALSE),0))</f>
        <v/>
      </c>
      <c r="N432" s="88">
        <f>IF($D432="","",IF(OR($E432="Blocked",$E432="Done",$E432="Archive"),-9999,IF(AND($E432="Waiting",SUMPRODUCT((($E$5:$E$500="Next")+($E$5:$E$500="In Progress")+($E$5:$E$500="Captured"))*($D$5:$D$500&lt;&gt;""))&gt;0),-500,VLOOKUP($F432,Lists!$L$2:$M$4,2,FALSE)+IF($E432="In Progress",10,0)+IF(AND($I432&lt;&gt;"",$I432&lt;TODAY()),25,0)+IF(AND($I432&lt;&gt;"",$I432&gt;=TODAY(),$I432&lt;=TODAY()+7),15,0)+IF($H432="",0,IF($M432&lt;=VLOOKUP(Home!$C$7,Lists!$N$2:$O$6,2,FALSE),20,-10))+IF($G432=Home!$E$7,15,IF(Home!$E$7="",0,-5))-ROW()/100000)))</f>
        <v/>
      </c>
      <c r="O432" s="88">
        <f>IF($D432="","",IF($N432&lt;=-500,"Not recommended right now",IF($E432="Waiting","Nothing else actionable right now — Waiting on: "&amp;IF($K432="","this item",$K432),MID($V432,4,9999))))</f>
        <v/>
      </c>
      <c r="P432" s="88">
        <f>IF($D432="","",IF('Task Finder'!$C$6="High Priority",AND($F432="High",$E432&lt;&gt;"Done",$E432&lt;&gt;"Archive"),IF('Task Finder'!$C$6="Due This Week",AND($I432&lt;&gt;"",$I432&gt;=TODAY(),$I432&lt;=TODAY()+7,$E432&lt;&gt;"Done"),IF('Task Finder'!$C$6="Quick Wins (15 mins or less)",AND($M432&lt;=15,$E432&lt;&gt;"Done",$E432&lt;&gt;"Blocked"),IF('Task Finder'!$C$6="Deep Thinking",AND($G432="Deep Thinking",$E432&lt;&gt;"Done"),IF('Task Finder'!$C$6="Processing",AND($G432="Processing",$E432&lt;&gt;"Done"),IF('Task Finder'!$C$6="Blocked",$E432="Blocked",IF('Task Finder'!$C$6="Waiting",$E432="Waiting",IF('Task Finder'!$C$6="Recently Updated",AND($L432&lt;&gt;"",$L432&gt;=TODAY()-7),IF('Task Finder'!$C$6="Keyword",AND('Task Finder'!$C$7&lt;&gt;"",OR(ISNUMBER(SEARCH('Task Finder'!$C$7,$A432)),ISNUMBER(SEARCH('Task Finder'!$C$7,$B432)),ISNUMBER(SEARCH('Task Finder'!$C$7,$C432)),ISNUMBER(SEARCH('Task Finder'!$C$7,$D432)),ISNUMBER(SEARCH('Task Finder'!$C$7,$K432)))),TRUE))))))))))</f>
        <v/>
      </c>
      <c r="Q432" s="150">
        <f>IF($F432="High","High Priority","")</f>
        <v/>
      </c>
      <c r="R432" s="150">
        <f>IF(AND($I432&lt;&gt;"",$I432&lt;TODAY()),"Overdue","")</f>
        <v/>
      </c>
      <c r="S432" s="150">
        <f>IF(AND($I432&lt;&gt;"",$I432&gt;=TODAY(),$I432&lt;=TODAY()+7),"Due This Week","")</f>
        <v/>
      </c>
      <c r="T432" s="150">
        <f>IF(AND($H432&lt;&gt;"",$M432&lt;=VLOOKUP(Home!$C$7,Lists!$N$2:$O$6,2,FALSE)),$H432&amp;" Task","")</f>
        <v/>
      </c>
      <c r="U432" s="150">
        <f>IF($G432=Home!$E$7,"Fits Current Energy","")</f>
        <v/>
      </c>
      <c r="V432" s="150">
        <f>IF($Q432&lt;&gt;""," • "&amp;$Q432,"")&amp;IF($R432&lt;&gt;""," • "&amp;$R432,"")&amp;IF($S432&lt;&gt;""," • "&amp;$S432,"")&amp;IF($T432&lt;&gt;""," • "&amp;$T432,"")&amp;IF($U432&lt;&gt;""," • "&amp;$U432,"")&amp;" • No Blockers"</f>
        <v/>
      </c>
    </row>
    <row r="433">
      <c r="A433" s="19" t="n"/>
      <c r="B433" s="19" t="n"/>
      <c r="C433" s="19" t="n"/>
      <c r="D433" s="19" t="n"/>
      <c r="E433" s="19" t="n"/>
      <c r="F433" s="19" t="n"/>
      <c r="G433" s="19" t="n"/>
      <c r="H433" s="19" t="n"/>
      <c r="I433" s="19" t="n"/>
      <c r="J433" s="19" t="n"/>
      <c r="K433" s="19" t="n"/>
      <c r="L433" s="125" t="n"/>
      <c r="M433" s="88">
        <f>IF($D433="","",IFERROR(VLOOKUP($H433,Lists!$N$2:$O$6,2,FALSE),0))</f>
        <v/>
      </c>
      <c r="N433" s="88">
        <f>IF($D433="","",IF(OR($E433="Blocked",$E433="Done",$E433="Archive"),-9999,IF(AND($E433="Waiting",SUMPRODUCT((($E$5:$E$500="Next")+($E$5:$E$500="In Progress")+($E$5:$E$500="Captured"))*($D$5:$D$500&lt;&gt;""))&gt;0),-500,VLOOKUP($F433,Lists!$L$2:$M$4,2,FALSE)+IF($E433="In Progress",10,0)+IF(AND($I433&lt;&gt;"",$I433&lt;TODAY()),25,0)+IF(AND($I433&lt;&gt;"",$I433&gt;=TODAY(),$I433&lt;=TODAY()+7),15,0)+IF($H433="",0,IF($M433&lt;=VLOOKUP(Home!$C$7,Lists!$N$2:$O$6,2,FALSE),20,-10))+IF($G433=Home!$E$7,15,IF(Home!$E$7="",0,-5))-ROW()/100000)))</f>
        <v/>
      </c>
      <c r="O433" s="88">
        <f>IF($D433="","",IF($N433&lt;=-500,"Not recommended right now",IF($E433="Waiting","Nothing else actionable right now — Waiting on: "&amp;IF($K433="","this item",$K433),MID($V433,4,9999))))</f>
        <v/>
      </c>
      <c r="P433" s="88">
        <f>IF($D433="","",IF('Task Finder'!$C$6="High Priority",AND($F433="High",$E433&lt;&gt;"Done",$E433&lt;&gt;"Archive"),IF('Task Finder'!$C$6="Due This Week",AND($I433&lt;&gt;"",$I433&gt;=TODAY(),$I433&lt;=TODAY()+7,$E433&lt;&gt;"Done"),IF('Task Finder'!$C$6="Quick Wins (15 mins or less)",AND($M433&lt;=15,$E433&lt;&gt;"Done",$E433&lt;&gt;"Blocked"),IF('Task Finder'!$C$6="Deep Thinking",AND($G433="Deep Thinking",$E433&lt;&gt;"Done"),IF('Task Finder'!$C$6="Processing",AND($G433="Processing",$E433&lt;&gt;"Done"),IF('Task Finder'!$C$6="Blocked",$E433="Blocked",IF('Task Finder'!$C$6="Waiting",$E433="Waiting",IF('Task Finder'!$C$6="Recently Updated",AND($L433&lt;&gt;"",$L433&gt;=TODAY()-7),IF('Task Finder'!$C$6="Keyword",AND('Task Finder'!$C$7&lt;&gt;"",OR(ISNUMBER(SEARCH('Task Finder'!$C$7,$A433)),ISNUMBER(SEARCH('Task Finder'!$C$7,$B433)),ISNUMBER(SEARCH('Task Finder'!$C$7,$C433)),ISNUMBER(SEARCH('Task Finder'!$C$7,$D433)),ISNUMBER(SEARCH('Task Finder'!$C$7,$K433)))),TRUE))))))))))</f>
        <v/>
      </c>
      <c r="Q433" s="150">
        <f>IF($F433="High","High Priority","")</f>
        <v/>
      </c>
      <c r="R433" s="150">
        <f>IF(AND($I433&lt;&gt;"",$I433&lt;TODAY()),"Overdue","")</f>
        <v/>
      </c>
      <c r="S433" s="150">
        <f>IF(AND($I433&lt;&gt;"",$I433&gt;=TODAY(),$I433&lt;=TODAY()+7),"Due This Week","")</f>
        <v/>
      </c>
      <c r="T433" s="150">
        <f>IF(AND($H433&lt;&gt;"",$M433&lt;=VLOOKUP(Home!$C$7,Lists!$N$2:$O$6,2,FALSE)),$H433&amp;" Task","")</f>
        <v/>
      </c>
      <c r="U433" s="150">
        <f>IF($G433=Home!$E$7,"Fits Current Energy","")</f>
        <v/>
      </c>
      <c r="V433" s="150">
        <f>IF($Q433&lt;&gt;""," • "&amp;$Q433,"")&amp;IF($R433&lt;&gt;""," • "&amp;$R433,"")&amp;IF($S433&lt;&gt;""," • "&amp;$S433,"")&amp;IF($T433&lt;&gt;""," • "&amp;$T433,"")&amp;IF($U433&lt;&gt;""," • "&amp;$U433,"")&amp;" • No Blockers"</f>
        <v/>
      </c>
    </row>
    <row r="434">
      <c r="A434" s="19" t="n"/>
      <c r="B434" s="19" t="n"/>
      <c r="C434" s="19" t="n"/>
      <c r="D434" s="19" t="n"/>
      <c r="E434" s="19" t="n"/>
      <c r="F434" s="19" t="n"/>
      <c r="G434" s="19" t="n"/>
      <c r="H434" s="19" t="n"/>
      <c r="I434" s="19" t="n"/>
      <c r="J434" s="19" t="n"/>
      <c r="K434" s="19" t="n"/>
      <c r="L434" s="125" t="n"/>
      <c r="M434" s="88">
        <f>IF($D434="","",IFERROR(VLOOKUP($H434,Lists!$N$2:$O$6,2,FALSE),0))</f>
        <v/>
      </c>
      <c r="N434" s="88">
        <f>IF($D434="","",IF(OR($E434="Blocked",$E434="Done",$E434="Archive"),-9999,IF(AND($E434="Waiting",SUMPRODUCT((($E$5:$E$500="Next")+($E$5:$E$500="In Progress")+($E$5:$E$500="Captured"))*($D$5:$D$500&lt;&gt;""))&gt;0),-500,VLOOKUP($F434,Lists!$L$2:$M$4,2,FALSE)+IF($E434="In Progress",10,0)+IF(AND($I434&lt;&gt;"",$I434&lt;TODAY()),25,0)+IF(AND($I434&lt;&gt;"",$I434&gt;=TODAY(),$I434&lt;=TODAY()+7),15,0)+IF($H434="",0,IF($M434&lt;=VLOOKUP(Home!$C$7,Lists!$N$2:$O$6,2,FALSE),20,-10))+IF($G434=Home!$E$7,15,IF(Home!$E$7="",0,-5))-ROW()/100000)))</f>
        <v/>
      </c>
      <c r="O434" s="88">
        <f>IF($D434="","",IF($N434&lt;=-500,"Not recommended right now",IF($E434="Waiting","Nothing else actionable right now — Waiting on: "&amp;IF($K434="","this item",$K434),MID($V434,4,9999))))</f>
        <v/>
      </c>
      <c r="P434" s="88">
        <f>IF($D434="","",IF('Task Finder'!$C$6="High Priority",AND($F434="High",$E434&lt;&gt;"Done",$E434&lt;&gt;"Archive"),IF('Task Finder'!$C$6="Due This Week",AND($I434&lt;&gt;"",$I434&gt;=TODAY(),$I434&lt;=TODAY()+7,$E434&lt;&gt;"Done"),IF('Task Finder'!$C$6="Quick Wins (15 mins or less)",AND($M434&lt;=15,$E434&lt;&gt;"Done",$E434&lt;&gt;"Blocked"),IF('Task Finder'!$C$6="Deep Thinking",AND($G434="Deep Thinking",$E434&lt;&gt;"Done"),IF('Task Finder'!$C$6="Processing",AND($G434="Processing",$E434&lt;&gt;"Done"),IF('Task Finder'!$C$6="Blocked",$E434="Blocked",IF('Task Finder'!$C$6="Waiting",$E434="Waiting",IF('Task Finder'!$C$6="Recently Updated",AND($L434&lt;&gt;"",$L434&gt;=TODAY()-7),IF('Task Finder'!$C$6="Keyword",AND('Task Finder'!$C$7&lt;&gt;"",OR(ISNUMBER(SEARCH('Task Finder'!$C$7,$A434)),ISNUMBER(SEARCH('Task Finder'!$C$7,$B434)),ISNUMBER(SEARCH('Task Finder'!$C$7,$C434)),ISNUMBER(SEARCH('Task Finder'!$C$7,$D434)),ISNUMBER(SEARCH('Task Finder'!$C$7,$K434)))),TRUE))))))))))</f>
        <v/>
      </c>
      <c r="Q434" s="150">
        <f>IF($F434="High","High Priority","")</f>
        <v/>
      </c>
      <c r="R434" s="150">
        <f>IF(AND($I434&lt;&gt;"",$I434&lt;TODAY()),"Overdue","")</f>
        <v/>
      </c>
      <c r="S434" s="150">
        <f>IF(AND($I434&lt;&gt;"",$I434&gt;=TODAY(),$I434&lt;=TODAY()+7),"Due This Week","")</f>
        <v/>
      </c>
      <c r="T434" s="150">
        <f>IF(AND($H434&lt;&gt;"",$M434&lt;=VLOOKUP(Home!$C$7,Lists!$N$2:$O$6,2,FALSE)),$H434&amp;" Task","")</f>
        <v/>
      </c>
      <c r="U434" s="150">
        <f>IF($G434=Home!$E$7,"Fits Current Energy","")</f>
        <v/>
      </c>
      <c r="V434" s="150">
        <f>IF($Q434&lt;&gt;""," • "&amp;$Q434,"")&amp;IF($R434&lt;&gt;""," • "&amp;$R434,"")&amp;IF($S434&lt;&gt;""," • "&amp;$S434,"")&amp;IF($T434&lt;&gt;""," • "&amp;$T434,"")&amp;IF($U434&lt;&gt;""," • "&amp;$U434,"")&amp;" • No Blockers"</f>
        <v/>
      </c>
    </row>
    <row r="435">
      <c r="A435" s="19" t="n"/>
      <c r="B435" s="19" t="n"/>
      <c r="C435" s="19" t="n"/>
      <c r="D435" s="19" t="n"/>
      <c r="E435" s="19" t="n"/>
      <c r="F435" s="19" t="n"/>
      <c r="G435" s="19" t="n"/>
      <c r="H435" s="19" t="n"/>
      <c r="I435" s="19" t="n"/>
      <c r="J435" s="19" t="n"/>
      <c r="K435" s="19" t="n"/>
      <c r="L435" s="125" t="n"/>
      <c r="M435" s="88">
        <f>IF($D435="","",IFERROR(VLOOKUP($H435,Lists!$N$2:$O$6,2,FALSE),0))</f>
        <v/>
      </c>
      <c r="N435" s="88">
        <f>IF($D435="","",IF(OR($E435="Blocked",$E435="Done",$E435="Archive"),-9999,IF(AND($E435="Waiting",SUMPRODUCT((($E$5:$E$500="Next")+($E$5:$E$500="In Progress")+($E$5:$E$500="Captured"))*($D$5:$D$500&lt;&gt;""))&gt;0),-500,VLOOKUP($F435,Lists!$L$2:$M$4,2,FALSE)+IF($E435="In Progress",10,0)+IF(AND($I435&lt;&gt;"",$I435&lt;TODAY()),25,0)+IF(AND($I435&lt;&gt;"",$I435&gt;=TODAY(),$I435&lt;=TODAY()+7),15,0)+IF($H435="",0,IF($M435&lt;=VLOOKUP(Home!$C$7,Lists!$N$2:$O$6,2,FALSE),20,-10))+IF($G435=Home!$E$7,15,IF(Home!$E$7="",0,-5))-ROW()/100000)))</f>
        <v/>
      </c>
      <c r="O435" s="88">
        <f>IF($D435="","",IF($N435&lt;=-500,"Not recommended right now",IF($E435="Waiting","Nothing else actionable right now — Waiting on: "&amp;IF($K435="","this item",$K435),MID($V435,4,9999))))</f>
        <v/>
      </c>
      <c r="P435" s="88">
        <f>IF($D435="","",IF('Task Finder'!$C$6="High Priority",AND($F435="High",$E435&lt;&gt;"Done",$E435&lt;&gt;"Archive"),IF('Task Finder'!$C$6="Due This Week",AND($I435&lt;&gt;"",$I435&gt;=TODAY(),$I435&lt;=TODAY()+7,$E435&lt;&gt;"Done"),IF('Task Finder'!$C$6="Quick Wins (15 mins or less)",AND($M435&lt;=15,$E435&lt;&gt;"Done",$E435&lt;&gt;"Blocked"),IF('Task Finder'!$C$6="Deep Thinking",AND($G435="Deep Thinking",$E435&lt;&gt;"Done"),IF('Task Finder'!$C$6="Processing",AND($G435="Processing",$E435&lt;&gt;"Done"),IF('Task Finder'!$C$6="Blocked",$E435="Blocked",IF('Task Finder'!$C$6="Waiting",$E435="Waiting",IF('Task Finder'!$C$6="Recently Updated",AND($L435&lt;&gt;"",$L435&gt;=TODAY()-7),IF('Task Finder'!$C$6="Keyword",AND('Task Finder'!$C$7&lt;&gt;"",OR(ISNUMBER(SEARCH('Task Finder'!$C$7,$A435)),ISNUMBER(SEARCH('Task Finder'!$C$7,$B435)),ISNUMBER(SEARCH('Task Finder'!$C$7,$C435)),ISNUMBER(SEARCH('Task Finder'!$C$7,$D435)),ISNUMBER(SEARCH('Task Finder'!$C$7,$K435)))),TRUE))))))))))</f>
        <v/>
      </c>
      <c r="Q435" s="150">
        <f>IF($F435="High","High Priority","")</f>
        <v/>
      </c>
      <c r="R435" s="150">
        <f>IF(AND($I435&lt;&gt;"",$I435&lt;TODAY()),"Overdue","")</f>
        <v/>
      </c>
      <c r="S435" s="150">
        <f>IF(AND($I435&lt;&gt;"",$I435&gt;=TODAY(),$I435&lt;=TODAY()+7),"Due This Week","")</f>
        <v/>
      </c>
      <c r="T435" s="150">
        <f>IF(AND($H435&lt;&gt;"",$M435&lt;=VLOOKUP(Home!$C$7,Lists!$N$2:$O$6,2,FALSE)),$H435&amp;" Task","")</f>
        <v/>
      </c>
      <c r="U435" s="150">
        <f>IF($G435=Home!$E$7,"Fits Current Energy","")</f>
        <v/>
      </c>
      <c r="V435" s="150">
        <f>IF($Q435&lt;&gt;""," • "&amp;$Q435,"")&amp;IF($R435&lt;&gt;""," • "&amp;$R435,"")&amp;IF($S435&lt;&gt;""," • "&amp;$S435,"")&amp;IF($T435&lt;&gt;""," • "&amp;$T435,"")&amp;IF($U435&lt;&gt;""," • "&amp;$U435,"")&amp;" • No Blockers"</f>
        <v/>
      </c>
    </row>
    <row r="436">
      <c r="A436" s="19" t="n"/>
      <c r="B436" s="19" t="n"/>
      <c r="C436" s="19" t="n"/>
      <c r="D436" s="19" t="n"/>
      <c r="E436" s="19" t="n"/>
      <c r="F436" s="19" t="n"/>
      <c r="G436" s="19" t="n"/>
      <c r="H436" s="19" t="n"/>
      <c r="I436" s="19" t="n"/>
      <c r="J436" s="19" t="n"/>
      <c r="K436" s="19" t="n"/>
      <c r="L436" s="125" t="n"/>
      <c r="M436" s="88">
        <f>IF($D436="","",IFERROR(VLOOKUP($H436,Lists!$N$2:$O$6,2,FALSE),0))</f>
        <v/>
      </c>
      <c r="N436" s="88">
        <f>IF($D436="","",IF(OR($E436="Blocked",$E436="Done",$E436="Archive"),-9999,IF(AND($E436="Waiting",SUMPRODUCT((($E$5:$E$500="Next")+($E$5:$E$500="In Progress")+($E$5:$E$500="Captured"))*($D$5:$D$500&lt;&gt;""))&gt;0),-500,VLOOKUP($F436,Lists!$L$2:$M$4,2,FALSE)+IF($E436="In Progress",10,0)+IF(AND($I436&lt;&gt;"",$I436&lt;TODAY()),25,0)+IF(AND($I436&lt;&gt;"",$I436&gt;=TODAY(),$I436&lt;=TODAY()+7),15,0)+IF($H436="",0,IF($M436&lt;=VLOOKUP(Home!$C$7,Lists!$N$2:$O$6,2,FALSE),20,-10))+IF($G436=Home!$E$7,15,IF(Home!$E$7="",0,-5))-ROW()/100000)))</f>
        <v/>
      </c>
      <c r="O436" s="88">
        <f>IF($D436="","",IF($N436&lt;=-500,"Not recommended right now",IF($E436="Waiting","Nothing else actionable right now — Waiting on: "&amp;IF($K436="","this item",$K436),MID($V436,4,9999))))</f>
        <v/>
      </c>
      <c r="P436" s="88">
        <f>IF($D436="","",IF('Task Finder'!$C$6="High Priority",AND($F436="High",$E436&lt;&gt;"Done",$E436&lt;&gt;"Archive"),IF('Task Finder'!$C$6="Due This Week",AND($I436&lt;&gt;"",$I436&gt;=TODAY(),$I436&lt;=TODAY()+7,$E436&lt;&gt;"Done"),IF('Task Finder'!$C$6="Quick Wins (15 mins or less)",AND($M436&lt;=15,$E436&lt;&gt;"Done",$E436&lt;&gt;"Blocked"),IF('Task Finder'!$C$6="Deep Thinking",AND($G436="Deep Thinking",$E436&lt;&gt;"Done"),IF('Task Finder'!$C$6="Processing",AND($G436="Processing",$E436&lt;&gt;"Done"),IF('Task Finder'!$C$6="Blocked",$E436="Blocked",IF('Task Finder'!$C$6="Waiting",$E436="Waiting",IF('Task Finder'!$C$6="Recently Updated",AND($L436&lt;&gt;"",$L436&gt;=TODAY()-7),IF('Task Finder'!$C$6="Keyword",AND('Task Finder'!$C$7&lt;&gt;"",OR(ISNUMBER(SEARCH('Task Finder'!$C$7,$A436)),ISNUMBER(SEARCH('Task Finder'!$C$7,$B436)),ISNUMBER(SEARCH('Task Finder'!$C$7,$C436)),ISNUMBER(SEARCH('Task Finder'!$C$7,$D436)),ISNUMBER(SEARCH('Task Finder'!$C$7,$K436)))),TRUE))))))))))</f>
        <v/>
      </c>
      <c r="Q436" s="150">
        <f>IF($F436="High","High Priority","")</f>
        <v/>
      </c>
      <c r="R436" s="150">
        <f>IF(AND($I436&lt;&gt;"",$I436&lt;TODAY()),"Overdue","")</f>
        <v/>
      </c>
      <c r="S436" s="150">
        <f>IF(AND($I436&lt;&gt;"",$I436&gt;=TODAY(),$I436&lt;=TODAY()+7),"Due This Week","")</f>
        <v/>
      </c>
      <c r="T436" s="150">
        <f>IF(AND($H436&lt;&gt;"",$M436&lt;=VLOOKUP(Home!$C$7,Lists!$N$2:$O$6,2,FALSE)),$H436&amp;" Task","")</f>
        <v/>
      </c>
      <c r="U436" s="150">
        <f>IF($G436=Home!$E$7,"Fits Current Energy","")</f>
        <v/>
      </c>
      <c r="V436" s="150">
        <f>IF($Q436&lt;&gt;""," • "&amp;$Q436,"")&amp;IF($R436&lt;&gt;""," • "&amp;$R436,"")&amp;IF($S436&lt;&gt;""," • "&amp;$S436,"")&amp;IF($T436&lt;&gt;""," • "&amp;$T436,"")&amp;IF($U436&lt;&gt;""," • "&amp;$U436,"")&amp;" • No Blockers"</f>
        <v/>
      </c>
    </row>
    <row r="437">
      <c r="A437" s="19" t="n"/>
      <c r="B437" s="19" t="n"/>
      <c r="C437" s="19" t="n"/>
      <c r="D437" s="19" t="n"/>
      <c r="E437" s="19" t="n"/>
      <c r="F437" s="19" t="n"/>
      <c r="G437" s="19" t="n"/>
      <c r="H437" s="19" t="n"/>
      <c r="I437" s="19" t="n"/>
      <c r="J437" s="19" t="n"/>
      <c r="K437" s="19" t="n"/>
      <c r="L437" s="125" t="n"/>
      <c r="M437" s="88">
        <f>IF($D437="","",IFERROR(VLOOKUP($H437,Lists!$N$2:$O$6,2,FALSE),0))</f>
        <v/>
      </c>
      <c r="N437" s="88">
        <f>IF($D437="","",IF(OR($E437="Blocked",$E437="Done",$E437="Archive"),-9999,IF(AND($E437="Waiting",SUMPRODUCT((($E$5:$E$500="Next")+($E$5:$E$500="In Progress")+($E$5:$E$500="Captured"))*($D$5:$D$500&lt;&gt;""))&gt;0),-500,VLOOKUP($F437,Lists!$L$2:$M$4,2,FALSE)+IF($E437="In Progress",10,0)+IF(AND($I437&lt;&gt;"",$I437&lt;TODAY()),25,0)+IF(AND($I437&lt;&gt;"",$I437&gt;=TODAY(),$I437&lt;=TODAY()+7),15,0)+IF($H437="",0,IF($M437&lt;=VLOOKUP(Home!$C$7,Lists!$N$2:$O$6,2,FALSE),20,-10))+IF($G437=Home!$E$7,15,IF(Home!$E$7="",0,-5))-ROW()/100000)))</f>
        <v/>
      </c>
      <c r="O437" s="88">
        <f>IF($D437="","",IF($N437&lt;=-500,"Not recommended right now",IF($E437="Waiting","Nothing else actionable right now — Waiting on: "&amp;IF($K437="","this item",$K437),MID($V437,4,9999))))</f>
        <v/>
      </c>
      <c r="P437" s="88">
        <f>IF($D437="","",IF('Task Finder'!$C$6="High Priority",AND($F437="High",$E437&lt;&gt;"Done",$E437&lt;&gt;"Archive"),IF('Task Finder'!$C$6="Due This Week",AND($I437&lt;&gt;"",$I437&gt;=TODAY(),$I437&lt;=TODAY()+7,$E437&lt;&gt;"Done"),IF('Task Finder'!$C$6="Quick Wins (15 mins or less)",AND($M437&lt;=15,$E437&lt;&gt;"Done",$E437&lt;&gt;"Blocked"),IF('Task Finder'!$C$6="Deep Thinking",AND($G437="Deep Thinking",$E437&lt;&gt;"Done"),IF('Task Finder'!$C$6="Processing",AND($G437="Processing",$E437&lt;&gt;"Done"),IF('Task Finder'!$C$6="Blocked",$E437="Blocked",IF('Task Finder'!$C$6="Waiting",$E437="Waiting",IF('Task Finder'!$C$6="Recently Updated",AND($L437&lt;&gt;"",$L437&gt;=TODAY()-7),IF('Task Finder'!$C$6="Keyword",AND('Task Finder'!$C$7&lt;&gt;"",OR(ISNUMBER(SEARCH('Task Finder'!$C$7,$A437)),ISNUMBER(SEARCH('Task Finder'!$C$7,$B437)),ISNUMBER(SEARCH('Task Finder'!$C$7,$C437)),ISNUMBER(SEARCH('Task Finder'!$C$7,$D437)),ISNUMBER(SEARCH('Task Finder'!$C$7,$K437)))),TRUE))))))))))</f>
        <v/>
      </c>
      <c r="Q437" s="150">
        <f>IF($F437="High","High Priority","")</f>
        <v/>
      </c>
      <c r="R437" s="150">
        <f>IF(AND($I437&lt;&gt;"",$I437&lt;TODAY()),"Overdue","")</f>
        <v/>
      </c>
      <c r="S437" s="150">
        <f>IF(AND($I437&lt;&gt;"",$I437&gt;=TODAY(),$I437&lt;=TODAY()+7),"Due This Week","")</f>
        <v/>
      </c>
      <c r="T437" s="150">
        <f>IF(AND($H437&lt;&gt;"",$M437&lt;=VLOOKUP(Home!$C$7,Lists!$N$2:$O$6,2,FALSE)),$H437&amp;" Task","")</f>
        <v/>
      </c>
      <c r="U437" s="150">
        <f>IF($G437=Home!$E$7,"Fits Current Energy","")</f>
        <v/>
      </c>
      <c r="V437" s="150">
        <f>IF($Q437&lt;&gt;""," • "&amp;$Q437,"")&amp;IF($R437&lt;&gt;""," • "&amp;$R437,"")&amp;IF($S437&lt;&gt;""," • "&amp;$S437,"")&amp;IF($T437&lt;&gt;""," • "&amp;$T437,"")&amp;IF($U437&lt;&gt;""," • "&amp;$U437,"")&amp;" • No Blockers"</f>
        <v/>
      </c>
    </row>
    <row r="438">
      <c r="A438" s="19" t="n"/>
      <c r="B438" s="19" t="n"/>
      <c r="C438" s="19" t="n"/>
      <c r="D438" s="19" t="n"/>
      <c r="E438" s="19" t="n"/>
      <c r="F438" s="19" t="n"/>
      <c r="G438" s="19" t="n"/>
      <c r="H438" s="19" t="n"/>
      <c r="I438" s="19" t="n"/>
      <c r="J438" s="19" t="n"/>
      <c r="K438" s="19" t="n"/>
      <c r="L438" s="125" t="n"/>
      <c r="M438" s="88">
        <f>IF($D438="","",IFERROR(VLOOKUP($H438,Lists!$N$2:$O$6,2,FALSE),0))</f>
        <v/>
      </c>
      <c r="N438" s="88">
        <f>IF($D438="","",IF(OR($E438="Blocked",$E438="Done",$E438="Archive"),-9999,IF(AND($E438="Waiting",SUMPRODUCT((($E$5:$E$500="Next")+($E$5:$E$500="In Progress")+($E$5:$E$500="Captured"))*($D$5:$D$500&lt;&gt;""))&gt;0),-500,VLOOKUP($F438,Lists!$L$2:$M$4,2,FALSE)+IF($E438="In Progress",10,0)+IF(AND($I438&lt;&gt;"",$I438&lt;TODAY()),25,0)+IF(AND($I438&lt;&gt;"",$I438&gt;=TODAY(),$I438&lt;=TODAY()+7),15,0)+IF($H438="",0,IF($M438&lt;=VLOOKUP(Home!$C$7,Lists!$N$2:$O$6,2,FALSE),20,-10))+IF($G438=Home!$E$7,15,IF(Home!$E$7="",0,-5))-ROW()/100000)))</f>
        <v/>
      </c>
      <c r="O438" s="88">
        <f>IF($D438="","",IF($N438&lt;=-500,"Not recommended right now",IF($E438="Waiting","Nothing else actionable right now — Waiting on: "&amp;IF($K438="","this item",$K438),MID($V438,4,9999))))</f>
        <v/>
      </c>
      <c r="P438" s="88">
        <f>IF($D438="","",IF('Task Finder'!$C$6="High Priority",AND($F438="High",$E438&lt;&gt;"Done",$E438&lt;&gt;"Archive"),IF('Task Finder'!$C$6="Due This Week",AND($I438&lt;&gt;"",$I438&gt;=TODAY(),$I438&lt;=TODAY()+7,$E438&lt;&gt;"Done"),IF('Task Finder'!$C$6="Quick Wins (15 mins or less)",AND($M438&lt;=15,$E438&lt;&gt;"Done",$E438&lt;&gt;"Blocked"),IF('Task Finder'!$C$6="Deep Thinking",AND($G438="Deep Thinking",$E438&lt;&gt;"Done"),IF('Task Finder'!$C$6="Processing",AND($G438="Processing",$E438&lt;&gt;"Done"),IF('Task Finder'!$C$6="Blocked",$E438="Blocked",IF('Task Finder'!$C$6="Waiting",$E438="Waiting",IF('Task Finder'!$C$6="Recently Updated",AND($L438&lt;&gt;"",$L438&gt;=TODAY()-7),IF('Task Finder'!$C$6="Keyword",AND('Task Finder'!$C$7&lt;&gt;"",OR(ISNUMBER(SEARCH('Task Finder'!$C$7,$A438)),ISNUMBER(SEARCH('Task Finder'!$C$7,$B438)),ISNUMBER(SEARCH('Task Finder'!$C$7,$C438)),ISNUMBER(SEARCH('Task Finder'!$C$7,$D438)),ISNUMBER(SEARCH('Task Finder'!$C$7,$K438)))),TRUE))))))))))</f>
        <v/>
      </c>
      <c r="Q438" s="150">
        <f>IF($F438="High","High Priority","")</f>
        <v/>
      </c>
      <c r="R438" s="150">
        <f>IF(AND($I438&lt;&gt;"",$I438&lt;TODAY()),"Overdue","")</f>
        <v/>
      </c>
      <c r="S438" s="150">
        <f>IF(AND($I438&lt;&gt;"",$I438&gt;=TODAY(),$I438&lt;=TODAY()+7),"Due This Week","")</f>
        <v/>
      </c>
      <c r="T438" s="150">
        <f>IF(AND($H438&lt;&gt;"",$M438&lt;=VLOOKUP(Home!$C$7,Lists!$N$2:$O$6,2,FALSE)),$H438&amp;" Task","")</f>
        <v/>
      </c>
      <c r="U438" s="150">
        <f>IF($G438=Home!$E$7,"Fits Current Energy","")</f>
        <v/>
      </c>
      <c r="V438" s="150">
        <f>IF($Q438&lt;&gt;""," • "&amp;$Q438,"")&amp;IF($R438&lt;&gt;""," • "&amp;$R438,"")&amp;IF($S438&lt;&gt;""," • "&amp;$S438,"")&amp;IF($T438&lt;&gt;""," • "&amp;$T438,"")&amp;IF($U438&lt;&gt;""," • "&amp;$U438,"")&amp;" • No Blockers"</f>
        <v/>
      </c>
    </row>
    <row r="439">
      <c r="A439" s="19" t="n"/>
      <c r="B439" s="19" t="n"/>
      <c r="C439" s="19" t="n"/>
      <c r="D439" s="19" t="n"/>
      <c r="E439" s="19" t="n"/>
      <c r="F439" s="19" t="n"/>
      <c r="G439" s="19" t="n"/>
      <c r="H439" s="19" t="n"/>
      <c r="I439" s="19" t="n"/>
      <c r="J439" s="19" t="n"/>
      <c r="K439" s="19" t="n"/>
      <c r="L439" s="125" t="n"/>
      <c r="M439" s="88">
        <f>IF($D439="","",IFERROR(VLOOKUP($H439,Lists!$N$2:$O$6,2,FALSE),0))</f>
        <v/>
      </c>
      <c r="N439" s="88">
        <f>IF($D439="","",IF(OR($E439="Blocked",$E439="Done",$E439="Archive"),-9999,IF(AND($E439="Waiting",SUMPRODUCT((($E$5:$E$500="Next")+($E$5:$E$500="In Progress")+($E$5:$E$500="Captured"))*($D$5:$D$500&lt;&gt;""))&gt;0),-500,VLOOKUP($F439,Lists!$L$2:$M$4,2,FALSE)+IF($E439="In Progress",10,0)+IF(AND($I439&lt;&gt;"",$I439&lt;TODAY()),25,0)+IF(AND($I439&lt;&gt;"",$I439&gt;=TODAY(),$I439&lt;=TODAY()+7),15,0)+IF($H439="",0,IF($M439&lt;=VLOOKUP(Home!$C$7,Lists!$N$2:$O$6,2,FALSE),20,-10))+IF($G439=Home!$E$7,15,IF(Home!$E$7="",0,-5))-ROW()/100000)))</f>
        <v/>
      </c>
      <c r="O439" s="88">
        <f>IF($D439="","",IF($N439&lt;=-500,"Not recommended right now",IF($E439="Waiting","Nothing else actionable right now — Waiting on: "&amp;IF($K439="","this item",$K439),MID($V439,4,9999))))</f>
        <v/>
      </c>
      <c r="P439" s="88">
        <f>IF($D439="","",IF('Task Finder'!$C$6="High Priority",AND($F439="High",$E439&lt;&gt;"Done",$E439&lt;&gt;"Archive"),IF('Task Finder'!$C$6="Due This Week",AND($I439&lt;&gt;"",$I439&gt;=TODAY(),$I439&lt;=TODAY()+7,$E439&lt;&gt;"Done"),IF('Task Finder'!$C$6="Quick Wins (15 mins or less)",AND($M439&lt;=15,$E439&lt;&gt;"Done",$E439&lt;&gt;"Blocked"),IF('Task Finder'!$C$6="Deep Thinking",AND($G439="Deep Thinking",$E439&lt;&gt;"Done"),IF('Task Finder'!$C$6="Processing",AND($G439="Processing",$E439&lt;&gt;"Done"),IF('Task Finder'!$C$6="Blocked",$E439="Blocked",IF('Task Finder'!$C$6="Waiting",$E439="Waiting",IF('Task Finder'!$C$6="Recently Updated",AND($L439&lt;&gt;"",$L439&gt;=TODAY()-7),IF('Task Finder'!$C$6="Keyword",AND('Task Finder'!$C$7&lt;&gt;"",OR(ISNUMBER(SEARCH('Task Finder'!$C$7,$A439)),ISNUMBER(SEARCH('Task Finder'!$C$7,$B439)),ISNUMBER(SEARCH('Task Finder'!$C$7,$C439)),ISNUMBER(SEARCH('Task Finder'!$C$7,$D439)),ISNUMBER(SEARCH('Task Finder'!$C$7,$K439)))),TRUE))))))))))</f>
        <v/>
      </c>
      <c r="Q439" s="150">
        <f>IF($F439="High","High Priority","")</f>
        <v/>
      </c>
      <c r="R439" s="150">
        <f>IF(AND($I439&lt;&gt;"",$I439&lt;TODAY()),"Overdue","")</f>
        <v/>
      </c>
      <c r="S439" s="150">
        <f>IF(AND($I439&lt;&gt;"",$I439&gt;=TODAY(),$I439&lt;=TODAY()+7),"Due This Week","")</f>
        <v/>
      </c>
      <c r="T439" s="150">
        <f>IF(AND($H439&lt;&gt;"",$M439&lt;=VLOOKUP(Home!$C$7,Lists!$N$2:$O$6,2,FALSE)),$H439&amp;" Task","")</f>
        <v/>
      </c>
      <c r="U439" s="150">
        <f>IF($G439=Home!$E$7,"Fits Current Energy","")</f>
        <v/>
      </c>
      <c r="V439" s="150">
        <f>IF($Q439&lt;&gt;""," • "&amp;$Q439,"")&amp;IF($R439&lt;&gt;""," • "&amp;$R439,"")&amp;IF($S439&lt;&gt;""," • "&amp;$S439,"")&amp;IF($T439&lt;&gt;""," • "&amp;$T439,"")&amp;IF($U439&lt;&gt;""," • "&amp;$U439,"")&amp;" • No Blockers"</f>
        <v/>
      </c>
    </row>
    <row r="440">
      <c r="A440" s="19" t="n"/>
      <c r="B440" s="19" t="n"/>
      <c r="C440" s="19" t="n"/>
      <c r="D440" s="19" t="n"/>
      <c r="E440" s="19" t="n"/>
      <c r="F440" s="19" t="n"/>
      <c r="G440" s="19" t="n"/>
      <c r="H440" s="19" t="n"/>
      <c r="I440" s="19" t="n"/>
      <c r="J440" s="19" t="n"/>
      <c r="K440" s="19" t="n"/>
      <c r="L440" s="125" t="n"/>
      <c r="M440" s="88">
        <f>IF($D440="","",IFERROR(VLOOKUP($H440,Lists!$N$2:$O$6,2,FALSE),0))</f>
        <v/>
      </c>
      <c r="N440" s="88">
        <f>IF($D440="","",IF(OR($E440="Blocked",$E440="Done",$E440="Archive"),-9999,IF(AND($E440="Waiting",SUMPRODUCT((($E$5:$E$500="Next")+($E$5:$E$500="In Progress")+($E$5:$E$500="Captured"))*($D$5:$D$500&lt;&gt;""))&gt;0),-500,VLOOKUP($F440,Lists!$L$2:$M$4,2,FALSE)+IF($E440="In Progress",10,0)+IF(AND($I440&lt;&gt;"",$I440&lt;TODAY()),25,0)+IF(AND($I440&lt;&gt;"",$I440&gt;=TODAY(),$I440&lt;=TODAY()+7),15,0)+IF($H440="",0,IF($M440&lt;=VLOOKUP(Home!$C$7,Lists!$N$2:$O$6,2,FALSE),20,-10))+IF($G440=Home!$E$7,15,IF(Home!$E$7="",0,-5))-ROW()/100000)))</f>
        <v/>
      </c>
      <c r="O440" s="88">
        <f>IF($D440="","",IF($N440&lt;=-500,"Not recommended right now",IF($E440="Waiting","Nothing else actionable right now — Waiting on: "&amp;IF($K440="","this item",$K440),MID($V440,4,9999))))</f>
        <v/>
      </c>
      <c r="P440" s="88">
        <f>IF($D440="","",IF('Task Finder'!$C$6="High Priority",AND($F440="High",$E440&lt;&gt;"Done",$E440&lt;&gt;"Archive"),IF('Task Finder'!$C$6="Due This Week",AND($I440&lt;&gt;"",$I440&gt;=TODAY(),$I440&lt;=TODAY()+7,$E440&lt;&gt;"Done"),IF('Task Finder'!$C$6="Quick Wins (15 mins or less)",AND($M440&lt;=15,$E440&lt;&gt;"Done",$E440&lt;&gt;"Blocked"),IF('Task Finder'!$C$6="Deep Thinking",AND($G440="Deep Thinking",$E440&lt;&gt;"Done"),IF('Task Finder'!$C$6="Processing",AND($G440="Processing",$E440&lt;&gt;"Done"),IF('Task Finder'!$C$6="Blocked",$E440="Blocked",IF('Task Finder'!$C$6="Waiting",$E440="Waiting",IF('Task Finder'!$C$6="Recently Updated",AND($L440&lt;&gt;"",$L440&gt;=TODAY()-7),IF('Task Finder'!$C$6="Keyword",AND('Task Finder'!$C$7&lt;&gt;"",OR(ISNUMBER(SEARCH('Task Finder'!$C$7,$A440)),ISNUMBER(SEARCH('Task Finder'!$C$7,$B440)),ISNUMBER(SEARCH('Task Finder'!$C$7,$C440)),ISNUMBER(SEARCH('Task Finder'!$C$7,$D440)),ISNUMBER(SEARCH('Task Finder'!$C$7,$K440)))),TRUE))))))))))</f>
        <v/>
      </c>
      <c r="Q440" s="150">
        <f>IF($F440="High","High Priority","")</f>
        <v/>
      </c>
      <c r="R440" s="150">
        <f>IF(AND($I440&lt;&gt;"",$I440&lt;TODAY()),"Overdue","")</f>
        <v/>
      </c>
      <c r="S440" s="150">
        <f>IF(AND($I440&lt;&gt;"",$I440&gt;=TODAY(),$I440&lt;=TODAY()+7),"Due This Week","")</f>
        <v/>
      </c>
      <c r="T440" s="150">
        <f>IF(AND($H440&lt;&gt;"",$M440&lt;=VLOOKUP(Home!$C$7,Lists!$N$2:$O$6,2,FALSE)),$H440&amp;" Task","")</f>
        <v/>
      </c>
      <c r="U440" s="150">
        <f>IF($G440=Home!$E$7,"Fits Current Energy","")</f>
        <v/>
      </c>
      <c r="V440" s="150">
        <f>IF($Q440&lt;&gt;""," • "&amp;$Q440,"")&amp;IF($R440&lt;&gt;""," • "&amp;$R440,"")&amp;IF($S440&lt;&gt;""," • "&amp;$S440,"")&amp;IF($T440&lt;&gt;""," • "&amp;$T440,"")&amp;IF($U440&lt;&gt;""," • "&amp;$U440,"")&amp;" • No Blockers"</f>
        <v/>
      </c>
    </row>
    <row r="441">
      <c r="A441" s="19" t="n"/>
      <c r="B441" s="19" t="n"/>
      <c r="C441" s="19" t="n"/>
      <c r="D441" s="19" t="n"/>
      <c r="E441" s="19" t="n"/>
      <c r="F441" s="19" t="n"/>
      <c r="G441" s="19" t="n"/>
      <c r="H441" s="19" t="n"/>
      <c r="I441" s="19" t="n"/>
      <c r="J441" s="19" t="n"/>
      <c r="K441" s="19" t="n"/>
      <c r="L441" s="125" t="n"/>
      <c r="M441" s="88">
        <f>IF($D441="","",IFERROR(VLOOKUP($H441,Lists!$N$2:$O$6,2,FALSE),0))</f>
        <v/>
      </c>
      <c r="N441" s="88">
        <f>IF($D441="","",IF(OR($E441="Blocked",$E441="Done",$E441="Archive"),-9999,IF(AND($E441="Waiting",SUMPRODUCT((($E$5:$E$500="Next")+($E$5:$E$500="In Progress")+($E$5:$E$500="Captured"))*($D$5:$D$500&lt;&gt;""))&gt;0),-500,VLOOKUP($F441,Lists!$L$2:$M$4,2,FALSE)+IF($E441="In Progress",10,0)+IF(AND($I441&lt;&gt;"",$I441&lt;TODAY()),25,0)+IF(AND($I441&lt;&gt;"",$I441&gt;=TODAY(),$I441&lt;=TODAY()+7),15,0)+IF($H441="",0,IF($M441&lt;=VLOOKUP(Home!$C$7,Lists!$N$2:$O$6,2,FALSE),20,-10))+IF($G441=Home!$E$7,15,IF(Home!$E$7="",0,-5))-ROW()/100000)))</f>
        <v/>
      </c>
      <c r="O441" s="88">
        <f>IF($D441="","",IF($N441&lt;=-500,"Not recommended right now",IF($E441="Waiting","Nothing else actionable right now — Waiting on: "&amp;IF($K441="","this item",$K441),MID($V441,4,9999))))</f>
        <v/>
      </c>
      <c r="P441" s="88">
        <f>IF($D441="","",IF('Task Finder'!$C$6="High Priority",AND($F441="High",$E441&lt;&gt;"Done",$E441&lt;&gt;"Archive"),IF('Task Finder'!$C$6="Due This Week",AND($I441&lt;&gt;"",$I441&gt;=TODAY(),$I441&lt;=TODAY()+7,$E441&lt;&gt;"Done"),IF('Task Finder'!$C$6="Quick Wins (15 mins or less)",AND($M441&lt;=15,$E441&lt;&gt;"Done",$E441&lt;&gt;"Blocked"),IF('Task Finder'!$C$6="Deep Thinking",AND($G441="Deep Thinking",$E441&lt;&gt;"Done"),IF('Task Finder'!$C$6="Processing",AND($G441="Processing",$E441&lt;&gt;"Done"),IF('Task Finder'!$C$6="Blocked",$E441="Blocked",IF('Task Finder'!$C$6="Waiting",$E441="Waiting",IF('Task Finder'!$C$6="Recently Updated",AND($L441&lt;&gt;"",$L441&gt;=TODAY()-7),IF('Task Finder'!$C$6="Keyword",AND('Task Finder'!$C$7&lt;&gt;"",OR(ISNUMBER(SEARCH('Task Finder'!$C$7,$A441)),ISNUMBER(SEARCH('Task Finder'!$C$7,$B441)),ISNUMBER(SEARCH('Task Finder'!$C$7,$C441)),ISNUMBER(SEARCH('Task Finder'!$C$7,$D441)),ISNUMBER(SEARCH('Task Finder'!$C$7,$K441)))),TRUE))))))))))</f>
        <v/>
      </c>
      <c r="Q441" s="150">
        <f>IF($F441="High","High Priority","")</f>
        <v/>
      </c>
      <c r="R441" s="150">
        <f>IF(AND($I441&lt;&gt;"",$I441&lt;TODAY()),"Overdue","")</f>
        <v/>
      </c>
      <c r="S441" s="150">
        <f>IF(AND($I441&lt;&gt;"",$I441&gt;=TODAY(),$I441&lt;=TODAY()+7),"Due This Week","")</f>
        <v/>
      </c>
      <c r="T441" s="150">
        <f>IF(AND($H441&lt;&gt;"",$M441&lt;=VLOOKUP(Home!$C$7,Lists!$N$2:$O$6,2,FALSE)),$H441&amp;" Task","")</f>
        <v/>
      </c>
      <c r="U441" s="150">
        <f>IF($G441=Home!$E$7,"Fits Current Energy","")</f>
        <v/>
      </c>
      <c r="V441" s="150">
        <f>IF($Q441&lt;&gt;""," • "&amp;$Q441,"")&amp;IF($R441&lt;&gt;""," • "&amp;$R441,"")&amp;IF($S441&lt;&gt;""," • "&amp;$S441,"")&amp;IF($T441&lt;&gt;""," • "&amp;$T441,"")&amp;IF($U441&lt;&gt;""," • "&amp;$U441,"")&amp;" • No Blockers"</f>
        <v/>
      </c>
    </row>
    <row r="442">
      <c r="A442" s="19" t="n"/>
      <c r="B442" s="19" t="n"/>
      <c r="C442" s="19" t="n"/>
      <c r="D442" s="19" t="n"/>
      <c r="E442" s="19" t="n"/>
      <c r="F442" s="19" t="n"/>
      <c r="G442" s="19" t="n"/>
      <c r="H442" s="19" t="n"/>
      <c r="I442" s="19" t="n"/>
      <c r="J442" s="19" t="n"/>
      <c r="K442" s="19" t="n"/>
      <c r="L442" s="125" t="n"/>
      <c r="M442" s="88">
        <f>IF($D442="","",IFERROR(VLOOKUP($H442,Lists!$N$2:$O$6,2,FALSE),0))</f>
        <v/>
      </c>
      <c r="N442" s="88">
        <f>IF($D442="","",IF(OR($E442="Blocked",$E442="Done",$E442="Archive"),-9999,IF(AND($E442="Waiting",SUMPRODUCT((($E$5:$E$500="Next")+($E$5:$E$500="In Progress")+($E$5:$E$500="Captured"))*($D$5:$D$500&lt;&gt;""))&gt;0),-500,VLOOKUP($F442,Lists!$L$2:$M$4,2,FALSE)+IF($E442="In Progress",10,0)+IF(AND($I442&lt;&gt;"",$I442&lt;TODAY()),25,0)+IF(AND($I442&lt;&gt;"",$I442&gt;=TODAY(),$I442&lt;=TODAY()+7),15,0)+IF($H442="",0,IF($M442&lt;=VLOOKUP(Home!$C$7,Lists!$N$2:$O$6,2,FALSE),20,-10))+IF($G442=Home!$E$7,15,IF(Home!$E$7="",0,-5))-ROW()/100000)))</f>
        <v/>
      </c>
      <c r="O442" s="88">
        <f>IF($D442="","",IF($N442&lt;=-500,"Not recommended right now",IF($E442="Waiting","Nothing else actionable right now — Waiting on: "&amp;IF($K442="","this item",$K442),MID($V442,4,9999))))</f>
        <v/>
      </c>
      <c r="P442" s="88">
        <f>IF($D442="","",IF('Task Finder'!$C$6="High Priority",AND($F442="High",$E442&lt;&gt;"Done",$E442&lt;&gt;"Archive"),IF('Task Finder'!$C$6="Due This Week",AND($I442&lt;&gt;"",$I442&gt;=TODAY(),$I442&lt;=TODAY()+7,$E442&lt;&gt;"Done"),IF('Task Finder'!$C$6="Quick Wins (15 mins or less)",AND($M442&lt;=15,$E442&lt;&gt;"Done",$E442&lt;&gt;"Blocked"),IF('Task Finder'!$C$6="Deep Thinking",AND($G442="Deep Thinking",$E442&lt;&gt;"Done"),IF('Task Finder'!$C$6="Processing",AND($G442="Processing",$E442&lt;&gt;"Done"),IF('Task Finder'!$C$6="Blocked",$E442="Blocked",IF('Task Finder'!$C$6="Waiting",$E442="Waiting",IF('Task Finder'!$C$6="Recently Updated",AND($L442&lt;&gt;"",$L442&gt;=TODAY()-7),IF('Task Finder'!$C$6="Keyword",AND('Task Finder'!$C$7&lt;&gt;"",OR(ISNUMBER(SEARCH('Task Finder'!$C$7,$A442)),ISNUMBER(SEARCH('Task Finder'!$C$7,$B442)),ISNUMBER(SEARCH('Task Finder'!$C$7,$C442)),ISNUMBER(SEARCH('Task Finder'!$C$7,$D442)),ISNUMBER(SEARCH('Task Finder'!$C$7,$K442)))),TRUE))))))))))</f>
        <v/>
      </c>
      <c r="Q442" s="150">
        <f>IF($F442="High","High Priority","")</f>
        <v/>
      </c>
      <c r="R442" s="150">
        <f>IF(AND($I442&lt;&gt;"",$I442&lt;TODAY()),"Overdue","")</f>
        <v/>
      </c>
      <c r="S442" s="150">
        <f>IF(AND($I442&lt;&gt;"",$I442&gt;=TODAY(),$I442&lt;=TODAY()+7),"Due This Week","")</f>
        <v/>
      </c>
      <c r="T442" s="150">
        <f>IF(AND($H442&lt;&gt;"",$M442&lt;=VLOOKUP(Home!$C$7,Lists!$N$2:$O$6,2,FALSE)),$H442&amp;" Task","")</f>
        <v/>
      </c>
      <c r="U442" s="150">
        <f>IF($G442=Home!$E$7,"Fits Current Energy","")</f>
        <v/>
      </c>
      <c r="V442" s="150">
        <f>IF($Q442&lt;&gt;""," • "&amp;$Q442,"")&amp;IF($R442&lt;&gt;""," • "&amp;$R442,"")&amp;IF($S442&lt;&gt;""," • "&amp;$S442,"")&amp;IF($T442&lt;&gt;""," • "&amp;$T442,"")&amp;IF($U442&lt;&gt;""," • "&amp;$U442,"")&amp;" • No Blockers"</f>
        <v/>
      </c>
    </row>
    <row r="443">
      <c r="A443" s="19" t="n"/>
      <c r="B443" s="19" t="n"/>
      <c r="C443" s="19" t="n"/>
      <c r="D443" s="19" t="n"/>
      <c r="E443" s="19" t="n"/>
      <c r="F443" s="19" t="n"/>
      <c r="G443" s="19" t="n"/>
      <c r="H443" s="19" t="n"/>
      <c r="I443" s="19" t="n"/>
      <c r="J443" s="19" t="n"/>
      <c r="K443" s="19" t="n"/>
      <c r="L443" s="125" t="n"/>
      <c r="M443" s="88">
        <f>IF($D443="","",IFERROR(VLOOKUP($H443,Lists!$N$2:$O$6,2,FALSE),0))</f>
        <v/>
      </c>
      <c r="N443" s="88">
        <f>IF($D443="","",IF(OR($E443="Blocked",$E443="Done",$E443="Archive"),-9999,IF(AND($E443="Waiting",SUMPRODUCT((($E$5:$E$500="Next")+($E$5:$E$500="In Progress")+($E$5:$E$500="Captured"))*($D$5:$D$500&lt;&gt;""))&gt;0),-500,VLOOKUP($F443,Lists!$L$2:$M$4,2,FALSE)+IF($E443="In Progress",10,0)+IF(AND($I443&lt;&gt;"",$I443&lt;TODAY()),25,0)+IF(AND($I443&lt;&gt;"",$I443&gt;=TODAY(),$I443&lt;=TODAY()+7),15,0)+IF($H443="",0,IF($M443&lt;=VLOOKUP(Home!$C$7,Lists!$N$2:$O$6,2,FALSE),20,-10))+IF($G443=Home!$E$7,15,IF(Home!$E$7="",0,-5))-ROW()/100000)))</f>
        <v/>
      </c>
      <c r="O443" s="88">
        <f>IF($D443="","",IF($N443&lt;=-500,"Not recommended right now",IF($E443="Waiting","Nothing else actionable right now — Waiting on: "&amp;IF($K443="","this item",$K443),MID($V443,4,9999))))</f>
        <v/>
      </c>
      <c r="P443" s="88">
        <f>IF($D443="","",IF('Task Finder'!$C$6="High Priority",AND($F443="High",$E443&lt;&gt;"Done",$E443&lt;&gt;"Archive"),IF('Task Finder'!$C$6="Due This Week",AND($I443&lt;&gt;"",$I443&gt;=TODAY(),$I443&lt;=TODAY()+7,$E443&lt;&gt;"Done"),IF('Task Finder'!$C$6="Quick Wins (15 mins or less)",AND($M443&lt;=15,$E443&lt;&gt;"Done",$E443&lt;&gt;"Blocked"),IF('Task Finder'!$C$6="Deep Thinking",AND($G443="Deep Thinking",$E443&lt;&gt;"Done"),IF('Task Finder'!$C$6="Processing",AND($G443="Processing",$E443&lt;&gt;"Done"),IF('Task Finder'!$C$6="Blocked",$E443="Blocked",IF('Task Finder'!$C$6="Waiting",$E443="Waiting",IF('Task Finder'!$C$6="Recently Updated",AND($L443&lt;&gt;"",$L443&gt;=TODAY()-7),IF('Task Finder'!$C$6="Keyword",AND('Task Finder'!$C$7&lt;&gt;"",OR(ISNUMBER(SEARCH('Task Finder'!$C$7,$A443)),ISNUMBER(SEARCH('Task Finder'!$C$7,$B443)),ISNUMBER(SEARCH('Task Finder'!$C$7,$C443)),ISNUMBER(SEARCH('Task Finder'!$C$7,$D443)),ISNUMBER(SEARCH('Task Finder'!$C$7,$K443)))),TRUE))))))))))</f>
        <v/>
      </c>
      <c r="Q443" s="150">
        <f>IF($F443="High","High Priority","")</f>
        <v/>
      </c>
      <c r="R443" s="150">
        <f>IF(AND($I443&lt;&gt;"",$I443&lt;TODAY()),"Overdue","")</f>
        <v/>
      </c>
      <c r="S443" s="150">
        <f>IF(AND($I443&lt;&gt;"",$I443&gt;=TODAY(),$I443&lt;=TODAY()+7),"Due This Week","")</f>
        <v/>
      </c>
      <c r="T443" s="150">
        <f>IF(AND($H443&lt;&gt;"",$M443&lt;=VLOOKUP(Home!$C$7,Lists!$N$2:$O$6,2,FALSE)),$H443&amp;" Task","")</f>
        <v/>
      </c>
      <c r="U443" s="150">
        <f>IF($G443=Home!$E$7,"Fits Current Energy","")</f>
        <v/>
      </c>
      <c r="V443" s="150">
        <f>IF($Q443&lt;&gt;""," • "&amp;$Q443,"")&amp;IF($R443&lt;&gt;""," • "&amp;$R443,"")&amp;IF($S443&lt;&gt;""," • "&amp;$S443,"")&amp;IF($T443&lt;&gt;""," • "&amp;$T443,"")&amp;IF($U443&lt;&gt;""," • "&amp;$U443,"")&amp;" • No Blockers"</f>
        <v/>
      </c>
    </row>
    <row r="444">
      <c r="A444" s="19" t="n"/>
      <c r="B444" s="19" t="n"/>
      <c r="C444" s="19" t="n"/>
      <c r="D444" s="19" t="n"/>
      <c r="E444" s="19" t="n"/>
      <c r="F444" s="19" t="n"/>
      <c r="G444" s="19" t="n"/>
      <c r="H444" s="19" t="n"/>
      <c r="I444" s="19" t="n"/>
      <c r="J444" s="19" t="n"/>
      <c r="K444" s="19" t="n"/>
      <c r="L444" s="125" t="n"/>
      <c r="M444" s="88">
        <f>IF($D444="","",IFERROR(VLOOKUP($H444,Lists!$N$2:$O$6,2,FALSE),0))</f>
        <v/>
      </c>
      <c r="N444" s="88">
        <f>IF($D444="","",IF(OR($E444="Blocked",$E444="Done",$E444="Archive"),-9999,IF(AND($E444="Waiting",SUMPRODUCT((($E$5:$E$500="Next")+($E$5:$E$500="In Progress")+($E$5:$E$500="Captured"))*($D$5:$D$500&lt;&gt;""))&gt;0),-500,VLOOKUP($F444,Lists!$L$2:$M$4,2,FALSE)+IF($E444="In Progress",10,0)+IF(AND($I444&lt;&gt;"",$I444&lt;TODAY()),25,0)+IF(AND($I444&lt;&gt;"",$I444&gt;=TODAY(),$I444&lt;=TODAY()+7),15,0)+IF($H444="",0,IF($M444&lt;=VLOOKUP(Home!$C$7,Lists!$N$2:$O$6,2,FALSE),20,-10))+IF($G444=Home!$E$7,15,IF(Home!$E$7="",0,-5))-ROW()/100000)))</f>
        <v/>
      </c>
      <c r="O444" s="88">
        <f>IF($D444="","",IF($N444&lt;=-500,"Not recommended right now",IF($E444="Waiting","Nothing else actionable right now — Waiting on: "&amp;IF($K444="","this item",$K444),MID($V444,4,9999))))</f>
        <v/>
      </c>
      <c r="P444" s="88">
        <f>IF($D444="","",IF('Task Finder'!$C$6="High Priority",AND($F444="High",$E444&lt;&gt;"Done",$E444&lt;&gt;"Archive"),IF('Task Finder'!$C$6="Due This Week",AND($I444&lt;&gt;"",$I444&gt;=TODAY(),$I444&lt;=TODAY()+7,$E444&lt;&gt;"Done"),IF('Task Finder'!$C$6="Quick Wins (15 mins or less)",AND($M444&lt;=15,$E444&lt;&gt;"Done",$E444&lt;&gt;"Blocked"),IF('Task Finder'!$C$6="Deep Thinking",AND($G444="Deep Thinking",$E444&lt;&gt;"Done"),IF('Task Finder'!$C$6="Processing",AND($G444="Processing",$E444&lt;&gt;"Done"),IF('Task Finder'!$C$6="Blocked",$E444="Blocked",IF('Task Finder'!$C$6="Waiting",$E444="Waiting",IF('Task Finder'!$C$6="Recently Updated",AND($L444&lt;&gt;"",$L444&gt;=TODAY()-7),IF('Task Finder'!$C$6="Keyword",AND('Task Finder'!$C$7&lt;&gt;"",OR(ISNUMBER(SEARCH('Task Finder'!$C$7,$A444)),ISNUMBER(SEARCH('Task Finder'!$C$7,$B444)),ISNUMBER(SEARCH('Task Finder'!$C$7,$C444)),ISNUMBER(SEARCH('Task Finder'!$C$7,$D444)),ISNUMBER(SEARCH('Task Finder'!$C$7,$K444)))),TRUE))))))))))</f>
        <v/>
      </c>
      <c r="Q444" s="150">
        <f>IF($F444="High","High Priority","")</f>
        <v/>
      </c>
      <c r="R444" s="150">
        <f>IF(AND($I444&lt;&gt;"",$I444&lt;TODAY()),"Overdue","")</f>
        <v/>
      </c>
      <c r="S444" s="150">
        <f>IF(AND($I444&lt;&gt;"",$I444&gt;=TODAY(),$I444&lt;=TODAY()+7),"Due This Week","")</f>
        <v/>
      </c>
      <c r="T444" s="150">
        <f>IF(AND($H444&lt;&gt;"",$M444&lt;=VLOOKUP(Home!$C$7,Lists!$N$2:$O$6,2,FALSE)),$H444&amp;" Task","")</f>
        <v/>
      </c>
      <c r="U444" s="150">
        <f>IF($G444=Home!$E$7,"Fits Current Energy","")</f>
        <v/>
      </c>
      <c r="V444" s="150">
        <f>IF($Q444&lt;&gt;""," • "&amp;$Q444,"")&amp;IF($R444&lt;&gt;""," • "&amp;$R444,"")&amp;IF($S444&lt;&gt;""," • "&amp;$S444,"")&amp;IF($T444&lt;&gt;""," • "&amp;$T444,"")&amp;IF($U444&lt;&gt;""," • "&amp;$U444,"")&amp;" • No Blockers"</f>
        <v/>
      </c>
    </row>
    <row r="445">
      <c r="A445" s="19" t="n"/>
      <c r="B445" s="19" t="n"/>
      <c r="C445" s="19" t="n"/>
      <c r="D445" s="19" t="n"/>
      <c r="E445" s="19" t="n"/>
      <c r="F445" s="19" t="n"/>
      <c r="G445" s="19" t="n"/>
      <c r="H445" s="19" t="n"/>
      <c r="I445" s="19" t="n"/>
      <c r="J445" s="19" t="n"/>
      <c r="K445" s="19" t="n"/>
      <c r="L445" s="125" t="n"/>
      <c r="M445" s="88">
        <f>IF($D445="","",IFERROR(VLOOKUP($H445,Lists!$N$2:$O$6,2,FALSE),0))</f>
        <v/>
      </c>
      <c r="N445" s="88">
        <f>IF($D445="","",IF(OR($E445="Blocked",$E445="Done",$E445="Archive"),-9999,IF(AND($E445="Waiting",SUMPRODUCT((($E$5:$E$500="Next")+($E$5:$E$500="In Progress")+($E$5:$E$500="Captured"))*($D$5:$D$500&lt;&gt;""))&gt;0),-500,VLOOKUP($F445,Lists!$L$2:$M$4,2,FALSE)+IF($E445="In Progress",10,0)+IF(AND($I445&lt;&gt;"",$I445&lt;TODAY()),25,0)+IF(AND($I445&lt;&gt;"",$I445&gt;=TODAY(),$I445&lt;=TODAY()+7),15,0)+IF($H445="",0,IF($M445&lt;=VLOOKUP(Home!$C$7,Lists!$N$2:$O$6,2,FALSE),20,-10))+IF($G445=Home!$E$7,15,IF(Home!$E$7="",0,-5))-ROW()/100000)))</f>
        <v/>
      </c>
      <c r="O445" s="88">
        <f>IF($D445="","",IF($N445&lt;=-500,"Not recommended right now",IF($E445="Waiting","Nothing else actionable right now — Waiting on: "&amp;IF($K445="","this item",$K445),MID($V445,4,9999))))</f>
        <v/>
      </c>
      <c r="P445" s="88">
        <f>IF($D445="","",IF('Task Finder'!$C$6="High Priority",AND($F445="High",$E445&lt;&gt;"Done",$E445&lt;&gt;"Archive"),IF('Task Finder'!$C$6="Due This Week",AND($I445&lt;&gt;"",$I445&gt;=TODAY(),$I445&lt;=TODAY()+7,$E445&lt;&gt;"Done"),IF('Task Finder'!$C$6="Quick Wins (15 mins or less)",AND($M445&lt;=15,$E445&lt;&gt;"Done",$E445&lt;&gt;"Blocked"),IF('Task Finder'!$C$6="Deep Thinking",AND($G445="Deep Thinking",$E445&lt;&gt;"Done"),IF('Task Finder'!$C$6="Processing",AND($G445="Processing",$E445&lt;&gt;"Done"),IF('Task Finder'!$C$6="Blocked",$E445="Blocked",IF('Task Finder'!$C$6="Waiting",$E445="Waiting",IF('Task Finder'!$C$6="Recently Updated",AND($L445&lt;&gt;"",$L445&gt;=TODAY()-7),IF('Task Finder'!$C$6="Keyword",AND('Task Finder'!$C$7&lt;&gt;"",OR(ISNUMBER(SEARCH('Task Finder'!$C$7,$A445)),ISNUMBER(SEARCH('Task Finder'!$C$7,$B445)),ISNUMBER(SEARCH('Task Finder'!$C$7,$C445)),ISNUMBER(SEARCH('Task Finder'!$C$7,$D445)),ISNUMBER(SEARCH('Task Finder'!$C$7,$K445)))),TRUE))))))))))</f>
        <v/>
      </c>
      <c r="Q445" s="150">
        <f>IF($F445="High","High Priority","")</f>
        <v/>
      </c>
      <c r="R445" s="150">
        <f>IF(AND($I445&lt;&gt;"",$I445&lt;TODAY()),"Overdue","")</f>
        <v/>
      </c>
      <c r="S445" s="150">
        <f>IF(AND($I445&lt;&gt;"",$I445&gt;=TODAY(),$I445&lt;=TODAY()+7),"Due This Week","")</f>
        <v/>
      </c>
      <c r="T445" s="150">
        <f>IF(AND($H445&lt;&gt;"",$M445&lt;=VLOOKUP(Home!$C$7,Lists!$N$2:$O$6,2,FALSE)),$H445&amp;" Task","")</f>
        <v/>
      </c>
      <c r="U445" s="150">
        <f>IF($G445=Home!$E$7,"Fits Current Energy","")</f>
        <v/>
      </c>
      <c r="V445" s="150">
        <f>IF($Q445&lt;&gt;""," • "&amp;$Q445,"")&amp;IF($R445&lt;&gt;""," • "&amp;$R445,"")&amp;IF($S445&lt;&gt;""," • "&amp;$S445,"")&amp;IF($T445&lt;&gt;""," • "&amp;$T445,"")&amp;IF($U445&lt;&gt;""," • "&amp;$U445,"")&amp;" • No Blockers"</f>
        <v/>
      </c>
    </row>
    <row r="446">
      <c r="A446" s="19" t="n"/>
      <c r="B446" s="19" t="n"/>
      <c r="C446" s="19" t="n"/>
      <c r="D446" s="19" t="n"/>
      <c r="E446" s="19" t="n"/>
      <c r="F446" s="19" t="n"/>
      <c r="G446" s="19" t="n"/>
      <c r="H446" s="19" t="n"/>
      <c r="I446" s="19" t="n"/>
      <c r="J446" s="19" t="n"/>
      <c r="K446" s="19" t="n"/>
      <c r="L446" s="125" t="n"/>
      <c r="M446" s="88">
        <f>IF($D446="","",IFERROR(VLOOKUP($H446,Lists!$N$2:$O$6,2,FALSE),0))</f>
        <v/>
      </c>
      <c r="N446" s="88">
        <f>IF($D446="","",IF(OR($E446="Blocked",$E446="Done",$E446="Archive"),-9999,IF(AND($E446="Waiting",SUMPRODUCT((($E$5:$E$500="Next")+($E$5:$E$500="In Progress")+($E$5:$E$500="Captured"))*($D$5:$D$500&lt;&gt;""))&gt;0),-500,VLOOKUP($F446,Lists!$L$2:$M$4,2,FALSE)+IF($E446="In Progress",10,0)+IF(AND($I446&lt;&gt;"",$I446&lt;TODAY()),25,0)+IF(AND($I446&lt;&gt;"",$I446&gt;=TODAY(),$I446&lt;=TODAY()+7),15,0)+IF($H446="",0,IF($M446&lt;=VLOOKUP(Home!$C$7,Lists!$N$2:$O$6,2,FALSE),20,-10))+IF($G446=Home!$E$7,15,IF(Home!$E$7="",0,-5))-ROW()/100000)))</f>
        <v/>
      </c>
      <c r="O446" s="88">
        <f>IF($D446="","",IF($N446&lt;=-500,"Not recommended right now",IF($E446="Waiting","Nothing else actionable right now — Waiting on: "&amp;IF($K446="","this item",$K446),MID($V446,4,9999))))</f>
        <v/>
      </c>
      <c r="P446" s="88">
        <f>IF($D446="","",IF('Task Finder'!$C$6="High Priority",AND($F446="High",$E446&lt;&gt;"Done",$E446&lt;&gt;"Archive"),IF('Task Finder'!$C$6="Due This Week",AND($I446&lt;&gt;"",$I446&gt;=TODAY(),$I446&lt;=TODAY()+7,$E446&lt;&gt;"Done"),IF('Task Finder'!$C$6="Quick Wins (15 mins or less)",AND($M446&lt;=15,$E446&lt;&gt;"Done",$E446&lt;&gt;"Blocked"),IF('Task Finder'!$C$6="Deep Thinking",AND($G446="Deep Thinking",$E446&lt;&gt;"Done"),IF('Task Finder'!$C$6="Processing",AND($G446="Processing",$E446&lt;&gt;"Done"),IF('Task Finder'!$C$6="Blocked",$E446="Blocked",IF('Task Finder'!$C$6="Waiting",$E446="Waiting",IF('Task Finder'!$C$6="Recently Updated",AND($L446&lt;&gt;"",$L446&gt;=TODAY()-7),IF('Task Finder'!$C$6="Keyword",AND('Task Finder'!$C$7&lt;&gt;"",OR(ISNUMBER(SEARCH('Task Finder'!$C$7,$A446)),ISNUMBER(SEARCH('Task Finder'!$C$7,$B446)),ISNUMBER(SEARCH('Task Finder'!$C$7,$C446)),ISNUMBER(SEARCH('Task Finder'!$C$7,$D446)),ISNUMBER(SEARCH('Task Finder'!$C$7,$K446)))),TRUE))))))))))</f>
        <v/>
      </c>
      <c r="Q446" s="150">
        <f>IF($F446="High","High Priority","")</f>
        <v/>
      </c>
      <c r="R446" s="150">
        <f>IF(AND($I446&lt;&gt;"",$I446&lt;TODAY()),"Overdue","")</f>
        <v/>
      </c>
      <c r="S446" s="150">
        <f>IF(AND($I446&lt;&gt;"",$I446&gt;=TODAY(),$I446&lt;=TODAY()+7),"Due This Week","")</f>
        <v/>
      </c>
      <c r="T446" s="150">
        <f>IF(AND($H446&lt;&gt;"",$M446&lt;=VLOOKUP(Home!$C$7,Lists!$N$2:$O$6,2,FALSE)),$H446&amp;" Task","")</f>
        <v/>
      </c>
      <c r="U446" s="150">
        <f>IF($G446=Home!$E$7,"Fits Current Energy","")</f>
        <v/>
      </c>
      <c r="V446" s="150">
        <f>IF($Q446&lt;&gt;""," • "&amp;$Q446,"")&amp;IF($R446&lt;&gt;""," • "&amp;$R446,"")&amp;IF($S446&lt;&gt;""," • "&amp;$S446,"")&amp;IF($T446&lt;&gt;""," • "&amp;$T446,"")&amp;IF($U446&lt;&gt;""," • "&amp;$U446,"")&amp;" • No Blockers"</f>
        <v/>
      </c>
    </row>
    <row r="447">
      <c r="A447" s="19" t="n"/>
      <c r="B447" s="19" t="n"/>
      <c r="C447" s="19" t="n"/>
      <c r="D447" s="19" t="n"/>
      <c r="E447" s="19" t="n"/>
      <c r="F447" s="19" t="n"/>
      <c r="G447" s="19" t="n"/>
      <c r="H447" s="19" t="n"/>
      <c r="I447" s="19" t="n"/>
      <c r="J447" s="19" t="n"/>
      <c r="K447" s="19" t="n"/>
      <c r="L447" s="125" t="n"/>
      <c r="M447" s="88">
        <f>IF($D447="","",IFERROR(VLOOKUP($H447,Lists!$N$2:$O$6,2,FALSE),0))</f>
        <v/>
      </c>
      <c r="N447" s="88">
        <f>IF($D447="","",IF(OR($E447="Blocked",$E447="Done",$E447="Archive"),-9999,IF(AND($E447="Waiting",SUMPRODUCT((($E$5:$E$500="Next")+($E$5:$E$500="In Progress")+($E$5:$E$500="Captured"))*($D$5:$D$500&lt;&gt;""))&gt;0),-500,VLOOKUP($F447,Lists!$L$2:$M$4,2,FALSE)+IF($E447="In Progress",10,0)+IF(AND($I447&lt;&gt;"",$I447&lt;TODAY()),25,0)+IF(AND($I447&lt;&gt;"",$I447&gt;=TODAY(),$I447&lt;=TODAY()+7),15,0)+IF($H447="",0,IF($M447&lt;=VLOOKUP(Home!$C$7,Lists!$N$2:$O$6,2,FALSE),20,-10))+IF($G447=Home!$E$7,15,IF(Home!$E$7="",0,-5))-ROW()/100000)))</f>
        <v/>
      </c>
      <c r="O447" s="88">
        <f>IF($D447="","",IF($N447&lt;=-500,"Not recommended right now",IF($E447="Waiting","Nothing else actionable right now — Waiting on: "&amp;IF($K447="","this item",$K447),MID($V447,4,9999))))</f>
        <v/>
      </c>
      <c r="P447" s="88">
        <f>IF($D447="","",IF('Task Finder'!$C$6="High Priority",AND($F447="High",$E447&lt;&gt;"Done",$E447&lt;&gt;"Archive"),IF('Task Finder'!$C$6="Due This Week",AND($I447&lt;&gt;"",$I447&gt;=TODAY(),$I447&lt;=TODAY()+7,$E447&lt;&gt;"Done"),IF('Task Finder'!$C$6="Quick Wins (15 mins or less)",AND($M447&lt;=15,$E447&lt;&gt;"Done",$E447&lt;&gt;"Blocked"),IF('Task Finder'!$C$6="Deep Thinking",AND($G447="Deep Thinking",$E447&lt;&gt;"Done"),IF('Task Finder'!$C$6="Processing",AND($G447="Processing",$E447&lt;&gt;"Done"),IF('Task Finder'!$C$6="Blocked",$E447="Blocked",IF('Task Finder'!$C$6="Waiting",$E447="Waiting",IF('Task Finder'!$C$6="Recently Updated",AND($L447&lt;&gt;"",$L447&gt;=TODAY()-7),IF('Task Finder'!$C$6="Keyword",AND('Task Finder'!$C$7&lt;&gt;"",OR(ISNUMBER(SEARCH('Task Finder'!$C$7,$A447)),ISNUMBER(SEARCH('Task Finder'!$C$7,$B447)),ISNUMBER(SEARCH('Task Finder'!$C$7,$C447)),ISNUMBER(SEARCH('Task Finder'!$C$7,$D447)),ISNUMBER(SEARCH('Task Finder'!$C$7,$K447)))),TRUE))))))))))</f>
        <v/>
      </c>
      <c r="Q447" s="150">
        <f>IF($F447="High","High Priority","")</f>
        <v/>
      </c>
      <c r="R447" s="150">
        <f>IF(AND($I447&lt;&gt;"",$I447&lt;TODAY()),"Overdue","")</f>
        <v/>
      </c>
      <c r="S447" s="150">
        <f>IF(AND($I447&lt;&gt;"",$I447&gt;=TODAY(),$I447&lt;=TODAY()+7),"Due This Week","")</f>
        <v/>
      </c>
      <c r="T447" s="150">
        <f>IF(AND($H447&lt;&gt;"",$M447&lt;=VLOOKUP(Home!$C$7,Lists!$N$2:$O$6,2,FALSE)),$H447&amp;" Task","")</f>
        <v/>
      </c>
      <c r="U447" s="150">
        <f>IF($G447=Home!$E$7,"Fits Current Energy","")</f>
        <v/>
      </c>
      <c r="V447" s="150">
        <f>IF($Q447&lt;&gt;""," • "&amp;$Q447,"")&amp;IF($R447&lt;&gt;""," • "&amp;$R447,"")&amp;IF($S447&lt;&gt;""," • "&amp;$S447,"")&amp;IF($T447&lt;&gt;""," • "&amp;$T447,"")&amp;IF($U447&lt;&gt;""," • "&amp;$U447,"")&amp;" • No Blockers"</f>
        <v/>
      </c>
    </row>
    <row r="448">
      <c r="A448" s="19" t="n"/>
      <c r="B448" s="19" t="n"/>
      <c r="C448" s="19" t="n"/>
      <c r="D448" s="19" t="n"/>
      <c r="E448" s="19" t="n"/>
      <c r="F448" s="19" t="n"/>
      <c r="G448" s="19" t="n"/>
      <c r="H448" s="19" t="n"/>
      <c r="I448" s="19" t="n"/>
      <c r="J448" s="19" t="n"/>
      <c r="K448" s="19" t="n"/>
      <c r="L448" s="125" t="n"/>
      <c r="M448" s="88">
        <f>IF($D448="","",IFERROR(VLOOKUP($H448,Lists!$N$2:$O$6,2,FALSE),0))</f>
        <v/>
      </c>
      <c r="N448" s="88">
        <f>IF($D448="","",IF(OR($E448="Blocked",$E448="Done",$E448="Archive"),-9999,IF(AND($E448="Waiting",SUMPRODUCT((($E$5:$E$500="Next")+($E$5:$E$500="In Progress")+($E$5:$E$500="Captured"))*($D$5:$D$500&lt;&gt;""))&gt;0),-500,VLOOKUP($F448,Lists!$L$2:$M$4,2,FALSE)+IF($E448="In Progress",10,0)+IF(AND($I448&lt;&gt;"",$I448&lt;TODAY()),25,0)+IF(AND($I448&lt;&gt;"",$I448&gt;=TODAY(),$I448&lt;=TODAY()+7),15,0)+IF($H448="",0,IF($M448&lt;=VLOOKUP(Home!$C$7,Lists!$N$2:$O$6,2,FALSE),20,-10))+IF($G448=Home!$E$7,15,IF(Home!$E$7="",0,-5))-ROW()/100000)))</f>
        <v/>
      </c>
      <c r="O448" s="88">
        <f>IF($D448="","",IF($N448&lt;=-500,"Not recommended right now",IF($E448="Waiting","Nothing else actionable right now — Waiting on: "&amp;IF($K448="","this item",$K448),MID($V448,4,9999))))</f>
        <v/>
      </c>
      <c r="P448" s="88">
        <f>IF($D448="","",IF('Task Finder'!$C$6="High Priority",AND($F448="High",$E448&lt;&gt;"Done",$E448&lt;&gt;"Archive"),IF('Task Finder'!$C$6="Due This Week",AND($I448&lt;&gt;"",$I448&gt;=TODAY(),$I448&lt;=TODAY()+7,$E448&lt;&gt;"Done"),IF('Task Finder'!$C$6="Quick Wins (15 mins or less)",AND($M448&lt;=15,$E448&lt;&gt;"Done",$E448&lt;&gt;"Blocked"),IF('Task Finder'!$C$6="Deep Thinking",AND($G448="Deep Thinking",$E448&lt;&gt;"Done"),IF('Task Finder'!$C$6="Processing",AND($G448="Processing",$E448&lt;&gt;"Done"),IF('Task Finder'!$C$6="Blocked",$E448="Blocked",IF('Task Finder'!$C$6="Waiting",$E448="Waiting",IF('Task Finder'!$C$6="Recently Updated",AND($L448&lt;&gt;"",$L448&gt;=TODAY()-7),IF('Task Finder'!$C$6="Keyword",AND('Task Finder'!$C$7&lt;&gt;"",OR(ISNUMBER(SEARCH('Task Finder'!$C$7,$A448)),ISNUMBER(SEARCH('Task Finder'!$C$7,$B448)),ISNUMBER(SEARCH('Task Finder'!$C$7,$C448)),ISNUMBER(SEARCH('Task Finder'!$C$7,$D448)),ISNUMBER(SEARCH('Task Finder'!$C$7,$K448)))),TRUE))))))))))</f>
        <v/>
      </c>
      <c r="Q448" s="150">
        <f>IF($F448="High","High Priority","")</f>
        <v/>
      </c>
      <c r="R448" s="150">
        <f>IF(AND($I448&lt;&gt;"",$I448&lt;TODAY()),"Overdue","")</f>
        <v/>
      </c>
      <c r="S448" s="150">
        <f>IF(AND($I448&lt;&gt;"",$I448&gt;=TODAY(),$I448&lt;=TODAY()+7),"Due This Week","")</f>
        <v/>
      </c>
      <c r="T448" s="150">
        <f>IF(AND($H448&lt;&gt;"",$M448&lt;=VLOOKUP(Home!$C$7,Lists!$N$2:$O$6,2,FALSE)),$H448&amp;" Task","")</f>
        <v/>
      </c>
      <c r="U448" s="150">
        <f>IF($G448=Home!$E$7,"Fits Current Energy","")</f>
        <v/>
      </c>
      <c r="V448" s="150">
        <f>IF($Q448&lt;&gt;""," • "&amp;$Q448,"")&amp;IF($R448&lt;&gt;""," • "&amp;$R448,"")&amp;IF($S448&lt;&gt;""," • "&amp;$S448,"")&amp;IF($T448&lt;&gt;""," • "&amp;$T448,"")&amp;IF($U448&lt;&gt;""," • "&amp;$U448,"")&amp;" • No Blockers"</f>
        <v/>
      </c>
    </row>
    <row r="449">
      <c r="A449" s="19" t="n"/>
      <c r="B449" s="19" t="n"/>
      <c r="C449" s="19" t="n"/>
      <c r="D449" s="19" t="n"/>
      <c r="E449" s="19" t="n"/>
      <c r="F449" s="19" t="n"/>
      <c r="G449" s="19" t="n"/>
      <c r="H449" s="19" t="n"/>
      <c r="I449" s="19" t="n"/>
      <c r="J449" s="19" t="n"/>
      <c r="K449" s="19" t="n"/>
      <c r="L449" s="125" t="n"/>
      <c r="M449" s="88">
        <f>IF($D449="","",IFERROR(VLOOKUP($H449,Lists!$N$2:$O$6,2,FALSE),0))</f>
        <v/>
      </c>
      <c r="N449" s="88">
        <f>IF($D449="","",IF(OR($E449="Blocked",$E449="Done",$E449="Archive"),-9999,IF(AND($E449="Waiting",SUMPRODUCT((($E$5:$E$500="Next")+($E$5:$E$500="In Progress")+($E$5:$E$500="Captured"))*($D$5:$D$500&lt;&gt;""))&gt;0),-500,VLOOKUP($F449,Lists!$L$2:$M$4,2,FALSE)+IF($E449="In Progress",10,0)+IF(AND($I449&lt;&gt;"",$I449&lt;TODAY()),25,0)+IF(AND($I449&lt;&gt;"",$I449&gt;=TODAY(),$I449&lt;=TODAY()+7),15,0)+IF($H449="",0,IF($M449&lt;=VLOOKUP(Home!$C$7,Lists!$N$2:$O$6,2,FALSE),20,-10))+IF($G449=Home!$E$7,15,IF(Home!$E$7="",0,-5))-ROW()/100000)))</f>
        <v/>
      </c>
      <c r="O449" s="88">
        <f>IF($D449="","",IF($N449&lt;=-500,"Not recommended right now",IF($E449="Waiting","Nothing else actionable right now — Waiting on: "&amp;IF($K449="","this item",$K449),MID($V449,4,9999))))</f>
        <v/>
      </c>
      <c r="P449" s="88">
        <f>IF($D449="","",IF('Task Finder'!$C$6="High Priority",AND($F449="High",$E449&lt;&gt;"Done",$E449&lt;&gt;"Archive"),IF('Task Finder'!$C$6="Due This Week",AND($I449&lt;&gt;"",$I449&gt;=TODAY(),$I449&lt;=TODAY()+7,$E449&lt;&gt;"Done"),IF('Task Finder'!$C$6="Quick Wins (15 mins or less)",AND($M449&lt;=15,$E449&lt;&gt;"Done",$E449&lt;&gt;"Blocked"),IF('Task Finder'!$C$6="Deep Thinking",AND($G449="Deep Thinking",$E449&lt;&gt;"Done"),IF('Task Finder'!$C$6="Processing",AND($G449="Processing",$E449&lt;&gt;"Done"),IF('Task Finder'!$C$6="Blocked",$E449="Blocked",IF('Task Finder'!$C$6="Waiting",$E449="Waiting",IF('Task Finder'!$C$6="Recently Updated",AND($L449&lt;&gt;"",$L449&gt;=TODAY()-7),IF('Task Finder'!$C$6="Keyword",AND('Task Finder'!$C$7&lt;&gt;"",OR(ISNUMBER(SEARCH('Task Finder'!$C$7,$A449)),ISNUMBER(SEARCH('Task Finder'!$C$7,$B449)),ISNUMBER(SEARCH('Task Finder'!$C$7,$C449)),ISNUMBER(SEARCH('Task Finder'!$C$7,$D449)),ISNUMBER(SEARCH('Task Finder'!$C$7,$K449)))),TRUE))))))))))</f>
        <v/>
      </c>
      <c r="Q449" s="150">
        <f>IF($F449="High","High Priority","")</f>
        <v/>
      </c>
      <c r="R449" s="150">
        <f>IF(AND($I449&lt;&gt;"",$I449&lt;TODAY()),"Overdue","")</f>
        <v/>
      </c>
      <c r="S449" s="150">
        <f>IF(AND($I449&lt;&gt;"",$I449&gt;=TODAY(),$I449&lt;=TODAY()+7),"Due This Week","")</f>
        <v/>
      </c>
      <c r="T449" s="150">
        <f>IF(AND($H449&lt;&gt;"",$M449&lt;=VLOOKUP(Home!$C$7,Lists!$N$2:$O$6,2,FALSE)),$H449&amp;" Task","")</f>
        <v/>
      </c>
      <c r="U449" s="150">
        <f>IF($G449=Home!$E$7,"Fits Current Energy","")</f>
        <v/>
      </c>
      <c r="V449" s="150">
        <f>IF($Q449&lt;&gt;""," • "&amp;$Q449,"")&amp;IF($R449&lt;&gt;""," • "&amp;$R449,"")&amp;IF($S449&lt;&gt;""," • "&amp;$S449,"")&amp;IF($T449&lt;&gt;""," • "&amp;$T449,"")&amp;IF($U449&lt;&gt;""," • "&amp;$U449,"")&amp;" • No Blockers"</f>
        <v/>
      </c>
    </row>
    <row r="450">
      <c r="A450" s="19" t="n"/>
      <c r="B450" s="19" t="n"/>
      <c r="C450" s="19" t="n"/>
      <c r="D450" s="19" t="n"/>
      <c r="E450" s="19" t="n"/>
      <c r="F450" s="19" t="n"/>
      <c r="G450" s="19" t="n"/>
      <c r="H450" s="19" t="n"/>
      <c r="I450" s="19" t="n"/>
      <c r="J450" s="19" t="n"/>
      <c r="K450" s="19" t="n"/>
      <c r="L450" s="125" t="n"/>
      <c r="M450" s="88">
        <f>IF($D450="","",IFERROR(VLOOKUP($H450,Lists!$N$2:$O$6,2,FALSE),0))</f>
        <v/>
      </c>
      <c r="N450" s="88">
        <f>IF($D450="","",IF(OR($E450="Blocked",$E450="Done",$E450="Archive"),-9999,IF(AND($E450="Waiting",SUMPRODUCT((($E$5:$E$500="Next")+($E$5:$E$500="In Progress")+($E$5:$E$500="Captured"))*($D$5:$D$500&lt;&gt;""))&gt;0),-500,VLOOKUP($F450,Lists!$L$2:$M$4,2,FALSE)+IF($E450="In Progress",10,0)+IF(AND($I450&lt;&gt;"",$I450&lt;TODAY()),25,0)+IF(AND($I450&lt;&gt;"",$I450&gt;=TODAY(),$I450&lt;=TODAY()+7),15,0)+IF($H450="",0,IF($M450&lt;=VLOOKUP(Home!$C$7,Lists!$N$2:$O$6,2,FALSE),20,-10))+IF($G450=Home!$E$7,15,IF(Home!$E$7="",0,-5))-ROW()/100000)))</f>
        <v/>
      </c>
      <c r="O450" s="88">
        <f>IF($D450="","",IF($N450&lt;=-500,"Not recommended right now",IF($E450="Waiting","Nothing else actionable right now — Waiting on: "&amp;IF($K450="","this item",$K450),MID($V450,4,9999))))</f>
        <v/>
      </c>
      <c r="P450" s="88">
        <f>IF($D450="","",IF('Task Finder'!$C$6="High Priority",AND($F450="High",$E450&lt;&gt;"Done",$E450&lt;&gt;"Archive"),IF('Task Finder'!$C$6="Due This Week",AND($I450&lt;&gt;"",$I450&gt;=TODAY(),$I450&lt;=TODAY()+7,$E450&lt;&gt;"Done"),IF('Task Finder'!$C$6="Quick Wins (15 mins or less)",AND($M450&lt;=15,$E450&lt;&gt;"Done",$E450&lt;&gt;"Blocked"),IF('Task Finder'!$C$6="Deep Thinking",AND($G450="Deep Thinking",$E450&lt;&gt;"Done"),IF('Task Finder'!$C$6="Processing",AND($G450="Processing",$E450&lt;&gt;"Done"),IF('Task Finder'!$C$6="Blocked",$E450="Blocked",IF('Task Finder'!$C$6="Waiting",$E450="Waiting",IF('Task Finder'!$C$6="Recently Updated",AND($L450&lt;&gt;"",$L450&gt;=TODAY()-7),IF('Task Finder'!$C$6="Keyword",AND('Task Finder'!$C$7&lt;&gt;"",OR(ISNUMBER(SEARCH('Task Finder'!$C$7,$A450)),ISNUMBER(SEARCH('Task Finder'!$C$7,$B450)),ISNUMBER(SEARCH('Task Finder'!$C$7,$C450)),ISNUMBER(SEARCH('Task Finder'!$C$7,$D450)),ISNUMBER(SEARCH('Task Finder'!$C$7,$K450)))),TRUE))))))))))</f>
        <v/>
      </c>
      <c r="Q450" s="150">
        <f>IF($F450="High","High Priority","")</f>
        <v/>
      </c>
      <c r="R450" s="150">
        <f>IF(AND($I450&lt;&gt;"",$I450&lt;TODAY()),"Overdue","")</f>
        <v/>
      </c>
      <c r="S450" s="150">
        <f>IF(AND($I450&lt;&gt;"",$I450&gt;=TODAY(),$I450&lt;=TODAY()+7),"Due This Week","")</f>
        <v/>
      </c>
      <c r="T450" s="150">
        <f>IF(AND($H450&lt;&gt;"",$M450&lt;=VLOOKUP(Home!$C$7,Lists!$N$2:$O$6,2,FALSE)),$H450&amp;" Task","")</f>
        <v/>
      </c>
      <c r="U450" s="150">
        <f>IF($G450=Home!$E$7,"Fits Current Energy","")</f>
        <v/>
      </c>
      <c r="V450" s="150">
        <f>IF($Q450&lt;&gt;""," • "&amp;$Q450,"")&amp;IF($R450&lt;&gt;""," • "&amp;$R450,"")&amp;IF($S450&lt;&gt;""," • "&amp;$S450,"")&amp;IF($T450&lt;&gt;""," • "&amp;$T450,"")&amp;IF($U450&lt;&gt;""," • "&amp;$U450,"")&amp;" • No Blockers"</f>
        <v/>
      </c>
    </row>
    <row r="451">
      <c r="A451" s="19" t="n"/>
      <c r="B451" s="19" t="n"/>
      <c r="C451" s="19" t="n"/>
      <c r="D451" s="19" t="n"/>
      <c r="E451" s="19" t="n"/>
      <c r="F451" s="19" t="n"/>
      <c r="G451" s="19" t="n"/>
      <c r="H451" s="19" t="n"/>
      <c r="I451" s="19" t="n"/>
      <c r="J451" s="19" t="n"/>
      <c r="K451" s="19" t="n"/>
      <c r="L451" s="125" t="n"/>
      <c r="M451" s="88">
        <f>IF($D451="","",IFERROR(VLOOKUP($H451,Lists!$N$2:$O$6,2,FALSE),0))</f>
        <v/>
      </c>
      <c r="N451" s="88">
        <f>IF($D451="","",IF(OR($E451="Blocked",$E451="Done",$E451="Archive"),-9999,IF(AND($E451="Waiting",SUMPRODUCT((($E$5:$E$500="Next")+($E$5:$E$500="In Progress")+($E$5:$E$500="Captured"))*($D$5:$D$500&lt;&gt;""))&gt;0),-500,VLOOKUP($F451,Lists!$L$2:$M$4,2,FALSE)+IF($E451="In Progress",10,0)+IF(AND($I451&lt;&gt;"",$I451&lt;TODAY()),25,0)+IF(AND($I451&lt;&gt;"",$I451&gt;=TODAY(),$I451&lt;=TODAY()+7),15,0)+IF($H451="",0,IF($M451&lt;=VLOOKUP(Home!$C$7,Lists!$N$2:$O$6,2,FALSE),20,-10))+IF($G451=Home!$E$7,15,IF(Home!$E$7="",0,-5))-ROW()/100000)))</f>
        <v/>
      </c>
      <c r="O451" s="88">
        <f>IF($D451="","",IF($N451&lt;=-500,"Not recommended right now",IF($E451="Waiting","Nothing else actionable right now — Waiting on: "&amp;IF($K451="","this item",$K451),MID($V451,4,9999))))</f>
        <v/>
      </c>
      <c r="P451" s="88">
        <f>IF($D451="","",IF('Task Finder'!$C$6="High Priority",AND($F451="High",$E451&lt;&gt;"Done",$E451&lt;&gt;"Archive"),IF('Task Finder'!$C$6="Due This Week",AND($I451&lt;&gt;"",$I451&gt;=TODAY(),$I451&lt;=TODAY()+7,$E451&lt;&gt;"Done"),IF('Task Finder'!$C$6="Quick Wins (15 mins or less)",AND($M451&lt;=15,$E451&lt;&gt;"Done",$E451&lt;&gt;"Blocked"),IF('Task Finder'!$C$6="Deep Thinking",AND($G451="Deep Thinking",$E451&lt;&gt;"Done"),IF('Task Finder'!$C$6="Processing",AND($G451="Processing",$E451&lt;&gt;"Done"),IF('Task Finder'!$C$6="Blocked",$E451="Blocked",IF('Task Finder'!$C$6="Waiting",$E451="Waiting",IF('Task Finder'!$C$6="Recently Updated",AND($L451&lt;&gt;"",$L451&gt;=TODAY()-7),IF('Task Finder'!$C$6="Keyword",AND('Task Finder'!$C$7&lt;&gt;"",OR(ISNUMBER(SEARCH('Task Finder'!$C$7,$A451)),ISNUMBER(SEARCH('Task Finder'!$C$7,$B451)),ISNUMBER(SEARCH('Task Finder'!$C$7,$C451)),ISNUMBER(SEARCH('Task Finder'!$C$7,$D451)),ISNUMBER(SEARCH('Task Finder'!$C$7,$K451)))),TRUE))))))))))</f>
        <v/>
      </c>
      <c r="Q451" s="150">
        <f>IF($F451="High","High Priority","")</f>
        <v/>
      </c>
      <c r="R451" s="150">
        <f>IF(AND($I451&lt;&gt;"",$I451&lt;TODAY()),"Overdue","")</f>
        <v/>
      </c>
      <c r="S451" s="150">
        <f>IF(AND($I451&lt;&gt;"",$I451&gt;=TODAY(),$I451&lt;=TODAY()+7),"Due This Week","")</f>
        <v/>
      </c>
      <c r="T451" s="150">
        <f>IF(AND($H451&lt;&gt;"",$M451&lt;=VLOOKUP(Home!$C$7,Lists!$N$2:$O$6,2,FALSE)),$H451&amp;" Task","")</f>
        <v/>
      </c>
      <c r="U451" s="150">
        <f>IF($G451=Home!$E$7,"Fits Current Energy","")</f>
        <v/>
      </c>
      <c r="V451" s="150">
        <f>IF($Q451&lt;&gt;""," • "&amp;$Q451,"")&amp;IF($R451&lt;&gt;""," • "&amp;$R451,"")&amp;IF($S451&lt;&gt;""," • "&amp;$S451,"")&amp;IF($T451&lt;&gt;""," • "&amp;$T451,"")&amp;IF($U451&lt;&gt;""," • "&amp;$U451,"")&amp;" • No Blockers"</f>
        <v/>
      </c>
    </row>
    <row r="452">
      <c r="A452" s="19" t="n"/>
      <c r="B452" s="19" t="n"/>
      <c r="C452" s="19" t="n"/>
      <c r="D452" s="19" t="n"/>
      <c r="E452" s="19" t="n"/>
      <c r="F452" s="19" t="n"/>
      <c r="G452" s="19" t="n"/>
      <c r="H452" s="19" t="n"/>
      <c r="I452" s="19" t="n"/>
      <c r="J452" s="19" t="n"/>
      <c r="K452" s="19" t="n"/>
      <c r="L452" s="125" t="n"/>
      <c r="M452" s="88">
        <f>IF($D452="","",IFERROR(VLOOKUP($H452,Lists!$N$2:$O$6,2,FALSE),0))</f>
        <v/>
      </c>
      <c r="N452" s="88">
        <f>IF($D452="","",IF(OR($E452="Blocked",$E452="Done",$E452="Archive"),-9999,IF(AND($E452="Waiting",SUMPRODUCT((($E$5:$E$500="Next")+($E$5:$E$500="In Progress")+($E$5:$E$500="Captured"))*($D$5:$D$500&lt;&gt;""))&gt;0),-500,VLOOKUP($F452,Lists!$L$2:$M$4,2,FALSE)+IF($E452="In Progress",10,0)+IF(AND($I452&lt;&gt;"",$I452&lt;TODAY()),25,0)+IF(AND($I452&lt;&gt;"",$I452&gt;=TODAY(),$I452&lt;=TODAY()+7),15,0)+IF($H452="",0,IF($M452&lt;=VLOOKUP(Home!$C$7,Lists!$N$2:$O$6,2,FALSE),20,-10))+IF($G452=Home!$E$7,15,IF(Home!$E$7="",0,-5))-ROW()/100000)))</f>
        <v/>
      </c>
      <c r="O452" s="88">
        <f>IF($D452="","",IF($N452&lt;=-500,"Not recommended right now",IF($E452="Waiting","Nothing else actionable right now — Waiting on: "&amp;IF($K452="","this item",$K452),MID($V452,4,9999))))</f>
        <v/>
      </c>
      <c r="P452" s="88">
        <f>IF($D452="","",IF('Task Finder'!$C$6="High Priority",AND($F452="High",$E452&lt;&gt;"Done",$E452&lt;&gt;"Archive"),IF('Task Finder'!$C$6="Due This Week",AND($I452&lt;&gt;"",$I452&gt;=TODAY(),$I452&lt;=TODAY()+7,$E452&lt;&gt;"Done"),IF('Task Finder'!$C$6="Quick Wins (15 mins or less)",AND($M452&lt;=15,$E452&lt;&gt;"Done",$E452&lt;&gt;"Blocked"),IF('Task Finder'!$C$6="Deep Thinking",AND($G452="Deep Thinking",$E452&lt;&gt;"Done"),IF('Task Finder'!$C$6="Processing",AND($G452="Processing",$E452&lt;&gt;"Done"),IF('Task Finder'!$C$6="Blocked",$E452="Blocked",IF('Task Finder'!$C$6="Waiting",$E452="Waiting",IF('Task Finder'!$C$6="Recently Updated",AND($L452&lt;&gt;"",$L452&gt;=TODAY()-7),IF('Task Finder'!$C$6="Keyword",AND('Task Finder'!$C$7&lt;&gt;"",OR(ISNUMBER(SEARCH('Task Finder'!$C$7,$A452)),ISNUMBER(SEARCH('Task Finder'!$C$7,$B452)),ISNUMBER(SEARCH('Task Finder'!$C$7,$C452)),ISNUMBER(SEARCH('Task Finder'!$C$7,$D452)),ISNUMBER(SEARCH('Task Finder'!$C$7,$K452)))),TRUE))))))))))</f>
        <v/>
      </c>
      <c r="Q452" s="150">
        <f>IF($F452="High","High Priority","")</f>
        <v/>
      </c>
      <c r="R452" s="150">
        <f>IF(AND($I452&lt;&gt;"",$I452&lt;TODAY()),"Overdue","")</f>
        <v/>
      </c>
      <c r="S452" s="150">
        <f>IF(AND($I452&lt;&gt;"",$I452&gt;=TODAY(),$I452&lt;=TODAY()+7),"Due This Week","")</f>
        <v/>
      </c>
      <c r="T452" s="150">
        <f>IF(AND($H452&lt;&gt;"",$M452&lt;=VLOOKUP(Home!$C$7,Lists!$N$2:$O$6,2,FALSE)),$H452&amp;" Task","")</f>
        <v/>
      </c>
      <c r="U452" s="150">
        <f>IF($G452=Home!$E$7,"Fits Current Energy","")</f>
        <v/>
      </c>
      <c r="V452" s="150">
        <f>IF($Q452&lt;&gt;""," • "&amp;$Q452,"")&amp;IF($R452&lt;&gt;""," • "&amp;$R452,"")&amp;IF($S452&lt;&gt;""," • "&amp;$S452,"")&amp;IF($T452&lt;&gt;""," • "&amp;$T452,"")&amp;IF($U452&lt;&gt;""," • "&amp;$U452,"")&amp;" • No Blockers"</f>
        <v/>
      </c>
    </row>
    <row r="453">
      <c r="A453" s="19" t="n"/>
      <c r="B453" s="19" t="n"/>
      <c r="C453" s="19" t="n"/>
      <c r="D453" s="19" t="n"/>
      <c r="E453" s="19" t="n"/>
      <c r="F453" s="19" t="n"/>
      <c r="G453" s="19" t="n"/>
      <c r="H453" s="19" t="n"/>
      <c r="I453" s="19" t="n"/>
      <c r="J453" s="19" t="n"/>
      <c r="K453" s="19" t="n"/>
      <c r="L453" s="125" t="n"/>
      <c r="M453" s="88">
        <f>IF($D453="","",IFERROR(VLOOKUP($H453,Lists!$N$2:$O$6,2,FALSE),0))</f>
        <v/>
      </c>
      <c r="N453" s="88">
        <f>IF($D453="","",IF(OR($E453="Blocked",$E453="Done",$E453="Archive"),-9999,IF(AND($E453="Waiting",SUMPRODUCT((($E$5:$E$500="Next")+($E$5:$E$500="In Progress")+($E$5:$E$500="Captured"))*($D$5:$D$500&lt;&gt;""))&gt;0),-500,VLOOKUP($F453,Lists!$L$2:$M$4,2,FALSE)+IF($E453="In Progress",10,0)+IF(AND($I453&lt;&gt;"",$I453&lt;TODAY()),25,0)+IF(AND($I453&lt;&gt;"",$I453&gt;=TODAY(),$I453&lt;=TODAY()+7),15,0)+IF($H453="",0,IF($M453&lt;=VLOOKUP(Home!$C$7,Lists!$N$2:$O$6,2,FALSE),20,-10))+IF($G453=Home!$E$7,15,IF(Home!$E$7="",0,-5))-ROW()/100000)))</f>
        <v/>
      </c>
      <c r="O453" s="88">
        <f>IF($D453="","",IF($N453&lt;=-500,"Not recommended right now",IF($E453="Waiting","Nothing else actionable right now — Waiting on: "&amp;IF($K453="","this item",$K453),MID($V453,4,9999))))</f>
        <v/>
      </c>
      <c r="P453" s="88">
        <f>IF($D453="","",IF('Task Finder'!$C$6="High Priority",AND($F453="High",$E453&lt;&gt;"Done",$E453&lt;&gt;"Archive"),IF('Task Finder'!$C$6="Due This Week",AND($I453&lt;&gt;"",$I453&gt;=TODAY(),$I453&lt;=TODAY()+7,$E453&lt;&gt;"Done"),IF('Task Finder'!$C$6="Quick Wins (15 mins or less)",AND($M453&lt;=15,$E453&lt;&gt;"Done",$E453&lt;&gt;"Blocked"),IF('Task Finder'!$C$6="Deep Thinking",AND($G453="Deep Thinking",$E453&lt;&gt;"Done"),IF('Task Finder'!$C$6="Processing",AND($G453="Processing",$E453&lt;&gt;"Done"),IF('Task Finder'!$C$6="Blocked",$E453="Blocked",IF('Task Finder'!$C$6="Waiting",$E453="Waiting",IF('Task Finder'!$C$6="Recently Updated",AND($L453&lt;&gt;"",$L453&gt;=TODAY()-7),IF('Task Finder'!$C$6="Keyword",AND('Task Finder'!$C$7&lt;&gt;"",OR(ISNUMBER(SEARCH('Task Finder'!$C$7,$A453)),ISNUMBER(SEARCH('Task Finder'!$C$7,$B453)),ISNUMBER(SEARCH('Task Finder'!$C$7,$C453)),ISNUMBER(SEARCH('Task Finder'!$C$7,$D453)),ISNUMBER(SEARCH('Task Finder'!$C$7,$K453)))),TRUE))))))))))</f>
        <v/>
      </c>
      <c r="Q453" s="150">
        <f>IF($F453="High","High Priority","")</f>
        <v/>
      </c>
      <c r="R453" s="150">
        <f>IF(AND($I453&lt;&gt;"",$I453&lt;TODAY()),"Overdue","")</f>
        <v/>
      </c>
      <c r="S453" s="150">
        <f>IF(AND($I453&lt;&gt;"",$I453&gt;=TODAY(),$I453&lt;=TODAY()+7),"Due This Week","")</f>
        <v/>
      </c>
      <c r="T453" s="150">
        <f>IF(AND($H453&lt;&gt;"",$M453&lt;=VLOOKUP(Home!$C$7,Lists!$N$2:$O$6,2,FALSE)),$H453&amp;" Task","")</f>
        <v/>
      </c>
      <c r="U453" s="150">
        <f>IF($G453=Home!$E$7,"Fits Current Energy","")</f>
        <v/>
      </c>
      <c r="V453" s="150">
        <f>IF($Q453&lt;&gt;""," • "&amp;$Q453,"")&amp;IF($R453&lt;&gt;""," • "&amp;$R453,"")&amp;IF($S453&lt;&gt;""," • "&amp;$S453,"")&amp;IF($T453&lt;&gt;""," • "&amp;$T453,"")&amp;IF($U453&lt;&gt;""," • "&amp;$U453,"")&amp;" • No Blockers"</f>
        <v/>
      </c>
    </row>
    <row r="454">
      <c r="A454" s="19" t="n"/>
      <c r="B454" s="19" t="n"/>
      <c r="C454" s="19" t="n"/>
      <c r="D454" s="19" t="n"/>
      <c r="E454" s="19" t="n"/>
      <c r="F454" s="19" t="n"/>
      <c r="G454" s="19" t="n"/>
      <c r="H454" s="19" t="n"/>
      <c r="I454" s="19" t="n"/>
      <c r="J454" s="19" t="n"/>
      <c r="K454" s="19" t="n"/>
      <c r="L454" s="125" t="n"/>
      <c r="M454" s="88">
        <f>IF($D454="","",IFERROR(VLOOKUP($H454,Lists!$N$2:$O$6,2,FALSE),0))</f>
        <v/>
      </c>
      <c r="N454" s="88">
        <f>IF($D454="","",IF(OR($E454="Blocked",$E454="Done",$E454="Archive"),-9999,IF(AND($E454="Waiting",SUMPRODUCT((($E$5:$E$500="Next")+($E$5:$E$500="In Progress")+($E$5:$E$500="Captured"))*($D$5:$D$500&lt;&gt;""))&gt;0),-500,VLOOKUP($F454,Lists!$L$2:$M$4,2,FALSE)+IF($E454="In Progress",10,0)+IF(AND($I454&lt;&gt;"",$I454&lt;TODAY()),25,0)+IF(AND($I454&lt;&gt;"",$I454&gt;=TODAY(),$I454&lt;=TODAY()+7),15,0)+IF($H454="",0,IF($M454&lt;=VLOOKUP(Home!$C$7,Lists!$N$2:$O$6,2,FALSE),20,-10))+IF($G454=Home!$E$7,15,IF(Home!$E$7="",0,-5))-ROW()/100000)))</f>
        <v/>
      </c>
      <c r="O454" s="88">
        <f>IF($D454="","",IF($N454&lt;=-500,"Not recommended right now",IF($E454="Waiting","Nothing else actionable right now — Waiting on: "&amp;IF($K454="","this item",$K454),MID($V454,4,9999))))</f>
        <v/>
      </c>
      <c r="P454" s="88">
        <f>IF($D454="","",IF('Task Finder'!$C$6="High Priority",AND($F454="High",$E454&lt;&gt;"Done",$E454&lt;&gt;"Archive"),IF('Task Finder'!$C$6="Due This Week",AND($I454&lt;&gt;"",$I454&gt;=TODAY(),$I454&lt;=TODAY()+7,$E454&lt;&gt;"Done"),IF('Task Finder'!$C$6="Quick Wins (15 mins or less)",AND($M454&lt;=15,$E454&lt;&gt;"Done",$E454&lt;&gt;"Blocked"),IF('Task Finder'!$C$6="Deep Thinking",AND($G454="Deep Thinking",$E454&lt;&gt;"Done"),IF('Task Finder'!$C$6="Processing",AND($G454="Processing",$E454&lt;&gt;"Done"),IF('Task Finder'!$C$6="Blocked",$E454="Blocked",IF('Task Finder'!$C$6="Waiting",$E454="Waiting",IF('Task Finder'!$C$6="Recently Updated",AND($L454&lt;&gt;"",$L454&gt;=TODAY()-7),IF('Task Finder'!$C$6="Keyword",AND('Task Finder'!$C$7&lt;&gt;"",OR(ISNUMBER(SEARCH('Task Finder'!$C$7,$A454)),ISNUMBER(SEARCH('Task Finder'!$C$7,$B454)),ISNUMBER(SEARCH('Task Finder'!$C$7,$C454)),ISNUMBER(SEARCH('Task Finder'!$C$7,$D454)),ISNUMBER(SEARCH('Task Finder'!$C$7,$K454)))),TRUE))))))))))</f>
        <v/>
      </c>
      <c r="Q454" s="150">
        <f>IF($F454="High","High Priority","")</f>
        <v/>
      </c>
      <c r="R454" s="150">
        <f>IF(AND($I454&lt;&gt;"",$I454&lt;TODAY()),"Overdue","")</f>
        <v/>
      </c>
      <c r="S454" s="150">
        <f>IF(AND($I454&lt;&gt;"",$I454&gt;=TODAY(),$I454&lt;=TODAY()+7),"Due This Week","")</f>
        <v/>
      </c>
      <c r="T454" s="150">
        <f>IF(AND($H454&lt;&gt;"",$M454&lt;=VLOOKUP(Home!$C$7,Lists!$N$2:$O$6,2,FALSE)),$H454&amp;" Task","")</f>
        <v/>
      </c>
      <c r="U454" s="150">
        <f>IF($G454=Home!$E$7,"Fits Current Energy","")</f>
        <v/>
      </c>
      <c r="V454" s="150">
        <f>IF($Q454&lt;&gt;""," • "&amp;$Q454,"")&amp;IF($R454&lt;&gt;""," • "&amp;$R454,"")&amp;IF($S454&lt;&gt;""," • "&amp;$S454,"")&amp;IF($T454&lt;&gt;""," • "&amp;$T454,"")&amp;IF($U454&lt;&gt;""," • "&amp;$U454,"")&amp;" • No Blockers"</f>
        <v/>
      </c>
    </row>
    <row r="455">
      <c r="A455" s="19" t="n"/>
      <c r="B455" s="19" t="n"/>
      <c r="C455" s="19" t="n"/>
      <c r="D455" s="19" t="n"/>
      <c r="E455" s="19" t="n"/>
      <c r="F455" s="19" t="n"/>
      <c r="G455" s="19" t="n"/>
      <c r="H455" s="19" t="n"/>
      <c r="I455" s="19" t="n"/>
      <c r="J455" s="19" t="n"/>
      <c r="K455" s="19" t="n"/>
      <c r="L455" s="125" t="n"/>
      <c r="M455" s="88">
        <f>IF($D455="","",IFERROR(VLOOKUP($H455,Lists!$N$2:$O$6,2,FALSE),0))</f>
        <v/>
      </c>
      <c r="N455" s="88">
        <f>IF($D455="","",IF(OR($E455="Blocked",$E455="Done",$E455="Archive"),-9999,IF(AND($E455="Waiting",SUMPRODUCT((($E$5:$E$500="Next")+($E$5:$E$500="In Progress")+($E$5:$E$500="Captured"))*($D$5:$D$500&lt;&gt;""))&gt;0),-500,VLOOKUP($F455,Lists!$L$2:$M$4,2,FALSE)+IF($E455="In Progress",10,0)+IF(AND($I455&lt;&gt;"",$I455&lt;TODAY()),25,0)+IF(AND($I455&lt;&gt;"",$I455&gt;=TODAY(),$I455&lt;=TODAY()+7),15,0)+IF($H455="",0,IF($M455&lt;=VLOOKUP(Home!$C$7,Lists!$N$2:$O$6,2,FALSE),20,-10))+IF($G455=Home!$E$7,15,IF(Home!$E$7="",0,-5))-ROW()/100000)))</f>
        <v/>
      </c>
      <c r="O455" s="88">
        <f>IF($D455="","",IF($N455&lt;=-500,"Not recommended right now",IF($E455="Waiting","Nothing else actionable right now — Waiting on: "&amp;IF($K455="","this item",$K455),MID($V455,4,9999))))</f>
        <v/>
      </c>
      <c r="P455" s="88">
        <f>IF($D455="","",IF('Task Finder'!$C$6="High Priority",AND($F455="High",$E455&lt;&gt;"Done",$E455&lt;&gt;"Archive"),IF('Task Finder'!$C$6="Due This Week",AND($I455&lt;&gt;"",$I455&gt;=TODAY(),$I455&lt;=TODAY()+7,$E455&lt;&gt;"Done"),IF('Task Finder'!$C$6="Quick Wins (15 mins or less)",AND($M455&lt;=15,$E455&lt;&gt;"Done",$E455&lt;&gt;"Blocked"),IF('Task Finder'!$C$6="Deep Thinking",AND($G455="Deep Thinking",$E455&lt;&gt;"Done"),IF('Task Finder'!$C$6="Processing",AND($G455="Processing",$E455&lt;&gt;"Done"),IF('Task Finder'!$C$6="Blocked",$E455="Blocked",IF('Task Finder'!$C$6="Waiting",$E455="Waiting",IF('Task Finder'!$C$6="Recently Updated",AND($L455&lt;&gt;"",$L455&gt;=TODAY()-7),IF('Task Finder'!$C$6="Keyword",AND('Task Finder'!$C$7&lt;&gt;"",OR(ISNUMBER(SEARCH('Task Finder'!$C$7,$A455)),ISNUMBER(SEARCH('Task Finder'!$C$7,$B455)),ISNUMBER(SEARCH('Task Finder'!$C$7,$C455)),ISNUMBER(SEARCH('Task Finder'!$C$7,$D455)),ISNUMBER(SEARCH('Task Finder'!$C$7,$K455)))),TRUE))))))))))</f>
        <v/>
      </c>
      <c r="Q455" s="150">
        <f>IF($F455="High","High Priority","")</f>
        <v/>
      </c>
      <c r="R455" s="150">
        <f>IF(AND($I455&lt;&gt;"",$I455&lt;TODAY()),"Overdue","")</f>
        <v/>
      </c>
      <c r="S455" s="150">
        <f>IF(AND($I455&lt;&gt;"",$I455&gt;=TODAY(),$I455&lt;=TODAY()+7),"Due This Week","")</f>
        <v/>
      </c>
      <c r="T455" s="150">
        <f>IF(AND($H455&lt;&gt;"",$M455&lt;=VLOOKUP(Home!$C$7,Lists!$N$2:$O$6,2,FALSE)),$H455&amp;" Task","")</f>
        <v/>
      </c>
      <c r="U455" s="150">
        <f>IF($G455=Home!$E$7,"Fits Current Energy","")</f>
        <v/>
      </c>
      <c r="V455" s="150">
        <f>IF($Q455&lt;&gt;""," • "&amp;$Q455,"")&amp;IF($R455&lt;&gt;""," • "&amp;$R455,"")&amp;IF($S455&lt;&gt;""," • "&amp;$S455,"")&amp;IF($T455&lt;&gt;""," • "&amp;$T455,"")&amp;IF($U455&lt;&gt;""," • "&amp;$U455,"")&amp;" • No Blockers"</f>
        <v/>
      </c>
    </row>
    <row r="456">
      <c r="A456" s="19" t="n"/>
      <c r="B456" s="19" t="n"/>
      <c r="C456" s="19" t="n"/>
      <c r="D456" s="19" t="n"/>
      <c r="E456" s="19" t="n"/>
      <c r="F456" s="19" t="n"/>
      <c r="G456" s="19" t="n"/>
      <c r="H456" s="19" t="n"/>
      <c r="I456" s="19" t="n"/>
      <c r="J456" s="19" t="n"/>
      <c r="K456" s="19" t="n"/>
      <c r="L456" s="125" t="n"/>
      <c r="M456" s="88">
        <f>IF($D456="","",IFERROR(VLOOKUP($H456,Lists!$N$2:$O$6,2,FALSE),0))</f>
        <v/>
      </c>
      <c r="N456" s="88">
        <f>IF($D456="","",IF(OR($E456="Blocked",$E456="Done",$E456="Archive"),-9999,IF(AND($E456="Waiting",SUMPRODUCT((($E$5:$E$500="Next")+($E$5:$E$500="In Progress")+($E$5:$E$500="Captured"))*($D$5:$D$500&lt;&gt;""))&gt;0),-500,VLOOKUP($F456,Lists!$L$2:$M$4,2,FALSE)+IF($E456="In Progress",10,0)+IF(AND($I456&lt;&gt;"",$I456&lt;TODAY()),25,0)+IF(AND($I456&lt;&gt;"",$I456&gt;=TODAY(),$I456&lt;=TODAY()+7),15,0)+IF($H456="",0,IF($M456&lt;=VLOOKUP(Home!$C$7,Lists!$N$2:$O$6,2,FALSE),20,-10))+IF($G456=Home!$E$7,15,IF(Home!$E$7="",0,-5))-ROW()/100000)))</f>
        <v/>
      </c>
      <c r="O456" s="88">
        <f>IF($D456="","",IF($N456&lt;=-500,"Not recommended right now",IF($E456="Waiting","Nothing else actionable right now — Waiting on: "&amp;IF($K456="","this item",$K456),MID($V456,4,9999))))</f>
        <v/>
      </c>
      <c r="P456" s="88">
        <f>IF($D456="","",IF('Task Finder'!$C$6="High Priority",AND($F456="High",$E456&lt;&gt;"Done",$E456&lt;&gt;"Archive"),IF('Task Finder'!$C$6="Due This Week",AND($I456&lt;&gt;"",$I456&gt;=TODAY(),$I456&lt;=TODAY()+7,$E456&lt;&gt;"Done"),IF('Task Finder'!$C$6="Quick Wins (15 mins or less)",AND($M456&lt;=15,$E456&lt;&gt;"Done",$E456&lt;&gt;"Blocked"),IF('Task Finder'!$C$6="Deep Thinking",AND($G456="Deep Thinking",$E456&lt;&gt;"Done"),IF('Task Finder'!$C$6="Processing",AND($G456="Processing",$E456&lt;&gt;"Done"),IF('Task Finder'!$C$6="Blocked",$E456="Blocked",IF('Task Finder'!$C$6="Waiting",$E456="Waiting",IF('Task Finder'!$C$6="Recently Updated",AND($L456&lt;&gt;"",$L456&gt;=TODAY()-7),IF('Task Finder'!$C$6="Keyword",AND('Task Finder'!$C$7&lt;&gt;"",OR(ISNUMBER(SEARCH('Task Finder'!$C$7,$A456)),ISNUMBER(SEARCH('Task Finder'!$C$7,$B456)),ISNUMBER(SEARCH('Task Finder'!$C$7,$C456)),ISNUMBER(SEARCH('Task Finder'!$C$7,$D456)),ISNUMBER(SEARCH('Task Finder'!$C$7,$K456)))),TRUE))))))))))</f>
        <v/>
      </c>
      <c r="Q456" s="150">
        <f>IF($F456="High","High Priority","")</f>
        <v/>
      </c>
      <c r="R456" s="150">
        <f>IF(AND($I456&lt;&gt;"",$I456&lt;TODAY()),"Overdue","")</f>
        <v/>
      </c>
      <c r="S456" s="150">
        <f>IF(AND($I456&lt;&gt;"",$I456&gt;=TODAY(),$I456&lt;=TODAY()+7),"Due This Week","")</f>
        <v/>
      </c>
      <c r="T456" s="150">
        <f>IF(AND($H456&lt;&gt;"",$M456&lt;=VLOOKUP(Home!$C$7,Lists!$N$2:$O$6,2,FALSE)),$H456&amp;" Task","")</f>
        <v/>
      </c>
      <c r="U456" s="150">
        <f>IF($G456=Home!$E$7,"Fits Current Energy","")</f>
        <v/>
      </c>
      <c r="V456" s="150">
        <f>IF($Q456&lt;&gt;""," • "&amp;$Q456,"")&amp;IF($R456&lt;&gt;""," • "&amp;$R456,"")&amp;IF($S456&lt;&gt;""," • "&amp;$S456,"")&amp;IF($T456&lt;&gt;""," • "&amp;$T456,"")&amp;IF($U456&lt;&gt;""," • "&amp;$U456,"")&amp;" • No Blockers"</f>
        <v/>
      </c>
    </row>
    <row r="457">
      <c r="A457" s="19" t="n"/>
      <c r="B457" s="19" t="n"/>
      <c r="C457" s="19" t="n"/>
      <c r="D457" s="19" t="n"/>
      <c r="E457" s="19" t="n"/>
      <c r="F457" s="19" t="n"/>
      <c r="G457" s="19" t="n"/>
      <c r="H457" s="19" t="n"/>
      <c r="I457" s="19" t="n"/>
      <c r="J457" s="19" t="n"/>
      <c r="K457" s="19" t="n"/>
      <c r="L457" s="125" t="n"/>
      <c r="M457" s="88">
        <f>IF($D457="","",IFERROR(VLOOKUP($H457,Lists!$N$2:$O$6,2,FALSE),0))</f>
        <v/>
      </c>
      <c r="N457" s="88">
        <f>IF($D457="","",IF(OR($E457="Blocked",$E457="Done",$E457="Archive"),-9999,IF(AND($E457="Waiting",SUMPRODUCT((($E$5:$E$500="Next")+($E$5:$E$500="In Progress")+($E$5:$E$500="Captured"))*($D$5:$D$500&lt;&gt;""))&gt;0),-500,VLOOKUP($F457,Lists!$L$2:$M$4,2,FALSE)+IF($E457="In Progress",10,0)+IF(AND($I457&lt;&gt;"",$I457&lt;TODAY()),25,0)+IF(AND($I457&lt;&gt;"",$I457&gt;=TODAY(),$I457&lt;=TODAY()+7),15,0)+IF($H457="",0,IF($M457&lt;=VLOOKUP(Home!$C$7,Lists!$N$2:$O$6,2,FALSE),20,-10))+IF($G457=Home!$E$7,15,IF(Home!$E$7="",0,-5))-ROW()/100000)))</f>
        <v/>
      </c>
      <c r="O457" s="88">
        <f>IF($D457="","",IF($N457&lt;=-500,"Not recommended right now",IF($E457="Waiting","Nothing else actionable right now — Waiting on: "&amp;IF($K457="","this item",$K457),MID($V457,4,9999))))</f>
        <v/>
      </c>
      <c r="P457" s="88">
        <f>IF($D457="","",IF('Task Finder'!$C$6="High Priority",AND($F457="High",$E457&lt;&gt;"Done",$E457&lt;&gt;"Archive"),IF('Task Finder'!$C$6="Due This Week",AND($I457&lt;&gt;"",$I457&gt;=TODAY(),$I457&lt;=TODAY()+7,$E457&lt;&gt;"Done"),IF('Task Finder'!$C$6="Quick Wins (15 mins or less)",AND($M457&lt;=15,$E457&lt;&gt;"Done",$E457&lt;&gt;"Blocked"),IF('Task Finder'!$C$6="Deep Thinking",AND($G457="Deep Thinking",$E457&lt;&gt;"Done"),IF('Task Finder'!$C$6="Processing",AND($G457="Processing",$E457&lt;&gt;"Done"),IF('Task Finder'!$C$6="Blocked",$E457="Blocked",IF('Task Finder'!$C$6="Waiting",$E457="Waiting",IF('Task Finder'!$C$6="Recently Updated",AND($L457&lt;&gt;"",$L457&gt;=TODAY()-7),IF('Task Finder'!$C$6="Keyword",AND('Task Finder'!$C$7&lt;&gt;"",OR(ISNUMBER(SEARCH('Task Finder'!$C$7,$A457)),ISNUMBER(SEARCH('Task Finder'!$C$7,$B457)),ISNUMBER(SEARCH('Task Finder'!$C$7,$C457)),ISNUMBER(SEARCH('Task Finder'!$C$7,$D457)),ISNUMBER(SEARCH('Task Finder'!$C$7,$K457)))),TRUE))))))))))</f>
        <v/>
      </c>
      <c r="Q457" s="150">
        <f>IF($F457="High","High Priority","")</f>
        <v/>
      </c>
      <c r="R457" s="150">
        <f>IF(AND($I457&lt;&gt;"",$I457&lt;TODAY()),"Overdue","")</f>
        <v/>
      </c>
      <c r="S457" s="150">
        <f>IF(AND($I457&lt;&gt;"",$I457&gt;=TODAY(),$I457&lt;=TODAY()+7),"Due This Week","")</f>
        <v/>
      </c>
      <c r="T457" s="150">
        <f>IF(AND($H457&lt;&gt;"",$M457&lt;=VLOOKUP(Home!$C$7,Lists!$N$2:$O$6,2,FALSE)),$H457&amp;" Task","")</f>
        <v/>
      </c>
      <c r="U457" s="150">
        <f>IF($G457=Home!$E$7,"Fits Current Energy","")</f>
        <v/>
      </c>
      <c r="V457" s="150">
        <f>IF($Q457&lt;&gt;""," • "&amp;$Q457,"")&amp;IF($R457&lt;&gt;""," • "&amp;$R457,"")&amp;IF($S457&lt;&gt;""," • "&amp;$S457,"")&amp;IF($T457&lt;&gt;""," • "&amp;$T457,"")&amp;IF($U457&lt;&gt;""," • "&amp;$U457,"")&amp;" • No Blockers"</f>
        <v/>
      </c>
    </row>
    <row r="458">
      <c r="A458" s="19" t="n"/>
      <c r="B458" s="19" t="n"/>
      <c r="C458" s="19" t="n"/>
      <c r="D458" s="19" t="n"/>
      <c r="E458" s="19" t="n"/>
      <c r="F458" s="19" t="n"/>
      <c r="G458" s="19" t="n"/>
      <c r="H458" s="19" t="n"/>
      <c r="I458" s="19" t="n"/>
      <c r="J458" s="19" t="n"/>
      <c r="K458" s="19" t="n"/>
      <c r="L458" s="125" t="n"/>
      <c r="M458" s="88">
        <f>IF($D458="","",IFERROR(VLOOKUP($H458,Lists!$N$2:$O$6,2,FALSE),0))</f>
        <v/>
      </c>
      <c r="N458" s="88">
        <f>IF($D458="","",IF(OR($E458="Blocked",$E458="Done",$E458="Archive"),-9999,IF(AND($E458="Waiting",SUMPRODUCT((($E$5:$E$500="Next")+($E$5:$E$500="In Progress")+($E$5:$E$500="Captured"))*($D$5:$D$500&lt;&gt;""))&gt;0),-500,VLOOKUP($F458,Lists!$L$2:$M$4,2,FALSE)+IF($E458="In Progress",10,0)+IF(AND($I458&lt;&gt;"",$I458&lt;TODAY()),25,0)+IF(AND($I458&lt;&gt;"",$I458&gt;=TODAY(),$I458&lt;=TODAY()+7),15,0)+IF($H458="",0,IF($M458&lt;=VLOOKUP(Home!$C$7,Lists!$N$2:$O$6,2,FALSE),20,-10))+IF($G458=Home!$E$7,15,IF(Home!$E$7="",0,-5))-ROW()/100000)))</f>
        <v/>
      </c>
      <c r="O458" s="88">
        <f>IF($D458="","",IF($N458&lt;=-500,"Not recommended right now",IF($E458="Waiting","Nothing else actionable right now — Waiting on: "&amp;IF($K458="","this item",$K458),MID($V458,4,9999))))</f>
        <v/>
      </c>
      <c r="P458" s="88">
        <f>IF($D458="","",IF('Task Finder'!$C$6="High Priority",AND($F458="High",$E458&lt;&gt;"Done",$E458&lt;&gt;"Archive"),IF('Task Finder'!$C$6="Due This Week",AND($I458&lt;&gt;"",$I458&gt;=TODAY(),$I458&lt;=TODAY()+7,$E458&lt;&gt;"Done"),IF('Task Finder'!$C$6="Quick Wins (15 mins or less)",AND($M458&lt;=15,$E458&lt;&gt;"Done",$E458&lt;&gt;"Blocked"),IF('Task Finder'!$C$6="Deep Thinking",AND($G458="Deep Thinking",$E458&lt;&gt;"Done"),IF('Task Finder'!$C$6="Processing",AND($G458="Processing",$E458&lt;&gt;"Done"),IF('Task Finder'!$C$6="Blocked",$E458="Blocked",IF('Task Finder'!$C$6="Waiting",$E458="Waiting",IF('Task Finder'!$C$6="Recently Updated",AND($L458&lt;&gt;"",$L458&gt;=TODAY()-7),IF('Task Finder'!$C$6="Keyword",AND('Task Finder'!$C$7&lt;&gt;"",OR(ISNUMBER(SEARCH('Task Finder'!$C$7,$A458)),ISNUMBER(SEARCH('Task Finder'!$C$7,$B458)),ISNUMBER(SEARCH('Task Finder'!$C$7,$C458)),ISNUMBER(SEARCH('Task Finder'!$C$7,$D458)),ISNUMBER(SEARCH('Task Finder'!$C$7,$K458)))),TRUE))))))))))</f>
        <v/>
      </c>
      <c r="Q458" s="150">
        <f>IF($F458="High","High Priority","")</f>
        <v/>
      </c>
      <c r="R458" s="150">
        <f>IF(AND($I458&lt;&gt;"",$I458&lt;TODAY()),"Overdue","")</f>
        <v/>
      </c>
      <c r="S458" s="150">
        <f>IF(AND($I458&lt;&gt;"",$I458&gt;=TODAY(),$I458&lt;=TODAY()+7),"Due This Week","")</f>
        <v/>
      </c>
      <c r="T458" s="150">
        <f>IF(AND($H458&lt;&gt;"",$M458&lt;=VLOOKUP(Home!$C$7,Lists!$N$2:$O$6,2,FALSE)),$H458&amp;" Task","")</f>
        <v/>
      </c>
      <c r="U458" s="150">
        <f>IF($G458=Home!$E$7,"Fits Current Energy","")</f>
        <v/>
      </c>
      <c r="V458" s="150">
        <f>IF($Q458&lt;&gt;""," • "&amp;$Q458,"")&amp;IF($R458&lt;&gt;""," • "&amp;$R458,"")&amp;IF($S458&lt;&gt;""," • "&amp;$S458,"")&amp;IF($T458&lt;&gt;""," • "&amp;$T458,"")&amp;IF($U458&lt;&gt;""," • "&amp;$U458,"")&amp;" • No Blockers"</f>
        <v/>
      </c>
    </row>
    <row r="459">
      <c r="A459" s="19" t="n"/>
      <c r="B459" s="19" t="n"/>
      <c r="C459" s="19" t="n"/>
      <c r="D459" s="19" t="n"/>
      <c r="E459" s="19" t="n"/>
      <c r="F459" s="19" t="n"/>
      <c r="G459" s="19" t="n"/>
      <c r="H459" s="19" t="n"/>
      <c r="I459" s="19" t="n"/>
      <c r="J459" s="19" t="n"/>
      <c r="K459" s="19" t="n"/>
      <c r="L459" s="125" t="n"/>
      <c r="M459" s="88">
        <f>IF($D459="","",IFERROR(VLOOKUP($H459,Lists!$N$2:$O$6,2,FALSE),0))</f>
        <v/>
      </c>
      <c r="N459" s="88">
        <f>IF($D459="","",IF(OR($E459="Blocked",$E459="Done",$E459="Archive"),-9999,IF(AND($E459="Waiting",SUMPRODUCT((($E$5:$E$500="Next")+($E$5:$E$500="In Progress")+($E$5:$E$500="Captured"))*($D$5:$D$500&lt;&gt;""))&gt;0),-500,VLOOKUP($F459,Lists!$L$2:$M$4,2,FALSE)+IF($E459="In Progress",10,0)+IF(AND($I459&lt;&gt;"",$I459&lt;TODAY()),25,0)+IF(AND($I459&lt;&gt;"",$I459&gt;=TODAY(),$I459&lt;=TODAY()+7),15,0)+IF($H459="",0,IF($M459&lt;=VLOOKUP(Home!$C$7,Lists!$N$2:$O$6,2,FALSE),20,-10))+IF($G459=Home!$E$7,15,IF(Home!$E$7="",0,-5))-ROW()/100000)))</f>
        <v/>
      </c>
      <c r="O459" s="88">
        <f>IF($D459="","",IF($N459&lt;=-500,"Not recommended right now",IF($E459="Waiting","Nothing else actionable right now — Waiting on: "&amp;IF($K459="","this item",$K459),MID($V459,4,9999))))</f>
        <v/>
      </c>
      <c r="P459" s="88">
        <f>IF($D459="","",IF('Task Finder'!$C$6="High Priority",AND($F459="High",$E459&lt;&gt;"Done",$E459&lt;&gt;"Archive"),IF('Task Finder'!$C$6="Due This Week",AND($I459&lt;&gt;"",$I459&gt;=TODAY(),$I459&lt;=TODAY()+7,$E459&lt;&gt;"Done"),IF('Task Finder'!$C$6="Quick Wins (15 mins or less)",AND($M459&lt;=15,$E459&lt;&gt;"Done",$E459&lt;&gt;"Blocked"),IF('Task Finder'!$C$6="Deep Thinking",AND($G459="Deep Thinking",$E459&lt;&gt;"Done"),IF('Task Finder'!$C$6="Processing",AND($G459="Processing",$E459&lt;&gt;"Done"),IF('Task Finder'!$C$6="Blocked",$E459="Blocked",IF('Task Finder'!$C$6="Waiting",$E459="Waiting",IF('Task Finder'!$C$6="Recently Updated",AND($L459&lt;&gt;"",$L459&gt;=TODAY()-7),IF('Task Finder'!$C$6="Keyword",AND('Task Finder'!$C$7&lt;&gt;"",OR(ISNUMBER(SEARCH('Task Finder'!$C$7,$A459)),ISNUMBER(SEARCH('Task Finder'!$C$7,$B459)),ISNUMBER(SEARCH('Task Finder'!$C$7,$C459)),ISNUMBER(SEARCH('Task Finder'!$C$7,$D459)),ISNUMBER(SEARCH('Task Finder'!$C$7,$K459)))),TRUE))))))))))</f>
        <v/>
      </c>
      <c r="Q459" s="150">
        <f>IF($F459="High","High Priority","")</f>
        <v/>
      </c>
      <c r="R459" s="150">
        <f>IF(AND($I459&lt;&gt;"",$I459&lt;TODAY()),"Overdue","")</f>
        <v/>
      </c>
      <c r="S459" s="150">
        <f>IF(AND($I459&lt;&gt;"",$I459&gt;=TODAY(),$I459&lt;=TODAY()+7),"Due This Week","")</f>
        <v/>
      </c>
      <c r="T459" s="150">
        <f>IF(AND($H459&lt;&gt;"",$M459&lt;=VLOOKUP(Home!$C$7,Lists!$N$2:$O$6,2,FALSE)),$H459&amp;" Task","")</f>
        <v/>
      </c>
      <c r="U459" s="150">
        <f>IF($G459=Home!$E$7,"Fits Current Energy","")</f>
        <v/>
      </c>
      <c r="V459" s="150">
        <f>IF($Q459&lt;&gt;""," • "&amp;$Q459,"")&amp;IF($R459&lt;&gt;""," • "&amp;$R459,"")&amp;IF($S459&lt;&gt;""," • "&amp;$S459,"")&amp;IF($T459&lt;&gt;""," • "&amp;$T459,"")&amp;IF($U459&lt;&gt;""," • "&amp;$U459,"")&amp;" • No Blockers"</f>
        <v/>
      </c>
    </row>
    <row r="460">
      <c r="A460" s="19" t="n"/>
      <c r="B460" s="19" t="n"/>
      <c r="C460" s="19" t="n"/>
      <c r="D460" s="19" t="n"/>
      <c r="E460" s="19" t="n"/>
      <c r="F460" s="19" t="n"/>
      <c r="G460" s="19" t="n"/>
      <c r="H460" s="19" t="n"/>
      <c r="I460" s="19" t="n"/>
      <c r="J460" s="19" t="n"/>
      <c r="K460" s="19" t="n"/>
      <c r="L460" s="125" t="n"/>
      <c r="M460" s="88">
        <f>IF($D460="","",IFERROR(VLOOKUP($H460,Lists!$N$2:$O$6,2,FALSE),0))</f>
        <v/>
      </c>
      <c r="N460" s="88">
        <f>IF($D460="","",IF(OR($E460="Blocked",$E460="Done",$E460="Archive"),-9999,IF(AND($E460="Waiting",SUMPRODUCT((($E$5:$E$500="Next")+($E$5:$E$500="In Progress")+($E$5:$E$500="Captured"))*($D$5:$D$500&lt;&gt;""))&gt;0),-500,VLOOKUP($F460,Lists!$L$2:$M$4,2,FALSE)+IF($E460="In Progress",10,0)+IF(AND($I460&lt;&gt;"",$I460&lt;TODAY()),25,0)+IF(AND($I460&lt;&gt;"",$I460&gt;=TODAY(),$I460&lt;=TODAY()+7),15,0)+IF($H460="",0,IF($M460&lt;=VLOOKUP(Home!$C$7,Lists!$N$2:$O$6,2,FALSE),20,-10))+IF($G460=Home!$E$7,15,IF(Home!$E$7="",0,-5))-ROW()/100000)))</f>
        <v/>
      </c>
      <c r="O460" s="88">
        <f>IF($D460="","",IF($N460&lt;=-500,"Not recommended right now",IF($E460="Waiting","Nothing else actionable right now — Waiting on: "&amp;IF($K460="","this item",$K460),MID($V460,4,9999))))</f>
        <v/>
      </c>
      <c r="P460" s="88">
        <f>IF($D460="","",IF('Task Finder'!$C$6="High Priority",AND($F460="High",$E460&lt;&gt;"Done",$E460&lt;&gt;"Archive"),IF('Task Finder'!$C$6="Due This Week",AND($I460&lt;&gt;"",$I460&gt;=TODAY(),$I460&lt;=TODAY()+7,$E460&lt;&gt;"Done"),IF('Task Finder'!$C$6="Quick Wins (15 mins or less)",AND($M460&lt;=15,$E460&lt;&gt;"Done",$E460&lt;&gt;"Blocked"),IF('Task Finder'!$C$6="Deep Thinking",AND($G460="Deep Thinking",$E460&lt;&gt;"Done"),IF('Task Finder'!$C$6="Processing",AND($G460="Processing",$E460&lt;&gt;"Done"),IF('Task Finder'!$C$6="Blocked",$E460="Blocked",IF('Task Finder'!$C$6="Waiting",$E460="Waiting",IF('Task Finder'!$C$6="Recently Updated",AND($L460&lt;&gt;"",$L460&gt;=TODAY()-7),IF('Task Finder'!$C$6="Keyword",AND('Task Finder'!$C$7&lt;&gt;"",OR(ISNUMBER(SEARCH('Task Finder'!$C$7,$A460)),ISNUMBER(SEARCH('Task Finder'!$C$7,$B460)),ISNUMBER(SEARCH('Task Finder'!$C$7,$C460)),ISNUMBER(SEARCH('Task Finder'!$C$7,$D460)),ISNUMBER(SEARCH('Task Finder'!$C$7,$K460)))),TRUE))))))))))</f>
        <v/>
      </c>
      <c r="Q460" s="150">
        <f>IF($F460="High","High Priority","")</f>
        <v/>
      </c>
      <c r="R460" s="150">
        <f>IF(AND($I460&lt;&gt;"",$I460&lt;TODAY()),"Overdue","")</f>
        <v/>
      </c>
      <c r="S460" s="150">
        <f>IF(AND($I460&lt;&gt;"",$I460&gt;=TODAY(),$I460&lt;=TODAY()+7),"Due This Week","")</f>
        <v/>
      </c>
      <c r="T460" s="150">
        <f>IF(AND($H460&lt;&gt;"",$M460&lt;=VLOOKUP(Home!$C$7,Lists!$N$2:$O$6,2,FALSE)),$H460&amp;" Task","")</f>
        <v/>
      </c>
      <c r="U460" s="150">
        <f>IF($G460=Home!$E$7,"Fits Current Energy","")</f>
        <v/>
      </c>
      <c r="V460" s="150">
        <f>IF($Q460&lt;&gt;""," • "&amp;$Q460,"")&amp;IF($R460&lt;&gt;""," • "&amp;$R460,"")&amp;IF($S460&lt;&gt;""," • "&amp;$S460,"")&amp;IF($T460&lt;&gt;""," • "&amp;$T460,"")&amp;IF($U460&lt;&gt;""," • "&amp;$U460,"")&amp;" • No Blockers"</f>
        <v/>
      </c>
    </row>
    <row r="461">
      <c r="A461" s="19" t="n"/>
      <c r="B461" s="19" t="n"/>
      <c r="C461" s="19" t="n"/>
      <c r="D461" s="19" t="n"/>
      <c r="E461" s="19" t="n"/>
      <c r="F461" s="19" t="n"/>
      <c r="G461" s="19" t="n"/>
      <c r="H461" s="19" t="n"/>
      <c r="I461" s="19" t="n"/>
      <c r="J461" s="19" t="n"/>
      <c r="K461" s="19" t="n"/>
      <c r="L461" s="125" t="n"/>
      <c r="M461" s="88">
        <f>IF($D461="","",IFERROR(VLOOKUP($H461,Lists!$N$2:$O$6,2,FALSE),0))</f>
        <v/>
      </c>
      <c r="N461" s="88">
        <f>IF($D461="","",IF(OR($E461="Blocked",$E461="Done",$E461="Archive"),-9999,IF(AND($E461="Waiting",SUMPRODUCT((($E$5:$E$500="Next")+($E$5:$E$500="In Progress")+($E$5:$E$500="Captured"))*($D$5:$D$500&lt;&gt;""))&gt;0),-500,VLOOKUP($F461,Lists!$L$2:$M$4,2,FALSE)+IF($E461="In Progress",10,0)+IF(AND($I461&lt;&gt;"",$I461&lt;TODAY()),25,0)+IF(AND($I461&lt;&gt;"",$I461&gt;=TODAY(),$I461&lt;=TODAY()+7),15,0)+IF($H461="",0,IF($M461&lt;=VLOOKUP(Home!$C$7,Lists!$N$2:$O$6,2,FALSE),20,-10))+IF($G461=Home!$E$7,15,IF(Home!$E$7="",0,-5))-ROW()/100000)))</f>
        <v/>
      </c>
      <c r="O461" s="88">
        <f>IF($D461="","",IF($N461&lt;=-500,"Not recommended right now",IF($E461="Waiting","Nothing else actionable right now — Waiting on: "&amp;IF($K461="","this item",$K461),MID($V461,4,9999))))</f>
        <v/>
      </c>
      <c r="P461" s="88">
        <f>IF($D461="","",IF('Task Finder'!$C$6="High Priority",AND($F461="High",$E461&lt;&gt;"Done",$E461&lt;&gt;"Archive"),IF('Task Finder'!$C$6="Due This Week",AND($I461&lt;&gt;"",$I461&gt;=TODAY(),$I461&lt;=TODAY()+7,$E461&lt;&gt;"Done"),IF('Task Finder'!$C$6="Quick Wins (15 mins or less)",AND($M461&lt;=15,$E461&lt;&gt;"Done",$E461&lt;&gt;"Blocked"),IF('Task Finder'!$C$6="Deep Thinking",AND($G461="Deep Thinking",$E461&lt;&gt;"Done"),IF('Task Finder'!$C$6="Processing",AND($G461="Processing",$E461&lt;&gt;"Done"),IF('Task Finder'!$C$6="Blocked",$E461="Blocked",IF('Task Finder'!$C$6="Waiting",$E461="Waiting",IF('Task Finder'!$C$6="Recently Updated",AND($L461&lt;&gt;"",$L461&gt;=TODAY()-7),IF('Task Finder'!$C$6="Keyword",AND('Task Finder'!$C$7&lt;&gt;"",OR(ISNUMBER(SEARCH('Task Finder'!$C$7,$A461)),ISNUMBER(SEARCH('Task Finder'!$C$7,$B461)),ISNUMBER(SEARCH('Task Finder'!$C$7,$C461)),ISNUMBER(SEARCH('Task Finder'!$C$7,$D461)),ISNUMBER(SEARCH('Task Finder'!$C$7,$K461)))),TRUE))))))))))</f>
        <v/>
      </c>
      <c r="Q461" s="150">
        <f>IF($F461="High","High Priority","")</f>
        <v/>
      </c>
      <c r="R461" s="150">
        <f>IF(AND($I461&lt;&gt;"",$I461&lt;TODAY()),"Overdue","")</f>
        <v/>
      </c>
      <c r="S461" s="150">
        <f>IF(AND($I461&lt;&gt;"",$I461&gt;=TODAY(),$I461&lt;=TODAY()+7),"Due This Week","")</f>
        <v/>
      </c>
      <c r="T461" s="150">
        <f>IF(AND($H461&lt;&gt;"",$M461&lt;=VLOOKUP(Home!$C$7,Lists!$N$2:$O$6,2,FALSE)),$H461&amp;" Task","")</f>
        <v/>
      </c>
      <c r="U461" s="150">
        <f>IF($G461=Home!$E$7,"Fits Current Energy","")</f>
        <v/>
      </c>
      <c r="V461" s="150">
        <f>IF($Q461&lt;&gt;""," • "&amp;$Q461,"")&amp;IF($R461&lt;&gt;""," • "&amp;$R461,"")&amp;IF($S461&lt;&gt;""," • "&amp;$S461,"")&amp;IF($T461&lt;&gt;""," • "&amp;$T461,"")&amp;IF($U461&lt;&gt;""," • "&amp;$U461,"")&amp;" • No Blockers"</f>
        <v/>
      </c>
    </row>
    <row r="462">
      <c r="A462" s="19" t="n"/>
      <c r="B462" s="19" t="n"/>
      <c r="C462" s="19" t="n"/>
      <c r="D462" s="19" t="n"/>
      <c r="E462" s="19" t="n"/>
      <c r="F462" s="19" t="n"/>
      <c r="G462" s="19" t="n"/>
      <c r="H462" s="19" t="n"/>
      <c r="I462" s="19" t="n"/>
      <c r="J462" s="19" t="n"/>
      <c r="K462" s="19" t="n"/>
      <c r="L462" s="125" t="n"/>
      <c r="M462" s="88">
        <f>IF($D462="","",IFERROR(VLOOKUP($H462,Lists!$N$2:$O$6,2,FALSE),0))</f>
        <v/>
      </c>
      <c r="N462" s="88">
        <f>IF($D462="","",IF(OR($E462="Blocked",$E462="Done",$E462="Archive"),-9999,IF(AND($E462="Waiting",SUMPRODUCT((($E$5:$E$500="Next")+($E$5:$E$500="In Progress")+($E$5:$E$500="Captured"))*($D$5:$D$500&lt;&gt;""))&gt;0),-500,VLOOKUP($F462,Lists!$L$2:$M$4,2,FALSE)+IF($E462="In Progress",10,0)+IF(AND($I462&lt;&gt;"",$I462&lt;TODAY()),25,0)+IF(AND($I462&lt;&gt;"",$I462&gt;=TODAY(),$I462&lt;=TODAY()+7),15,0)+IF($H462="",0,IF($M462&lt;=VLOOKUP(Home!$C$7,Lists!$N$2:$O$6,2,FALSE),20,-10))+IF($G462=Home!$E$7,15,IF(Home!$E$7="",0,-5))-ROW()/100000)))</f>
        <v/>
      </c>
      <c r="O462" s="88">
        <f>IF($D462="","",IF($N462&lt;=-500,"Not recommended right now",IF($E462="Waiting","Nothing else actionable right now — Waiting on: "&amp;IF($K462="","this item",$K462),MID($V462,4,9999))))</f>
        <v/>
      </c>
      <c r="P462" s="88">
        <f>IF($D462="","",IF('Task Finder'!$C$6="High Priority",AND($F462="High",$E462&lt;&gt;"Done",$E462&lt;&gt;"Archive"),IF('Task Finder'!$C$6="Due This Week",AND($I462&lt;&gt;"",$I462&gt;=TODAY(),$I462&lt;=TODAY()+7,$E462&lt;&gt;"Done"),IF('Task Finder'!$C$6="Quick Wins (15 mins or less)",AND($M462&lt;=15,$E462&lt;&gt;"Done",$E462&lt;&gt;"Blocked"),IF('Task Finder'!$C$6="Deep Thinking",AND($G462="Deep Thinking",$E462&lt;&gt;"Done"),IF('Task Finder'!$C$6="Processing",AND($G462="Processing",$E462&lt;&gt;"Done"),IF('Task Finder'!$C$6="Blocked",$E462="Blocked",IF('Task Finder'!$C$6="Waiting",$E462="Waiting",IF('Task Finder'!$C$6="Recently Updated",AND($L462&lt;&gt;"",$L462&gt;=TODAY()-7),IF('Task Finder'!$C$6="Keyword",AND('Task Finder'!$C$7&lt;&gt;"",OR(ISNUMBER(SEARCH('Task Finder'!$C$7,$A462)),ISNUMBER(SEARCH('Task Finder'!$C$7,$B462)),ISNUMBER(SEARCH('Task Finder'!$C$7,$C462)),ISNUMBER(SEARCH('Task Finder'!$C$7,$D462)),ISNUMBER(SEARCH('Task Finder'!$C$7,$K462)))),TRUE))))))))))</f>
        <v/>
      </c>
      <c r="Q462" s="150">
        <f>IF($F462="High","High Priority","")</f>
        <v/>
      </c>
      <c r="R462" s="150">
        <f>IF(AND($I462&lt;&gt;"",$I462&lt;TODAY()),"Overdue","")</f>
        <v/>
      </c>
      <c r="S462" s="150">
        <f>IF(AND($I462&lt;&gt;"",$I462&gt;=TODAY(),$I462&lt;=TODAY()+7),"Due This Week","")</f>
        <v/>
      </c>
      <c r="T462" s="150">
        <f>IF(AND($H462&lt;&gt;"",$M462&lt;=VLOOKUP(Home!$C$7,Lists!$N$2:$O$6,2,FALSE)),$H462&amp;" Task","")</f>
        <v/>
      </c>
      <c r="U462" s="150">
        <f>IF($G462=Home!$E$7,"Fits Current Energy","")</f>
        <v/>
      </c>
      <c r="V462" s="150">
        <f>IF($Q462&lt;&gt;""," • "&amp;$Q462,"")&amp;IF($R462&lt;&gt;""," • "&amp;$R462,"")&amp;IF($S462&lt;&gt;""," • "&amp;$S462,"")&amp;IF($T462&lt;&gt;""," • "&amp;$T462,"")&amp;IF($U462&lt;&gt;""," • "&amp;$U462,"")&amp;" • No Blockers"</f>
        <v/>
      </c>
    </row>
    <row r="463">
      <c r="A463" s="19" t="n"/>
      <c r="B463" s="19" t="n"/>
      <c r="C463" s="19" t="n"/>
      <c r="D463" s="19" t="n"/>
      <c r="E463" s="19" t="n"/>
      <c r="F463" s="19" t="n"/>
      <c r="G463" s="19" t="n"/>
      <c r="H463" s="19" t="n"/>
      <c r="I463" s="19" t="n"/>
      <c r="J463" s="19" t="n"/>
      <c r="K463" s="19" t="n"/>
      <c r="L463" s="125" t="n"/>
      <c r="M463" s="88">
        <f>IF($D463="","",IFERROR(VLOOKUP($H463,Lists!$N$2:$O$6,2,FALSE),0))</f>
        <v/>
      </c>
      <c r="N463" s="88">
        <f>IF($D463="","",IF(OR($E463="Blocked",$E463="Done",$E463="Archive"),-9999,IF(AND($E463="Waiting",SUMPRODUCT((($E$5:$E$500="Next")+($E$5:$E$500="In Progress")+($E$5:$E$500="Captured"))*($D$5:$D$500&lt;&gt;""))&gt;0),-500,VLOOKUP($F463,Lists!$L$2:$M$4,2,FALSE)+IF($E463="In Progress",10,0)+IF(AND($I463&lt;&gt;"",$I463&lt;TODAY()),25,0)+IF(AND($I463&lt;&gt;"",$I463&gt;=TODAY(),$I463&lt;=TODAY()+7),15,0)+IF($H463="",0,IF($M463&lt;=VLOOKUP(Home!$C$7,Lists!$N$2:$O$6,2,FALSE),20,-10))+IF($G463=Home!$E$7,15,IF(Home!$E$7="",0,-5))-ROW()/100000)))</f>
        <v/>
      </c>
      <c r="O463" s="88">
        <f>IF($D463="","",IF($N463&lt;=-500,"Not recommended right now",IF($E463="Waiting","Nothing else actionable right now — Waiting on: "&amp;IF($K463="","this item",$K463),MID($V463,4,9999))))</f>
        <v/>
      </c>
      <c r="P463" s="88">
        <f>IF($D463="","",IF('Task Finder'!$C$6="High Priority",AND($F463="High",$E463&lt;&gt;"Done",$E463&lt;&gt;"Archive"),IF('Task Finder'!$C$6="Due This Week",AND($I463&lt;&gt;"",$I463&gt;=TODAY(),$I463&lt;=TODAY()+7,$E463&lt;&gt;"Done"),IF('Task Finder'!$C$6="Quick Wins (15 mins or less)",AND($M463&lt;=15,$E463&lt;&gt;"Done",$E463&lt;&gt;"Blocked"),IF('Task Finder'!$C$6="Deep Thinking",AND($G463="Deep Thinking",$E463&lt;&gt;"Done"),IF('Task Finder'!$C$6="Processing",AND($G463="Processing",$E463&lt;&gt;"Done"),IF('Task Finder'!$C$6="Blocked",$E463="Blocked",IF('Task Finder'!$C$6="Waiting",$E463="Waiting",IF('Task Finder'!$C$6="Recently Updated",AND($L463&lt;&gt;"",$L463&gt;=TODAY()-7),IF('Task Finder'!$C$6="Keyword",AND('Task Finder'!$C$7&lt;&gt;"",OR(ISNUMBER(SEARCH('Task Finder'!$C$7,$A463)),ISNUMBER(SEARCH('Task Finder'!$C$7,$B463)),ISNUMBER(SEARCH('Task Finder'!$C$7,$C463)),ISNUMBER(SEARCH('Task Finder'!$C$7,$D463)),ISNUMBER(SEARCH('Task Finder'!$C$7,$K463)))),TRUE))))))))))</f>
        <v/>
      </c>
      <c r="Q463" s="150">
        <f>IF($F463="High","High Priority","")</f>
        <v/>
      </c>
      <c r="R463" s="150">
        <f>IF(AND($I463&lt;&gt;"",$I463&lt;TODAY()),"Overdue","")</f>
        <v/>
      </c>
      <c r="S463" s="150">
        <f>IF(AND($I463&lt;&gt;"",$I463&gt;=TODAY(),$I463&lt;=TODAY()+7),"Due This Week","")</f>
        <v/>
      </c>
      <c r="T463" s="150">
        <f>IF(AND($H463&lt;&gt;"",$M463&lt;=VLOOKUP(Home!$C$7,Lists!$N$2:$O$6,2,FALSE)),$H463&amp;" Task","")</f>
        <v/>
      </c>
      <c r="U463" s="150">
        <f>IF($G463=Home!$E$7,"Fits Current Energy","")</f>
        <v/>
      </c>
      <c r="V463" s="150">
        <f>IF($Q463&lt;&gt;""," • "&amp;$Q463,"")&amp;IF($R463&lt;&gt;""," • "&amp;$R463,"")&amp;IF($S463&lt;&gt;""," • "&amp;$S463,"")&amp;IF($T463&lt;&gt;""," • "&amp;$T463,"")&amp;IF($U463&lt;&gt;""," • "&amp;$U463,"")&amp;" • No Blockers"</f>
        <v/>
      </c>
    </row>
    <row r="464">
      <c r="A464" s="19" t="n"/>
      <c r="B464" s="19" t="n"/>
      <c r="C464" s="19" t="n"/>
      <c r="D464" s="19" t="n"/>
      <c r="E464" s="19" t="n"/>
      <c r="F464" s="19" t="n"/>
      <c r="G464" s="19" t="n"/>
      <c r="H464" s="19" t="n"/>
      <c r="I464" s="19" t="n"/>
      <c r="J464" s="19" t="n"/>
      <c r="K464" s="19" t="n"/>
      <c r="L464" s="125" t="n"/>
      <c r="M464" s="88">
        <f>IF($D464="","",IFERROR(VLOOKUP($H464,Lists!$N$2:$O$6,2,FALSE),0))</f>
        <v/>
      </c>
      <c r="N464" s="88">
        <f>IF($D464="","",IF(OR($E464="Blocked",$E464="Done",$E464="Archive"),-9999,IF(AND($E464="Waiting",SUMPRODUCT((($E$5:$E$500="Next")+($E$5:$E$500="In Progress")+($E$5:$E$500="Captured"))*($D$5:$D$500&lt;&gt;""))&gt;0),-500,VLOOKUP($F464,Lists!$L$2:$M$4,2,FALSE)+IF($E464="In Progress",10,0)+IF(AND($I464&lt;&gt;"",$I464&lt;TODAY()),25,0)+IF(AND($I464&lt;&gt;"",$I464&gt;=TODAY(),$I464&lt;=TODAY()+7),15,0)+IF($H464="",0,IF($M464&lt;=VLOOKUP(Home!$C$7,Lists!$N$2:$O$6,2,FALSE),20,-10))+IF($G464=Home!$E$7,15,IF(Home!$E$7="",0,-5))-ROW()/100000)))</f>
        <v/>
      </c>
      <c r="O464" s="88">
        <f>IF($D464="","",IF($N464&lt;=-500,"Not recommended right now",IF($E464="Waiting","Nothing else actionable right now — Waiting on: "&amp;IF($K464="","this item",$K464),MID($V464,4,9999))))</f>
        <v/>
      </c>
      <c r="P464" s="88">
        <f>IF($D464="","",IF('Task Finder'!$C$6="High Priority",AND($F464="High",$E464&lt;&gt;"Done",$E464&lt;&gt;"Archive"),IF('Task Finder'!$C$6="Due This Week",AND($I464&lt;&gt;"",$I464&gt;=TODAY(),$I464&lt;=TODAY()+7,$E464&lt;&gt;"Done"),IF('Task Finder'!$C$6="Quick Wins (15 mins or less)",AND($M464&lt;=15,$E464&lt;&gt;"Done",$E464&lt;&gt;"Blocked"),IF('Task Finder'!$C$6="Deep Thinking",AND($G464="Deep Thinking",$E464&lt;&gt;"Done"),IF('Task Finder'!$C$6="Processing",AND($G464="Processing",$E464&lt;&gt;"Done"),IF('Task Finder'!$C$6="Blocked",$E464="Blocked",IF('Task Finder'!$C$6="Waiting",$E464="Waiting",IF('Task Finder'!$C$6="Recently Updated",AND($L464&lt;&gt;"",$L464&gt;=TODAY()-7),IF('Task Finder'!$C$6="Keyword",AND('Task Finder'!$C$7&lt;&gt;"",OR(ISNUMBER(SEARCH('Task Finder'!$C$7,$A464)),ISNUMBER(SEARCH('Task Finder'!$C$7,$B464)),ISNUMBER(SEARCH('Task Finder'!$C$7,$C464)),ISNUMBER(SEARCH('Task Finder'!$C$7,$D464)),ISNUMBER(SEARCH('Task Finder'!$C$7,$K464)))),TRUE))))))))))</f>
        <v/>
      </c>
      <c r="Q464" s="150">
        <f>IF($F464="High","High Priority","")</f>
        <v/>
      </c>
      <c r="R464" s="150">
        <f>IF(AND($I464&lt;&gt;"",$I464&lt;TODAY()),"Overdue","")</f>
        <v/>
      </c>
      <c r="S464" s="150">
        <f>IF(AND($I464&lt;&gt;"",$I464&gt;=TODAY(),$I464&lt;=TODAY()+7),"Due This Week","")</f>
        <v/>
      </c>
      <c r="T464" s="150">
        <f>IF(AND($H464&lt;&gt;"",$M464&lt;=VLOOKUP(Home!$C$7,Lists!$N$2:$O$6,2,FALSE)),$H464&amp;" Task","")</f>
        <v/>
      </c>
      <c r="U464" s="150">
        <f>IF($G464=Home!$E$7,"Fits Current Energy","")</f>
        <v/>
      </c>
      <c r="V464" s="150">
        <f>IF($Q464&lt;&gt;""," • "&amp;$Q464,"")&amp;IF($R464&lt;&gt;""," • "&amp;$R464,"")&amp;IF($S464&lt;&gt;""," • "&amp;$S464,"")&amp;IF($T464&lt;&gt;""," • "&amp;$T464,"")&amp;IF($U464&lt;&gt;""," • "&amp;$U464,"")&amp;" • No Blockers"</f>
        <v/>
      </c>
    </row>
    <row r="465">
      <c r="A465" s="19" t="n"/>
      <c r="B465" s="19" t="n"/>
      <c r="C465" s="19" t="n"/>
      <c r="D465" s="19" t="n"/>
      <c r="E465" s="19" t="n"/>
      <c r="F465" s="19" t="n"/>
      <c r="G465" s="19" t="n"/>
      <c r="H465" s="19" t="n"/>
      <c r="I465" s="19" t="n"/>
      <c r="J465" s="19" t="n"/>
      <c r="K465" s="19" t="n"/>
      <c r="L465" s="125" t="n"/>
      <c r="M465" s="88">
        <f>IF($D465="","",IFERROR(VLOOKUP($H465,Lists!$N$2:$O$6,2,FALSE),0))</f>
        <v/>
      </c>
      <c r="N465" s="88">
        <f>IF($D465="","",IF(OR($E465="Blocked",$E465="Done",$E465="Archive"),-9999,IF(AND($E465="Waiting",SUMPRODUCT((($E$5:$E$500="Next")+($E$5:$E$500="In Progress")+($E$5:$E$500="Captured"))*($D$5:$D$500&lt;&gt;""))&gt;0),-500,VLOOKUP($F465,Lists!$L$2:$M$4,2,FALSE)+IF($E465="In Progress",10,0)+IF(AND($I465&lt;&gt;"",$I465&lt;TODAY()),25,0)+IF(AND($I465&lt;&gt;"",$I465&gt;=TODAY(),$I465&lt;=TODAY()+7),15,0)+IF($H465="",0,IF($M465&lt;=VLOOKUP(Home!$C$7,Lists!$N$2:$O$6,2,FALSE),20,-10))+IF($G465=Home!$E$7,15,IF(Home!$E$7="",0,-5))-ROW()/100000)))</f>
        <v/>
      </c>
      <c r="O465" s="88">
        <f>IF($D465="","",IF($N465&lt;=-500,"Not recommended right now",IF($E465="Waiting","Nothing else actionable right now — Waiting on: "&amp;IF($K465="","this item",$K465),MID($V465,4,9999))))</f>
        <v/>
      </c>
      <c r="P465" s="88">
        <f>IF($D465="","",IF('Task Finder'!$C$6="High Priority",AND($F465="High",$E465&lt;&gt;"Done",$E465&lt;&gt;"Archive"),IF('Task Finder'!$C$6="Due This Week",AND($I465&lt;&gt;"",$I465&gt;=TODAY(),$I465&lt;=TODAY()+7,$E465&lt;&gt;"Done"),IF('Task Finder'!$C$6="Quick Wins (15 mins or less)",AND($M465&lt;=15,$E465&lt;&gt;"Done",$E465&lt;&gt;"Blocked"),IF('Task Finder'!$C$6="Deep Thinking",AND($G465="Deep Thinking",$E465&lt;&gt;"Done"),IF('Task Finder'!$C$6="Processing",AND($G465="Processing",$E465&lt;&gt;"Done"),IF('Task Finder'!$C$6="Blocked",$E465="Blocked",IF('Task Finder'!$C$6="Waiting",$E465="Waiting",IF('Task Finder'!$C$6="Recently Updated",AND($L465&lt;&gt;"",$L465&gt;=TODAY()-7),IF('Task Finder'!$C$6="Keyword",AND('Task Finder'!$C$7&lt;&gt;"",OR(ISNUMBER(SEARCH('Task Finder'!$C$7,$A465)),ISNUMBER(SEARCH('Task Finder'!$C$7,$B465)),ISNUMBER(SEARCH('Task Finder'!$C$7,$C465)),ISNUMBER(SEARCH('Task Finder'!$C$7,$D465)),ISNUMBER(SEARCH('Task Finder'!$C$7,$K465)))),TRUE))))))))))</f>
        <v/>
      </c>
      <c r="Q465" s="150">
        <f>IF($F465="High","High Priority","")</f>
        <v/>
      </c>
      <c r="R465" s="150">
        <f>IF(AND($I465&lt;&gt;"",$I465&lt;TODAY()),"Overdue","")</f>
        <v/>
      </c>
      <c r="S465" s="150">
        <f>IF(AND($I465&lt;&gt;"",$I465&gt;=TODAY(),$I465&lt;=TODAY()+7),"Due This Week","")</f>
        <v/>
      </c>
      <c r="T465" s="150">
        <f>IF(AND($H465&lt;&gt;"",$M465&lt;=VLOOKUP(Home!$C$7,Lists!$N$2:$O$6,2,FALSE)),$H465&amp;" Task","")</f>
        <v/>
      </c>
      <c r="U465" s="150">
        <f>IF($G465=Home!$E$7,"Fits Current Energy","")</f>
        <v/>
      </c>
      <c r="V465" s="150">
        <f>IF($Q465&lt;&gt;""," • "&amp;$Q465,"")&amp;IF($R465&lt;&gt;""," • "&amp;$R465,"")&amp;IF($S465&lt;&gt;""," • "&amp;$S465,"")&amp;IF($T465&lt;&gt;""," • "&amp;$T465,"")&amp;IF($U465&lt;&gt;""," • "&amp;$U465,"")&amp;" • No Blockers"</f>
        <v/>
      </c>
    </row>
    <row r="466">
      <c r="A466" s="19" t="n"/>
      <c r="B466" s="19" t="n"/>
      <c r="C466" s="19" t="n"/>
      <c r="D466" s="19" t="n"/>
      <c r="E466" s="19" t="n"/>
      <c r="F466" s="19" t="n"/>
      <c r="G466" s="19" t="n"/>
      <c r="H466" s="19" t="n"/>
      <c r="I466" s="19" t="n"/>
      <c r="J466" s="19" t="n"/>
      <c r="K466" s="19" t="n"/>
      <c r="L466" s="125" t="n"/>
      <c r="M466" s="88">
        <f>IF($D466="","",IFERROR(VLOOKUP($H466,Lists!$N$2:$O$6,2,FALSE),0))</f>
        <v/>
      </c>
      <c r="N466" s="88">
        <f>IF($D466="","",IF(OR($E466="Blocked",$E466="Done",$E466="Archive"),-9999,IF(AND($E466="Waiting",SUMPRODUCT((($E$5:$E$500="Next")+($E$5:$E$500="In Progress")+($E$5:$E$500="Captured"))*($D$5:$D$500&lt;&gt;""))&gt;0),-500,VLOOKUP($F466,Lists!$L$2:$M$4,2,FALSE)+IF($E466="In Progress",10,0)+IF(AND($I466&lt;&gt;"",$I466&lt;TODAY()),25,0)+IF(AND($I466&lt;&gt;"",$I466&gt;=TODAY(),$I466&lt;=TODAY()+7),15,0)+IF($H466="",0,IF($M466&lt;=VLOOKUP(Home!$C$7,Lists!$N$2:$O$6,2,FALSE),20,-10))+IF($G466=Home!$E$7,15,IF(Home!$E$7="",0,-5))-ROW()/100000)))</f>
        <v/>
      </c>
      <c r="O466" s="88">
        <f>IF($D466="","",IF($N466&lt;=-500,"Not recommended right now",IF($E466="Waiting","Nothing else actionable right now — Waiting on: "&amp;IF($K466="","this item",$K466),MID($V466,4,9999))))</f>
        <v/>
      </c>
      <c r="P466" s="88">
        <f>IF($D466="","",IF('Task Finder'!$C$6="High Priority",AND($F466="High",$E466&lt;&gt;"Done",$E466&lt;&gt;"Archive"),IF('Task Finder'!$C$6="Due This Week",AND($I466&lt;&gt;"",$I466&gt;=TODAY(),$I466&lt;=TODAY()+7,$E466&lt;&gt;"Done"),IF('Task Finder'!$C$6="Quick Wins (15 mins or less)",AND($M466&lt;=15,$E466&lt;&gt;"Done",$E466&lt;&gt;"Blocked"),IF('Task Finder'!$C$6="Deep Thinking",AND($G466="Deep Thinking",$E466&lt;&gt;"Done"),IF('Task Finder'!$C$6="Processing",AND($G466="Processing",$E466&lt;&gt;"Done"),IF('Task Finder'!$C$6="Blocked",$E466="Blocked",IF('Task Finder'!$C$6="Waiting",$E466="Waiting",IF('Task Finder'!$C$6="Recently Updated",AND($L466&lt;&gt;"",$L466&gt;=TODAY()-7),IF('Task Finder'!$C$6="Keyword",AND('Task Finder'!$C$7&lt;&gt;"",OR(ISNUMBER(SEARCH('Task Finder'!$C$7,$A466)),ISNUMBER(SEARCH('Task Finder'!$C$7,$B466)),ISNUMBER(SEARCH('Task Finder'!$C$7,$C466)),ISNUMBER(SEARCH('Task Finder'!$C$7,$D466)),ISNUMBER(SEARCH('Task Finder'!$C$7,$K466)))),TRUE))))))))))</f>
        <v/>
      </c>
      <c r="Q466" s="150">
        <f>IF($F466="High","High Priority","")</f>
        <v/>
      </c>
      <c r="R466" s="150">
        <f>IF(AND($I466&lt;&gt;"",$I466&lt;TODAY()),"Overdue","")</f>
        <v/>
      </c>
      <c r="S466" s="150">
        <f>IF(AND($I466&lt;&gt;"",$I466&gt;=TODAY(),$I466&lt;=TODAY()+7),"Due This Week","")</f>
        <v/>
      </c>
      <c r="T466" s="150">
        <f>IF(AND($H466&lt;&gt;"",$M466&lt;=VLOOKUP(Home!$C$7,Lists!$N$2:$O$6,2,FALSE)),$H466&amp;" Task","")</f>
        <v/>
      </c>
      <c r="U466" s="150">
        <f>IF($G466=Home!$E$7,"Fits Current Energy","")</f>
        <v/>
      </c>
      <c r="V466" s="150">
        <f>IF($Q466&lt;&gt;""," • "&amp;$Q466,"")&amp;IF($R466&lt;&gt;""," • "&amp;$R466,"")&amp;IF($S466&lt;&gt;""," • "&amp;$S466,"")&amp;IF($T466&lt;&gt;""," • "&amp;$T466,"")&amp;IF($U466&lt;&gt;""," • "&amp;$U466,"")&amp;" • No Blockers"</f>
        <v/>
      </c>
    </row>
    <row r="467">
      <c r="A467" s="19" t="n"/>
      <c r="B467" s="19" t="n"/>
      <c r="C467" s="19" t="n"/>
      <c r="D467" s="19" t="n"/>
      <c r="E467" s="19" t="n"/>
      <c r="F467" s="19" t="n"/>
      <c r="G467" s="19" t="n"/>
      <c r="H467" s="19" t="n"/>
      <c r="I467" s="19" t="n"/>
      <c r="J467" s="19" t="n"/>
      <c r="K467" s="19" t="n"/>
      <c r="L467" s="125" t="n"/>
      <c r="M467" s="88">
        <f>IF($D467="","",IFERROR(VLOOKUP($H467,Lists!$N$2:$O$6,2,FALSE),0))</f>
        <v/>
      </c>
      <c r="N467" s="88">
        <f>IF($D467="","",IF(OR($E467="Blocked",$E467="Done",$E467="Archive"),-9999,IF(AND($E467="Waiting",SUMPRODUCT((($E$5:$E$500="Next")+($E$5:$E$500="In Progress")+($E$5:$E$500="Captured"))*($D$5:$D$500&lt;&gt;""))&gt;0),-500,VLOOKUP($F467,Lists!$L$2:$M$4,2,FALSE)+IF($E467="In Progress",10,0)+IF(AND($I467&lt;&gt;"",$I467&lt;TODAY()),25,0)+IF(AND($I467&lt;&gt;"",$I467&gt;=TODAY(),$I467&lt;=TODAY()+7),15,0)+IF($H467="",0,IF($M467&lt;=VLOOKUP(Home!$C$7,Lists!$N$2:$O$6,2,FALSE),20,-10))+IF($G467=Home!$E$7,15,IF(Home!$E$7="",0,-5))-ROW()/100000)))</f>
        <v/>
      </c>
      <c r="O467" s="88">
        <f>IF($D467="","",IF($N467&lt;=-500,"Not recommended right now",IF($E467="Waiting","Nothing else actionable right now — Waiting on: "&amp;IF($K467="","this item",$K467),MID($V467,4,9999))))</f>
        <v/>
      </c>
      <c r="P467" s="88">
        <f>IF($D467="","",IF('Task Finder'!$C$6="High Priority",AND($F467="High",$E467&lt;&gt;"Done",$E467&lt;&gt;"Archive"),IF('Task Finder'!$C$6="Due This Week",AND($I467&lt;&gt;"",$I467&gt;=TODAY(),$I467&lt;=TODAY()+7,$E467&lt;&gt;"Done"),IF('Task Finder'!$C$6="Quick Wins (15 mins or less)",AND($M467&lt;=15,$E467&lt;&gt;"Done",$E467&lt;&gt;"Blocked"),IF('Task Finder'!$C$6="Deep Thinking",AND($G467="Deep Thinking",$E467&lt;&gt;"Done"),IF('Task Finder'!$C$6="Processing",AND($G467="Processing",$E467&lt;&gt;"Done"),IF('Task Finder'!$C$6="Blocked",$E467="Blocked",IF('Task Finder'!$C$6="Waiting",$E467="Waiting",IF('Task Finder'!$C$6="Recently Updated",AND($L467&lt;&gt;"",$L467&gt;=TODAY()-7),IF('Task Finder'!$C$6="Keyword",AND('Task Finder'!$C$7&lt;&gt;"",OR(ISNUMBER(SEARCH('Task Finder'!$C$7,$A467)),ISNUMBER(SEARCH('Task Finder'!$C$7,$B467)),ISNUMBER(SEARCH('Task Finder'!$C$7,$C467)),ISNUMBER(SEARCH('Task Finder'!$C$7,$D467)),ISNUMBER(SEARCH('Task Finder'!$C$7,$K467)))),TRUE))))))))))</f>
        <v/>
      </c>
      <c r="Q467" s="150">
        <f>IF($F467="High","High Priority","")</f>
        <v/>
      </c>
      <c r="R467" s="150">
        <f>IF(AND($I467&lt;&gt;"",$I467&lt;TODAY()),"Overdue","")</f>
        <v/>
      </c>
      <c r="S467" s="150">
        <f>IF(AND($I467&lt;&gt;"",$I467&gt;=TODAY(),$I467&lt;=TODAY()+7),"Due This Week","")</f>
        <v/>
      </c>
      <c r="T467" s="150">
        <f>IF(AND($H467&lt;&gt;"",$M467&lt;=VLOOKUP(Home!$C$7,Lists!$N$2:$O$6,2,FALSE)),$H467&amp;" Task","")</f>
        <v/>
      </c>
      <c r="U467" s="150">
        <f>IF($G467=Home!$E$7,"Fits Current Energy","")</f>
        <v/>
      </c>
      <c r="V467" s="150">
        <f>IF($Q467&lt;&gt;""," • "&amp;$Q467,"")&amp;IF($R467&lt;&gt;""," • "&amp;$R467,"")&amp;IF($S467&lt;&gt;""," • "&amp;$S467,"")&amp;IF($T467&lt;&gt;""," • "&amp;$T467,"")&amp;IF($U467&lt;&gt;""," • "&amp;$U467,"")&amp;" • No Blockers"</f>
        <v/>
      </c>
    </row>
    <row r="468">
      <c r="A468" s="19" t="n"/>
      <c r="B468" s="19" t="n"/>
      <c r="C468" s="19" t="n"/>
      <c r="D468" s="19" t="n"/>
      <c r="E468" s="19" t="n"/>
      <c r="F468" s="19" t="n"/>
      <c r="G468" s="19" t="n"/>
      <c r="H468" s="19" t="n"/>
      <c r="I468" s="19" t="n"/>
      <c r="J468" s="19" t="n"/>
      <c r="K468" s="19" t="n"/>
      <c r="L468" s="125" t="n"/>
      <c r="M468" s="88">
        <f>IF($D468="","",IFERROR(VLOOKUP($H468,Lists!$N$2:$O$6,2,FALSE),0))</f>
        <v/>
      </c>
      <c r="N468" s="88">
        <f>IF($D468="","",IF(OR($E468="Blocked",$E468="Done",$E468="Archive"),-9999,IF(AND($E468="Waiting",SUMPRODUCT((($E$5:$E$500="Next")+($E$5:$E$500="In Progress")+($E$5:$E$500="Captured"))*($D$5:$D$500&lt;&gt;""))&gt;0),-500,VLOOKUP($F468,Lists!$L$2:$M$4,2,FALSE)+IF($E468="In Progress",10,0)+IF(AND($I468&lt;&gt;"",$I468&lt;TODAY()),25,0)+IF(AND($I468&lt;&gt;"",$I468&gt;=TODAY(),$I468&lt;=TODAY()+7),15,0)+IF($H468="",0,IF($M468&lt;=VLOOKUP(Home!$C$7,Lists!$N$2:$O$6,2,FALSE),20,-10))+IF($G468=Home!$E$7,15,IF(Home!$E$7="",0,-5))-ROW()/100000)))</f>
        <v/>
      </c>
      <c r="O468" s="88">
        <f>IF($D468="","",IF($N468&lt;=-500,"Not recommended right now",IF($E468="Waiting","Nothing else actionable right now — Waiting on: "&amp;IF($K468="","this item",$K468),MID($V468,4,9999))))</f>
        <v/>
      </c>
      <c r="P468" s="88">
        <f>IF($D468="","",IF('Task Finder'!$C$6="High Priority",AND($F468="High",$E468&lt;&gt;"Done",$E468&lt;&gt;"Archive"),IF('Task Finder'!$C$6="Due This Week",AND($I468&lt;&gt;"",$I468&gt;=TODAY(),$I468&lt;=TODAY()+7,$E468&lt;&gt;"Done"),IF('Task Finder'!$C$6="Quick Wins (15 mins or less)",AND($M468&lt;=15,$E468&lt;&gt;"Done",$E468&lt;&gt;"Blocked"),IF('Task Finder'!$C$6="Deep Thinking",AND($G468="Deep Thinking",$E468&lt;&gt;"Done"),IF('Task Finder'!$C$6="Processing",AND($G468="Processing",$E468&lt;&gt;"Done"),IF('Task Finder'!$C$6="Blocked",$E468="Blocked",IF('Task Finder'!$C$6="Waiting",$E468="Waiting",IF('Task Finder'!$C$6="Recently Updated",AND($L468&lt;&gt;"",$L468&gt;=TODAY()-7),IF('Task Finder'!$C$6="Keyword",AND('Task Finder'!$C$7&lt;&gt;"",OR(ISNUMBER(SEARCH('Task Finder'!$C$7,$A468)),ISNUMBER(SEARCH('Task Finder'!$C$7,$B468)),ISNUMBER(SEARCH('Task Finder'!$C$7,$C468)),ISNUMBER(SEARCH('Task Finder'!$C$7,$D468)),ISNUMBER(SEARCH('Task Finder'!$C$7,$K468)))),TRUE))))))))))</f>
        <v/>
      </c>
      <c r="Q468" s="150">
        <f>IF($F468="High","High Priority","")</f>
        <v/>
      </c>
      <c r="R468" s="150">
        <f>IF(AND($I468&lt;&gt;"",$I468&lt;TODAY()),"Overdue","")</f>
        <v/>
      </c>
      <c r="S468" s="150">
        <f>IF(AND($I468&lt;&gt;"",$I468&gt;=TODAY(),$I468&lt;=TODAY()+7),"Due This Week","")</f>
        <v/>
      </c>
      <c r="T468" s="150">
        <f>IF(AND($H468&lt;&gt;"",$M468&lt;=VLOOKUP(Home!$C$7,Lists!$N$2:$O$6,2,FALSE)),$H468&amp;" Task","")</f>
        <v/>
      </c>
      <c r="U468" s="150">
        <f>IF($G468=Home!$E$7,"Fits Current Energy","")</f>
        <v/>
      </c>
      <c r="V468" s="150">
        <f>IF($Q468&lt;&gt;""," • "&amp;$Q468,"")&amp;IF($R468&lt;&gt;""," • "&amp;$R468,"")&amp;IF($S468&lt;&gt;""," • "&amp;$S468,"")&amp;IF($T468&lt;&gt;""," • "&amp;$T468,"")&amp;IF($U468&lt;&gt;""," • "&amp;$U468,"")&amp;" • No Blockers"</f>
        <v/>
      </c>
    </row>
    <row r="469">
      <c r="A469" s="19" t="n"/>
      <c r="B469" s="19" t="n"/>
      <c r="C469" s="19" t="n"/>
      <c r="D469" s="19" t="n"/>
      <c r="E469" s="19" t="n"/>
      <c r="F469" s="19" t="n"/>
      <c r="G469" s="19" t="n"/>
      <c r="H469" s="19" t="n"/>
      <c r="I469" s="19" t="n"/>
      <c r="J469" s="19" t="n"/>
      <c r="K469" s="19" t="n"/>
      <c r="L469" s="125" t="n"/>
      <c r="M469" s="88">
        <f>IF($D469="","",IFERROR(VLOOKUP($H469,Lists!$N$2:$O$6,2,FALSE),0))</f>
        <v/>
      </c>
      <c r="N469" s="88">
        <f>IF($D469="","",IF(OR($E469="Blocked",$E469="Done",$E469="Archive"),-9999,IF(AND($E469="Waiting",SUMPRODUCT((($E$5:$E$500="Next")+($E$5:$E$500="In Progress")+($E$5:$E$500="Captured"))*($D$5:$D$500&lt;&gt;""))&gt;0),-500,VLOOKUP($F469,Lists!$L$2:$M$4,2,FALSE)+IF($E469="In Progress",10,0)+IF(AND($I469&lt;&gt;"",$I469&lt;TODAY()),25,0)+IF(AND($I469&lt;&gt;"",$I469&gt;=TODAY(),$I469&lt;=TODAY()+7),15,0)+IF($H469="",0,IF($M469&lt;=VLOOKUP(Home!$C$7,Lists!$N$2:$O$6,2,FALSE),20,-10))+IF($G469=Home!$E$7,15,IF(Home!$E$7="",0,-5))-ROW()/100000)))</f>
        <v/>
      </c>
      <c r="O469" s="88">
        <f>IF($D469="","",IF($N469&lt;=-500,"Not recommended right now",IF($E469="Waiting","Nothing else actionable right now — Waiting on: "&amp;IF($K469="","this item",$K469),MID($V469,4,9999))))</f>
        <v/>
      </c>
      <c r="P469" s="88">
        <f>IF($D469="","",IF('Task Finder'!$C$6="High Priority",AND($F469="High",$E469&lt;&gt;"Done",$E469&lt;&gt;"Archive"),IF('Task Finder'!$C$6="Due This Week",AND($I469&lt;&gt;"",$I469&gt;=TODAY(),$I469&lt;=TODAY()+7,$E469&lt;&gt;"Done"),IF('Task Finder'!$C$6="Quick Wins (15 mins or less)",AND($M469&lt;=15,$E469&lt;&gt;"Done",$E469&lt;&gt;"Blocked"),IF('Task Finder'!$C$6="Deep Thinking",AND($G469="Deep Thinking",$E469&lt;&gt;"Done"),IF('Task Finder'!$C$6="Processing",AND($G469="Processing",$E469&lt;&gt;"Done"),IF('Task Finder'!$C$6="Blocked",$E469="Blocked",IF('Task Finder'!$C$6="Waiting",$E469="Waiting",IF('Task Finder'!$C$6="Recently Updated",AND($L469&lt;&gt;"",$L469&gt;=TODAY()-7),IF('Task Finder'!$C$6="Keyword",AND('Task Finder'!$C$7&lt;&gt;"",OR(ISNUMBER(SEARCH('Task Finder'!$C$7,$A469)),ISNUMBER(SEARCH('Task Finder'!$C$7,$B469)),ISNUMBER(SEARCH('Task Finder'!$C$7,$C469)),ISNUMBER(SEARCH('Task Finder'!$C$7,$D469)),ISNUMBER(SEARCH('Task Finder'!$C$7,$K469)))),TRUE))))))))))</f>
        <v/>
      </c>
      <c r="Q469" s="150">
        <f>IF($F469="High","High Priority","")</f>
        <v/>
      </c>
      <c r="R469" s="150">
        <f>IF(AND($I469&lt;&gt;"",$I469&lt;TODAY()),"Overdue","")</f>
        <v/>
      </c>
      <c r="S469" s="150">
        <f>IF(AND($I469&lt;&gt;"",$I469&gt;=TODAY(),$I469&lt;=TODAY()+7),"Due This Week","")</f>
        <v/>
      </c>
      <c r="T469" s="150">
        <f>IF(AND($H469&lt;&gt;"",$M469&lt;=VLOOKUP(Home!$C$7,Lists!$N$2:$O$6,2,FALSE)),$H469&amp;" Task","")</f>
        <v/>
      </c>
      <c r="U469" s="150">
        <f>IF($G469=Home!$E$7,"Fits Current Energy","")</f>
        <v/>
      </c>
      <c r="V469" s="150">
        <f>IF($Q469&lt;&gt;""," • "&amp;$Q469,"")&amp;IF($R469&lt;&gt;""," • "&amp;$R469,"")&amp;IF($S469&lt;&gt;""," • "&amp;$S469,"")&amp;IF($T469&lt;&gt;""," • "&amp;$T469,"")&amp;IF($U469&lt;&gt;""," • "&amp;$U469,"")&amp;" • No Blockers"</f>
        <v/>
      </c>
    </row>
    <row r="470">
      <c r="A470" s="19" t="n"/>
      <c r="B470" s="19" t="n"/>
      <c r="C470" s="19" t="n"/>
      <c r="D470" s="19" t="n"/>
      <c r="E470" s="19" t="n"/>
      <c r="F470" s="19" t="n"/>
      <c r="G470" s="19" t="n"/>
      <c r="H470" s="19" t="n"/>
      <c r="I470" s="19" t="n"/>
      <c r="J470" s="19" t="n"/>
      <c r="K470" s="19" t="n"/>
      <c r="L470" s="125" t="n"/>
      <c r="M470" s="88">
        <f>IF($D470="","",IFERROR(VLOOKUP($H470,Lists!$N$2:$O$6,2,FALSE),0))</f>
        <v/>
      </c>
      <c r="N470" s="88">
        <f>IF($D470="","",IF(OR($E470="Blocked",$E470="Done",$E470="Archive"),-9999,IF(AND($E470="Waiting",SUMPRODUCT((($E$5:$E$500="Next")+($E$5:$E$500="In Progress")+($E$5:$E$500="Captured"))*($D$5:$D$500&lt;&gt;""))&gt;0),-500,VLOOKUP($F470,Lists!$L$2:$M$4,2,FALSE)+IF($E470="In Progress",10,0)+IF(AND($I470&lt;&gt;"",$I470&lt;TODAY()),25,0)+IF(AND($I470&lt;&gt;"",$I470&gt;=TODAY(),$I470&lt;=TODAY()+7),15,0)+IF($H470="",0,IF($M470&lt;=VLOOKUP(Home!$C$7,Lists!$N$2:$O$6,2,FALSE),20,-10))+IF($G470=Home!$E$7,15,IF(Home!$E$7="",0,-5))-ROW()/100000)))</f>
        <v/>
      </c>
      <c r="O470" s="88">
        <f>IF($D470="","",IF($N470&lt;=-500,"Not recommended right now",IF($E470="Waiting","Nothing else actionable right now — Waiting on: "&amp;IF($K470="","this item",$K470),MID($V470,4,9999))))</f>
        <v/>
      </c>
      <c r="P470" s="88">
        <f>IF($D470="","",IF('Task Finder'!$C$6="High Priority",AND($F470="High",$E470&lt;&gt;"Done",$E470&lt;&gt;"Archive"),IF('Task Finder'!$C$6="Due This Week",AND($I470&lt;&gt;"",$I470&gt;=TODAY(),$I470&lt;=TODAY()+7,$E470&lt;&gt;"Done"),IF('Task Finder'!$C$6="Quick Wins (15 mins or less)",AND($M470&lt;=15,$E470&lt;&gt;"Done",$E470&lt;&gt;"Blocked"),IF('Task Finder'!$C$6="Deep Thinking",AND($G470="Deep Thinking",$E470&lt;&gt;"Done"),IF('Task Finder'!$C$6="Processing",AND($G470="Processing",$E470&lt;&gt;"Done"),IF('Task Finder'!$C$6="Blocked",$E470="Blocked",IF('Task Finder'!$C$6="Waiting",$E470="Waiting",IF('Task Finder'!$C$6="Recently Updated",AND($L470&lt;&gt;"",$L470&gt;=TODAY()-7),IF('Task Finder'!$C$6="Keyword",AND('Task Finder'!$C$7&lt;&gt;"",OR(ISNUMBER(SEARCH('Task Finder'!$C$7,$A470)),ISNUMBER(SEARCH('Task Finder'!$C$7,$B470)),ISNUMBER(SEARCH('Task Finder'!$C$7,$C470)),ISNUMBER(SEARCH('Task Finder'!$C$7,$D470)),ISNUMBER(SEARCH('Task Finder'!$C$7,$K470)))),TRUE))))))))))</f>
        <v/>
      </c>
      <c r="Q470" s="150">
        <f>IF($F470="High","High Priority","")</f>
        <v/>
      </c>
      <c r="R470" s="150">
        <f>IF(AND($I470&lt;&gt;"",$I470&lt;TODAY()),"Overdue","")</f>
        <v/>
      </c>
      <c r="S470" s="150">
        <f>IF(AND($I470&lt;&gt;"",$I470&gt;=TODAY(),$I470&lt;=TODAY()+7),"Due This Week","")</f>
        <v/>
      </c>
      <c r="T470" s="150">
        <f>IF(AND($H470&lt;&gt;"",$M470&lt;=VLOOKUP(Home!$C$7,Lists!$N$2:$O$6,2,FALSE)),$H470&amp;" Task","")</f>
        <v/>
      </c>
      <c r="U470" s="150">
        <f>IF($G470=Home!$E$7,"Fits Current Energy","")</f>
        <v/>
      </c>
      <c r="V470" s="150">
        <f>IF($Q470&lt;&gt;""," • "&amp;$Q470,"")&amp;IF($R470&lt;&gt;""," • "&amp;$R470,"")&amp;IF($S470&lt;&gt;""," • "&amp;$S470,"")&amp;IF($T470&lt;&gt;""," • "&amp;$T470,"")&amp;IF($U470&lt;&gt;""," • "&amp;$U470,"")&amp;" • No Blockers"</f>
        <v/>
      </c>
    </row>
    <row r="471">
      <c r="A471" s="19" t="n"/>
      <c r="B471" s="19" t="n"/>
      <c r="C471" s="19" t="n"/>
      <c r="D471" s="19" t="n"/>
      <c r="E471" s="19" t="n"/>
      <c r="F471" s="19" t="n"/>
      <c r="G471" s="19" t="n"/>
      <c r="H471" s="19" t="n"/>
      <c r="I471" s="19" t="n"/>
      <c r="J471" s="19" t="n"/>
      <c r="K471" s="19" t="n"/>
      <c r="L471" s="125" t="n"/>
      <c r="M471" s="88">
        <f>IF($D471="","",IFERROR(VLOOKUP($H471,Lists!$N$2:$O$6,2,FALSE),0))</f>
        <v/>
      </c>
      <c r="N471" s="88">
        <f>IF($D471="","",IF(OR($E471="Blocked",$E471="Done",$E471="Archive"),-9999,IF(AND($E471="Waiting",SUMPRODUCT((($E$5:$E$500="Next")+($E$5:$E$500="In Progress")+($E$5:$E$500="Captured"))*($D$5:$D$500&lt;&gt;""))&gt;0),-500,VLOOKUP($F471,Lists!$L$2:$M$4,2,FALSE)+IF($E471="In Progress",10,0)+IF(AND($I471&lt;&gt;"",$I471&lt;TODAY()),25,0)+IF(AND($I471&lt;&gt;"",$I471&gt;=TODAY(),$I471&lt;=TODAY()+7),15,0)+IF($H471="",0,IF($M471&lt;=VLOOKUP(Home!$C$7,Lists!$N$2:$O$6,2,FALSE),20,-10))+IF($G471=Home!$E$7,15,IF(Home!$E$7="",0,-5))-ROW()/100000)))</f>
        <v/>
      </c>
      <c r="O471" s="88">
        <f>IF($D471="","",IF($N471&lt;=-500,"Not recommended right now",IF($E471="Waiting","Nothing else actionable right now — Waiting on: "&amp;IF($K471="","this item",$K471),MID($V471,4,9999))))</f>
        <v/>
      </c>
      <c r="P471" s="88">
        <f>IF($D471="","",IF('Task Finder'!$C$6="High Priority",AND($F471="High",$E471&lt;&gt;"Done",$E471&lt;&gt;"Archive"),IF('Task Finder'!$C$6="Due This Week",AND($I471&lt;&gt;"",$I471&gt;=TODAY(),$I471&lt;=TODAY()+7,$E471&lt;&gt;"Done"),IF('Task Finder'!$C$6="Quick Wins (15 mins or less)",AND($M471&lt;=15,$E471&lt;&gt;"Done",$E471&lt;&gt;"Blocked"),IF('Task Finder'!$C$6="Deep Thinking",AND($G471="Deep Thinking",$E471&lt;&gt;"Done"),IF('Task Finder'!$C$6="Processing",AND($G471="Processing",$E471&lt;&gt;"Done"),IF('Task Finder'!$C$6="Blocked",$E471="Blocked",IF('Task Finder'!$C$6="Waiting",$E471="Waiting",IF('Task Finder'!$C$6="Recently Updated",AND($L471&lt;&gt;"",$L471&gt;=TODAY()-7),IF('Task Finder'!$C$6="Keyword",AND('Task Finder'!$C$7&lt;&gt;"",OR(ISNUMBER(SEARCH('Task Finder'!$C$7,$A471)),ISNUMBER(SEARCH('Task Finder'!$C$7,$B471)),ISNUMBER(SEARCH('Task Finder'!$C$7,$C471)),ISNUMBER(SEARCH('Task Finder'!$C$7,$D471)),ISNUMBER(SEARCH('Task Finder'!$C$7,$K471)))),TRUE))))))))))</f>
        <v/>
      </c>
      <c r="Q471" s="150">
        <f>IF($F471="High","High Priority","")</f>
        <v/>
      </c>
      <c r="R471" s="150">
        <f>IF(AND($I471&lt;&gt;"",$I471&lt;TODAY()),"Overdue","")</f>
        <v/>
      </c>
      <c r="S471" s="150">
        <f>IF(AND($I471&lt;&gt;"",$I471&gt;=TODAY(),$I471&lt;=TODAY()+7),"Due This Week","")</f>
        <v/>
      </c>
      <c r="T471" s="150">
        <f>IF(AND($H471&lt;&gt;"",$M471&lt;=VLOOKUP(Home!$C$7,Lists!$N$2:$O$6,2,FALSE)),$H471&amp;" Task","")</f>
        <v/>
      </c>
      <c r="U471" s="150">
        <f>IF($G471=Home!$E$7,"Fits Current Energy","")</f>
        <v/>
      </c>
      <c r="V471" s="150">
        <f>IF($Q471&lt;&gt;""," • "&amp;$Q471,"")&amp;IF($R471&lt;&gt;""," • "&amp;$R471,"")&amp;IF($S471&lt;&gt;""," • "&amp;$S471,"")&amp;IF($T471&lt;&gt;""," • "&amp;$T471,"")&amp;IF($U471&lt;&gt;""," • "&amp;$U471,"")&amp;" • No Blockers"</f>
        <v/>
      </c>
    </row>
    <row r="472">
      <c r="A472" s="19" t="n"/>
      <c r="B472" s="19" t="n"/>
      <c r="C472" s="19" t="n"/>
      <c r="D472" s="19" t="n"/>
      <c r="E472" s="19" t="n"/>
      <c r="F472" s="19" t="n"/>
      <c r="G472" s="19" t="n"/>
      <c r="H472" s="19" t="n"/>
      <c r="I472" s="19" t="n"/>
      <c r="J472" s="19" t="n"/>
      <c r="K472" s="19" t="n"/>
      <c r="L472" s="125" t="n"/>
      <c r="M472" s="88">
        <f>IF($D472="","",IFERROR(VLOOKUP($H472,Lists!$N$2:$O$6,2,FALSE),0))</f>
        <v/>
      </c>
      <c r="N472" s="88">
        <f>IF($D472="","",IF(OR($E472="Blocked",$E472="Done",$E472="Archive"),-9999,IF(AND($E472="Waiting",SUMPRODUCT((($E$5:$E$500="Next")+($E$5:$E$500="In Progress")+($E$5:$E$500="Captured"))*($D$5:$D$500&lt;&gt;""))&gt;0),-500,VLOOKUP($F472,Lists!$L$2:$M$4,2,FALSE)+IF($E472="In Progress",10,0)+IF(AND($I472&lt;&gt;"",$I472&lt;TODAY()),25,0)+IF(AND($I472&lt;&gt;"",$I472&gt;=TODAY(),$I472&lt;=TODAY()+7),15,0)+IF($H472="",0,IF($M472&lt;=VLOOKUP(Home!$C$7,Lists!$N$2:$O$6,2,FALSE),20,-10))+IF($G472=Home!$E$7,15,IF(Home!$E$7="",0,-5))-ROW()/100000)))</f>
        <v/>
      </c>
      <c r="O472" s="88">
        <f>IF($D472="","",IF($N472&lt;=-500,"Not recommended right now",IF($E472="Waiting","Nothing else actionable right now — Waiting on: "&amp;IF($K472="","this item",$K472),MID($V472,4,9999))))</f>
        <v/>
      </c>
      <c r="P472" s="88">
        <f>IF($D472="","",IF('Task Finder'!$C$6="High Priority",AND($F472="High",$E472&lt;&gt;"Done",$E472&lt;&gt;"Archive"),IF('Task Finder'!$C$6="Due This Week",AND($I472&lt;&gt;"",$I472&gt;=TODAY(),$I472&lt;=TODAY()+7,$E472&lt;&gt;"Done"),IF('Task Finder'!$C$6="Quick Wins (15 mins or less)",AND($M472&lt;=15,$E472&lt;&gt;"Done",$E472&lt;&gt;"Blocked"),IF('Task Finder'!$C$6="Deep Thinking",AND($G472="Deep Thinking",$E472&lt;&gt;"Done"),IF('Task Finder'!$C$6="Processing",AND($G472="Processing",$E472&lt;&gt;"Done"),IF('Task Finder'!$C$6="Blocked",$E472="Blocked",IF('Task Finder'!$C$6="Waiting",$E472="Waiting",IF('Task Finder'!$C$6="Recently Updated",AND($L472&lt;&gt;"",$L472&gt;=TODAY()-7),IF('Task Finder'!$C$6="Keyword",AND('Task Finder'!$C$7&lt;&gt;"",OR(ISNUMBER(SEARCH('Task Finder'!$C$7,$A472)),ISNUMBER(SEARCH('Task Finder'!$C$7,$B472)),ISNUMBER(SEARCH('Task Finder'!$C$7,$C472)),ISNUMBER(SEARCH('Task Finder'!$C$7,$D472)),ISNUMBER(SEARCH('Task Finder'!$C$7,$K472)))),TRUE))))))))))</f>
        <v/>
      </c>
      <c r="Q472" s="150">
        <f>IF($F472="High","High Priority","")</f>
        <v/>
      </c>
      <c r="R472" s="150">
        <f>IF(AND($I472&lt;&gt;"",$I472&lt;TODAY()),"Overdue","")</f>
        <v/>
      </c>
      <c r="S472" s="150">
        <f>IF(AND($I472&lt;&gt;"",$I472&gt;=TODAY(),$I472&lt;=TODAY()+7),"Due This Week","")</f>
        <v/>
      </c>
      <c r="T472" s="150">
        <f>IF(AND($H472&lt;&gt;"",$M472&lt;=VLOOKUP(Home!$C$7,Lists!$N$2:$O$6,2,FALSE)),$H472&amp;" Task","")</f>
        <v/>
      </c>
      <c r="U472" s="150">
        <f>IF($G472=Home!$E$7,"Fits Current Energy","")</f>
        <v/>
      </c>
      <c r="V472" s="150">
        <f>IF($Q472&lt;&gt;""," • "&amp;$Q472,"")&amp;IF($R472&lt;&gt;""," • "&amp;$R472,"")&amp;IF($S472&lt;&gt;""," • "&amp;$S472,"")&amp;IF($T472&lt;&gt;""," • "&amp;$T472,"")&amp;IF($U472&lt;&gt;""," • "&amp;$U472,"")&amp;" • No Blockers"</f>
        <v/>
      </c>
    </row>
    <row r="473">
      <c r="A473" s="19" t="n"/>
      <c r="B473" s="19" t="n"/>
      <c r="C473" s="19" t="n"/>
      <c r="D473" s="19" t="n"/>
      <c r="E473" s="19" t="n"/>
      <c r="F473" s="19" t="n"/>
      <c r="G473" s="19" t="n"/>
      <c r="H473" s="19" t="n"/>
      <c r="I473" s="19" t="n"/>
      <c r="J473" s="19" t="n"/>
      <c r="K473" s="19" t="n"/>
      <c r="L473" s="125" t="n"/>
      <c r="M473" s="88">
        <f>IF($D473="","",IFERROR(VLOOKUP($H473,Lists!$N$2:$O$6,2,FALSE),0))</f>
        <v/>
      </c>
      <c r="N473" s="88">
        <f>IF($D473="","",IF(OR($E473="Blocked",$E473="Done",$E473="Archive"),-9999,IF(AND($E473="Waiting",SUMPRODUCT((($E$5:$E$500="Next")+($E$5:$E$500="In Progress")+($E$5:$E$500="Captured"))*($D$5:$D$500&lt;&gt;""))&gt;0),-500,VLOOKUP($F473,Lists!$L$2:$M$4,2,FALSE)+IF($E473="In Progress",10,0)+IF(AND($I473&lt;&gt;"",$I473&lt;TODAY()),25,0)+IF(AND($I473&lt;&gt;"",$I473&gt;=TODAY(),$I473&lt;=TODAY()+7),15,0)+IF($H473="",0,IF($M473&lt;=VLOOKUP(Home!$C$7,Lists!$N$2:$O$6,2,FALSE),20,-10))+IF($G473=Home!$E$7,15,IF(Home!$E$7="",0,-5))-ROW()/100000)))</f>
        <v/>
      </c>
      <c r="O473" s="88">
        <f>IF($D473="","",IF($N473&lt;=-500,"Not recommended right now",IF($E473="Waiting","Nothing else actionable right now — Waiting on: "&amp;IF($K473="","this item",$K473),MID($V473,4,9999))))</f>
        <v/>
      </c>
      <c r="P473" s="88">
        <f>IF($D473="","",IF('Task Finder'!$C$6="High Priority",AND($F473="High",$E473&lt;&gt;"Done",$E473&lt;&gt;"Archive"),IF('Task Finder'!$C$6="Due This Week",AND($I473&lt;&gt;"",$I473&gt;=TODAY(),$I473&lt;=TODAY()+7,$E473&lt;&gt;"Done"),IF('Task Finder'!$C$6="Quick Wins (15 mins or less)",AND($M473&lt;=15,$E473&lt;&gt;"Done",$E473&lt;&gt;"Blocked"),IF('Task Finder'!$C$6="Deep Thinking",AND($G473="Deep Thinking",$E473&lt;&gt;"Done"),IF('Task Finder'!$C$6="Processing",AND($G473="Processing",$E473&lt;&gt;"Done"),IF('Task Finder'!$C$6="Blocked",$E473="Blocked",IF('Task Finder'!$C$6="Waiting",$E473="Waiting",IF('Task Finder'!$C$6="Recently Updated",AND($L473&lt;&gt;"",$L473&gt;=TODAY()-7),IF('Task Finder'!$C$6="Keyword",AND('Task Finder'!$C$7&lt;&gt;"",OR(ISNUMBER(SEARCH('Task Finder'!$C$7,$A473)),ISNUMBER(SEARCH('Task Finder'!$C$7,$B473)),ISNUMBER(SEARCH('Task Finder'!$C$7,$C473)),ISNUMBER(SEARCH('Task Finder'!$C$7,$D473)),ISNUMBER(SEARCH('Task Finder'!$C$7,$K473)))),TRUE))))))))))</f>
        <v/>
      </c>
      <c r="Q473" s="150">
        <f>IF($F473="High","High Priority","")</f>
        <v/>
      </c>
      <c r="R473" s="150">
        <f>IF(AND($I473&lt;&gt;"",$I473&lt;TODAY()),"Overdue","")</f>
        <v/>
      </c>
      <c r="S473" s="150">
        <f>IF(AND($I473&lt;&gt;"",$I473&gt;=TODAY(),$I473&lt;=TODAY()+7),"Due This Week","")</f>
        <v/>
      </c>
      <c r="T473" s="150">
        <f>IF(AND($H473&lt;&gt;"",$M473&lt;=VLOOKUP(Home!$C$7,Lists!$N$2:$O$6,2,FALSE)),$H473&amp;" Task","")</f>
        <v/>
      </c>
      <c r="U473" s="150">
        <f>IF($G473=Home!$E$7,"Fits Current Energy","")</f>
        <v/>
      </c>
      <c r="V473" s="150">
        <f>IF($Q473&lt;&gt;""," • "&amp;$Q473,"")&amp;IF($R473&lt;&gt;""," • "&amp;$R473,"")&amp;IF($S473&lt;&gt;""," • "&amp;$S473,"")&amp;IF($T473&lt;&gt;""," • "&amp;$T473,"")&amp;IF($U473&lt;&gt;""," • "&amp;$U473,"")&amp;" • No Blockers"</f>
        <v/>
      </c>
    </row>
    <row r="474">
      <c r="A474" s="19" t="n"/>
      <c r="B474" s="19" t="n"/>
      <c r="C474" s="19" t="n"/>
      <c r="D474" s="19" t="n"/>
      <c r="E474" s="19" t="n"/>
      <c r="F474" s="19" t="n"/>
      <c r="G474" s="19" t="n"/>
      <c r="H474" s="19" t="n"/>
      <c r="I474" s="19" t="n"/>
      <c r="J474" s="19" t="n"/>
      <c r="K474" s="19" t="n"/>
      <c r="L474" s="125" t="n"/>
      <c r="M474" s="88">
        <f>IF($D474="","",IFERROR(VLOOKUP($H474,Lists!$N$2:$O$6,2,FALSE),0))</f>
        <v/>
      </c>
      <c r="N474" s="88">
        <f>IF($D474="","",IF(OR($E474="Blocked",$E474="Done",$E474="Archive"),-9999,IF(AND($E474="Waiting",SUMPRODUCT((($E$5:$E$500="Next")+($E$5:$E$500="In Progress")+($E$5:$E$500="Captured"))*($D$5:$D$500&lt;&gt;""))&gt;0),-500,VLOOKUP($F474,Lists!$L$2:$M$4,2,FALSE)+IF($E474="In Progress",10,0)+IF(AND($I474&lt;&gt;"",$I474&lt;TODAY()),25,0)+IF(AND($I474&lt;&gt;"",$I474&gt;=TODAY(),$I474&lt;=TODAY()+7),15,0)+IF($H474="",0,IF($M474&lt;=VLOOKUP(Home!$C$7,Lists!$N$2:$O$6,2,FALSE),20,-10))+IF($G474=Home!$E$7,15,IF(Home!$E$7="",0,-5))-ROW()/100000)))</f>
        <v/>
      </c>
      <c r="O474" s="88">
        <f>IF($D474="","",IF($N474&lt;=-500,"Not recommended right now",IF($E474="Waiting","Nothing else actionable right now — Waiting on: "&amp;IF($K474="","this item",$K474),MID($V474,4,9999))))</f>
        <v/>
      </c>
      <c r="P474" s="88">
        <f>IF($D474="","",IF('Task Finder'!$C$6="High Priority",AND($F474="High",$E474&lt;&gt;"Done",$E474&lt;&gt;"Archive"),IF('Task Finder'!$C$6="Due This Week",AND($I474&lt;&gt;"",$I474&gt;=TODAY(),$I474&lt;=TODAY()+7,$E474&lt;&gt;"Done"),IF('Task Finder'!$C$6="Quick Wins (15 mins or less)",AND($M474&lt;=15,$E474&lt;&gt;"Done",$E474&lt;&gt;"Blocked"),IF('Task Finder'!$C$6="Deep Thinking",AND($G474="Deep Thinking",$E474&lt;&gt;"Done"),IF('Task Finder'!$C$6="Processing",AND($G474="Processing",$E474&lt;&gt;"Done"),IF('Task Finder'!$C$6="Blocked",$E474="Blocked",IF('Task Finder'!$C$6="Waiting",$E474="Waiting",IF('Task Finder'!$C$6="Recently Updated",AND($L474&lt;&gt;"",$L474&gt;=TODAY()-7),IF('Task Finder'!$C$6="Keyword",AND('Task Finder'!$C$7&lt;&gt;"",OR(ISNUMBER(SEARCH('Task Finder'!$C$7,$A474)),ISNUMBER(SEARCH('Task Finder'!$C$7,$B474)),ISNUMBER(SEARCH('Task Finder'!$C$7,$C474)),ISNUMBER(SEARCH('Task Finder'!$C$7,$D474)),ISNUMBER(SEARCH('Task Finder'!$C$7,$K474)))),TRUE))))))))))</f>
        <v/>
      </c>
      <c r="Q474" s="150">
        <f>IF($F474="High","High Priority","")</f>
        <v/>
      </c>
      <c r="R474" s="150">
        <f>IF(AND($I474&lt;&gt;"",$I474&lt;TODAY()),"Overdue","")</f>
        <v/>
      </c>
      <c r="S474" s="150">
        <f>IF(AND($I474&lt;&gt;"",$I474&gt;=TODAY(),$I474&lt;=TODAY()+7),"Due This Week","")</f>
        <v/>
      </c>
      <c r="T474" s="150">
        <f>IF(AND($H474&lt;&gt;"",$M474&lt;=VLOOKUP(Home!$C$7,Lists!$N$2:$O$6,2,FALSE)),$H474&amp;" Task","")</f>
        <v/>
      </c>
      <c r="U474" s="150">
        <f>IF($G474=Home!$E$7,"Fits Current Energy","")</f>
        <v/>
      </c>
      <c r="V474" s="150">
        <f>IF($Q474&lt;&gt;""," • "&amp;$Q474,"")&amp;IF($R474&lt;&gt;""," • "&amp;$R474,"")&amp;IF($S474&lt;&gt;""," • "&amp;$S474,"")&amp;IF($T474&lt;&gt;""," • "&amp;$T474,"")&amp;IF($U474&lt;&gt;""," • "&amp;$U474,"")&amp;" • No Blockers"</f>
        <v/>
      </c>
    </row>
    <row r="475">
      <c r="A475" s="19" t="n"/>
      <c r="B475" s="19" t="n"/>
      <c r="C475" s="19" t="n"/>
      <c r="D475" s="19" t="n"/>
      <c r="E475" s="19" t="n"/>
      <c r="F475" s="19" t="n"/>
      <c r="G475" s="19" t="n"/>
      <c r="H475" s="19" t="n"/>
      <c r="I475" s="19" t="n"/>
      <c r="J475" s="19" t="n"/>
      <c r="K475" s="19" t="n"/>
      <c r="L475" s="125" t="n"/>
      <c r="M475" s="88">
        <f>IF($D475="","",IFERROR(VLOOKUP($H475,Lists!$N$2:$O$6,2,FALSE),0))</f>
        <v/>
      </c>
      <c r="N475" s="88">
        <f>IF($D475="","",IF(OR($E475="Blocked",$E475="Done",$E475="Archive"),-9999,IF(AND($E475="Waiting",SUMPRODUCT((($E$5:$E$500="Next")+($E$5:$E$500="In Progress")+($E$5:$E$500="Captured"))*($D$5:$D$500&lt;&gt;""))&gt;0),-500,VLOOKUP($F475,Lists!$L$2:$M$4,2,FALSE)+IF($E475="In Progress",10,0)+IF(AND($I475&lt;&gt;"",$I475&lt;TODAY()),25,0)+IF(AND($I475&lt;&gt;"",$I475&gt;=TODAY(),$I475&lt;=TODAY()+7),15,0)+IF($H475="",0,IF($M475&lt;=VLOOKUP(Home!$C$7,Lists!$N$2:$O$6,2,FALSE),20,-10))+IF($G475=Home!$E$7,15,IF(Home!$E$7="",0,-5))-ROW()/100000)))</f>
        <v/>
      </c>
      <c r="O475" s="88">
        <f>IF($D475="","",IF($N475&lt;=-500,"Not recommended right now",IF($E475="Waiting","Nothing else actionable right now — Waiting on: "&amp;IF($K475="","this item",$K475),MID($V475,4,9999))))</f>
        <v/>
      </c>
      <c r="P475" s="88">
        <f>IF($D475="","",IF('Task Finder'!$C$6="High Priority",AND($F475="High",$E475&lt;&gt;"Done",$E475&lt;&gt;"Archive"),IF('Task Finder'!$C$6="Due This Week",AND($I475&lt;&gt;"",$I475&gt;=TODAY(),$I475&lt;=TODAY()+7,$E475&lt;&gt;"Done"),IF('Task Finder'!$C$6="Quick Wins (15 mins or less)",AND($M475&lt;=15,$E475&lt;&gt;"Done",$E475&lt;&gt;"Blocked"),IF('Task Finder'!$C$6="Deep Thinking",AND($G475="Deep Thinking",$E475&lt;&gt;"Done"),IF('Task Finder'!$C$6="Processing",AND($G475="Processing",$E475&lt;&gt;"Done"),IF('Task Finder'!$C$6="Blocked",$E475="Blocked",IF('Task Finder'!$C$6="Waiting",$E475="Waiting",IF('Task Finder'!$C$6="Recently Updated",AND($L475&lt;&gt;"",$L475&gt;=TODAY()-7),IF('Task Finder'!$C$6="Keyword",AND('Task Finder'!$C$7&lt;&gt;"",OR(ISNUMBER(SEARCH('Task Finder'!$C$7,$A475)),ISNUMBER(SEARCH('Task Finder'!$C$7,$B475)),ISNUMBER(SEARCH('Task Finder'!$C$7,$C475)),ISNUMBER(SEARCH('Task Finder'!$C$7,$D475)),ISNUMBER(SEARCH('Task Finder'!$C$7,$K475)))),TRUE))))))))))</f>
        <v/>
      </c>
      <c r="Q475" s="150">
        <f>IF($F475="High","High Priority","")</f>
        <v/>
      </c>
      <c r="R475" s="150">
        <f>IF(AND($I475&lt;&gt;"",$I475&lt;TODAY()),"Overdue","")</f>
        <v/>
      </c>
      <c r="S475" s="150">
        <f>IF(AND($I475&lt;&gt;"",$I475&gt;=TODAY(),$I475&lt;=TODAY()+7),"Due This Week","")</f>
        <v/>
      </c>
      <c r="T475" s="150">
        <f>IF(AND($H475&lt;&gt;"",$M475&lt;=VLOOKUP(Home!$C$7,Lists!$N$2:$O$6,2,FALSE)),$H475&amp;" Task","")</f>
        <v/>
      </c>
      <c r="U475" s="150">
        <f>IF($G475=Home!$E$7,"Fits Current Energy","")</f>
        <v/>
      </c>
      <c r="V475" s="150">
        <f>IF($Q475&lt;&gt;""," • "&amp;$Q475,"")&amp;IF($R475&lt;&gt;""," • "&amp;$R475,"")&amp;IF($S475&lt;&gt;""," • "&amp;$S475,"")&amp;IF($T475&lt;&gt;""," • "&amp;$T475,"")&amp;IF($U475&lt;&gt;""," • "&amp;$U475,"")&amp;" • No Blockers"</f>
        <v/>
      </c>
    </row>
    <row r="476">
      <c r="A476" s="19" t="n"/>
      <c r="B476" s="19" t="n"/>
      <c r="C476" s="19" t="n"/>
      <c r="D476" s="19" t="n"/>
      <c r="E476" s="19" t="n"/>
      <c r="F476" s="19" t="n"/>
      <c r="G476" s="19" t="n"/>
      <c r="H476" s="19" t="n"/>
      <c r="I476" s="19" t="n"/>
      <c r="J476" s="19" t="n"/>
      <c r="K476" s="19" t="n"/>
      <c r="L476" s="125" t="n"/>
      <c r="M476" s="88">
        <f>IF($D476="","",IFERROR(VLOOKUP($H476,Lists!$N$2:$O$6,2,FALSE),0))</f>
        <v/>
      </c>
      <c r="N476" s="88">
        <f>IF($D476="","",IF(OR($E476="Blocked",$E476="Done",$E476="Archive"),-9999,IF(AND($E476="Waiting",SUMPRODUCT((($E$5:$E$500="Next")+($E$5:$E$500="In Progress")+($E$5:$E$500="Captured"))*($D$5:$D$500&lt;&gt;""))&gt;0),-500,VLOOKUP($F476,Lists!$L$2:$M$4,2,FALSE)+IF($E476="In Progress",10,0)+IF(AND($I476&lt;&gt;"",$I476&lt;TODAY()),25,0)+IF(AND($I476&lt;&gt;"",$I476&gt;=TODAY(),$I476&lt;=TODAY()+7),15,0)+IF($H476="",0,IF($M476&lt;=VLOOKUP(Home!$C$7,Lists!$N$2:$O$6,2,FALSE),20,-10))+IF($G476=Home!$E$7,15,IF(Home!$E$7="",0,-5))-ROW()/100000)))</f>
        <v/>
      </c>
      <c r="O476" s="88">
        <f>IF($D476="","",IF($N476&lt;=-500,"Not recommended right now",IF($E476="Waiting","Nothing else actionable right now — Waiting on: "&amp;IF($K476="","this item",$K476),MID($V476,4,9999))))</f>
        <v/>
      </c>
      <c r="P476" s="88">
        <f>IF($D476="","",IF('Task Finder'!$C$6="High Priority",AND($F476="High",$E476&lt;&gt;"Done",$E476&lt;&gt;"Archive"),IF('Task Finder'!$C$6="Due This Week",AND($I476&lt;&gt;"",$I476&gt;=TODAY(),$I476&lt;=TODAY()+7,$E476&lt;&gt;"Done"),IF('Task Finder'!$C$6="Quick Wins (15 mins or less)",AND($M476&lt;=15,$E476&lt;&gt;"Done",$E476&lt;&gt;"Blocked"),IF('Task Finder'!$C$6="Deep Thinking",AND($G476="Deep Thinking",$E476&lt;&gt;"Done"),IF('Task Finder'!$C$6="Processing",AND($G476="Processing",$E476&lt;&gt;"Done"),IF('Task Finder'!$C$6="Blocked",$E476="Blocked",IF('Task Finder'!$C$6="Waiting",$E476="Waiting",IF('Task Finder'!$C$6="Recently Updated",AND($L476&lt;&gt;"",$L476&gt;=TODAY()-7),IF('Task Finder'!$C$6="Keyword",AND('Task Finder'!$C$7&lt;&gt;"",OR(ISNUMBER(SEARCH('Task Finder'!$C$7,$A476)),ISNUMBER(SEARCH('Task Finder'!$C$7,$B476)),ISNUMBER(SEARCH('Task Finder'!$C$7,$C476)),ISNUMBER(SEARCH('Task Finder'!$C$7,$D476)),ISNUMBER(SEARCH('Task Finder'!$C$7,$K476)))),TRUE))))))))))</f>
        <v/>
      </c>
      <c r="Q476" s="150">
        <f>IF($F476="High","High Priority","")</f>
        <v/>
      </c>
      <c r="R476" s="150">
        <f>IF(AND($I476&lt;&gt;"",$I476&lt;TODAY()),"Overdue","")</f>
        <v/>
      </c>
      <c r="S476" s="150">
        <f>IF(AND($I476&lt;&gt;"",$I476&gt;=TODAY(),$I476&lt;=TODAY()+7),"Due This Week","")</f>
        <v/>
      </c>
      <c r="T476" s="150">
        <f>IF(AND($H476&lt;&gt;"",$M476&lt;=VLOOKUP(Home!$C$7,Lists!$N$2:$O$6,2,FALSE)),$H476&amp;" Task","")</f>
        <v/>
      </c>
      <c r="U476" s="150">
        <f>IF($G476=Home!$E$7,"Fits Current Energy","")</f>
        <v/>
      </c>
      <c r="V476" s="150">
        <f>IF($Q476&lt;&gt;""," • "&amp;$Q476,"")&amp;IF($R476&lt;&gt;""," • "&amp;$R476,"")&amp;IF($S476&lt;&gt;""," • "&amp;$S476,"")&amp;IF($T476&lt;&gt;""," • "&amp;$T476,"")&amp;IF($U476&lt;&gt;""," • "&amp;$U476,"")&amp;" • No Blockers"</f>
        <v/>
      </c>
    </row>
    <row r="477">
      <c r="A477" s="19" t="n"/>
      <c r="B477" s="19" t="n"/>
      <c r="C477" s="19" t="n"/>
      <c r="D477" s="19" t="n"/>
      <c r="E477" s="19" t="n"/>
      <c r="F477" s="19" t="n"/>
      <c r="G477" s="19" t="n"/>
      <c r="H477" s="19" t="n"/>
      <c r="I477" s="19" t="n"/>
      <c r="J477" s="19" t="n"/>
      <c r="K477" s="19" t="n"/>
      <c r="L477" s="125" t="n"/>
      <c r="M477" s="88">
        <f>IF($D477="","",IFERROR(VLOOKUP($H477,Lists!$N$2:$O$6,2,FALSE),0))</f>
        <v/>
      </c>
      <c r="N477" s="88">
        <f>IF($D477="","",IF(OR($E477="Blocked",$E477="Done",$E477="Archive"),-9999,IF(AND($E477="Waiting",SUMPRODUCT((($E$5:$E$500="Next")+($E$5:$E$500="In Progress")+($E$5:$E$500="Captured"))*($D$5:$D$500&lt;&gt;""))&gt;0),-500,VLOOKUP($F477,Lists!$L$2:$M$4,2,FALSE)+IF($E477="In Progress",10,0)+IF(AND($I477&lt;&gt;"",$I477&lt;TODAY()),25,0)+IF(AND($I477&lt;&gt;"",$I477&gt;=TODAY(),$I477&lt;=TODAY()+7),15,0)+IF($H477="",0,IF($M477&lt;=VLOOKUP(Home!$C$7,Lists!$N$2:$O$6,2,FALSE),20,-10))+IF($G477=Home!$E$7,15,IF(Home!$E$7="",0,-5))-ROW()/100000)))</f>
        <v/>
      </c>
      <c r="O477" s="88">
        <f>IF($D477="","",IF($N477&lt;=-500,"Not recommended right now",IF($E477="Waiting","Nothing else actionable right now — Waiting on: "&amp;IF($K477="","this item",$K477),MID($V477,4,9999))))</f>
        <v/>
      </c>
      <c r="P477" s="88">
        <f>IF($D477="","",IF('Task Finder'!$C$6="High Priority",AND($F477="High",$E477&lt;&gt;"Done",$E477&lt;&gt;"Archive"),IF('Task Finder'!$C$6="Due This Week",AND($I477&lt;&gt;"",$I477&gt;=TODAY(),$I477&lt;=TODAY()+7,$E477&lt;&gt;"Done"),IF('Task Finder'!$C$6="Quick Wins (15 mins or less)",AND($M477&lt;=15,$E477&lt;&gt;"Done",$E477&lt;&gt;"Blocked"),IF('Task Finder'!$C$6="Deep Thinking",AND($G477="Deep Thinking",$E477&lt;&gt;"Done"),IF('Task Finder'!$C$6="Processing",AND($G477="Processing",$E477&lt;&gt;"Done"),IF('Task Finder'!$C$6="Blocked",$E477="Blocked",IF('Task Finder'!$C$6="Waiting",$E477="Waiting",IF('Task Finder'!$C$6="Recently Updated",AND($L477&lt;&gt;"",$L477&gt;=TODAY()-7),IF('Task Finder'!$C$6="Keyword",AND('Task Finder'!$C$7&lt;&gt;"",OR(ISNUMBER(SEARCH('Task Finder'!$C$7,$A477)),ISNUMBER(SEARCH('Task Finder'!$C$7,$B477)),ISNUMBER(SEARCH('Task Finder'!$C$7,$C477)),ISNUMBER(SEARCH('Task Finder'!$C$7,$D477)),ISNUMBER(SEARCH('Task Finder'!$C$7,$K477)))),TRUE))))))))))</f>
        <v/>
      </c>
      <c r="Q477" s="150">
        <f>IF($F477="High","High Priority","")</f>
        <v/>
      </c>
      <c r="R477" s="150">
        <f>IF(AND($I477&lt;&gt;"",$I477&lt;TODAY()),"Overdue","")</f>
        <v/>
      </c>
      <c r="S477" s="150">
        <f>IF(AND($I477&lt;&gt;"",$I477&gt;=TODAY(),$I477&lt;=TODAY()+7),"Due This Week","")</f>
        <v/>
      </c>
      <c r="T477" s="150">
        <f>IF(AND($H477&lt;&gt;"",$M477&lt;=VLOOKUP(Home!$C$7,Lists!$N$2:$O$6,2,FALSE)),$H477&amp;" Task","")</f>
        <v/>
      </c>
      <c r="U477" s="150">
        <f>IF($G477=Home!$E$7,"Fits Current Energy","")</f>
        <v/>
      </c>
      <c r="V477" s="150">
        <f>IF($Q477&lt;&gt;""," • "&amp;$Q477,"")&amp;IF($R477&lt;&gt;""," • "&amp;$R477,"")&amp;IF($S477&lt;&gt;""," • "&amp;$S477,"")&amp;IF($T477&lt;&gt;""," • "&amp;$T477,"")&amp;IF($U477&lt;&gt;""," • "&amp;$U477,"")&amp;" • No Blockers"</f>
        <v/>
      </c>
    </row>
    <row r="478">
      <c r="A478" s="19" t="n"/>
      <c r="B478" s="19" t="n"/>
      <c r="C478" s="19" t="n"/>
      <c r="D478" s="19" t="n"/>
      <c r="E478" s="19" t="n"/>
      <c r="F478" s="19" t="n"/>
      <c r="G478" s="19" t="n"/>
      <c r="H478" s="19" t="n"/>
      <c r="I478" s="19" t="n"/>
      <c r="J478" s="19" t="n"/>
      <c r="K478" s="19" t="n"/>
      <c r="L478" s="125" t="n"/>
      <c r="M478" s="88">
        <f>IF($D478="","",IFERROR(VLOOKUP($H478,Lists!$N$2:$O$6,2,FALSE),0))</f>
        <v/>
      </c>
      <c r="N478" s="88">
        <f>IF($D478="","",IF(OR($E478="Blocked",$E478="Done",$E478="Archive"),-9999,IF(AND($E478="Waiting",SUMPRODUCT((($E$5:$E$500="Next")+($E$5:$E$500="In Progress")+($E$5:$E$500="Captured"))*($D$5:$D$500&lt;&gt;""))&gt;0),-500,VLOOKUP($F478,Lists!$L$2:$M$4,2,FALSE)+IF($E478="In Progress",10,0)+IF(AND($I478&lt;&gt;"",$I478&lt;TODAY()),25,0)+IF(AND($I478&lt;&gt;"",$I478&gt;=TODAY(),$I478&lt;=TODAY()+7),15,0)+IF($H478="",0,IF($M478&lt;=VLOOKUP(Home!$C$7,Lists!$N$2:$O$6,2,FALSE),20,-10))+IF($G478=Home!$E$7,15,IF(Home!$E$7="",0,-5))-ROW()/100000)))</f>
        <v/>
      </c>
      <c r="O478" s="88">
        <f>IF($D478="","",IF($N478&lt;=-500,"Not recommended right now",IF($E478="Waiting","Nothing else actionable right now — Waiting on: "&amp;IF($K478="","this item",$K478),MID($V478,4,9999))))</f>
        <v/>
      </c>
      <c r="P478" s="88">
        <f>IF($D478="","",IF('Task Finder'!$C$6="High Priority",AND($F478="High",$E478&lt;&gt;"Done",$E478&lt;&gt;"Archive"),IF('Task Finder'!$C$6="Due This Week",AND($I478&lt;&gt;"",$I478&gt;=TODAY(),$I478&lt;=TODAY()+7,$E478&lt;&gt;"Done"),IF('Task Finder'!$C$6="Quick Wins (15 mins or less)",AND($M478&lt;=15,$E478&lt;&gt;"Done",$E478&lt;&gt;"Blocked"),IF('Task Finder'!$C$6="Deep Thinking",AND($G478="Deep Thinking",$E478&lt;&gt;"Done"),IF('Task Finder'!$C$6="Processing",AND($G478="Processing",$E478&lt;&gt;"Done"),IF('Task Finder'!$C$6="Blocked",$E478="Blocked",IF('Task Finder'!$C$6="Waiting",$E478="Waiting",IF('Task Finder'!$C$6="Recently Updated",AND($L478&lt;&gt;"",$L478&gt;=TODAY()-7),IF('Task Finder'!$C$6="Keyword",AND('Task Finder'!$C$7&lt;&gt;"",OR(ISNUMBER(SEARCH('Task Finder'!$C$7,$A478)),ISNUMBER(SEARCH('Task Finder'!$C$7,$B478)),ISNUMBER(SEARCH('Task Finder'!$C$7,$C478)),ISNUMBER(SEARCH('Task Finder'!$C$7,$D478)),ISNUMBER(SEARCH('Task Finder'!$C$7,$K478)))),TRUE))))))))))</f>
        <v/>
      </c>
      <c r="Q478" s="150">
        <f>IF($F478="High","High Priority","")</f>
        <v/>
      </c>
      <c r="R478" s="150">
        <f>IF(AND($I478&lt;&gt;"",$I478&lt;TODAY()),"Overdue","")</f>
        <v/>
      </c>
      <c r="S478" s="150">
        <f>IF(AND($I478&lt;&gt;"",$I478&gt;=TODAY(),$I478&lt;=TODAY()+7),"Due This Week","")</f>
        <v/>
      </c>
      <c r="T478" s="150">
        <f>IF(AND($H478&lt;&gt;"",$M478&lt;=VLOOKUP(Home!$C$7,Lists!$N$2:$O$6,2,FALSE)),$H478&amp;" Task","")</f>
        <v/>
      </c>
      <c r="U478" s="150">
        <f>IF($G478=Home!$E$7,"Fits Current Energy","")</f>
        <v/>
      </c>
      <c r="V478" s="150">
        <f>IF($Q478&lt;&gt;""," • "&amp;$Q478,"")&amp;IF($R478&lt;&gt;""," • "&amp;$R478,"")&amp;IF($S478&lt;&gt;""," • "&amp;$S478,"")&amp;IF($T478&lt;&gt;""," • "&amp;$T478,"")&amp;IF($U478&lt;&gt;""," • "&amp;$U478,"")&amp;" • No Blockers"</f>
        <v/>
      </c>
    </row>
    <row r="479">
      <c r="A479" s="19" t="n"/>
      <c r="B479" s="19" t="n"/>
      <c r="C479" s="19" t="n"/>
      <c r="D479" s="19" t="n"/>
      <c r="E479" s="19" t="n"/>
      <c r="F479" s="19" t="n"/>
      <c r="G479" s="19" t="n"/>
      <c r="H479" s="19" t="n"/>
      <c r="I479" s="19" t="n"/>
      <c r="J479" s="19" t="n"/>
      <c r="K479" s="19" t="n"/>
      <c r="L479" s="125" t="n"/>
      <c r="M479" s="88">
        <f>IF($D479="","",IFERROR(VLOOKUP($H479,Lists!$N$2:$O$6,2,FALSE),0))</f>
        <v/>
      </c>
      <c r="N479" s="88">
        <f>IF($D479="","",IF(OR($E479="Blocked",$E479="Done",$E479="Archive"),-9999,IF(AND($E479="Waiting",SUMPRODUCT((($E$5:$E$500="Next")+($E$5:$E$500="In Progress")+($E$5:$E$500="Captured"))*($D$5:$D$500&lt;&gt;""))&gt;0),-500,VLOOKUP($F479,Lists!$L$2:$M$4,2,FALSE)+IF($E479="In Progress",10,0)+IF(AND($I479&lt;&gt;"",$I479&lt;TODAY()),25,0)+IF(AND($I479&lt;&gt;"",$I479&gt;=TODAY(),$I479&lt;=TODAY()+7),15,0)+IF($H479="",0,IF($M479&lt;=VLOOKUP(Home!$C$7,Lists!$N$2:$O$6,2,FALSE),20,-10))+IF($G479=Home!$E$7,15,IF(Home!$E$7="",0,-5))-ROW()/100000)))</f>
        <v/>
      </c>
      <c r="O479" s="88">
        <f>IF($D479="","",IF($N479&lt;=-500,"Not recommended right now",IF($E479="Waiting","Nothing else actionable right now — Waiting on: "&amp;IF($K479="","this item",$K479),MID($V479,4,9999))))</f>
        <v/>
      </c>
      <c r="P479" s="88">
        <f>IF($D479="","",IF('Task Finder'!$C$6="High Priority",AND($F479="High",$E479&lt;&gt;"Done",$E479&lt;&gt;"Archive"),IF('Task Finder'!$C$6="Due This Week",AND($I479&lt;&gt;"",$I479&gt;=TODAY(),$I479&lt;=TODAY()+7,$E479&lt;&gt;"Done"),IF('Task Finder'!$C$6="Quick Wins (15 mins or less)",AND($M479&lt;=15,$E479&lt;&gt;"Done",$E479&lt;&gt;"Blocked"),IF('Task Finder'!$C$6="Deep Thinking",AND($G479="Deep Thinking",$E479&lt;&gt;"Done"),IF('Task Finder'!$C$6="Processing",AND($G479="Processing",$E479&lt;&gt;"Done"),IF('Task Finder'!$C$6="Blocked",$E479="Blocked",IF('Task Finder'!$C$6="Waiting",$E479="Waiting",IF('Task Finder'!$C$6="Recently Updated",AND($L479&lt;&gt;"",$L479&gt;=TODAY()-7),IF('Task Finder'!$C$6="Keyword",AND('Task Finder'!$C$7&lt;&gt;"",OR(ISNUMBER(SEARCH('Task Finder'!$C$7,$A479)),ISNUMBER(SEARCH('Task Finder'!$C$7,$B479)),ISNUMBER(SEARCH('Task Finder'!$C$7,$C479)),ISNUMBER(SEARCH('Task Finder'!$C$7,$D479)),ISNUMBER(SEARCH('Task Finder'!$C$7,$K479)))),TRUE))))))))))</f>
        <v/>
      </c>
      <c r="Q479" s="150">
        <f>IF($F479="High","High Priority","")</f>
        <v/>
      </c>
      <c r="R479" s="150">
        <f>IF(AND($I479&lt;&gt;"",$I479&lt;TODAY()),"Overdue","")</f>
        <v/>
      </c>
      <c r="S479" s="150">
        <f>IF(AND($I479&lt;&gt;"",$I479&gt;=TODAY(),$I479&lt;=TODAY()+7),"Due This Week","")</f>
        <v/>
      </c>
      <c r="T479" s="150">
        <f>IF(AND($H479&lt;&gt;"",$M479&lt;=VLOOKUP(Home!$C$7,Lists!$N$2:$O$6,2,FALSE)),$H479&amp;" Task","")</f>
        <v/>
      </c>
      <c r="U479" s="150">
        <f>IF($G479=Home!$E$7,"Fits Current Energy","")</f>
        <v/>
      </c>
      <c r="V479" s="150">
        <f>IF($Q479&lt;&gt;""," • "&amp;$Q479,"")&amp;IF($R479&lt;&gt;""," • "&amp;$R479,"")&amp;IF($S479&lt;&gt;""," • "&amp;$S479,"")&amp;IF($T479&lt;&gt;""," • "&amp;$T479,"")&amp;IF($U479&lt;&gt;""," • "&amp;$U479,"")&amp;" • No Blockers"</f>
        <v/>
      </c>
    </row>
    <row r="480">
      <c r="A480" s="19" t="n"/>
      <c r="B480" s="19" t="n"/>
      <c r="C480" s="19" t="n"/>
      <c r="D480" s="19" t="n"/>
      <c r="E480" s="19" t="n"/>
      <c r="F480" s="19" t="n"/>
      <c r="G480" s="19" t="n"/>
      <c r="H480" s="19" t="n"/>
      <c r="I480" s="19" t="n"/>
      <c r="J480" s="19" t="n"/>
      <c r="K480" s="19" t="n"/>
      <c r="L480" s="125" t="n"/>
      <c r="M480" s="88">
        <f>IF($D480="","",IFERROR(VLOOKUP($H480,Lists!$N$2:$O$6,2,FALSE),0))</f>
        <v/>
      </c>
      <c r="N480" s="88">
        <f>IF($D480="","",IF(OR($E480="Blocked",$E480="Done",$E480="Archive"),-9999,IF(AND($E480="Waiting",SUMPRODUCT((($E$5:$E$500="Next")+($E$5:$E$500="In Progress")+($E$5:$E$500="Captured"))*($D$5:$D$500&lt;&gt;""))&gt;0),-500,VLOOKUP($F480,Lists!$L$2:$M$4,2,FALSE)+IF($E480="In Progress",10,0)+IF(AND($I480&lt;&gt;"",$I480&lt;TODAY()),25,0)+IF(AND($I480&lt;&gt;"",$I480&gt;=TODAY(),$I480&lt;=TODAY()+7),15,0)+IF($H480="",0,IF($M480&lt;=VLOOKUP(Home!$C$7,Lists!$N$2:$O$6,2,FALSE),20,-10))+IF($G480=Home!$E$7,15,IF(Home!$E$7="",0,-5))-ROW()/100000)))</f>
        <v/>
      </c>
      <c r="O480" s="88">
        <f>IF($D480="","",IF($N480&lt;=-500,"Not recommended right now",IF($E480="Waiting","Nothing else actionable right now — Waiting on: "&amp;IF($K480="","this item",$K480),MID($V480,4,9999))))</f>
        <v/>
      </c>
      <c r="P480" s="88">
        <f>IF($D480="","",IF('Task Finder'!$C$6="High Priority",AND($F480="High",$E480&lt;&gt;"Done",$E480&lt;&gt;"Archive"),IF('Task Finder'!$C$6="Due This Week",AND($I480&lt;&gt;"",$I480&gt;=TODAY(),$I480&lt;=TODAY()+7,$E480&lt;&gt;"Done"),IF('Task Finder'!$C$6="Quick Wins (15 mins or less)",AND($M480&lt;=15,$E480&lt;&gt;"Done",$E480&lt;&gt;"Blocked"),IF('Task Finder'!$C$6="Deep Thinking",AND($G480="Deep Thinking",$E480&lt;&gt;"Done"),IF('Task Finder'!$C$6="Processing",AND($G480="Processing",$E480&lt;&gt;"Done"),IF('Task Finder'!$C$6="Blocked",$E480="Blocked",IF('Task Finder'!$C$6="Waiting",$E480="Waiting",IF('Task Finder'!$C$6="Recently Updated",AND($L480&lt;&gt;"",$L480&gt;=TODAY()-7),IF('Task Finder'!$C$6="Keyword",AND('Task Finder'!$C$7&lt;&gt;"",OR(ISNUMBER(SEARCH('Task Finder'!$C$7,$A480)),ISNUMBER(SEARCH('Task Finder'!$C$7,$B480)),ISNUMBER(SEARCH('Task Finder'!$C$7,$C480)),ISNUMBER(SEARCH('Task Finder'!$C$7,$D480)),ISNUMBER(SEARCH('Task Finder'!$C$7,$K480)))),TRUE))))))))))</f>
        <v/>
      </c>
      <c r="Q480" s="150">
        <f>IF($F480="High","High Priority","")</f>
        <v/>
      </c>
      <c r="R480" s="150">
        <f>IF(AND($I480&lt;&gt;"",$I480&lt;TODAY()),"Overdue","")</f>
        <v/>
      </c>
      <c r="S480" s="150">
        <f>IF(AND($I480&lt;&gt;"",$I480&gt;=TODAY(),$I480&lt;=TODAY()+7),"Due This Week","")</f>
        <v/>
      </c>
      <c r="T480" s="150">
        <f>IF(AND($H480&lt;&gt;"",$M480&lt;=VLOOKUP(Home!$C$7,Lists!$N$2:$O$6,2,FALSE)),$H480&amp;" Task","")</f>
        <v/>
      </c>
      <c r="U480" s="150">
        <f>IF($G480=Home!$E$7,"Fits Current Energy","")</f>
        <v/>
      </c>
      <c r="V480" s="150">
        <f>IF($Q480&lt;&gt;""," • "&amp;$Q480,"")&amp;IF($R480&lt;&gt;""," • "&amp;$R480,"")&amp;IF($S480&lt;&gt;""," • "&amp;$S480,"")&amp;IF($T480&lt;&gt;""," • "&amp;$T480,"")&amp;IF($U480&lt;&gt;""," • "&amp;$U480,"")&amp;" • No Blockers"</f>
        <v/>
      </c>
    </row>
    <row r="481">
      <c r="A481" s="19" t="n"/>
      <c r="B481" s="19" t="n"/>
      <c r="C481" s="19" t="n"/>
      <c r="D481" s="19" t="n"/>
      <c r="E481" s="19" t="n"/>
      <c r="F481" s="19" t="n"/>
      <c r="G481" s="19" t="n"/>
      <c r="H481" s="19" t="n"/>
      <c r="I481" s="19" t="n"/>
      <c r="J481" s="19" t="n"/>
      <c r="K481" s="19" t="n"/>
      <c r="L481" s="125" t="n"/>
      <c r="M481" s="88">
        <f>IF($D481="","",IFERROR(VLOOKUP($H481,Lists!$N$2:$O$6,2,FALSE),0))</f>
        <v/>
      </c>
      <c r="N481" s="88">
        <f>IF($D481="","",IF(OR($E481="Blocked",$E481="Done",$E481="Archive"),-9999,IF(AND($E481="Waiting",SUMPRODUCT((($E$5:$E$500="Next")+($E$5:$E$500="In Progress")+($E$5:$E$500="Captured"))*($D$5:$D$500&lt;&gt;""))&gt;0),-500,VLOOKUP($F481,Lists!$L$2:$M$4,2,FALSE)+IF($E481="In Progress",10,0)+IF(AND($I481&lt;&gt;"",$I481&lt;TODAY()),25,0)+IF(AND($I481&lt;&gt;"",$I481&gt;=TODAY(),$I481&lt;=TODAY()+7),15,0)+IF($H481="",0,IF($M481&lt;=VLOOKUP(Home!$C$7,Lists!$N$2:$O$6,2,FALSE),20,-10))+IF($G481=Home!$E$7,15,IF(Home!$E$7="",0,-5))-ROW()/100000)))</f>
        <v/>
      </c>
      <c r="O481" s="88">
        <f>IF($D481="","",IF($N481&lt;=-500,"Not recommended right now",IF($E481="Waiting","Nothing else actionable right now — Waiting on: "&amp;IF($K481="","this item",$K481),MID($V481,4,9999))))</f>
        <v/>
      </c>
      <c r="P481" s="88">
        <f>IF($D481="","",IF('Task Finder'!$C$6="High Priority",AND($F481="High",$E481&lt;&gt;"Done",$E481&lt;&gt;"Archive"),IF('Task Finder'!$C$6="Due This Week",AND($I481&lt;&gt;"",$I481&gt;=TODAY(),$I481&lt;=TODAY()+7,$E481&lt;&gt;"Done"),IF('Task Finder'!$C$6="Quick Wins (15 mins or less)",AND($M481&lt;=15,$E481&lt;&gt;"Done",$E481&lt;&gt;"Blocked"),IF('Task Finder'!$C$6="Deep Thinking",AND($G481="Deep Thinking",$E481&lt;&gt;"Done"),IF('Task Finder'!$C$6="Processing",AND($G481="Processing",$E481&lt;&gt;"Done"),IF('Task Finder'!$C$6="Blocked",$E481="Blocked",IF('Task Finder'!$C$6="Waiting",$E481="Waiting",IF('Task Finder'!$C$6="Recently Updated",AND($L481&lt;&gt;"",$L481&gt;=TODAY()-7),IF('Task Finder'!$C$6="Keyword",AND('Task Finder'!$C$7&lt;&gt;"",OR(ISNUMBER(SEARCH('Task Finder'!$C$7,$A481)),ISNUMBER(SEARCH('Task Finder'!$C$7,$B481)),ISNUMBER(SEARCH('Task Finder'!$C$7,$C481)),ISNUMBER(SEARCH('Task Finder'!$C$7,$D481)),ISNUMBER(SEARCH('Task Finder'!$C$7,$K481)))),TRUE))))))))))</f>
        <v/>
      </c>
      <c r="Q481" s="150">
        <f>IF($F481="High","High Priority","")</f>
        <v/>
      </c>
      <c r="R481" s="150">
        <f>IF(AND($I481&lt;&gt;"",$I481&lt;TODAY()),"Overdue","")</f>
        <v/>
      </c>
      <c r="S481" s="150">
        <f>IF(AND($I481&lt;&gt;"",$I481&gt;=TODAY(),$I481&lt;=TODAY()+7),"Due This Week","")</f>
        <v/>
      </c>
      <c r="T481" s="150">
        <f>IF(AND($H481&lt;&gt;"",$M481&lt;=VLOOKUP(Home!$C$7,Lists!$N$2:$O$6,2,FALSE)),$H481&amp;" Task","")</f>
        <v/>
      </c>
      <c r="U481" s="150">
        <f>IF($G481=Home!$E$7,"Fits Current Energy","")</f>
        <v/>
      </c>
      <c r="V481" s="150">
        <f>IF($Q481&lt;&gt;""," • "&amp;$Q481,"")&amp;IF($R481&lt;&gt;""," • "&amp;$R481,"")&amp;IF($S481&lt;&gt;""," • "&amp;$S481,"")&amp;IF($T481&lt;&gt;""," • "&amp;$T481,"")&amp;IF($U481&lt;&gt;""," • "&amp;$U481,"")&amp;" • No Blockers"</f>
        <v/>
      </c>
    </row>
    <row r="482">
      <c r="A482" s="19" t="n"/>
      <c r="B482" s="19" t="n"/>
      <c r="C482" s="19" t="n"/>
      <c r="D482" s="19" t="n"/>
      <c r="E482" s="19" t="n"/>
      <c r="F482" s="19" t="n"/>
      <c r="G482" s="19" t="n"/>
      <c r="H482" s="19" t="n"/>
      <c r="I482" s="19" t="n"/>
      <c r="J482" s="19" t="n"/>
      <c r="K482" s="19" t="n"/>
      <c r="L482" s="125" t="n"/>
      <c r="M482" s="88">
        <f>IF($D482="","",IFERROR(VLOOKUP($H482,Lists!$N$2:$O$6,2,FALSE),0))</f>
        <v/>
      </c>
      <c r="N482" s="88">
        <f>IF($D482="","",IF(OR($E482="Blocked",$E482="Done",$E482="Archive"),-9999,IF(AND($E482="Waiting",SUMPRODUCT((($E$5:$E$500="Next")+($E$5:$E$500="In Progress")+($E$5:$E$500="Captured"))*($D$5:$D$500&lt;&gt;""))&gt;0),-500,VLOOKUP($F482,Lists!$L$2:$M$4,2,FALSE)+IF($E482="In Progress",10,0)+IF(AND($I482&lt;&gt;"",$I482&lt;TODAY()),25,0)+IF(AND($I482&lt;&gt;"",$I482&gt;=TODAY(),$I482&lt;=TODAY()+7),15,0)+IF($H482="",0,IF($M482&lt;=VLOOKUP(Home!$C$7,Lists!$N$2:$O$6,2,FALSE),20,-10))+IF($G482=Home!$E$7,15,IF(Home!$E$7="",0,-5))-ROW()/100000)))</f>
        <v/>
      </c>
      <c r="O482" s="88">
        <f>IF($D482="","",IF($N482&lt;=-500,"Not recommended right now",IF($E482="Waiting","Nothing else actionable right now — Waiting on: "&amp;IF($K482="","this item",$K482),MID($V482,4,9999))))</f>
        <v/>
      </c>
      <c r="P482" s="88">
        <f>IF($D482="","",IF('Task Finder'!$C$6="High Priority",AND($F482="High",$E482&lt;&gt;"Done",$E482&lt;&gt;"Archive"),IF('Task Finder'!$C$6="Due This Week",AND($I482&lt;&gt;"",$I482&gt;=TODAY(),$I482&lt;=TODAY()+7,$E482&lt;&gt;"Done"),IF('Task Finder'!$C$6="Quick Wins (15 mins or less)",AND($M482&lt;=15,$E482&lt;&gt;"Done",$E482&lt;&gt;"Blocked"),IF('Task Finder'!$C$6="Deep Thinking",AND($G482="Deep Thinking",$E482&lt;&gt;"Done"),IF('Task Finder'!$C$6="Processing",AND($G482="Processing",$E482&lt;&gt;"Done"),IF('Task Finder'!$C$6="Blocked",$E482="Blocked",IF('Task Finder'!$C$6="Waiting",$E482="Waiting",IF('Task Finder'!$C$6="Recently Updated",AND($L482&lt;&gt;"",$L482&gt;=TODAY()-7),IF('Task Finder'!$C$6="Keyword",AND('Task Finder'!$C$7&lt;&gt;"",OR(ISNUMBER(SEARCH('Task Finder'!$C$7,$A482)),ISNUMBER(SEARCH('Task Finder'!$C$7,$B482)),ISNUMBER(SEARCH('Task Finder'!$C$7,$C482)),ISNUMBER(SEARCH('Task Finder'!$C$7,$D482)),ISNUMBER(SEARCH('Task Finder'!$C$7,$K482)))),TRUE))))))))))</f>
        <v/>
      </c>
      <c r="Q482" s="150">
        <f>IF($F482="High","High Priority","")</f>
        <v/>
      </c>
      <c r="R482" s="150">
        <f>IF(AND($I482&lt;&gt;"",$I482&lt;TODAY()),"Overdue","")</f>
        <v/>
      </c>
      <c r="S482" s="150">
        <f>IF(AND($I482&lt;&gt;"",$I482&gt;=TODAY(),$I482&lt;=TODAY()+7),"Due This Week","")</f>
        <v/>
      </c>
      <c r="T482" s="150">
        <f>IF(AND($H482&lt;&gt;"",$M482&lt;=VLOOKUP(Home!$C$7,Lists!$N$2:$O$6,2,FALSE)),$H482&amp;" Task","")</f>
        <v/>
      </c>
      <c r="U482" s="150">
        <f>IF($G482=Home!$E$7,"Fits Current Energy","")</f>
        <v/>
      </c>
      <c r="V482" s="150">
        <f>IF($Q482&lt;&gt;""," • "&amp;$Q482,"")&amp;IF($R482&lt;&gt;""," • "&amp;$R482,"")&amp;IF($S482&lt;&gt;""," • "&amp;$S482,"")&amp;IF($T482&lt;&gt;""," • "&amp;$T482,"")&amp;IF($U482&lt;&gt;""," • "&amp;$U482,"")&amp;" • No Blockers"</f>
        <v/>
      </c>
    </row>
    <row r="483">
      <c r="A483" s="19" t="n"/>
      <c r="B483" s="19" t="n"/>
      <c r="C483" s="19" t="n"/>
      <c r="D483" s="19" t="n"/>
      <c r="E483" s="19" t="n"/>
      <c r="F483" s="19" t="n"/>
      <c r="G483" s="19" t="n"/>
      <c r="H483" s="19" t="n"/>
      <c r="I483" s="19" t="n"/>
      <c r="J483" s="19" t="n"/>
      <c r="K483" s="19" t="n"/>
      <c r="L483" s="125" t="n"/>
      <c r="M483" s="88">
        <f>IF($D483="","",IFERROR(VLOOKUP($H483,Lists!$N$2:$O$6,2,FALSE),0))</f>
        <v/>
      </c>
      <c r="N483" s="88">
        <f>IF($D483="","",IF(OR($E483="Blocked",$E483="Done",$E483="Archive"),-9999,IF(AND($E483="Waiting",SUMPRODUCT((($E$5:$E$500="Next")+($E$5:$E$500="In Progress")+($E$5:$E$500="Captured"))*($D$5:$D$500&lt;&gt;""))&gt;0),-500,VLOOKUP($F483,Lists!$L$2:$M$4,2,FALSE)+IF($E483="In Progress",10,0)+IF(AND($I483&lt;&gt;"",$I483&lt;TODAY()),25,0)+IF(AND($I483&lt;&gt;"",$I483&gt;=TODAY(),$I483&lt;=TODAY()+7),15,0)+IF($H483="",0,IF($M483&lt;=VLOOKUP(Home!$C$7,Lists!$N$2:$O$6,2,FALSE),20,-10))+IF($G483=Home!$E$7,15,IF(Home!$E$7="",0,-5))-ROW()/100000)))</f>
        <v/>
      </c>
      <c r="O483" s="88">
        <f>IF($D483="","",IF($N483&lt;=-500,"Not recommended right now",IF($E483="Waiting","Nothing else actionable right now — Waiting on: "&amp;IF($K483="","this item",$K483),MID($V483,4,9999))))</f>
        <v/>
      </c>
      <c r="P483" s="88">
        <f>IF($D483="","",IF('Task Finder'!$C$6="High Priority",AND($F483="High",$E483&lt;&gt;"Done",$E483&lt;&gt;"Archive"),IF('Task Finder'!$C$6="Due This Week",AND($I483&lt;&gt;"",$I483&gt;=TODAY(),$I483&lt;=TODAY()+7,$E483&lt;&gt;"Done"),IF('Task Finder'!$C$6="Quick Wins (15 mins or less)",AND($M483&lt;=15,$E483&lt;&gt;"Done",$E483&lt;&gt;"Blocked"),IF('Task Finder'!$C$6="Deep Thinking",AND($G483="Deep Thinking",$E483&lt;&gt;"Done"),IF('Task Finder'!$C$6="Processing",AND($G483="Processing",$E483&lt;&gt;"Done"),IF('Task Finder'!$C$6="Blocked",$E483="Blocked",IF('Task Finder'!$C$6="Waiting",$E483="Waiting",IF('Task Finder'!$C$6="Recently Updated",AND($L483&lt;&gt;"",$L483&gt;=TODAY()-7),IF('Task Finder'!$C$6="Keyword",AND('Task Finder'!$C$7&lt;&gt;"",OR(ISNUMBER(SEARCH('Task Finder'!$C$7,$A483)),ISNUMBER(SEARCH('Task Finder'!$C$7,$B483)),ISNUMBER(SEARCH('Task Finder'!$C$7,$C483)),ISNUMBER(SEARCH('Task Finder'!$C$7,$D483)),ISNUMBER(SEARCH('Task Finder'!$C$7,$K483)))),TRUE))))))))))</f>
        <v/>
      </c>
      <c r="Q483" s="150">
        <f>IF($F483="High","High Priority","")</f>
        <v/>
      </c>
      <c r="R483" s="150">
        <f>IF(AND($I483&lt;&gt;"",$I483&lt;TODAY()),"Overdue","")</f>
        <v/>
      </c>
      <c r="S483" s="150">
        <f>IF(AND($I483&lt;&gt;"",$I483&gt;=TODAY(),$I483&lt;=TODAY()+7),"Due This Week","")</f>
        <v/>
      </c>
      <c r="T483" s="150">
        <f>IF(AND($H483&lt;&gt;"",$M483&lt;=VLOOKUP(Home!$C$7,Lists!$N$2:$O$6,2,FALSE)),$H483&amp;" Task","")</f>
        <v/>
      </c>
      <c r="U483" s="150">
        <f>IF($G483=Home!$E$7,"Fits Current Energy","")</f>
        <v/>
      </c>
      <c r="V483" s="150">
        <f>IF($Q483&lt;&gt;""," • "&amp;$Q483,"")&amp;IF($R483&lt;&gt;""," • "&amp;$R483,"")&amp;IF($S483&lt;&gt;""," • "&amp;$S483,"")&amp;IF($T483&lt;&gt;""," • "&amp;$T483,"")&amp;IF($U483&lt;&gt;""," • "&amp;$U483,"")&amp;" • No Blockers"</f>
        <v/>
      </c>
    </row>
    <row r="484">
      <c r="A484" s="19" t="n"/>
      <c r="B484" s="19" t="n"/>
      <c r="C484" s="19" t="n"/>
      <c r="D484" s="19" t="n"/>
      <c r="E484" s="19" t="n"/>
      <c r="F484" s="19" t="n"/>
      <c r="G484" s="19" t="n"/>
      <c r="H484" s="19" t="n"/>
      <c r="I484" s="19" t="n"/>
      <c r="J484" s="19" t="n"/>
      <c r="K484" s="19" t="n"/>
      <c r="L484" s="125" t="n"/>
      <c r="M484" s="88">
        <f>IF($D484="","",IFERROR(VLOOKUP($H484,Lists!$N$2:$O$6,2,FALSE),0))</f>
        <v/>
      </c>
      <c r="N484" s="88">
        <f>IF($D484="","",IF(OR($E484="Blocked",$E484="Done",$E484="Archive"),-9999,IF(AND($E484="Waiting",SUMPRODUCT((($E$5:$E$500="Next")+($E$5:$E$500="In Progress")+($E$5:$E$500="Captured"))*($D$5:$D$500&lt;&gt;""))&gt;0),-500,VLOOKUP($F484,Lists!$L$2:$M$4,2,FALSE)+IF($E484="In Progress",10,0)+IF(AND($I484&lt;&gt;"",$I484&lt;TODAY()),25,0)+IF(AND($I484&lt;&gt;"",$I484&gt;=TODAY(),$I484&lt;=TODAY()+7),15,0)+IF($H484="",0,IF($M484&lt;=VLOOKUP(Home!$C$7,Lists!$N$2:$O$6,2,FALSE),20,-10))+IF($G484=Home!$E$7,15,IF(Home!$E$7="",0,-5))-ROW()/100000)))</f>
        <v/>
      </c>
      <c r="O484" s="88">
        <f>IF($D484="","",IF($N484&lt;=-500,"Not recommended right now",IF($E484="Waiting","Nothing else actionable right now — Waiting on: "&amp;IF($K484="","this item",$K484),MID($V484,4,9999))))</f>
        <v/>
      </c>
      <c r="P484" s="88">
        <f>IF($D484="","",IF('Task Finder'!$C$6="High Priority",AND($F484="High",$E484&lt;&gt;"Done",$E484&lt;&gt;"Archive"),IF('Task Finder'!$C$6="Due This Week",AND($I484&lt;&gt;"",$I484&gt;=TODAY(),$I484&lt;=TODAY()+7,$E484&lt;&gt;"Done"),IF('Task Finder'!$C$6="Quick Wins (15 mins or less)",AND($M484&lt;=15,$E484&lt;&gt;"Done",$E484&lt;&gt;"Blocked"),IF('Task Finder'!$C$6="Deep Thinking",AND($G484="Deep Thinking",$E484&lt;&gt;"Done"),IF('Task Finder'!$C$6="Processing",AND($G484="Processing",$E484&lt;&gt;"Done"),IF('Task Finder'!$C$6="Blocked",$E484="Blocked",IF('Task Finder'!$C$6="Waiting",$E484="Waiting",IF('Task Finder'!$C$6="Recently Updated",AND($L484&lt;&gt;"",$L484&gt;=TODAY()-7),IF('Task Finder'!$C$6="Keyword",AND('Task Finder'!$C$7&lt;&gt;"",OR(ISNUMBER(SEARCH('Task Finder'!$C$7,$A484)),ISNUMBER(SEARCH('Task Finder'!$C$7,$B484)),ISNUMBER(SEARCH('Task Finder'!$C$7,$C484)),ISNUMBER(SEARCH('Task Finder'!$C$7,$D484)),ISNUMBER(SEARCH('Task Finder'!$C$7,$K484)))),TRUE))))))))))</f>
        <v/>
      </c>
      <c r="Q484" s="150">
        <f>IF($F484="High","High Priority","")</f>
        <v/>
      </c>
      <c r="R484" s="150">
        <f>IF(AND($I484&lt;&gt;"",$I484&lt;TODAY()),"Overdue","")</f>
        <v/>
      </c>
      <c r="S484" s="150">
        <f>IF(AND($I484&lt;&gt;"",$I484&gt;=TODAY(),$I484&lt;=TODAY()+7),"Due This Week","")</f>
        <v/>
      </c>
      <c r="T484" s="150">
        <f>IF(AND($H484&lt;&gt;"",$M484&lt;=VLOOKUP(Home!$C$7,Lists!$N$2:$O$6,2,FALSE)),$H484&amp;" Task","")</f>
        <v/>
      </c>
      <c r="U484" s="150">
        <f>IF($G484=Home!$E$7,"Fits Current Energy","")</f>
        <v/>
      </c>
      <c r="V484" s="150">
        <f>IF($Q484&lt;&gt;""," • "&amp;$Q484,"")&amp;IF($R484&lt;&gt;""," • "&amp;$R484,"")&amp;IF($S484&lt;&gt;""," • "&amp;$S484,"")&amp;IF($T484&lt;&gt;""," • "&amp;$T484,"")&amp;IF($U484&lt;&gt;""," • "&amp;$U484,"")&amp;" • No Blockers"</f>
        <v/>
      </c>
    </row>
    <row r="485">
      <c r="A485" s="19" t="n"/>
      <c r="B485" s="19" t="n"/>
      <c r="C485" s="19" t="n"/>
      <c r="D485" s="19" t="n"/>
      <c r="E485" s="19" t="n"/>
      <c r="F485" s="19" t="n"/>
      <c r="G485" s="19" t="n"/>
      <c r="H485" s="19" t="n"/>
      <c r="I485" s="19" t="n"/>
      <c r="J485" s="19" t="n"/>
      <c r="K485" s="19" t="n"/>
      <c r="L485" s="125" t="n"/>
      <c r="M485" s="88">
        <f>IF($D485="","",IFERROR(VLOOKUP($H485,Lists!$N$2:$O$6,2,FALSE),0))</f>
        <v/>
      </c>
      <c r="N485" s="88">
        <f>IF($D485="","",IF(OR($E485="Blocked",$E485="Done",$E485="Archive"),-9999,IF(AND($E485="Waiting",SUMPRODUCT((($E$5:$E$500="Next")+($E$5:$E$500="In Progress")+($E$5:$E$500="Captured"))*($D$5:$D$500&lt;&gt;""))&gt;0),-500,VLOOKUP($F485,Lists!$L$2:$M$4,2,FALSE)+IF($E485="In Progress",10,0)+IF(AND($I485&lt;&gt;"",$I485&lt;TODAY()),25,0)+IF(AND($I485&lt;&gt;"",$I485&gt;=TODAY(),$I485&lt;=TODAY()+7),15,0)+IF($H485="",0,IF($M485&lt;=VLOOKUP(Home!$C$7,Lists!$N$2:$O$6,2,FALSE),20,-10))+IF($G485=Home!$E$7,15,IF(Home!$E$7="",0,-5))-ROW()/100000)))</f>
        <v/>
      </c>
      <c r="O485" s="88">
        <f>IF($D485="","",IF($N485&lt;=-500,"Not recommended right now",IF($E485="Waiting","Nothing else actionable right now — Waiting on: "&amp;IF($K485="","this item",$K485),MID($V485,4,9999))))</f>
        <v/>
      </c>
      <c r="P485" s="88">
        <f>IF($D485="","",IF('Task Finder'!$C$6="High Priority",AND($F485="High",$E485&lt;&gt;"Done",$E485&lt;&gt;"Archive"),IF('Task Finder'!$C$6="Due This Week",AND($I485&lt;&gt;"",$I485&gt;=TODAY(),$I485&lt;=TODAY()+7,$E485&lt;&gt;"Done"),IF('Task Finder'!$C$6="Quick Wins (15 mins or less)",AND($M485&lt;=15,$E485&lt;&gt;"Done",$E485&lt;&gt;"Blocked"),IF('Task Finder'!$C$6="Deep Thinking",AND($G485="Deep Thinking",$E485&lt;&gt;"Done"),IF('Task Finder'!$C$6="Processing",AND($G485="Processing",$E485&lt;&gt;"Done"),IF('Task Finder'!$C$6="Blocked",$E485="Blocked",IF('Task Finder'!$C$6="Waiting",$E485="Waiting",IF('Task Finder'!$C$6="Recently Updated",AND($L485&lt;&gt;"",$L485&gt;=TODAY()-7),IF('Task Finder'!$C$6="Keyword",AND('Task Finder'!$C$7&lt;&gt;"",OR(ISNUMBER(SEARCH('Task Finder'!$C$7,$A485)),ISNUMBER(SEARCH('Task Finder'!$C$7,$B485)),ISNUMBER(SEARCH('Task Finder'!$C$7,$C485)),ISNUMBER(SEARCH('Task Finder'!$C$7,$D485)),ISNUMBER(SEARCH('Task Finder'!$C$7,$K485)))),TRUE))))))))))</f>
        <v/>
      </c>
      <c r="Q485" s="150">
        <f>IF($F485="High","High Priority","")</f>
        <v/>
      </c>
      <c r="R485" s="150">
        <f>IF(AND($I485&lt;&gt;"",$I485&lt;TODAY()),"Overdue","")</f>
        <v/>
      </c>
      <c r="S485" s="150">
        <f>IF(AND($I485&lt;&gt;"",$I485&gt;=TODAY(),$I485&lt;=TODAY()+7),"Due This Week","")</f>
        <v/>
      </c>
      <c r="T485" s="150">
        <f>IF(AND($H485&lt;&gt;"",$M485&lt;=VLOOKUP(Home!$C$7,Lists!$N$2:$O$6,2,FALSE)),$H485&amp;" Task","")</f>
        <v/>
      </c>
      <c r="U485" s="150">
        <f>IF($G485=Home!$E$7,"Fits Current Energy","")</f>
        <v/>
      </c>
      <c r="V485" s="150">
        <f>IF($Q485&lt;&gt;""," • "&amp;$Q485,"")&amp;IF($R485&lt;&gt;""," • "&amp;$R485,"")&amp;IF($S485&lt;&gt;""," • "&amp;$S485,"")&amp;IF($T485&lt;&gt;""," • "&amp;$T485,"")&amp;IF($U485&lt;&gt;""," • "&amp;$U485,"")&amp;" • No Blockers"</f>
        <v/>
      </c>
    </row>
    <row r="486">
      <c r="A486" s="19" t="n"/>
      <c r="B486" s="19" t="n"/>
      <c r="C486" s="19" t="n"/>
      <c r="D486" s="19" t="n"/>
      <c r="E486" s="19" t="n"/>
      <c r="F486" s="19" t="n"/>
      <c r="G486" s="19" t="n"/>
      <c r="H486" s="19" t="n"/>
      <c r="I486" s="19" t="n"/>
      <c r="J486" s="19" t="n"/>
      <c r="K486" s="19" t="n"/>
      <c r="L486" s="125" t="n"/>
      <c r="M486" s="88">
        <f>IF($D486="","",IFERROR(VLOOKUP($H486,Lists!$N$2:$O$6,2,FALSE),0))</f>
        <v/>
      </c>
      <c r="N486" s="88">
        <f>IF($D486="","",IF(OR($E486="Blocked",$E486="Done",$E486="Archive"),-9999,IF(AND($E486="Waiting",SUMPRODUCT((($E$5:$E$500="Next")+($E$5:$E$500="In Progress")+($E$5:$E$500="Captured"))*($D$5:$D$500&lt;&gt;""))&gt;0),-500,VLOOKUP($F486,Lists!$L$2:$M$4,2,FALSE)+IF($E486="In Progress",10,0)+IF(AND($I486&lt;&gt;"",$I486&lt;TODAY()),25,0)+IF(AND($I486&lt;&gt;"",$I486&gt;=TODAY(),$I486&lt;=TODAY()+7),15,0)+IF($H486="",0,IF($M486&lt;=VLOOKUP(Home!$C$7,Lists!$N$2:$O$6,2,FALSE),20,-10))+IF($G486=Home!$E$7,15,IF(Home!$E$7="",0,-5))-ROW()/100000)))</f>
        <v/>
      </c>
      <c r="O486" s="88">
        <f>IF($D486="","",IF($N486&lt;=-500,"Not recommended right now",IF($E486="Waiting","Nothing else actionable right now — Waiting on: "&amp;IF($K486="","this item",$K486),MID($V486,4,9999))))</f>
        <v/>
      </c>
      <c r="P486" s="88">
        <f>IF($D486="","",IF('Task Finder'!$C$6="High Priority",AND($F486="High",$E486&lt;&gt;"Done",$E486&lt;&gt;"Archive"),IF('Task Finder'!$C$6="Due This Week",AND($I486&lt;&gt;"",$I486&gt;=TODAY(),$I486&lt;=TODAY()+7,$E486&lt;&gt;"Done"),IF('Task Finder'!$C$6="Quick Wins (15 mins or less)",AND($M486&lt;=15,$E486&lt;&gt;"Done",$E486&lt;&gt;"Blocked"),IF('Task Finder'!$C$6="Deep Thinking",AND($G486="Deep Thinking",$E486&lt;&gt;"Done"),IF('Task Finder'!$C$6="Processing",AND($G486="Processing",$E486&lt;&gt;"Done"),IF('Task Finder'!$C$6="Blocked",$E486="Blocked",IF('Task Finder'!$C$6="Waiting",$E486="Waiting",IF('Task Finder'!$C$6="Recently Updated",AND($L486&lt;&gt;"",$L486&gt;=TODAY()-7),IF('Task Finder'!$C$6="Keyword",AND('Task Finder'!$C$7&lt;&gt;"",OR(ISNUMBER(SEARCH('Task Finder'!$C$7,$A486)),ISNUMBER(SEARCH('Task Finder'!$C$7,$B486)),ISNUMBER(SEARCH('Task Finder'!$C$7,$C486)),ISNUMBER(SEARCH('Task Finder'!$C$7,$D486)),ISNUMBER(SEARCH('Task Finder'!$C$7,$K486)))),TRUE))))))))))</f>
        <v/>
      </c>
      <c r="Q486" s="150">
        <f>IF($F486="High","High Priority","")</f>
        <v/>
      </c>
      <c r="R486" s="150">
        <f>IF(AND($I486&lt;&gt;"",$I486&lt;TODAY()),"Overdue","")</f>
        <v/>
      </c>
      <c r="S486" s="150">
        <f>IF(AND($I486&lt;&gt;"",$I486&gt;=TODAY(),$I486&lt;=TODAY()+7),"Due This Week","")</f>
        <v/>
      </c>
      <c r="T486" s="150">
        <f>IF(AND($H486&lt;&gt;"",$M486&lt;=VLOOKUP(Home!$C$7,Lists!$N$2:$O$6,2,FALSE)),$H486&amp;" Task","")</f>
        <v/>
      </c>
      <c r="U486" s="150">
        <f>IF($G486=Home!$E$7,"Fits Current Energy","")</f>
        <v/>
      </c>
      <c r="V486" s="150">
        <f>IF($Q486&lt;&gt;""," • "&amp;$Q486,"")&amp;IF($R486&lt;&gt;""," • "&amp;$R486,"")&amp;IF($S486&lt;&gt;""," • "&amp;$S486,"")&amp;IF($T486&lt;&gt;""," • "&amp;$T486,"")&amp;IF($U486&lt;&gt;""," • "&amp;$U486,"")&amp;" • No Blockers"</f>
        <v/>
      </c>
    </row>
    <row r="487">
      <c r="A487" s="19" t="n"/>
      <c r="B487" s="19" t="n"/>
      <c r="C487" s="19" t="n"/>
      <c r="D487" s="19" t="n"/>
      <c r="E487" s="19" t="n"/>
      <c r="F487" s="19" t="n"/>
      <c r="G487" s="19" t="n"/>
      <c r="H487" s="19" t="n"/>
      <c r="I487" s="19" t="n"/>
      <c r="J487" s="19" t="n"/>
      <c r="K487" s="19" t="n"/>
      <c r="L487" s="125" t="n"/>
      <c r="M487" s="88">
        <f>IF($D487="","",IFERROR(VLOOKUP($H487,Lists!$N$2:$O$6,2,FALSE),0))</f>
        <v/>
      </c>
      <c r="N487" s="88">
        <f>IF($D487="","",IF(OR($E487="Blocked",$E487="Done",$E487="Archive"),-9999,IF(AND($E487="Waiting",SUMPRODUCT((($E$5:$E$500="Next")+($E$5:$E$500="In Progress")+($E$5:$E$500="Captured"))*($D$5:$D$500&lt;&gt;""))&gt;0),-500,VLOOKUP($F487,Lists!$L$2:$M$4,2,FALSE)+IF($E487="In Progress",10,0)+IF(AND($I487&lt;&gt;"",$I487&lt;TODAY()),25,0)+IF(AND($I487&lt;&gt;"",$I487&gt;=TODAY(),$I487&lt;=TODAY()+7),15,0)+IF($H487="",0,IF($M487&lt;=VLOOKUP(Home!$C$7,Lists!$N$2:$O$6,2,FALSE),20,-10))+IF($G487=Home!$E$7,15,IF(Home!$E$7="",0,-5))-ROW()/100000)))</f>
        <v/>
      </c>
      <c r="O487" s="88">
        <f>IF($D487="","",IF($N487&lt;=-500,"Not recommended right now",IF($E487="Waiting","Nothing else actionable right now — Waiting on: "&amp;IF($K487="","this item",$K487),MID($V487,4,9999))))</f>
        <v/>
      </c>
      <c r="P487" s="88">
        <f>IF($D487="","",IF('Task Finder'!$C$6="High Priority",AND($F487="High",$E487&lt;&gt;"Done",$E487&lt;&gt;"Archive"),IF('Task Finder'!$C$6="Due This Week",AND($I487&lt;&gt;"",$I487&gt;=TODAY(),$I487&lt;=TODAY()+7,$E487&lt;&gt;"Done"),IF('Task Finder'!$C$6="Quick Wins (15 mins or less)",AND($M487&lt;=15,$E487&lt;&gt;"Done",$E487&lt;&gt;"Blocked"),IF('Task Finder'!$C$6="Deep Thinking",AND($G487="Deep Thinking",$E487&lt;&gt;"Done"),IF('Task Finder'!$C$6="Processing",AND($G487="Processing",$E487&lt;&gt;"Done"),IF('Task Finder'!$C$6="Blocked",$E487="Blocked",IF('Task Finder'!$C$6="Waiting",$E487="Waiting",IF('Task Finder'!$C$6="Recently Updated",AND($L487&lt;&gt;"",$L487&gt;=TODAY()-7),IF('Task Finder'!$C$6="Keyword",AND('Task Finder'!$C$7&lt;&gt;"",OR(ISNUMBER(SEARCH('Task Finder'!$C$7,$A487)),ISNUMBER(SEARCH('Task Finder'!$C$7,$B487)),ISNUMBER(SEARCH('Task Finder'!$C$7,$C487)),ISNUMBER(SEARCH('Task Finder'!$C$7,$D487)),ISNUMBER(SEARCH('Task Finder'!$C$7,$K487)))),TRUE))))))))))</f>
        <v/>
      </c>
      <c r="Q487" s="150">
        <f>IF($F487="High","High Priority","")</f>
        <v/>
      </c>
      <c r="R487" s="150">
        <f>IF(AND($I487&lt;&gt;"",$I487&lt;TODAY()),"Overdue","")</f>
        <v/>
      </c>
      <c r="S487" s="150">
        <f>IF(AND($I487&lt;&gt;"",$I487&gt;=TODAY(),$I487&lt;=TODAY()+7),"Due This Week","")</f>
        <v/>
      </c>
      <c r="T487" s="150">
        <f>IF(AND($H487&lt;&gt;"",$M487&lt;=VLOOKUP(Home!$C$7,Lists!$N$2:$O$6,2,FALSE)),$H487&amp;" Task","")</f>
        <v/>
      </c>
      <c r="U487" s="150">
        <f>IF($G487=Home!$E$7,"Fits Current Energy","")</f>
        <v/>
      </c>
      <c r="V487" s="150">
        <f>IF($Q487&lt;&gt;""," • "&amp;$Q487,"")&amp;IF($R487&lt;&gt;""," • "&amp;$R487,"")&amp;IF($S487&lt;&gt;""," • "&amp;$S487,"")&amp;IF($T487&lt;&gt;""," • "&amp;$T487,"")&amp;IF($U487&lt;&gt;""," • "&amp;$U487,"")&amp;" • No Blockers"</f>
        <v/>
      </c>
    </row>
    <row r="488">
      <c r="A488" s="19" t="n"/>
      <c r="B488" s="19" t="n"/>
      <c r="C488" s="19" t="n"/>
      <c r="D488" s="19" t="n"/>
      <c r="E488" s="19" t="n"/>
      <c r="F488" s="19" t="n"/>
      <c r="G488" s="19" t="n"/>
      <c r="H488" s="19" t="n"/>
      <c r="I488" s="19" t="n"/>
      <c r="J488" s="19" t="n"/>
      <c r="K488" s="19" t="n"/>
      <c r="L488" s="125" t="n"/>
      <c r="M488" s="88">
        <f>IF($D488="","",IFERROR(VLOOKUP($H488,Lists!$N$2:$O$6,2,FALSE),0))</f>
        <v/>
      </c>
      <c r="N488" s="88">
        <f>IF($D488="","",IF(OR($E488="Blocked",$E488="Done",$E488="Archive"),-9999,IF(AND($E488="Waiting",SUMPRODUCT((($E$5:$E$500="Next")+($E$5:$E$500="In Progress")+($E$5:$E$500="Captured"))*($D$5:$D$500&lt;&gt;""))&gt;0),-500,VLOOKUP($F488,Lists!$L$2:$M$4,2,FALSE)+IF($E488="In Progress",10,0)+IF(AND($I488&lt;&gt;"",$I488&lt;TODAY()),25,0)+IF(AND($I488&lt;&gt;"",$I488&gt;=TODAY(),$I488&lt;=TODAY()+7),15,0)+IF($H488="",0,IF($M488&lt;=VLOOKUP(Home!$C$7,Lists!$N$2:$O$6,2,FALSE),20,-10))+IF($G488=Home!$E$7,15,IF(Home!$E$7="",0,-5))-ROW()/100000)))</f>
        <v/>
      </c>
      <c r="O488" s="88">
        <f>IF($D488="","",IF($N488&lt;=-500,"Not recommended right now",IF($E488="Waiting","Nothing else actionable right now — Waiting on: "&amp;IF($K488="","this item",$K488),MID($V488,4,9999))))</f>
        <v/>
      </c>
      <c r="P488" s="88">
        <f>IF($D488="","",IF('Task Finder'!$C$6="High Priority",AND($F488="High",$E488&lt;&gt;"Done",$E488&lt;&gt;"Archive"),IF('Task Finder'!$C$6="Due This Week",AND($I488&lt;&gt;"",$I488&gt;=TODAY(),$I488&lt;=TODAY()+7,$E488&lt;&gt;"Done"),IF('Task Finder'!$C$6="Quick Wins (15 mins or less)",AND($M488&lt;=15,$E488&lt;&gt;"Done",$E488&lt;&gt;"Blocked"),IF('Task Finder'!$C$6="Deep Thinking",AND($G488="Deep Thinking",$E488&lt;&gt;"Done"),IF('Task Finder'!$C$6="Processing",AND($G488="Processing",$E488&lt;&gt;"Done"),IF('Task Finder'!$C$6="Blocked",$E488="Blocked",IF('Task Finder'!$C$6="Waiting",$E488="Waiting",IF('Task Finder'!$C$6="Recently Updated",AND($L488&lt;&gt;"",$L488&gt;=TODAY()-7),IF('Task Finder'!$C$6="Keyword",AND('Task Finder'!$C$7&lt;&gt;"",OR(ISNUMBER(SEARCH('Task Finder'!$C$7,$A488)),ISNUMBER(SEARCH('Task Finder'!$C$7,$B488)),ISNUMBER(SEARCH('Task Finder'!$C$7,$C488)),ISNUMBER(SEARCH('Task Finder'!$C$7,$D488)),ISNUMBER(SEARCH('Task Finder'!$C$7,$K488)))),TRUE))))))))))</f>
        <v/>
      </c>
      <c r="Q488" s="150">
        <f>IF($F488="High","High Priority","")</f>
        <v/>
      </c>
      <c r="R488" s="150">
        <f>IF(AND($I488&lt;&gt;"",$I488&lt;TODAY()),"Overdue","")</f>
        <v/>
      </c>
      <c r="S488" s="150">
        <f>IF(AND($I488&lt;&gt;"",$I488&gt;=TODAY(),$I488&lt;=TODAY()+7),"Due This Week","")</f>
        <v/>
      </c>
      <c r="T488" s="150">
        <f>IF(AND($H488&lt;&gt;"",$M488&lt;=VLOOKUP(Home!$C$7,Lists!$N$2:$O$6,2,FALSE)),$H488&amp;" Task","")</f>
        <v/>
      </c>
      <c r="U488" s="150">
        <f>IF($G488=Home!$E$7,"Fits Current Energy","")</f>
        <v/>
      </c>
      <c r="V488" s="150">
        <f>IF($Q488&lt;&gt;""," • "&amp;$Q488,"")&amp;IF($R488&lt;&gt;""," • "&amp;$R488,"")&amp;IF($S488&lt;&gt;""," • "&amp;$S488,"")&amp;IF($T488&lt;&gt;""," • "&amp;$T488,"")&amp;IF($U488&lt;&gt;""," • "&amp;$U488,"")&amp;" • No Blockers"</f>
        <v/>
      </c>
    </row>
    <row r="489">
      <c r="A489" s="19" t="n"/>
      <c r="B489" s="19" t="n"/>
      <c r="C489" s="19" t="n"/>
      <c r="D489" s="19" t="n"/>
      <c r="E489" s="19" t="n"/>
      <c r="F489" s="19" t="n"/>
      <c r="G489" s="19" t="n"/>
      <c r="H489" s="19" t="n"/>
      <c r="I489" s="19" t="n"/>
      <c r="J489" s="19" t="n"/>
      <c r="K489" s="19" t="n"/>
      <c r="L489" s="125" t="n"/>
      <c r="M489" s="88">
        <f>IF($D489="","",IFERROR(VLOOKUP($H489,Lists!$N$2:$O$6,2,FALSE),0))</f>
        <v/>
      </c>
      <c r="N489" s="88">
        <f>IF($D489="","",IF(OR($E489="Blocked",$E489="Done",$E489="Archive"),-9999,IF(AND($E489="Waiting",SUMPRODUCT((($E$5:$E$500="Next")+($E$5:$E$500="In Progress")+($E$5:$E$500="Captured"))*($D$5:$D$500&lt;&gt;""))&gt;0),-500,VLOOKUP($F489,Lists!$L$2:$M$4,2,FALSE)+IF($E489="In Progress",10,0)+IF(AND($I489&lt;&gt;"",$I489&lt;TODAY()),25,0)+IF(AND($I489&lt;&gt;"",$I489&gt;=TODAY(),$I489&lt;=TODAY()+7),15,0)+IF($H489="",0,IF($M489&lt;=VLOOKUP(Home!$C$7,Lists!$N$2:$O$6,2,FALSE),20,-10))+IF($G489=Home!$E$7,15,IF(Home!$E$7="",0,-5))-ROW()/100000)))</f>
        <v/>
      </c>
      <c r="O489" s="88">
        <f>IF($D489="","",IF($N489&lt;=-500,"Not recommended right now",IF($E489="Waiting","Nothing else actionable right now — Waiting on: "&amp;IF($K489="","this item",$K489),MID($V489,4,9999))))</f>
        <v/>
      </c>
      <c r="P489" s="88">
        <f>IF($D489="","",IF('Task Finder'!$C$6="High Priority",AND($F489="High",$E489&lt;&gt;"Done",$E489&lt;&gt;"Archive"),IF('Task Finder'!$C$6="Due This Week",AND($I489&lt;&gt;"",$I489&gt;=TODAY(),$I489&lt;=TODAY()+7,$E489&lt;&gt;"Done"),IF('Task Finder'!$C$6="Quick Wins (15 mins or less)",AND($M489&lt;=15,$E489&lt;&gt;"Done",$E489&lt;&gt;"Blocked"),IF('Task Finder'!$C$6="Deep Thinking",AND($G489="Deep Thinking",$E489&lt;&gt;"Done"),IF('Task Finder'!$C$6="Processing",AND($G489="Processing",$E489&lt;&gt;"Done"),IF('Task Finder'!$C$6="Blocked",$E489="Blocked",IF('Task Finder'!$C$6="Waiting",$E489="Waiting",IF('Task Finder'!$C$6="Recently Updated",AND($L489&lt;&gt;"",$L489&gt;=TODAY()-7),IF('Task Finder'!$C$6="Keyword",AND('Task Finder'!$C$7&lt;&gt;"",OR(ISNUMBER(SEARCH('Task Finder'!$C$7,$A489)),ISNUMBER(SEARCH('Task Finder'!$C$7,$B489)),ISNUMBER(SEARCH('Task Finder'!$C$7,$C489)),ISNUMBER(SEARCH('Task Finder'!$C$7,$D489)),ISNUMBER(SEARCH('Task Finder'!$C$7,$K489)))),TRUE))))))))))</f>
        <v/>
      </c>
      <c r="Q489" s="150">
        <f>IF($F489="High","High Priority","")</f>
        <v/>
      </c>
      <c r="R489" s="150">
        <f>IF(AND($I489&lt;&gt;"",$I489&lt;TODAY()),"Overdue","")</f>
        <v/>
      </c>
      <c r="S489" s="150">
        <f>IF(AND($I489&lt;&gt;"",$I489&gt;=TODAY(),$I489&lt;=TODAY()+7),"Due This Week","")</f>
        <v/>
      </c>
      <c r="T489" s="150">
        <f>IF(AND($H489&lt;&gt;"",$M489&lt;=VLOOKUP(Home!$C$7,Lists!$N$2:$O$6,2,FALSE)),$H489&amp;" Task","")</f>
        <v/>
      </c>
      <c r="U489" s="150">
        <f>IF($G489=Home!$E$7,"Fits Current Energy","")</f>
        <v/>
      </c>
      <c r="V489" s="150">
        <f>IF($Q489&lt;&gt;""," • "&amp;$Q489,"")&amp;IF($R489&lt;&gt;""," • "&amp;$R489,"")&amp;IF($S489&lt;&gt;""," • "&amp;$S489,"")&amp;IF($T489&lt;&gt;""," • "&amp;$T489,"")&amp;IF($U489&lt;&gt;""," • "&amp;$U489,"")&amp;" • No Blockers"</f>
        <v/>
      </c>
    </row>
    <row r="490">
      <c r="A490" s="19" t="n"/>
      <c r="B490" s="19" t="n"/>
      <c r="C490" s="19" t="n"/>
      <c r="D490" s="19" t="n"/>
      <c r="E490" s="19" t="n"/>
      <c r="F490" s="19" t="n"/>
      <c r="G490" s="19" t="n"/>
      <c r="H490" s="19" t="n"/>
      <c r="I490" s="19" t="n"/>
      <c r="J490" s="19" t="n"/>
      <c r="K490" s="19" t="n"/>
      <c r="L490" s="125" t="n"/>
      <c r="M490" s="88">
        <f>IF($D490="","",IFERROR(VLOOKUP($H490,Lists!$N$2:$O$6,2,FALSE),0))</f>
        <v/>
      </c>
      <c r="N490" s="88">
        <f>IF($D490="","",IF(OR($E490="Blocked",$E490="Done",$E490="Archive"),-9999,IF(AND($E490="Waiting",SUMPRODUCT((($E$5:$E$500="Next")+($E$5:$E$500="In Progress")+($E$5:$E$500="Captured"))*($D$5:$D$500&lt;&gt;""))&gt;0),-500,VLOOKUP($F490,Lists!$L$2:$M$4,2,FALSE)+IF($E490="In Progress",10,0)+IF(AND($I490&lt;&gt;"",$I490&lt;TODAY()),25,0)+IF(AND($I490&lt;&gt;"",$I490&gt;=TODAY(),$I490&lt;=TODAY()+7),15,0)+IF($H490="",0,IF($M490&lt;=VLOOKUP(Home!$C$7,Lists!$N$2:$O$6,2,FALSE),20,-10))+IF($G490=Home!$E$7,15,IF(Home!$E$7="",0,-5))-ROW()/100000)))</f>
        <v/>
      </c>
      <c r="O490" s="88">
        <f>IF($D490="","",IF($N490&lt;=-500,"Not recommended right now",IF($E490="Waiting","Nothing else actionable right now — Waiting on: "&amp;IF($K490="","this item",$K490),MID($V490,4,9999))))</f>
        <v/>
      </c>
      <c r="P490" s="88">
        <f>IF($D490="","",IF('Task Finder'!$C$6="High Priority",AND($F490="High",$E490&lt;&gt;"Done",$E490&lt;&gt;"Archive"),IF('Task Finder'!$C$6="Due This Week",AND($I490&lt;&gt;"",$I490&gt;=TODAY(),$I490&lt;=TODAY()+7,$E490&lt;&gt;"Done"),IF('Task Finder'!$C$6="Quick Wins (15 mins or less)",AND($M490&lt;=15,$E490&lt;&gt;"Done",$E490&lt;&gt;"Blocked"),IF('Task Finder'!$C$6="Deep Thinking",AND($G490="Deep Thinking",$E490&lt;&gt;"Done"),IF('Task Finder'!$C$6="Processing",AND($G490="Processing",$E490&lt;&gt;"Done"),IF('Task Finder'!$C$6="Blocked",$E490="Blocked",IF('Task Finder'!$C$6="Waiting",$E490="Waiting",IF('Task Finder'!$C$6="Recently Updated",AND($L490&lt;&gt;"",$L490&gt;=TODAY()-7),IF('Task Finder'!$C$6="Keyword",AND('Task Finder'!$C$7&lt;&gt;"",OR(ISNUMBER(SEARCH('Task Finder'!$C$7,$A490)),ISNUMBER(SEARCH('Task Finder'!$C$7,$B490)),ISNUMBER(SEARCH('Task Finder'!$C$7,$C490)),ISNUMBER(SEARCH('Task Finder'!$C$7,$D490)),ISNUMBER(SEARCH('Task Finder'!$C$7,$K490)))),TRUE))))))))))</f>
        <v/>
      </c>
      <c r="Q490" s="150">
        <f>IF($F490="High","High Priority","")</f>
        <v/>
      </c>
      <c r="R490" s="150">
        <f>IF(AND($I490&lt;&gt;"",$I490&lt;TODAY()),"Overdue","")</f>
        <v/>
      </c>
      <c r="S490" s="150">
        <f>IF(AND($I490&lt;&gt;"",$I490&gt;=TODAY(),$I490&lt;=TODAY()+7),"Due This Week","")</f>
        <v/>
      </c>
      <c r="T490" s="150">
        <f>IF(AND($H490&lt;&gt;"",$M490&lt;=VLOOKUP(Home!$C$7,Lists!$N$2:$O$6,2,FALSE)),$H490&amp;" Task","")</f>
        <v/>
      </c>
      <c r="U490" s="150">
        <f>IF($G490=Home!$E$7,"Fits Current Energy","")</f>
        <v/>
      </c>
      <c r="V490" s="150">
        <f>IF($Q490&lt;&gt;""," • "&amp;$Q490,"")&amp;IF($R490&lt;&gt;""," • "&amp;$R490,"")&amp;IF($S490&lt;&gt;""," • "&amp;$S490,"")&amp;IF($T490&lt;&gt;""," • "&amp;$T490,"")&amp;IF($U490&lt;&gt;""," • "&amp;$U490,"")&amp;" • No Blockers"</f>
        <v/>
      </c>
    </row>
    <row r="491">
      <c r="A491" s="19" t="n"/>
      <c r="B491" s="19" t="n"/>
      <c r="C491" s="19" t="n"/>
      <c r="D491" s="19" t="n"/>
      <c r="E491" s="19" t="n"/>
      <c r="F491" s="19" t="n"/>
      <c r="G491" s="19" t="n"/>
      <c r="H491" s="19" t="n"/>
      <c r="I491" s="19" t="n"/>
      <c r="J491" s="19" t="n"/>
      <c r="K491" s="19" t="n"/>
      <c r="L491" s="125" t="n"/>
      <c r="M491" s="88">
        <f>IF($D491="","",IFERROR(VLOOKUP($H491,Lists!$N$2:$O$6,2,FALSE),0))</f>
        <v/>
      </c>
      <c r="N491" s="88">
        <f>IF($D491="","",IF(OR($E491="Blocked",$E491="Done",$E491="Archive"),-9999,IF(AND($E491="Waiting",SUMPRODUCT((($E$5:$E$500="Next")+($E$5:$E$500="In Progress")+($E$5:$E$500="Captured"))*($D$5:$D$500&lt;&gt;""))&gt;0),-500,VLOOKUP($F491,Lists!$L$2:$M$4,2,FALSE)+IF($E491="In Progress",10,0)+IF(AND($I491&lt;&gt;"",$I491&lt;TODAY()),25,0)+IF(AND($I491&lt;&gt;"",$I491&gt;=TODAY(),$I491&lt;=TODAY()+7),15,0)+IF($H491="",0,IF($M491&lt;=VLOOKUP(Home!$C$7,Lists!$N$2:$O$6,2,FALSE),20,-10))+IF($G491=Home!$E$7,15,IF(Home!$E$7="",0,-5))-ROW()/100000)))</f>
        <v/>
      </c>
      <c r="O491" s="88">
        <f>IF($D491="","",IF($N491&lt;=-500,"Not recommended right now",IF($E491="Waiting","Nothing else actionable right now — Waiting on: "&amp;IF($K491="","this item",$K491),MID($V491,4,9999))))</f>
        <v/>
      </c>
      <c r="P491" s="88">
        <f>IF($D491="","",IF('Task Finder'!$C$6="High Priority",AND($F491="High",$E491&lt;&gt;"Done",$E491&lt;&gt;"Archive"),IF('Task Finder'!$C$6="Due This Week",AND($I491&lt;&gt;"",$I491&gt;=TODAY(),$I491&lt;=TODAY()+7,$E491&lt;&gt;"Done"),IF('Task Finder'!$C$6="Quick Wins (15 mins or less)",AND($M491&lt;=15,$E491&lt;&gt;"Done",$E491&lt;&gt;"Blocked"),IF('Task Finder'!$C$6="Deep Thinking",AND($G491="Deep Thinking",$E491&lt;&gt;"Done"),IF('Task Finder'!$C$6="Processing",AND($G491="Processing",$E491&lt;&gt;"Done"),IF('Task Finder'!$C$6="Blocked",$E491="Blocked",IF('Task Finder'!$C$6="Waiting",$E491="Waiting",IF('Task Finder'!$C$6="Recently Updated",AND($L491&lt;&gt;"",$L491&gt;=TODAY()-7),IF('Task Finder'!$C$6="Keyword",AND('Task Finder'!$C$7&lt;&gt;"",OR(ISNUMBER(SEARCH('Task Finder'!$C$7,$A491)),ISNUMBER(SEARCH('Task Finder'!$C$7,$B491)),ISNUMBER(SEARCH('Task Finder'!$C$7,$C491)),ISNUMBER(SEARCH('Task Finder'!$C$7,$D491)),ISNUMBER(SEARCH('Task Finder'!$C$7,$K491)))),TRUE))))))))))</f>
        <v/>
      </c>
      <c r="Q491" s="150">
        <f>IF($F491="High","High Priority","")</f>
        <v/>
      </c>
      <c r="R491" s="150">
        <f>IF(AND($I491&lt;&gt;"",$I491&lt;TODAY()),"Overdue","")</f>
        <v/>
      </c>
      <c r="S491" s="150">
        <f>IF(AND($I491&lt;&gt;"",$I491&gt;=TODAY(),$I491&lt;=TODAY()+7),"Due This Week","")</f>
        <v/>
      </c>
      <c r="T491" s="150">
        <f>IF(AND($H491&lt;&gt;"",$M491&lt;=VLOOKUP(Home!$C$7,Lists!$N$2:$O$6,2,FALSE)),$H491&amp;" Task","")</f>
        <v/>
      </c>
      <c r="U491" s="150">
        <f>IF($G491=Home!$E$7,"Fits Current Energy","")</f>
        <v/>
      </c>
      <c r="V491" s="150">
        <f>IF($Q491&lt;&gt;""," • "&amp;$Q491,"")&amp;IF($R491&lt;&gt;""," • "&amp;$R491,"")&amp;IF($S491&lt;&gt;""," • "&amp;$S491,"")&amp;IF($T491&lt;&gt;""," • "&amp;$T491,"")&amp;IF($U491&lt;&gt;""," • "&amp;$U491,"")&amp;" • No Blockers"</f>
        <v/>
      </c>
    </row>
    <row r="492">
      <c r="A492" s="19" t="n"/>
      <c r="B492" s="19" t="n"/>
      <c r="C492" s="19" t="n"/>
      <c r="D492" s="19" t="n"/>
      <c r="E492" s="19" t="n"/>
      <c r="F492" s="19" t="n"/>
      <c r="G492" s="19" t="n"/>
      <c r="H492" s="19" t="n"/>
      <c r="I492" s="19" t="n"/>
      <c r="J492" s="19" t="n"/>
      <c r="K492" s="19" t="n"/>
      <c r="L492" s="125" t="n"/>
      <c r="M492" s="88">
        <f>IF($D492="","",IFERROR(VLOOKUP($H492,Lists!$N$2:$O$6,2,FALSE),0))</f>
        <v/>
      </c>
      <c r="N492" s="88">
        <f>IF($D492="","",IF(OR($E492="Blocked",$E492="Done",$E492="Archive"),-9999,IF(AND($E492="Waiting",SUMPRODUCT((($E$5:$E$500="Next")+($E$5:$E$500="In Progress")+($E$5:$E$500="Captured"))*($D$5:$D$500&lt;&gt;""))&gt;0),-500,VLOOKUP($F492,Lists!$L$2:$M$4,2,FALSE)+IF($E492="In Progress",10,0)+IF(AND($I492&lt;&gt;"",$I492&lt;TODAY()),25,0)+IF(AND($I492&lt;&gt;"",$I492&gt;=TODAY(),$I492&lt;=TODAY()+7),15,0)+IF($H492="",0,IF($M492&lt;=VLOOKUP(Home!$C$7,Lists!$N$2:$O$6,2,FALSE),20,-10))+IF($G492=Home!$E$7,15,IF(Home!$E$7="",0,-5))-ROW()/100000)))</f>
        <v/>
      </c>
      <c r="O492" s="88">
        <f>IF($D492="","",IF($N492&lt;=-500,"Not recommended right now",IF($E492="Waiting","Nothing else actionable right now — Waiting on: "&amp;IF($K492="","this item",$K492),MID($V492,4,9999))))</f>
        <v/>
      </c>
      <c r="P492" s="88">
        <f>IF($D492="","",IF('Task Finder'!$C$6="High Priority",AND($F492="High",$E492&lt;&gt;"Done",$E492&lt;&gt;"Archive"),IF('Task Finder'!$C$6="Due This Week",AND($I492&lt;&gt;"",$I492&gt;=TODAY(),$I492&lt;=TODAY()+7,$E492&lt;&gt;"Done"),IF('Task Finder'!$C$6="Quick Wins (15 mins or less)",AND($M492&lt;=15,$E492&lt;&gt;"Done",$E492&lt;&gt;"Blocked"),IF('Task Finder'!$C$6="Deep Thinking",AND($G492="Deep Thinking",$E492&lt;&gt;"Done"),IF('Task Finder'!$C$6="Processing",AND($G492="Processing",$E492&lt;&gt;"Done"),IF('Task Finder'!$C$6="Blocked",$E492="Blocked",IF('Task Finder'!$C$6="Waiting",$E492="Waiting",IF('Task Finder'!$C$6="Recently Updated",AND($L492&lt;&gt;"",$L492&gt;=TODAY()-7),IF('Task Finder'!$C$6="Keyword",AND('Task Finder'!$C$7&lt;&gt;"",OR(ISNUMBER(SEARCH('Task Finder'!$C$7,$A492)),ISNUMBER(SEARCH('Task Finder'!$C$7,$B492)),ISNUMBER(SEARCH('Task Finder'!$C$7,$C492)),ISNUMBER(SEARCH('Task Finder'!$C$7,$D492)),ISNUMBER(SEARCH('Task Finder'!$C$7,$K492)))),TRUE))))))))))</f>
        <v/>
      </c>
      <c r="Q492" s="150">
        <f>IF($F492="High","High Priority","")</f>
        <v/>
      </c>
      <c r="R492" s="150">
        <f>IF(AND($I492&lt;&gt;"",$I492&lt;TODAY()),"Overdue","")</f>
        <v/>
      </c>
      <c r="S492" s="150">
        <f>IF(AND($I492&lt;&gt;"",$I492&gt;=TODAY(),$I492&lt;=TODAY()+7),"Due This Week","")</f>
        <v/>
      </c>
      <c r="T492" s="150">
        <f>IF(AND($H492&lt;&gt;"",$M492&lt;=VLOOKUP(Home!$C$7,Lists!$N$2:$O$6,2,FALSE)),$H492&amp;" Task","")</f>
        <v/>
      </c>
      <c r="U492" s="150">
        <f>IF($G492=Home!$E$7,"Fits Current Energy","")</f>
        <v/>
      </c>
      <c r="V492" s="150">
        <f>IF($Q492&lt;&gt;""," • "&amp;$Q492,"")&amp;IF($R492&lt;&gt;""," • "&amp;$R492,"")&amp;IF($S492&lt;&gt;""," • "&amp;$S492,"")&amp;IF($T492&lt;&gt;""," • "&amp;$T492,"")&amp;IF($U492&lt;&gt;""," • "&amp;$U492,"")&amp;" • No Blockers"</f>
        <v/>
      </c>
    </row>
    <row r="493">
      <c r="A493" s="19" t="n"/>
      <c r="B493" s="19" t="n"/>
      <c r="C493" s="19" t="n"/>
      <c r="D493" s="19" t="n"/>
      <c r="E493" s="19" t="n"/>
      <c r="F493" s="19" t="n"/>
      <c r="G493" s="19" t="n"/>
      <c r="H493" s="19" t="n"/>
      <c r="I493" s="19" t="n"/>
      <c r="J493" s="19" t="n"/>
      <c r="K493" s="19" t="n"/>
      <c r="L493" s="125" t="n"/>
      <c r="M493" s="88">
        <f>IF($D493="","",IFERROR(VLOOKUP($H493,Lists!$N$2:$O$6,2,FALSE),0))</f>
        <v/>
      </c>
      <c r="N493" s="88">
        <f>IF($D493="","",IF(OR($E493="Blocked",$E493="Done",$E493="Archive"),-9999,IF(AND($E493="Waiting",SUMPRODUCT((($E$5:$E$500="Next")+($E$5:$E$500="In Progress")+($E$5:$E$500="Captured"))*($D$5:$D$500&lt;&gt;""))&gt;0),-500,VLOOKUP($F493,Lists!$L$2:$M$4,2,FALSE)+IF($E493="In Progress",10,0)+IF(AND($I493&lt;&gt;"",$I493&lt;TODAY()),25,0)+IF(AND($I493&lt;&gt;"",$I493&gt;=TODAY(),$I493&lt;=TODAY()+7),15,0)+IF($H493="",0,IF($M493&lt;=VLOOKUP(Home!$C$7,Lists!$N$2:$O$6,2,FALSE),20,-10))+IF($G493=Home!$E$7,15,IF(Home!$E$7="",0,-5))-ROW()/100000)))</f>
        <v/>
      </c>
      <c r="O493" s="88">
        <f>IF($D493="","",IF($N493&lt;=-500,"Not recommended right now",IF($E493="Waiting","Nothing else actionable right now — Waiting on: "&amp;IF($K493="","this item",$K493),MID($V493,4,9999))))</f>
        <v/>
      </c>
      <c r="P493" s="88">
        <f>IF($D493="","",IF('Task Finder'!$C$6="High Priority",AND($F493="High",$E493&lt;&gt;"Done",$E493&lt;&gt;"Archive"),IF('Task Finder'!$C$6="Due This Week",AND($I493&lt;&gt;"",$I493&gt;=TODAY(),$I493&lt;=TODAY()+7,$E493&lt;&gt;"Done"),IF('Task Finder'!$C$6="Quick Wins (15 mins or less)",AND($M493&lt;=15,$E493&lt;&gt;"Done",$E493&lt;&gt;"Blocked"),IF('Task Finder'!$C$6="Deep Thinking",AND($G493="Deep Thinking",$E493&lt;&gt;"Done"),IF('Task Finder'!$C$6="Processing",AND($G493="Processing",$E493&lt;&gt;"Done"),IF('Task Finder'!$C$6="Blocked",$E493="Blocked",IF('Task Finder'!$C$6="Waiting",$E493="Waiting",IF('Task Finder'!$C$6="Recently Updated",AND($L493&lt;&gt;"",$L493&gt;=TODAY()-7),IF('Task Finder'!$C$6="Keyword",AND('Task Finder'!$C$7&lt;&gt;"",OR(ISNUMBER(SEARCH('Task Finder'!$C$7,$A493)),ISNUMBER(SEARCH('Task Finder'!$C$7,$B493)),ISNUMBER(SEARCH('Task Finder'!$C$7,$C493)),ISNUMBER(SEARCH('Task Finder'!$C$7,$D493)),ISNUMBER(SEARCH('Task Finder'!$C$7,$K493)))),TRUE))))))))))</f>
        <v/>
      </c>
      <c r="Q493" s="150">
        <f>IF($F493="High","High Priority","")</f>
        <v/>
      </c>
      <c r="R493" s="150">
        <f>IF(AND($I493&lt;&gt;"",$I493&lt;TODAY()),"Overdue","")</f>
        <v/>
      </c>
      <c r="S493" s="150">
        <f>IF(AND($I493&lt;&gt;"",$I493&gt;=TODAY(),$I493&lt;=TODAY()+7),"Due This Week","")</f>
        <v/>
      </c>
      <c r="T493" s="150">
        <f>IF(AND($H493&lt;&gt;"",$M493&lt;=VLOOKUP(Home!$C$7,Lists!$N$2:$O$6,2,FALSE)),$H493&amp;" Task","")</f>
        <v/>
      </c>
      <c r="U493" s="150">
        <f>IF($G493=Home!$E$7,"Fits Current Energy","")</f>
        <v/>
      </c>
      <c r="V493" s="150">
        <f>IF($Q493&lt;&gt;""," • "&amp;$Q493,"")&amp;IF($R493&lt;&gt;""," • "&amp;$R493,"")&amp;IF($S493&lt;&gt;""," • "&amp;$S493,"")&amp;IF($T493&lt;&gt;""," • "&amp;$T493,"")&amp;IF($U493&lt;&gt;""," • "&amp;$U493,"")&amp;" • No Blockers"</f>
        <v/>
      </c>
    </row>
    <row r="494">
      <c r="A494" s="19" t="n"/>
      <c r="B494" s="19" t="n"/>
      <c r="C494" s="19" t="n"/>
      <c r="D494" s="19" t="n"/>
      <c r="E494" s="19" t="n"/>
      <c r="F494" s="19" t="n"/>
      <c r="G494" s="19" t="n"/>
      <c r="H494" s="19" t="n"/>
      <c r="I494" s="19" t="n"/>
      <c r="J494" s="19" t="n"/>
      <c r="K494" s="19" t="n"/>
      <c r="L494" s="125" t="n"/>
      <c r="M494" s="88">
        <f>IF($D494="","",IFERROR(VLOOKUP($H494,Lists!$N$2:$O$6,2,FALSE),0))</f>
        <v/>
      </c>
      <c r="N494" s="88">
        <f>IF($D494="","",IF(OR($E494="Blocked",$E494="Done",$E494="Archive"),-9999,IF(AND($E494="Waiting",SUMPRODUCT((($E$5:$E$500="Next")+($E$5:$E$500="In Progress")+($E$5:$E$500="Captured"))*($D$5:$D$500&lt;&gt;""))&gt;0),-500,VLOOKUP($F494,Lists!$L$2:$M$4,2,FALSE)+IF($E494="In Progress",10,0)+IF(AND($I494&lt;&gt;"",$I494&lt;TODAY()),25,0)+IF(AND($I494&lt;&gt;"",$I494&gt;=TODAY(),$I494&lt;=TODAY()+7),15,0)+IF($H494="",0,IF($M494&lt;=VLOOKUP(Home!$C$7,Lists!$N$2:$O$6,2,FALSE),20,-10))+IF($G494=Home!$E$7,15,IF(Home!$E$7="",0,-5))-ROW()/100000)))</f>
        <v/>
      </c>
      <c r="O494" s="88">
        <f>IF($D494="","",IF($N494&lt;=-500,"Not recommended right now",IF($E494="Waiting","Nothing else actionable right now — Waiting on: "&amp;IF($K494="","this item",$K494),MID($V494,4,9999))))</f>
        <v/>
      </c>
      <c r="P494" s="88">
        <f>IF($D494="","",IF('Task Finder'!$C$6="High Priority",AND($F494="High",$E494&lt;&gt;"Done",$E494&lt;&gt;"Archive"),IF('Task Finder'!$C$6="Due This Week",AND($I494&lt;&gt;"",$I494&gt;=TODAY(),$I494&lt;=TODAY()+7,$E494&lt;&gt;"Done"),IF('Task Finder'!$C$6="Quick Wins (15 mins or less)",AND($M494&lt;=15,$E494&lt;&gt;"Done",$E494&lt;&gt;"Blocked"),IF('Task Finder'!$C$6="Deep Thinking",AND($G494="Deep Thinking",$E494&lt;&gt;"Done"),IF('Task Finder'!$C$6="Processing",AND($G494="Processing",$E494&lt;&gt;"Done"),IF('Task Finder'!$C$6="Blocked",$E494="Blocked",IF('Task Finder'!$C$6="Waiting",$E494="Waiting",IF('Task Finder'!$C$6="Recently Updated",AND($L494&lt;&gt;"",$L494&gt;=TODAY()-7),IF('Task Finder'!$C$6="Keyword",AND('Task Finder'!$C$7&lt;&gt;"",OR(ISNUMBER(SEARCH('Task Finder'!$C$7,$A494)),ISNUMBER(SEARCH('Task Finder'!$C$7,$B494)),ISNUMBER(SEARCH('Task Finder'!$C$7,$C494)),ISNUMBER(SEARCH('Task Finder'!$C$7,$D494)),ISNUMBER(SEARCH('Task Finder'!$C$7,$K494)))),TRUE))))))))))</f>
        <v/>
      </c>
      <c r="Q494" s="150">
        <f>IF($F494="High","High Priority","")</f>
        <v/>
      </c>
      <c r="R494" s="150">
        <f>IF(AND($I494&lt;&gt;"",$I494&lt;TODAY()),"Overdue","")</f>
        <v/>
      </c>
      <c r="S494" s="150">
        <f>IF(AND($I494&lt;&gt;"",$I494&gt;=TODAY(),$I494&lt;=TODAY()+7),"Due This Week","")</f>
        <v/>
      </c>
      <c r="T494" s="150">
        <f>IF(AND($H494&lt;&gt;"",$M494&lt;=VLOOKUP(Home!$C$7,Lists!$N$2:$O$6,2,FALSE)),$H494&amp;" Task","")</f>
        <v/>
      </c>
      <c r="U494" s="150">
        <f>IF($G494=Home!$E$7,"Fits Current Energy","")</f>
        <v/>
      </c>
      <c r="V494" s="150">
        <f>IF($Q494&lt;&gt;""," • "&amp;$Q494,"")&amp;IF($R494&lt;&gt;""," • "&amp;$R494,"")&amp;IF($S494&lt;&gt;""," • "&amp;$S494,"")&amp;IF($T494&lt;&gt;""," • "&amp;$T494,"")&amp;IF($U494&lt;&gt;""," • "&amp;$U494,"")&amp;" • No Blockers"</f>
        <v/>
      </c>
    </row>
    <row r="495">
      <c r="A495" s="19" t="n"/>
      <c r="B495" s="19" t="n"/>
      <c r="C495" s="19" t="n"/>
      <c r="D495" s="19" t="n"/>
      <c r="E495" s="19" t="n"/>
      <c r="F495" s="19" t="n"/>
      <c r="G495" s="19" t="n"/>
      <c r="H495" s="19" t="n"/>
      <c r="I495" s="19" t="n"/>
      <c r="J495" s="19" t="n"/>
      <c r="K495" s="19" t="n"/>
      <c r="L495" s="125" t="n"/>
      <c r="M495" s="88">
        <f>IF($D495="","",IFERROR(VLOOKUP($H495,Lists!$N$2:$O$6,2,FALSE),0))</f>
        <v/>
      </c>
      <c r="N495" s="88">
        <f>IF($D495="","",IF(OR($E495="Blocked",$E495="Done",$E495="Archive"),-9999,IF(AND($E495="Waiting",SUMPRODUCT((($E$5:$E$500="Next")+($E$5:$E$500="In Progress")+($E$5:$E$500="Captured"))*($D$5:$D$500&lt;&gt;""))&gt;0),-500,VLOOKUP($F495,Lists!$L$2:$M$4,2,FALSE)+IF($E495="In Progress",10,0)+IF(AND($I495&lt;&gt;"",$I495&lt;TODAY()),25,0)+IF(AND($I495&lt;&gt;"",$I495&gt;=TODAY(),$I495&lt;=TODAY()+7),15,0)+IF($H495="",0,IF($M495&lt;=VLOOKUP(Home!$C$7,Lists!$N$2:$O$6,2,FALSE),20,-10))+IF($G495=Home!$E$7,15,IF(Home!$E$7="",0,-5))-ROW()/100000)))</f>
        <v/>
      </c>
      <c r="O495" s="88">
        <f>IF($D495="","",IF($N495&lt;=-500,"Not recommended right now",IF($E495="Waiting","Nothing else actionable right now — Waiting on: "&amp;IF($K495="","this item",$K495),MID($V495,4,9999))))</f>
        <v/>
      </c>
      <c r="P495" s="88">
        <f>IF($D495="","",IF('Task Finder'!$C$6="High Priority",AND($F495="High",$E495&lt;&gt;"Done",$E495&lt;&gt;"Archive"),IF('Task Finder'!$C$6="Due This Week",AND($I495&lt;&gt;"",$I495&gt;=TODAY(),$I495&lt;=TODAY()+7,$E495&lt;&gt;"Done"),IF('Task Finder'!$C$6="Quick Wins (15 mins or less)",AND($M495&lt;=15,$E495&lt;&gt;"Done",$E495&lt;&gt;"Blocked"),IF('Task Finder'!$C$6="Deep Thinking",AND($G495="Deep Thinking",$E495&lt;&gt;"Done"),IF('Task Finder'!$C$6="Processing",AND($G495="Processing",$E495&lt;&gt;"Done"),IF('Task Finder'!$C$6="Blocked",$E495="Blocked",IF('Task Finder'!$C$6="Waiting",$E495="Waiting",IF('Task Finder'!$C$6="Recently Updated",AND($L495&lt;&gt;"",$L495&gt;=TODAY()-7),IF('Task Finder'!$C$6="Keyword",AND('Task Finder'!$C$7&lt;&gt;"",OR(ISNUMBER(SEARCH('Task Finder'!$C$7,$A495)),ISNUMBER(SEARCH('Task Finder'!$C$7,$B495)),ISNUMBER(SEARCH('Task Finder'!$C$7,$C495)),ISNUMBER(SEARCH('Task Finder'!$C$7,$D495)),ISNUMBER(SEARCH('Task Finder'!$C$7,$K495)))),TRUE))))))))))</f>
        <v/>
      </c>
      <c r="Q495" s="150">
        <f>IF($F495="High","High Priority","")</f>
        <v/>
      </c>
      <c r="R495" s="150">
        <f>IF(AND($I495&lt;&gt;"",$I495&lt;TODAY()),"Overdue","")</f>
        <v/>
      </c>
      <c r="S495" s="150">
        <f>IF(AND($I495&lt;&gt;"",$I495&gt;=TODAY(),$I495&lt;=TODAY()+7),"Due This Week","")</f>
        <v/>
      </c>
      <c r="T495" s="150">
        <f>IF(AND($H495&lt;&gt;"",$M495&lt;=VLOOKUP(Home!$C$7,Lists!$N$2:$O$6,2,FALSE)),$H495&amp;" Task","")</f>
        <v/>
      </c>
      <c r="U495" s="150">
        <f>IF($G495=Home!$E$7,"Fits Current Energy","")</f>
        <v/>
      </c>
      <c r="V495" s="150">
        <f>IF($Q495&lt;&gt;""," • "&amp;$Q495,"")&amp;IF($R495&lt;&gt;""," • "&amp;$R495,"")&amp;IF($S495&lt;&gt;""," • "&amp;$S495,"")&amp;IF($T495&lt;&gt;""," • "&amp;$T495,"")&amp;IF($U495&lt;&gt;""," • "&amp;$U495,"")&amp;" • No Blockers"</f>
        <v/>
      </c>
    </row>
    <row r="496">
      <c r="A496" s="19" t="n"/>
      <c r="B496" s="19" t="n"/>
      <c r="C496" s="19" t="n"/>
      <c r="D496" s="19" t="n"/>
      <c r="E496" s="19" t="n"/>
      <c r="F496" s="19" t="n"/>
      <c r="G496" s="19" t="n"/>
      <c r="H496" s="19" t="n"/>
      <c r="I496" s="19" t="n"/>
      <c r="J496" s="19" t="n"/>
      <c r="K496" s="19" t="n"/>
      <c r="L496" s="125" t="n"/>
      <c r="M496" s="88">
        <f>IF($D496="","",IFERROR(VLOOKUP($H496,Lists!$N$2:$O$6,2,FALSE),0))</f>
        <v/>
      </c>
      <c r="N496" s="88">
        <f>IF($D496="","",IF(OR($E496="Blocked",$E496="Done",$E496="Archive"),-9999,IF(AND($E496="Waiting",SUMPRODUCT((($E$5:$E$500="Next")+($E$5:$E$500="In Progress")+($E$5:$E$500="Captured"))*($D$5:$D$500&lt;&gt;""))&gt;0),-500,VLOOKUP($F496,Lists!$L$2:$M$4,2,FALSE)+IF($E496="In Progress",10,0)+IF(AND($I496&lt;&gt;"",$I496&lt;TODAY()),25,0)+IF(AND($I496&lt;&gt;"",$I496&gt;=TODAY(),$I496&lt;=TODAY()+7),15,0)+IF($H496="",0,IF($M496&lt;=VLOOKUP(Home!$C$7,Lists!$N$2:$O$6,2,FALSE),20,-10))+IF($G496=Home!$E$7,15,IF(Home!$E$7="",0,-5))-ROW()/100000)))</f>
        <v/>
      </c>
      <c r="O496" s="88">
        <f>IF($D496="","",IF($N496&lt;=-500,"Not recommended right now",IF($E496="Waiting","Nothing else actionable right now — Waiting on: "&amp;IF($K496="","this item",$K496),MID($V496,4,9999))))</f>
        <v/>
      </c>
      <c r="P496" s="88">
        <f>IF($D496="","",IF('Task Finder'!$C$6="High Priority",AND($F496="High",$E496&lt;&gt;"Done",$E496&lt;&gt;"Archive"),IF('Task Finder'!$C$6="Due This Week",AND($I496&lt;&gt;"",$I496&gt;=TODAY(),$I496&lt;=TODAY()+7,$E496&lt;&gt;"Done"),IF('Task Finder'!$C$6="Quick Wins (15 mins or less)",AND($M496&lt;=15,$E496&lt;&gt;"Done",$E496&lt;&gt;"Blocked"),IF('Task Finder'!$C$6="Deep Thinking",AND($G496="Deep Thinking",$E496&lt;&gt;"Done"),IF('Task Finder'!$C$6="Processing",AND($G496="Processing",$E496&lt;&gt;"Done"),IF('Task Finder'!$C$6="Blocked",$E496="Blocked",IF('Task Finder'!$C$6="Waiting",$E496="Waiting",IF('Task Finder'!$C$6="Recently Updated",AND($L496&lt;&gt;"",$L496&gt;=TODAY()-7),IF('Task Finder'!$C$6="Keyword",AND('Task Finder'!$C$7&lt;&gt;"",OR(ISNUMBER(SEARCH('Task Finder'!$C$7,$A496)),ISNUMBER(SEARCH('Task Finder'!$C$7,$B496)),ISNUMBER(SEARCH('Task Finder'!$C$7,$C496)),ISNUMBER(SEARCH('Task Finder'!$C$7,$D496)),ISNUMBER(SEARCH('Task Finder'!$C$7,$K496)))),TRUE))))))))))</f>
        <v/>
      </c>
      <c r="Q496" s="150">
        <f>IF($F496="High","High Priority","")</f>
        <v/>
      </c>
      <c r="R496" s="150">
        <f>IF(AND($I496&lt;&gt;"",$I496&lt;TODAY()),"Overdue","")</f>
        <v/>
      </c>
      <c r="S496" s="150">
        <f>IF(AND($I496&lt;&gt;"",$I496&gt;=TODAY(),$I496&lt;=TODAY()+7),"Due This Week","")</f>
        <v/>
      </c>
      <c r="T496" s="150">
        <f>IF(AND($H496&lt;&gt;"",$M496&lt;=VLOOKUP(Home!$C$7,Lists!$N$2:$O$6,2,FALSE)),$H496&amp;" Task","")</f>
        <v/>
      </c>
      <c r="U496" s="150">
        <f>IF($G496=Home!$E$7,"Fits Current Energy","")</f>
        <v/>
      </c>
      <c r="V496" s="150">
        <f>IF($Q496&lt;&gt;""," • "&amp;$Q496,"")&amp;IF($R496&lt;&gt;""," • "&amp;$R496,"")&amp;IF($S496&lt;&gt;""," • "&amp;$S496,"")&amp;IF($T496&lt;&gt;""," • "&amp;$T496,"")&amp;IF($U496&lt;&gt;""," • "&amp;$U496,"")&amp;" • No Blockers"</f>
        <v/>
      </c>
    </row>
    <row r="497">
      <c r="A497" s="19" t="n"/>
      <c r="B497" s="19" t="n"/>
      <c r="C497" s="19" t="n"/>
      <c r="D497" s="19" t="n"/>
      <c r="E497" s="19" t="n"/>
      <c r="F497" s="19" t="n"/>
      <c r="G497" s="19" t="n"/>
      <c r="H497" s="19" t="n"/>
      <c r="I497" s="19" t="n"/>
      <c r="J497" s="19" t="n"/>
      <c r="K497" s="19" t="n"/>
      <c r="L497" s="125" t="n"/>
      <c r="M497" s="88">
        <f>IF($D497="","",IFERROR(VLOOKUP($H497,Lists!$N$2:$O$6,2,FALSE),0))</f>
        <v/>
      </c>
      <c r="N497" s="88">
        <f>IF($D497="","",IF(OR($E497="Blocked",$E497="Done",$E497="Archive"),-9999,IF(AND($E497="Waiting",SUMPRODUCT((($E$5:$E$500="Next")+($E$5:$E$500="In Progress")+($E$5:$E$500="Captured"))*($D$5:$D$500&lt;&gt;""))&gt;0),-500,VLOOKUP($F497,Lists!$L$2:$M$4,2,FALSE)+IF($E497="In Progress",10,0)+IF(AND($I497&lt;&gt;"",$I497&lt;TODAY()),25,0)+IF(AND($I497&lt;&gt;"",$I497&gt;=TODAY(),$I497&lt;=TODAY()+7),15,0)+IF($H497="",0,IF($M497&lt;=VLOOKUP(Home!$C$7,Lists!$N$2:$O$6,2,FALSE),20,-10))+IF($G497=Home!$E$7,15,IF(Home!$E$7="",0,-5))-ROW()/100000)))</f>
        <v/>
      </c>
      <c r="O497" s="88">
        <f>IF($D497="","",IF($N497&lt;=-500,"Not recommended right now",IF($E497="Waiting","Nothing else actionable right now — Waiting on: "&amp;IF($K497="","this item",$K497),MID($V497,4,9999))))</f>
        <v/>
      </c>
      <c r="P497" s="88">
        <f>IF($D497="","",IF('Task Finder'!$C$6="High Priority",AND($F497="High",$E497&lt;&gt;"Done",$E497&lt;&gt;"Archive"),IF('Task Finder'!$C$6="Due This Week",AND($I497&lt;&gt;"",$I497&gt;=TODAY(),$I497&lt;=TODAY()+7,$E497&lt;&gt;"Done"),IF('Task Finder'!$C$6="Quick Wins (15 mins or less)",AND($M497&lt;=15,$E497&lt;&gt;"Done",$E497&lt;&gt;"Blocked"),IF('Task Finder'!$C$6="Deep Thinking",AND($G497="Deep Thinking",$E497&lt;&gt;"Done"),IF('Task Finder'!$C$6="Processing",AND($G497="Processing",$E497&lt;&gt;"Done"),IF('Task Finder'!$C$6="Blocked",$E497="Blocked",IF('Task Finder'!$C$6="Waiting",$E497="Waiting",IF('Task Finder'!$C$6="Recently Updated",AND($L497&lt;&gt;"",$L497&gt;=TODAY()-7),IF('Task Finder'!$C$6="Keyword",AND('Task Finder'!$C$7&lt;&gt;"",OR(ISNUMBER(SEARCH('Task Finder'!$C$7,$A497)),ISNUMBER(SEARCH('Task Finder'!$C$7,$B497)),ISNUMBER(SEARCH('Task Finder'!$C$7,$C497)),ISNUMBER(SEARCH('Task Finder'!$C$7,$D497)),ISNUMBER(SEARCH('Task Finder'!$C$7,$K497)))),TRUE))))))))))</f>
        <v/>
      </c>
      <c r="Q497" s="150">
        <f>IF($F497="High","High Priority","")</f>
        <v/>
      </c>
      <c r="R497" s="150">
        <f>IF(AND($I497&lt;&gt;"",$I497&lt;TODAY()),"Overdue","")</f>
        <v/>
      </c>
      <c r="S497" s="150">
        <f>IF(AND($I497&lt;&gt;"",$I497&gt;=TODAY(),$I497&lt;=TODAY()+7),"Due This Week","")</f>
        <v/>
      </c>
      <c r="T497" s="150">
        <f>IF(AND($H497&lt;&gt;"",$M497&lt;=VLOOKUP(Home!$C$7,Lists!$N$2:$O$6,2,FALSE)),$H497&amp;" Task","")</f>
        <v/>
      </c>
      <c r="U497" s="150">
        <f>IF($G497=Home!$E$7,"Fits Current Energy","")</f>
        <v/>
      </c>
      <c r="V497" s="150">
        <f>IF($Q497&lt;&gt;""," • "&amp;$Q497,"")&amp;IF($R497&lt;&gt;""," • "&amp;$R497,"")&amp;IF($S497&lt;&gt;""," • "&amp;$S497,"")&amp;IF($T497&lt;&gt;""," • "&amp;$T497,"")&amp;IF($U497&lt;&gt;""," • "&amp;$U497,"")&amp;" • No Blockers"</f>
        <v/>
      </c>
    </row>
    <row r="498">
      <c r="A498" s="19" t="n"/>
      <c r="B498" s="19" t="n"/>
      <c r="C498" s="19" t="n"/>
      <c r="D498" s="19" t="n"/>
      <c r="E498" s="19" t="n"/>
      <c r="F498" s="19" t="n"/>
      <c r="G498" s="19" t="n"/>
      <c r="H498" s="19" t="n"/>
      <c r="I498" s="19" t="n"/>
      <c r="J498" s="19" t="n"/>
      <c r="K498" s="19" t="n"/>
      <c r="L498" s="125" t="n"/>
      <c r="M498" s="88">
        <f>IF($D498="","",IFERROR(VLOOKUP($H498,Lists!$N$2:$O$6,2,FALSE),0))</f>
        <v/>
      </c>
      <c r="N498" s="88">
        <f>IF($D498="","",IF(OR($E498="Blocked",$E498="Done",$E498="Archive"),-9999,IF(AND($E498="Waiting",SUMPRODUCT((($E$5:$E$500="Next")+($E$5:$E$500="In Progress")+($E$5:$E$500="Captured"))*($D$5:$D$500&lt;&gt;""))&gt;0),-500,VLOOKUP($F498,Lists!$L$2:$M$4,2,FALSE)+IF($E498="In Progress",10,0)+IF(AND($I498&lt;&gt;"",$I498&lt;TODAY()),25,0)+IF(AND($I498&lt;&gt;"",$I498&gt;=TODAY(),$I498&lt;=TODAY()+7),15,0)+IF($H498="",0,IF($M498&lt;=VLOOKUP(Home!$C$7,Lists!$N$2:$O$6,2,FALSE),20,-10))+IF($G498=Home!$E$7,15,IF(Home!$E$7="",0,-5))-ROW()/100000)))</f>
        <v/>
      </c>
      <c r="O498" s="88">
        <f>IF($D498="","",IF($N498&lt;=-500,"Not recommended right now",IF($E498="Waiting","Nothing else actionable right now — Waiting on: "&amp;IF($K498="","this item",$K498),MID($V498,4,9999))))</f>
        <v/>
      </c>
      <c r="P498" s="88">
        <f>IF($D498="","",IF('Task Finder'!$C$6="High Priority",AND($F498="High",$E498&lt;&gt;"Done",$E498&lt;&gt;"Archive"),IF('Task Finder'!$C$6="Due This Week",AND($I498&lt;&gt;"",$I498&gt;=TODAY(),$I498&lt;=TODAY()+7,$E498&lt;&gt;"Done"),IF('Task Finder'!$C$6="Quick Wins (15 mins or less)",AND($M498&lt;=15,$E498&lt;&gt;"Done",$E498&lt;&gt;"Blocked"),IF('Task Finder'!$C$6="Deep Thinking",AND($G498="Deep Thinking",$E498&lt;&gt;"Done"),IF('Task Finder'!$C$6="Processing",AND($G498="Processing",$E498&lt;&gt;"Done"),IF('Task Finder'!$C$6="Blocked",$E498="Blocked",IF('Task Finder'!$C$6="Waiting",$E498="Waiting",IF('Task Finder'!$C$6="Recently Updated",AND($L498&lt;&gt;"",$L498&gt;=TODAY()-7),IF('Task Finder'!$C$6="Keyword",AND('Task Finder'!$C$7&lt;&gt;"",OR(ISNUMBER(SEARCH('Task Finder'!$C$7,$A498)),ISNUMBER(SEARCH('Task Finder'!$C$7,$B498)),ISNUMBER(SEARCH('Task Finder'!$C$7,$C498)),ISNUMBER(SEARCH('Task Finder'!$C$7,$D498)),ISNUMBER(SEARCH('Task Finder'!$C$7,$K498)))),TRUE))))))))))</f>
        <v/>
      </c>
      <c r="Q498" s="150">
        <f>IF($F498="High","High Priority","")</f>
        <v/>
      </c>
      <c r="R498" s="150">
        <f>IF(AND($I498&lt;&gt;"",$I498&lt;TODAY()),"Overdue","")</f>
        <v/>
      </c>
      <c r="S498" s="150">
        <f>IF(AND($I498&lt;&gt;"",$I498&gt;=TODAY(),$I498&lt;=TODAY()+7),"Due This Week","")</f>
        <v/>
      </c>
      <c r="T498" s="150">
        <f>IF(AND($H498&lt;&gt;"",$M498&lt;=VLOOKUP(Home!$C$7,Lists!$N$2:$O$6,2,FALSE)),$H498&amp;" Task","")</f>
        <v/>
      </c>
      <c r="U498" s="150">
        <f>IF($G498=Home!$E$7,"Fits Current Energy","")</f>
        <v/>
      </c>
      <c r="V498" s="150">
        <f>IF($Q498&lt;&gt;""," • "&amp;$Q498,"")&amp;IF($R498&lt;&gt;""," • "&amp;$R498,"")&amp;IF($S498&lt;&gt;""," • "&amp;$S498,"")&amp;IF($T498&lt;&gt;""," • "&amp;$T498,"")&amp;IF($U498&lt;&gt;""," • "&amp;$U498,"")&amp;" • No Blockers"</f>
        <v/>
      </c>
    </row>
    <row r="499">
      <c r="A499" s="19" t="n"/>
      <c r="B499" s="19" t="n"/>
      <c r="C499" s="19" t="n"/>
      <c r="D499" s="19" t="n"/>
      <c r="E499" s="19" t="n"/>
      <c r="F499" s="19" t="n"/>
      <c r="G499" s="19" t="n"/>
      <c r="H499" s="19" t="n"/>
      <c r="I499" s="19" t="n"/>
      <c r="J499" s="19" t="n"/>
      <c r="K499" s="19" t="n"/>
      <c r="L499" s="125" t="n"/>
      <c r="M499" s="88">
        <f>IF($D499="","",IFERROR(VLOOKUP($H499,Lists!$N$2:$O$6,2,FALSE),0))</f>
        <v/>
      </c>
      <c r="N499" s="88">
        <f>IF($D499="","",IF(OR($E499="Blocked",$E499="Done",$E499="Archive"),-9999,IF(AND($E499="Waiting",SUMPRODUCT((($E$5:$E$500="Next")+($E$5:$E$500="In Progress")+($E$5:$E$500="Captured"))*($D$5:$D$500&lt;&gt;""))&gt;0),-500,VLOOKUP($F499,Lists!$L$2:$M$4,2,FALSE)+IF($E499="In Progress",10,0)+IF(AND($I499&lt;&gt;"",$I499&lt;TODAY()),25,0)+IF(AND($I499&lt;&gt;"",$I499&gt;=TODAY(),$I499&lt;=TODAY()+7),15,0)+IF($H499="",0,IF($M499&lt;=VLOOKUP(Home!$C$7,Lists!$N$2:$O$6,2,FALSE),20,-10))+IF($G499=Home!$E$7,15,IF(Home!$E$7="",0,-5))-ROW()/100000)))</f>
        <v/>
      </c>
      <c r="O499" s="88">
        <f>IF($D499="","",IF($N499&lt;=-500,"Not recommended right now",IF($E499="Waiting","Nothing else actionable right now — Waiting on: "&amp;IF($K499="","this item",$K499),MID($V499,4,9999))))</f>
        <v/>
      </c>
      <c r="P499" s="88">
        <f>IF($D499="","",IF('Task Finder'!$C$6="High Priority",AND($F499="High",$E499&lt;&gt;"Done",$E499&lt;&gt;"Archive"),IF('Task Finder'!$C$6="Due This Week",AND($I499&lt;&gt;"",$I499&gt;=TODAY(),$I499&lt;=TODAY()+7,$E499&lt;&gt;"Done"),IF('Task Finder'!$C$6="Quick Wins (15 mins or less)",AND($M499&lt;=15,$E499&lt;&gt;"Done",$E499&lt;&gt;"Blocked"),IF('Task Finder'!$C$6="Deep Thinking",AND($G499="Deep Thinking",$E499&lt;&gt;"Done"),IF('Task Finder'!$C$6="Processing",AND($G499="Processing",$E499&lt;&gt;"Done"),IF('Task Finder'!$C$6="Blocked",$E499="Blocked",IF('Task Finder'!$C$6="Waiting",$E499="Waiting",IF('Task Finder'!$C$6="Recently Updated",AND($L499&lt;&gt;"",$L499&gt;=TODAY()-7),IF('Task Finder'!$C$6="Keyword",AND('Task Finder'!$C$7&lt;&gt;"",OR(ISNUMBER(SEARCH('Task Finder'!$C$7,$A499)),ISNUMBER(SEARCH('Task Finder'!$C$7,$B499)),ISNUMBER(SEARCH('Task Finder'!$C$7,$C499)),ISNUMBER(SEARCH('Task Finder'!$C$7,$D499)),ISNUMBER(SEARCH('Task Finder'!$C$7,$K499)))),TRUE))))))))))</f>
        <v/>
      </c>
      <c r="Q499" s="150">
        <f>IF($F499="High","High Priority","")</f>
        <v/>
      </c>
      <c r="R499" s="150">
        <f>IF(AND($I499&lt;&gt;"",$I499&lt;TODAY()),"Overdue","")</f>
        <v/>
      </c>
      <c r="S499" s="150">
        <f>IF(AND($I499&lt;&gt;"",$I499&gt;=TODAY(),$I499&lt;=TODAY()+7),"Due This Week","")</f>
        <v/>
      </c>
      <c r="T499" s="150">
        <f>IF(AND($H499&lt;&gt;"",$M499&lt;=VLOOKUP(Home!$C$7,Lists!$N$2:$O$6,2,FALSE)),$H499&amp;" Task","")</f>
        <v/>
      </c>
      <c r="U499" s="150">
        <f>IF($G499=Home!$E$7,"Fits Current Energy","")</f>
        <v/>
      </c>
      <c r="V499" s="150">
        <f>IF($Q499&lt;&gt;""," • "&amp;$Q499,"")&amp;IF($R499&lt;&gt;""," • "&amp;$R499,"")&amp;IF($S499&lt;&gt;""," • "&amp;$S499,"")&amp;IF($T499&lt;&gt;""," • "&amp;$T499,"")&amp;IF($U499&lt;&gt;""," • "&amp;$U499,"")&amp;" • No Blockers"</f>
        <v/>
      </c>
    </row>
    <row r="500">
      <c r="A500" s="19" t="n"/>
      <c r="B500" s="19" t="n"/>
      <c r="C500" s="19" t="n"/>
      <c r="D500" s="19" t="n"/>
      <c r="E500" s="19" t="n"/>
      <c r="F500" s="19" t="n"/>
      <c r="G500" s="19" t="n"/>
      <c r="H500" s="19" t="n"/>
      <c r="I500" s="19" t="n"/>
      <c r="J500" s="19" t="n"/>
      <c r="K500" s="19" t="n"/>
      <c r="L500" s="125" t="n"/>
      <c r="M500" s="88">
        <f>IF($D500="","",IFERROR(VLOOKUP($H500,Lists!$N$2:$O$6,2,FALSE),0))</f>
        <v/>
      </c>
      <c r="N500" s="88">
        <f>IF($D500="","",IF(OR($E500="Blocked",$E500="Done",$E500="Archive"),-9999,IF(AND($E500="Waiting",SUMPRODUCT((($E$5:$E$500="Next")+($E$5:$E$500="In Progress")+($E$5:$E$500="Captured"))*($D$5:$D$500&lt;&gt;""))&gt;0),-500,VLOOKUP($F500,Lists!$L$2:$M$4,2,FALSE)+IF($E500="In Progress",10,0)+IF(AND($I500&lt;&gt;"",$I500&lt;TODAY()),25,0)+IF(AND($I500&lt;&gt;"",$I500&gt;=TODAY(),$I500&lt;=TODAY()+7),15,0)+IF($H500="",0,IF($M500&lt;=VLOOKUP(Home!$C$7,Lists!$N$2:$O$6,2,FALSE),20,-10))+IF($G500=Home!$E$7,15,IF(Home!$E$7="",0,-5))-ROW()/100000)))</f>
        <v/>
      </c>
      <c r="O500" s="88">
        <f>IF($D500="","",IF($N500&lt;=-500,"Not recommended right now",IF($E500="Waiting","Nothing else actionable right now — Waiting on: "&amp;IF($K500="","this item",$K500),MID($V500,4,9999))))</f>
        <v/>
      </c>
      <c r="P500" s="88">
        <f>IF($D500="","",IF('Task Finder'!$C$6="High Priority",AND($F500="High",$E500&lt;&gt;"Done",$E500&lt;&gt;"Archive"),IF('Task Finder'!$C$6="Due This Week",AND($I500&lt;&gt;"",$I500&gt;=TODAY(),$I500&lt;=TODAY()+7,$E500&lt;&gt;"Done"),IF('Task Finder'!$C$6="Quick Wins (15 mins or less)",AND($M500&lt;=15,$E500&lt;&gt;"Done",$E500&lt;&gt;"Blocked"),IF('Task Finder'!$C$6="Deep Thinking",AND($G500="Deep Thinking",$E500&lt;&gt;"Done"),IF('Task Finder'!$C$6="Processing",AND($G500="Processing",$E500&lt;&gt;"Done"),IF('Task Finder'!$C$6="Blocked",$E500="Blocked",IF('Task Finder'!$C$6="Waiting",$E500="Waiting",IF('Task Finder'!$C$6="Recently Updated",AND($L500&lt;&gt;"",$L500&gt;=TODAY()-7),IF('Task Finder'!$C$6="Keyword",AND('Task Finder'!$C$7&lt;&gt;"",OR(ISNUMBER(SEARCH('Task Finder'!$C$7,$A500)),ISNUMBER(SEARCH('Task Finder'!$C$7,$B500)),ISNUMBER(SEARCH('Task Finder'!$C$7,$C500)),ISNUMBER(SEARCH('Task Finder'!$C$7,$D500)),ISNUMBER(SEARCH('Task Finder'!$C$7,$K500)))),TRUE))))))))))</f>
        <v/>
      </c>
      <c r="Q500" s="150">
        <f>IF($F500="High","High Priority","")</f>
        <v/>
      </c>
      <c r="R500" s="150">
        <f>IF(AND($I500&lt;&gt;"",$I500&lt;TODAY()),"Overdue","")</f>
        <v/>
      </c>
      <c r="S500" s="150">
        <f>IF(AND($I500&lt;&gt;"",$I500&gt;=TODAY(),$I500&lt;=TODAY()+7),"Due This Week","")</f>
        <v/>
      </c>
      <c r="T500" s="150">
        <f>IF(AND($H500&lt;&gt;"",$M500&lt;=VLOOKUP(Home!$C$7,Lists!$N$2:$O$6,2,FALSE)),$H500&amp;" Task","")</f>
        <v/>
      </c>
      <c r="U500" s="150">
        <f>IF($G500=Home!$E$7,"Fits Current Energy","")</f>
        <v/>
      </c>
      <c r="V500" s="150">
        <f>IF($Q500&lt;&gt;""," • "&amp;$Q500,"")&amp;IF($R500&lt;&gt;""," • "&amp;$R500,"")&amp;IF($S500&lt;&gt;""," • "&amp;$S500,"")&amp;IF($T500&lt;&gt;""," • "&amp;$T500,"")&amp;IF($U500&lt;&gt;""," • "&amp;$U500,"")&amp;" • No Blockers"</f>
        <v/>
      </c>
    </row>
  </sheetData>
  <sheetProtection selectLockedCells="0" selectUnlockedCells="0" sheet="1" objects="0" insertRows="1" insertHyperlinks="1" autoFilter="1" scenarios="0" formatColumns="1" deleteColumns="1" insertColumns="1" pivotTables="1" deleteRows="1" formatCells="1" formatRows="1" sort="1"/>
  <conditionalFormatting sqref="E5:E500">
    <cfRule type="cellIs" priority="1" operator="equal" dxfId="0">
      <formula>"Done"</formula>
    </cfRule>
    <cfRule type="cellIs" priority="2" operator="equal" dxfId="1">
      <formula>"In Progress"</formula>
    </cfRule>
    <cfRule type="cellIs" priority="3" operator="equal" dxfId="2">
      <formula>"Waiting"</formula>
    </cfRule>
    <cfRule type="cellIs" priority="4" operator="equal" dxfId="3">
      <formula>"Blocked"</formula>
    </cfRule>
    <cfRule type="cellIs" priority="5" operator="equal" dxfId="4">
      <formula>"Captured"</formula>
    </cfRule>
  </conditionalFormatting>
  <conditionalFormatting sqref="F5:F500">
    <cfRule type="cellIs" priority="6" operator="equal" dxfId="3">
      <formula>"High"</formula>
    </cfRule>
    <cfRule type="cellIs" priority="7" operator="equal" dxfId="2">
      <formula>"Medium"</formula>
    </cfRule>
    <cfRule type="cellIs" priority="8" operator="equal" dxfId="0">
      <formula>"Low"</formula>
    </cfRule>
  </conditionalFormatting>
  <dataValidations count="4">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showDropDown="0" showInputMessage="0" showErrorMessage="0" allowBlank="1" type="list">
      <formula1>StatusList</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showDropDown="0" showInputMessage="0" showErrorMessage="0" allowBlank="1" type="list">
      <formula1>PriorityList</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showDropDown="0" showInputMessage="0" showErrorMessage="0" allowBlank="1" type="list">
      <formula1>EnergyList</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showDropDown="0" showInputMessage="0" showErrorMessage="0" allowBlank="1" type="list">
      <formula1>TimeList</formula1>
    </dataValidation>
  </dataValidations>
  <hyperlinks>
    <hyperlink xmlns:r="http://schemas.openxmlformats.org/officeDocument/2006/relationships" ref="A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0"/>
  <sheetViews>
    <sheetView showGridLines="0" workbookViewId="0">
      <selection activeCell="A1" sqref="A1"/>
    </sheetView>
  </sheetViews>
  <sheetFormatPr baseColWidth="8" defaultRowHeight="15"/>
  <cols>
    <col width="24" customWidth="1" min="1" max="1"/>
    <col width="10" customWidth="1" min="2" max="2"/>
    <col width="12" customWidth="1" min="3" max="3"/>
    <col width="14" customWidth="1" min="4" max="4"/>
    <col width="8" customWidth="1" min="5" max="5"/>
    <col width="10" customWidth="1" min="6" max="6"/>
    <col width="8" customWidth="1" min="7" max="7"/>
    <col width="10" customWidth="1" min="8" max="8"/>
    <col width="14" customWidth="1" min="9" max="9"/>
    <col width="13" customWidth="1" min="10" max="10"/>
    <col width="12" customWidth="1" min="11" max="11"/>
    <col width="13" customWidth="1" min="12" max="12"/>
    <col width="13" customWidth="1" min="13" max="13"/>
    <col width="26" customWidth="1" min="14" max="14"/>
    <col width="9" customWidth="1" min="15" max="15"/>
    <col width="40" customWidth="1" min="16" max="16"/>
    <col width="10" customWidth="1" min="17" max="17"/>
    <col width="10" customWidth="1" min="18" max="18"/>
    <col width="14" customWidth="1" min="19" max="19"/>
  </cols>
  <sheetData>
    <row r="1">
      <c r="A1" s="10" t="inlineStr">
        <is>
          <t>Missions</t>
        </is>
      </c>
      <c r="N1" s="3" t="inlineStr">
        <is>
          <t>Warning</t>
        </is>
      </c>
      <c r="O1" s="3" t="inlineStr">
        <is>
          <t>Active</t>
        </is>
      </c>
      <c r="P1" s="3" t="inlineStr">
        <is>
          <t>Detail</t>
        </is>
      </c>
      <c r="Q1" s="119" t="inlineStr">
        <is>
          <t>Threshold</t>
        </is>
      </c>
    </row>
    <row r="2" ht="20" customHeight="1">
      <c r="A2" s="11" t="inlineStr">
        <is>
          <t>← Home</t>
        </is>
      </c>
      <c r="N2" s="5" t="inlineStr">
        <is>
          <t>Deep Thinking Overload</t>
        </is>
      </c>
      <c r="O2" s="36">
        <f>IF(Home!$D$30=0,FALSE,Home!$E$25&gt;0.6)</f>
        <v/>
      </c>
      <c r="P2" s="5" t="inlineStr">
        <is>
          <t>More than 60% of active work is Deep Thinking</t>
        </is>
      </c>
    </row>
    <row r="3">
      <c r="A3" s="33" t="inlineStr">
        <is>
          <t>One row per mission. Add a row here whenever you start a new mission — this powers Mission Balance and workload warnings.</t>
        </is>
      </c>
      <c r="N3" s="5" t="inlineStr">
        <is>
          <t>Too Many Blocked Tasks</t>
        </is>
      </c>
      <c r="O3" s="36">
        <f>COUNTIF('Work Register'!$E$5:$E$500,"Blocked")&gt;$Q$3</f>
        <v/>
      </c>
      <c r="P3" s="5">
        <f>"More than "&amp;$Q$3&amp;" tasks are Blocked"</f>
        <v/>
      </c>
      <c r="Q3" s="126" t="n">
        <v>10</v>
      </c>
    </row>
    <row r="4">
      <c r="A4" s="31" t="inlineStr">
        <is>
          <t>Mission</t>
        </is>
      </c>
      <c r="B4" s="31" t="inlineStr">
        <is>
          <t>Priority</t>
        </is>
      </c>
      <c r="C4" s="31" t="inlineStr">
        <is>
          <t>Due Date</t>
        </is>
      </c>
      <c r="D4" s="31" t="inlineStr">
        <is>
          <t>Status</t>
        </is>
      </c>
      <c r="E4" s="31" t="inlineStr">
        <is>
          <t>Open</t>
        </is>
      </c>
      <c r="F4" s="31" t="inlineStr">
        <is>
          <t>In Progress</t>
        </is>
      </c>
      <c r="G4" s="31" t="inlineStr">
        <is>
          <t>Blocked</t>
        </is>
      </c>
      <c r="H4" s="31" t="inlineStr">
        <is>
          <t>Completed</t>
        </is>
      </c>
      <c r="I4" s="31" t="inlineStr">
        <is>
          <t>Est. Remaining Hrs</t>
        </is>
      </c>
      <c r="J4" s="31" t="inlineStr">
        <is>
          <t>Last Activity</t>
        </is>
      </c>
      <c r="K4" s="31" t="inlineStr">
        <is>
          <t>No Next Action</t>
        </is>
      </c>
      <c r="L4" s="31" t="inlineStr">
        <is>
          <t>Inactive 14+ Days</t>
        </is>
      </c>
      <c r="M4" s="86" t="inlineStr">
        <is>
          <t>Duplicate Name</t>
        </is>
      </c>
      <c r="N4" s="5" t="inlineStr">
        <is>
          <t>Mission Missing Next Action</t>
        </is>
      </c>
      <c r="O4" s="36">
        <f>COUNTIF($K$5:$K$20,TRUE)&gt;0</f>
        <v/>
      </c>
      <c r="P4" s="5" t="inlineStr">
        <is>
          <t>A mission has no task with Status = Next</t>
        </is>
      </c>
      <c r="R4" s="137" t="inlineStr">
        <is>
          <t>Waiting</t>
        </is>
      </c>
      <c r="S4" s="137" t="inlineStr">
        <is>
          <t>Only Blocked/Waiting</t>
        </is>
      </c>
    </row>
    <row r="5">
      <c r="A5" s="35" t="inlineStr">
        <is>
          <t>Operational Resilience Framework</t>
        </is>
      </c>
      <c r="B5" s="17" t="inlineStr">
        <is>
          <t>High</t>
        </is>
      </c>
      <c r="C5" s="17" t="inlineStr">
        <is>
          <t>2026-09-15</t>
        </is>
      </c>
      <c r="D5" s="17" t="inlineStr">
        <is>
          <t>In Progress</t>
        </is>
      </c>
      <c r="E5" s="36">
        <f>IF($A5="","",COUNTIFS('Work Register'!$A$5:$A$500,$A5,'Work Register'!$E$5:$E$500,"Captured")+COUNTIFS('Work Register'!$A$5:$A$500,$A5,'Work Register'!$E$5:$E$500,"Next"))</f>
        <v/>
      </c>
      <c r="F5" s="36">
        <f>IF($A5="","",COUNTIFS('Work Register'!$A$5:$A$500,$A5,'Work Register'!$E$5:$E$500,"In Progress"))</f>
        <v/>
      </c>
      <c r="G5" s="36">
        <f>IF($A5="","",COUNTIFS('Work Register'!$A$5:$A$500,$A5,'Work Register'!$E$5:$E$500,"Blocked"))</f>
        <v/>
      </c>
      <c r="H5" s="36">
        <f>IF($A5="","",COUNTIFS('Work Register'!$A$5:$A$500,$A5,'Work Register'!$E$5:$E$500,"Done"))</f>
        <v/>
      </c>
      <c r="I5" s="36">
        <f>IF($A5="","",ROUND(SUMIFS('Work Register'!$M$5:$M$500,'Work Register'!$A$5:$A$500,$A5,'Work Register'!$E$5:$E$500,"&lt;&gt;Done")/60,1))</f>
        <v/>
      </c>
      <c r="J5" s="37">
        <f>IF($A5="","",IFERROR(AGGREGATE(14,6,'Work Register'!$L$5:$L$500/('Work Register'!$A$5:$A$500=$A5),1),""))</f>
        <v/>
      </c>
      <c r="K5" s="36">
        <f>IF($A5="",FALSE,COUNTIFS('Work Register'!$A$5:$A$500,$A5,'Work Register'!$E$5:$E$500,"Next")=0)</f>
        <v/>
      </c>
      <c r="L5" s="36">
        <f>IF($A5="",FALSE,AND($J5&lt;&gt;"",$J5&lt;TODAY()-14,$D5&lt;&gt;"Done"))</f>
        <v/>
      </c>
      <c r="M5" s="87">
        <f>IF($A5="",FALSE,COUNTIF($A$5:$A$20,$A5)&gt;1)</f>
        <v/>
      </c>
      <c r="N5" s="5" t="inlineStr">
        <is>
          <t>Mission Inactive 14+ Days</t>
        </is>
      </c>
      <c r="O5" s="36">
        <f>COUNTIF($L$5:$L$20,TRUE)&gt;0</f>
        <v/>
      </c>
      <c r="P5" s="5" t="inlineStr">
        <is>
          <t>A mission has had no activity in 14+ days</t>
        </is>
      </c>
      <c r="R5" s="138">
        <f>IF($A5="","",COUNTIFS('Work Register'!$A$5:$A$500,$A5,'Work Register'!$E$5:$E$500,"Waiting"))</f>
        <v/>
      </c>
      <c r="S5" s="138">
        <f>IF($A5="",FALSE,AND($E5=0,$F5=0,$H5=0,OR($G5&gt;0,$R5&gt;0)))</f>
        <v/>
      </c>
    </row>
    <row r="6">
      <c r="A6" s="35" t="inlineStr">
        <is>
          <t>Client Onboarding Playbook</t>
        </is>
      </c>
      <c r="B6" s="17" t="inlineStr">
        <is>
          <t>High</t>
        </is>
      </c>
      <c r="C6" s="17" t="inlineStr">
        <is>
          <t>2026-08-20</t>
        </is>
      </c>
      <c r="D6" s="17" t="inlineStr">
        <is>
          <t>In Progress</t>
        </is>
      </c>
      <c r="E6" s="36">
        <f>IF($A6="","",COUNTIFS('Work Register'!$A$5:$A$500,$A6,'Work Register'!$E$5:$E$500,"Captured")+COUNTIFS('Work Register'!$A$5:$A$500,$A6,'Work Register'!$E$5:$E$500,"Next"))</f>
        <v/>
      </c>
      <c r="F6" s="36">
        <f>IF($A6="","",COUNTIFS('Work Register'!$A$5:$A$500,$A6,'Work Register'!$E$5:$E$500,"In Progress"))</f>
        <v/>
      </c>
      <c r="G6" s="36">
        <f>IF($A6="","",COUNTIFS('Work Register'!$A$5:$A$500,$A6,'Work Register'!$E$5:$E$500,"Blocked"))</f>
        <v/>
      </c>
      <c r="H6" s="36">
        <f>IF($A6="","",COUNTIFS('Work Register'!$A$5:$A$500,$A6,'Work Register'!$E$5:$E$500,"Done"))</f>
        <v/>
      </c>
      <c r="I6" s="36">
        <f>IF($A6="","",ROUND(SUMIFS('Work Register'!$M$5:$M$500,'Work Register'!$A$5:$A$500,$A6,'Work Register'!$E$5:$E$500,"&lt;&gt;Done")/60,1))</f>
        <v/>
      </c>
      <c r="J6" s="37">
        <f>IF($A6="","",IFERROR(AGGREGATE(14,6,'Work Register'!$L$5:$L$500/('Work Register'!$A$5:$A$500=$A6),1),""))</f>
        <v/>
      </c>
      <c r="K6" s="36">
        <f>IF($A6="",FALSE,COUNTIFS('Work Register'!$A$5:$A$500,$A6,'Work Register'!$E$5:$E$500,"Next")=0)</f>
        <v/>
      </c>
      <c r="L6" s="36">
        <f>IF($A6="",FALSE,AND($J6&lt;&gt;"",$J6&lt;TODAY()-14,$D6&lt;&gt;"Done"))</f>
        <v/>
      </c>
      <c r="M6" s="87">
        <f>IF($A6="",FALSE,COUNTIF($A$5:$A$20,$A6)&gt;1)</f>
        <v/>
      </c>
      <c r="N6" s="5" t="inlineStr">
        <is>
          <t>Overdue Tasks</t>
        </is>
      </c>
      <c r="O6" s="36">
        <f>COUNTIFS('Work Register'!$I$5:$I$500,"&lt;&gt;",'Work Register'!$I$5:$I$500,"&lt;"&amp;TODAY(),'Work Register'!$E$5:$E$500,"&lt;&gt;Done")&gt;0</f>
        <v/>
      </c>
      <c r="P6" s="5" t="inlineStr">
        <is>
          <t>One or more tasks are past their Due Date</t>
        </is>
      </c>
      <c r="R6" s="138">
        <f>IF($A6="","",COUNTIFS('Work Register'!$A$5:$A$500,$A6,'Work Register'!$E$5:$E$500,"Waiting"))</f>
        <v/>
      </c>
      <c r="S6" s="138">
        <f>IF($A6="",FALSE,AND($E6=0,$F6=0,$H6=0,OR($G6&gt;0,$R6&gt;0)))</f>
        <v/>
      </c>
    </row>
    <row r="7">
      <c r="A7" s="35" t="n"/>
      <c r="B7" s="17" t="n"/>
      <c r="C7" s="17" t="n"/>
      <c r="D7" s="17" t="n"/>
      <c r="E7" s="36">
        <f>IF($A7="","",COUNTIFS('Work Register'!$A$5:$A$500,$A7,'Work Register'!$E$5:$E$500,"Captured")+COUNTIFS('Work Register'!$A$5:$A$500,$A7,'Work Register'!$E$5:$E$500,"Next"))</f>
        <v/>
      </c>
      <c r="F7" s="36">
        <f>IF($A7="","",COUNTIFS('Work Register'!$A$5:$A$500,$A7,'Work Register'!$E$5:$E$500,"In Progress"))</f>
        <v/>
      </c>
      <c r="G7" s="36">
        <f>IF($A7="","",COUNTIFS('Work Register'!$A$5:$A$500,$A7,'Work Register'!$E$5:$E$500,"Blocked"))</f>
        <v/>
      </c>
      <c r="H7" s="36">
        <f>IF($A7="","",COUNTIFS('Work Register'!$A$5:$A$500,$A7,'Work Register'!$E$5:$E$500,"Done"))</f>
        <v/>
      </c>
      <c r="I7" s="36">
        <f>IF($A7="","",ROUND(SUMIFS('Work Register'!$M$5:$M$500,'Work Register'!$A$5:$A$500,$A7,'Work Register'!$E$5:$E$500,"&lt;&gt;Done")/60,1))</f>
        <v/>
      </c>
      <c r="J7" s="37">
        <f>IF($A7="","",IFERROR(AGGREGATE(14,6,'Work Register'!$L$5:$L$500/('Work Register'!$A$5:$A$500=$A7),1),""))</f>
        <v/>
      </c>
      <c r="K7" s="36">
        <f>IF($A7="",FALSE,COUNTIFS('Work Register'!$A$5:$A$500,$A7,'Work Register'!$E$5:$E$500,"Next")=0)</f>
        <v/>
      </c>
      <c r="L7" s="36">
        <f>IF($A7="",FALSE,AND($J7&lt;&gt;"",$J7&lt;TODAY()-14,$D7&lt;&gt;"Done"))</f>
        <v/>
      </c>
      <c r="M7" s="87">
        <f>IF($A7="",FALSE,COUNTIF($A$5:$A$20,$A7)&gt;1)</f>
        <v/>
      </c>
      <c r="N7" s="5" t="inlineStr">
        <is>
          <t>Too Many High Priority</t>
        </is>
      </c>
      <c r="O7" s="36">
        <f>COUNTIFS('Work Register'!$F$5:$F$500,"High",'Work Register'!$E$5:$E$500,"&lt;&gt;Done")&gt;$Q$7</f>
        <v/>
      </c>
      <c r="P7" s="5">
        <f>"More than "&amp;$Q$7&amp;" active tasks are High Priority"</f>
        <v/>
      </c>
      <c r="Q7" s="126" t="n">
        <v>5</v>
      </c>
      <c r="R7" s="138">
        <f>IF($A7="","",COUNTIFS('Work Register'!$A$5:$A$500,$A7,'Work Register'!$E$5:$E$500,"Waiting"))</f>
        <v/>
      </c>
      <c r="S7" s="138">
        <f>IF($A7="",FALSE,AND($E7=0,$F7=0,$H7=0,OR($G7&gt;0,$R7&gt;0)))</f>
        <v/>
      </c>
    </row>
    <row r="8">
      <c r="A8" s="35" t="n"/>
      <c r="B8" s="17" t="n"/>
      <c r="C8" s="17" t="n"/>
      <c r="D8" s="17" t="n"/>
      <c r="E8" s="36">
        <f>IF($A8="","",COUNTIFS('Work Register'!$A$5:$A$500,$A8,'Work Register'!$E$5:$E$500,"Captured")+COUNTIFS('Work Register'!$A$5:$A$500,$A8,'Work Register'!$E$5:$E$500,"Next"))</f>
        <v/>
      </c>
      <c r="F8" s="36">
        <f>IF($A8="","",COUNTIFS('Work Register'!$A$5:$A$500,$A8,'Work Register'!$E$5:$E$500,"In Progress"))</f>
        <v/>
      </c>
      <c r="G8" s="36">
        <f>IF($A8="","",COUNTIFS('Work Register'!$A$5:$A$500,$A8,'Work Register'!$E$5:$E$500,"Blocked"))</f>
        <v/>
      </c>
      <c r="H8" s="36">
        <f>IF($A8="","",COUNTIFS('Work Register'!$A$5:$A$500,$A8,'Work Register'!$E$5:$E$500,"Done"))</f>
        <v/>
      </c>
      <c r="I8" s="36">
        <f>IF($A8="","",ROUND(SUMIFS('Work Register'!$M$5:$M$500,'Work Register'!$A$5:$A$500,$A8,'Work Register'!$E$5:$E$500,"&lt;&gt;Done")/60,1))</f>
        <v/>
      </c>
      <c r="J8" s="37">
        <f>IF($A8="","",IFERROR(AGGREGATE(14,6,'Work Register'!$L$5:$L$500/('Work Register'!$A$5:$A$500=$A8),1),""))</f>
        <v/>
      </c>
      <c r="K8" s="36">
        <f>IF($A8="",FALSE,COUNTIFS('Work Register'!$A$5:$A$500,$A8,'Work Register'!$E$5:$E$500,"Next")=0)</f>
        <v/>
      </c>
      <c r="L8" s="36">
        <f>IF($A8="",FALSE,AND($J8&lt;&gt;"",$J8&lt;TODAY()-14,$D8&lt;&gt;"Done"))</f>
        <v/>
      </c>
      <c r="M8" s="87">
        <f>IF($A8="",FALSE,COUNTIF($A$5:$A$20,$A8)&gt;1)</f>
        <v/>
      </c>
      <c r="N8" s="88" t="inlineStr">
        <is>
          <t>Duplicate Mission Name</t>
        </is>
      </c>
      <c r="O8" s="87">
        <f>COUNTIF($M$5:$M$20,TRUE)&gt;0</f>
        <v/>
      </c>
      <c r="P8" s="88" t="inlineStr">
        <is>
          <t>Two missions share the same name — task counts will double up between them</t>
        </is>
      </c>
      <c r="R8" s="138">
        <f>IF($A8="","",COUNTIFS('Work Register'!$A$5:$A$500,$A8,'Work Register'!$E$5:$E$500,"Waiting"))</f>
        <v/>
      </c>
      <c r="S8" s="138">
        <f>IF($A8="",FALSE,AND($E8=0,$F8=0,$H8=0,OR($G8&gt;0,$R8&gt;0)))</f>
        <v/>
      </c>
    </row>
    <row r="9">
      <c r="A9" s="35" t="n"/>
      <c r="B9" s="17" t="n"/>
      <c r="C9" s="17" t="n"/>
      <c r="D9" s="17" t="n"/>
      <c r="E9" s="36">
        <f>IF($A9="","",COUNTIFS('Work Register'!$A$5:$A$500,$A9,'Work Register'!$E$5:$E$500,"Captured")+COUNTIFS('Work Register'!$A$5:$A$500,$A9,'Work Register'!$E$5:$E$500,"Next"))</f>
        <v/>
      </c>
      <c r="F9" s="36">
        <f>IF($A9="","",COUNTIFS('Work Register'!$A$5:$A$500,$A9,'Work Register'!$E$5:$E$500,"In Progress"))</f>
        <v/>
      </c>
      <c r="G9" s="36">
        <f>IF($A9="","",COUNTIFS('Work Register'!$A$5:$A$500,$A9,'Work Register'!$E$5:$E$500,"Blocked"))</f>
        <v/>
      </c>
      <c r="H9" s="36">
        <f>IF($A9="","",COUNTIFS('Work Register'!$A$5:$A$500,$A9,'Work Register'!$E$5:$E$500,"Done"))</f>
        <v/>
      </c>
      <c r="I9" s="36">
        <f>IF($A9="","",ROUND(SUMIFS('Work Register'!$M$5:$M$500,'Work Register'!$A$5:$A$500,$A9,'Work Register'!$E$5:$E$500,"&lt;&gt;Done")/60,1))</f>
        <v/>
      </c>
      <c r="J9" s="37">
        <f>IF($A9="","",IFERROR(AGGREGATE(14,6,'Work Register'!$L$5:$L$500/('Work Register'!$A$5:$A$500=$A9),1),""))</f>
        <v/>
      </c>
      <c r="K9" s="36">
        <f>IF($A9="",FALSE,COUNTIFS('Work Register'!$A$5:$A$500,$A9,'Work Register'!$E$5:$E$500,"Next")=0)</f>
        <v/>
      </c>
      <c r="L9" s="36">
        <f>IF($A9="",FALSE,AND($J9&lt;&gt;"",$J9&lt;TODAY()-14,$D9&lt;&gt;"Done"))</f>
        <v/>
      </c>
      <c r="M9" s="87">
        <f>IF($A9="",FALSE,COUNTIF($A$5:$A$20,$A9)&gt;1)</f>
        <v/>
      </c>
      <c r="N9" s="130" t="inlineStr">
        <is>
          <t>Mission Has Only Blocked/Waiting Work</t>
        </is>
      </c>
      <c r="O9" s="138">
        <f>COUNTIF($S$5:$S$20,TRUE)&gt;0</f>
        <v/>
      </c>
      <c r="P9" s="130" t="inlineStr">
        <is>
          <t>A mission has tasks, but none are actionable — only Blocked or Waiting</t>
        </is>
      </c>
      <c r="R9" s="138">
        <f>IF($A9="","",COUNTIFS('Work Register'!$A$5:$A$500,$A9,'Work Register'!$E$5:$E$500,"Waiting"))</f>
        <v/>
      </c>
      <c r="S9" s="138">
        <f>IF($A9="",FALSE,AND($E9=0,$F9=0,$H9=0,OR($G9&gt;0,$R9&gt;0)))</f>
        <v/>
      </c>
    </row>
    <row r="10">
      <c r="A10" s="35" t="n"/>
      <c r="B10" s="17" t="n"/>
      <c r="C10" s="17" t="n"/>
      <c r="D10" s="17" t="n"/>
      <c r="E10" s="36">
        <f>IF($A10="","",COUNTIFS('Work Register'!$A$5:$A$500,$A10,'Work Register'!$E$5:$E$500,"Captured")+COUNTIFS('Work Register'!$A$5:$A$500,$A10,'Work Register'!$E$5:$E$500,"Next"))</f>
        <v/>
      </c>
      <c r="F10" s="36">
        <f>IF($A10="","",COUNTIFS('Work Register'!$A$5:$A$500,$A10,'Work Register'!$E$5:$E$500,"In Progress"))</f>
        <v/>
      </c>
      <c r="G10" s="36">
        <f>IF($A10="","",COUNTIFS('Work Register'!$A$5:$A$500,$A10,'Work Register'!$E$5:$E$500,"Blocked"))</f>
        <v/>
      </c>
      <c r="H10" s="36">
        <f>IF($A10="","",COUNTIFS('Work Register'!$A$5:$A$500,$A10,'Work Register'!$E$5:$E$500,"Done"))</f>
        <v/>
      </c>
      <c r="I10" s="36">
        <f>IF($A10="","",ROUND(SUMIFS('Work Register'!$M$5:$M$500,'Work Register'!$A$5:$A$500,$A10,'Work Register'!$E$5:$E$500,"&lt;&gt;Done")/60,1))</f>
        <v/>
      </c>
      <c r="J10" s="37">
        <f>IF($A10="","",IFERROR(AGGREGATE(14,6,'Work Register'!$L$5:$L$500/('Work Register'!$A$5:$A$500=$A10),1),""))</f>
        <v/>
      </c>
      <c r="K10" s="36">
        <f>IF($A10="",FALSE,COUNTIFS('Work Register'!$A$5:$A$500,$A10,'Work Register'!$E$5:$E$500,"Next")=0)</f>
        <v/>
      </c>
      <c r="L10" s="36">
        <f>IF($A10="",FALSE,AND($J10&lt;&gt;"",$J10&lt;TODAY()-14,$D10&lt;&gt;"Done"))</f>
        <v/>
      </c>
      <c r="M10" s="87">
        <f>IF($A10="",FALSE,COUNTIF($A$5:$A$20,$A10)&gt;1)</f>
        <v/>
      </c>
      <c r="R10" s="138">
        <f>IF($A10="","",COUNTIFS('Work Register'!$A$5:$A$500,$A10,'Work Register'!$E$5:$E$500,"Waiting"))</f>
        <v/>
      </c>
      <c r="S10" s="138">
        <f>IF($A10="",FALSE,AND($E10=0,$F10=0,$H10=0,OR($G10&gt;0,$R10&gt;0)))</f>
        <v/>
      </c>
    </row>
    <row r="11">
      <c r="A11" s="35" t="n"/>
      <c r="B11" s="17" t="n"/>
      <c r="C11" s="17" t="n"/>
      <c r="D11" s="17" t="n"/>
      <c r="E11" s="36">
        <f>IF($A11="","",COUNTIFS('Work Register'!$A$5:$A$500,$A11,'Work Register'!$E$5:$E$500,"Captured")+COUNTIFS('Work Register'!$A$5:$A$500,$A11,'Work Register'!$E$5:$E$500,"Next"))</f>
        <v/>
      </c>
      <c r="F11" s="36">
        <f>IF($A11="","",COUNTIFS('Work Register'!$A$5:$A$500,$A11,'Work Register'!$E$5:$E$500,"In Progress"))</f>
        <v/>
      </c>
      <c r="G11" s="36">
        <f>IF($A11="","",COUNTIFS('Work Register'!$A$5:$A$500,$A11,'Work Register'!$E$5:$E$500,"Blocked"))</f>
        <v/>
      </c>
      <c r="H11" s="36">
        <f>IF($A11="","",COUNTIFS('Work Register'!$A$5:$A$500,$A11,'Work Register'!$E$5:$E$500,"Done"))</f>
        <v/>
      </c>
      <c r="I11" s="36">
        <f>IF($A11="","",ROUND(SUMIFS('Work Register'!$M$5:$M$500,'Work Register'!$A$5:$A$500,$A11,'Work Register'!$E$5:$E$500,"&lt;&gt;Done")/60,1))</f>
        <v/>
      </c>
      <c r="J11" s="37">
        <f>IF($A11="","",IFERROR(AGGREGATE(14,6,'Work Register'!$L$5:$L$500/('Work Register'!$A$5:$A$500=$A11),1),""))</f>
        <v/>
      </c>
      <c r="K11" s="36">
        <f>IF($A11="",FALSE,COUNTIFS('Work Register'!$A$5:$A$500,$A11,'Work Register'!$E$5:$E$500,"Next")=0)</f>
        <v/>
      </c>
      <c r="L11" s="36">
        <f>IF($A11="",FALSE,AND($J11&lt;&gt;"",$J11&lt;TODAY()-14,$D11&lt;&gt;"Done"))</f>
        <v/>
      </c>
      <c r="M11" s="87">
        <f>IF($A11="",FALSE,COUNTIF($A$5:$A$20,$A11)&gt;1)</f>
        <v/>
      </c>
      <c r="R11" s="138">
        <f>IF($A11="","",COUNTIFS('Work Register'!$A$5:$A$500,$A11,'Work Register'!$E$5:$E$500,"Waiting"))</f>
        <v/>
      </c>
      <c r="S11" s="138">
        <f>IF($A11="",FALSE,AND($E11=0,$F11=0,$H11=0,OR($G11&gt;0,$R11&gt;0)))</f>
        <v/>
      </c>
    </row>
    <row r="12">
      <c r="A12" s="35" t="n"/>
      <c r="B12" s="17" t="n"/>
      <c r="C12" s="17" t="n"/>
      <c r="D12" s="17" t="n"/>
      <c r="E12" s="36">
        <f>IF($A12="","",COUNTIFS('Work Register'!$A$5:$A$500,$A12,'Work Register'!$E$5:$E$500,"Captured")+COUNTIFS('Work Register'!$A$5:$A$500,$A12,'Work Register'!$E$5:$E$500,"Next"))</f>
        <v/>
      </c>
      <c r="F12" s="36">
        <f>IF($A12="","",COUNTIFS('Work Register'!$A$5:$A$500,$A12,'Work Register'!$E$5:$E$500,"In Progress"))</f>
        <v/>
      </c>
      <c r="G12" s="36">
        <f>IF($A12="","",COUNTIFS('Work Register'!$A$5:$A$500,$A12,'Work Register'!$E$5:$E$500,"Blocked"))</f>
        <v/>
      </c>
      <c r="H12" s="36">
        <f>IF($A12="","",COUNTIFS('Work Register'!$A$5:$A$500,$A12,'Work Register'!$E$5:$E$500,"Done"))</f>
        <v/>
      </c>
      <c r="I12" s="36">
        <f>IF($A12="","",ROUND(SUMIFS('Work Register'!$M$5:$M$500,'Work Register'!$A$5:$A$500,$A12,'Work Register'!$E$5:$E$500,"&lt;&gt;Done")/60,1))</f>
        <v/>
      </c>
      <c r="J12" s="37">
        <f>IF($A12="","",IFERROR(AGGREGATE(14,6,'Work Register'!$L$5:$L$500/('Work Register'!$A$5:$A$500=$A12),1),""))</f>
        <v/>
      </c>
      <c r="K12" s="36">
        <f>IF($A12="",FALSE,COUNTIFS('Work Register'!$A$5:$A$500,$A12,'Work Register'!$E$5:$E$500,"Next")=0)</f>
        <v/>
      </c>
      <c r="L12" s="36">
        <f>IF($A12="",FALSE,AND($J12&lt;&gt;"",$J12&lt;TODAY()-14,$D12&lt;&gt;"Done"))</f>
        <v/>
      </c>
      <c r="M12" s="87">
        <f>IF($A12="",FALSE,COUNTIF($A$5:$A$20,$A12)&gt;1)</f>
        <v/>
      </c>
      <c r="R12" s="138">
        <f>IF($A12="","",COUNTIFS('Work Register'!$A$5:$A$500,$A12,'Work Register'!$E$5:$E$500,"Waiting"))</f>
        <v/>
      </c>
      <c r="S12" s="138">
        <f>IF($A12="",FALSE,AND($E12=0,$F12=0,$H12=0,OR($G12&gt;0,$R12&gt;0)))</f>
        <v/>
      </c>
    </row>
    <row r="13">
      <c r="A13" s="35" t="n"/>
      <c r="B13" s="17" t="n"/>
      <c r="C13" s="17" t="n"/>
      <c r="D13" s="17" t="n"/>
      <c r="E13" s="36">
        <f>IF($A13="","",COUNTIFS('Work Register'!$A$5:$A$500,$A13,'Work Register'!$E$5:$E$500,"Captured")+COUNTIFS('Work Register'!$A$5:$A$500,$A13,'Work Register'!$E$5:$E$500,"Next"))</f>
        <v/>
      </c>
      <c r="F13" s="36">
        <f>IF($A13="","",COUNTIFS('Work Register'!$A$5:$A$500,$A13,'Work Register'!$E$5:$E$500,"In Progress"))</f>
        <v/>
      </c>
      <c r="G13" s="36">
        <f>IF($A13="","",COUNTIFS('Work Register'!$A$5:$A$500,$A13,'Work Register'!$E$5:$E$500,"Blocked"))</f>
        <v/>
      </c>
      <c r="H13" s="36">
        <f>IF($A13="","",COUNTIFS('Work Register'!$A$5:$A$500,$A13,'Work Register'!$E$5:$E$500,"Done"))</f>
        <v/>
      </c>
      <c r="I13" s="36">
        <f>IF($A13="","",ROUND(SUMIFS('Work Register'!$M$5:$M$500,'Work Register'!$A$5:$A$500,$A13,'Work Register'!$E$5:$E$500,"&lt;&gt;Done")/60,1))</f>
        <v/>
      </c>
      <c r="J13" s="37">
        <f>IF($A13="","",IFERROR(AGGREGATE(14,6,'Work Register'!$L$5:$L$500/('Work Register'!$A$5:$A$500=$A13),1),""))</f>
        <v/>
      </c>
      <c r="K13" s="36">
        <f>IF($A13="",FALSE,COUNTIFS('Work Register'!$A$5:$A$500,$A13,'Work Register'!$E$5:$E$500,"Next")=0)</f>
        <v/>
      </c>
      <c r="L13" s="36">
        <f>IF($A13="",FALSE,AND($J13&lt;&gt;"",$J13&lt;TODAY()-14,$D13&lt;&gt;"Done"))</f>
        <v/>
      </c>
      <c r="M13" s="87">
        <f>IF($A13="",FALSE,COUNTIF($A$5:$A$20,$A13)&gt;1)</f>
        <v/>
      </c>
      <c r="R13" s="138">
        <f>IF($A13="","",COUNTIFS('Work Register'!$A$5:$A$500,$A13,'Work Register'!$E$5:$E$500,"Waiting"))</f>
        <v/>
      </c>
      <c r="S13" s="138">
        <f>IF($A13="",FALSE,AND($E13=0,$F13=0,$H13=0,OR($G13&gt;0,$R13&gt;0)))</f>
        <v/>
      </c>
    </row>
    <row r="14">
      <c r="A14" s="35" t="n"/>
      <c r="B14" s="17" t="n"/>
      <c r="C14" s="17" t="n"/>
      <c r="D14" s="17" t="n"/>
      <c r="E14" s="36">
        <f>IF($A14="","",COUNTIFS('Work Register'!$A$5:$A$500,$A14,'Work Register'!$E$5:$E$500,"Captured")+COUNTIFS('Work Register'!$A$5:$A$500,$A14,'Work Register'!$E$5:$E$500,"Next"))</f>
        <v/>
      </c>
      <c r="F14" s="36">
        <f>IF($A14="","",COUNTIFS('Work Register'!$A$5:$A$500,$A14,'Work Register'!$E$5:$E$500,"In Progress"))</f>
        <v/>
      </c>
      <c r="G14" s="36">
        <f>IF($A14="","",COUNTIFS('Work Register'!$A$5:$A$500,$A14,'Work Register'!$E$5:$E$500,"Blocked"))</f>
        <v/>
      </c>
      <c r="H14" s="36">
        <f>IF($A14="","",COUNTIFS('Work Register'!$A$5:$A$500,$A14,'Work Register'!$E$5:$E$500,"Done"))</f>
        <v/>
      </c>
      <c r="I14" s="36">
        <f>IF($A14="","",ROUND(SUMIFS('Work Register'!$M$5:$M$500,'Work Register'!$A$5:$A$500,$A14,'Work Register'!$E$5:$E$500,"&lt;&gt;Done")/60,1))</f>
        <v/>
      </c>
      <c r="J14" s="37">
        <f>IF($A14="","",IFERROR(AGGREGATE(14,6,'Work Register'!$L$5:$L$500/('Work Register'!$A$5:$A$500=$A14),1),""))</f>
        <v/>
      </c>
      <c r="K14" s="36">
        <f>IF($A14="",FALSE,COUNTIFS('Work Register'!$A$5:$A$500,$A14,'Work Register'!$E$5:$E$500,"Next")=0)</f>
        <v/>
      </c>
      <c r="L14" s="36">
        <f>IF($A14="",FALSE,AND($J14&lt;&gt;"",$J14&lt;TODAY()-14,$D14&lt;&gt;"Done"))</f>
        <v/>
      </c>
      <c r="M14" s="87">
        <f>IF($A14="",FALSE,COUNTIF($A$5:$A$20,$A14)&gt;1)</f>
        <v/>
      </c>
      <c r="R14" s="138">
        <f>IF($A14="","",COUNTIFS('Work Register'!$A$5:$A$500,$A14,'Work Register'!$E$5:$E$500,"Waiting"))</f>
        <v/>
      </c>
      <c r="S14" s="138">
        <f>IF($A14="",FALSE,AND($E14=0,$F14=0,$H14=0,OR($G14&gt;0,$R14&gt;0)))</f>
        <v/>
      </c>
    </row>
    <row r="15">
      <c r="A15" s="35" t="n"/>
      <c r="B15" s="17" t="n"/>
      <c r="C15" s="17" t="n"/>
      <c r="D15" s="17" t="n"/>
      <c r="E15" s="36">
        <f>IF($A15="","",COUNTIFS('Work Register'!$A$5:$A$500,$A15,'Work Register'!$E$5:$E$500,"Captured")+COUNTIFS('Work Register'!$A$5:$A$500,$A15,'Work Register'!$E$5:$E$500,"Next"))</f>
        <v/>
      </c>
      <c r="F15" s="36">
        <f>IF($A15="","",COUNTIFS('Work Register'!$A$5:$A$500,$A15,'Work Register'!$E$5:$E$500,"In Progress"))</f>
        <v/>
      </c>
      <c r="G15" s="36">
        <f>IF($A15="","",COUNTIFS('Work Register'!$A$5:$A$500,$A15,'Work Register'!$E$5:$E$500,"Blocked"))</f>
        <v/>
      </c>
      <c r="H15" s="36">
        <f>IF($A15="","",COUNTIFS('Work Register'!$A$5:$A$500,$A15,'Work Register'!$E$5:$E$500,"Done"))</f>
        <v/>
      </c>
      <c r="I15" s="36">
        <f>IF($A15="","",ROUND(SUMIFS('Work Register'!$M$5:$M$500,'Work Register'!$A$5:$A$500,$A15,'Work Register'!$E$5:$E$500,"&lt;&gt;Done")/60,1))</f>
        <v/>
      </c>
      <c r="J15" s="37">
        <f>IF($A15="","",IFERROR(AGGREGATE(14,6,'Work Register'!$L$5:$L$500/('Work Register'!$A$5:$A$500=$A15),1),""))</f>
        <v/>
      </c>
      <c r="K15" s="36">
        <f>IF($A15="",FALSE,COUNTIFS('Work Register'!$A$5:$A$500,$A15,'Work Register'!$E$5:$E$500,"Next")=0)</f>
        <v/>
      </c>
      <c r="L15" s="36">
        <f>IF($A15="",FALSE,AND($J15&lt;&gt;"",$J15&lt;TODAY()-14,$D15&lt;&gt;"Done"))</f>
        <v/>
      </c>
      <c r="M15" s="87">
        <f>IF($A15="",FALSE,COUNTIF($A$5:$A$20,$A15)&gt;1)</f>
        <v/>
      </c>
      <c r="R15" s="138">
        <f>IF($A15="","",COUNTIFS('Work Register'!$A$5:$A$500,$A15,'Work Register'!$E$5:$E$500,"Waiting"))</f>
        <v/>
      </c>
      <c r="S15" s="138">
        <f>IF($A15="",FALSE,AND($E15=0,$F15=0,$H15=0,OR($G15&gt;0,$R15&gt;0)))</f>
        <v/>
      </c>
    </row>
    <row r="16">
      <c r="A16" s="35" t="n"/>
      <c r="B16" s="17" t="n"/>
      <c r="C16" s="17" t="n"/>
      <c r="D16" s="17" t="n"/>
      <c r="E16" s="36">
        <f>IF($A16="","",COUNTIFS('Work Register'!$A$5:$A$500,$A16,'Work Register'!$E$5:$E$500,"Captured")+COUNTIFS('Work Register'!$A$5:$A$500,$A16,'Work Register'!$E$5:$E$500,"Next"))</f>
        <v/>
      </c>
      <c r="F16" s="36">
        <f>IF($A16="","",COUNTIFS('Work Register'!$A$5:$A$500,$A16,'Work Register'!$E$5:$E$500,"In Progress"))</f>
        <v/>
      </c>
      <c r="G16" s="36">
        <f>IF($A16="","",COUNTIFS('Work Register'!$A$5:$A$500,$A16,'Work Register'!$E$5:$E$500,"Blocked"))</f>
        <v/>
      </c>
      <c r="H16" s="36">
        <f>IF($A16="","",COUNTIFS('Work Register'!$A$5:$A$500,$A16,'Work Register'!$E$5:$E$500,"Done"))</f>
        <v/>
      </c>
      <c r="I16" s="36">
        <f>IF($A16="","",ROUND(SUMIFS('Work Register'!$M$5:$M$500,'Work Register'!$A$5:$A$500,$A16,'Work Register'!$E$5:$E$500,"&lt;&gt;Done")/60,1))</f>
        <v/>
      </c>
      <c r="J16" s="37">
        <f>IF($A16="","",IFERROR(AGGREGATE(14,6,'Work Register'!$L$5:$L$500/('Work Register'!$A$5:$A$500=$A16),1),""))</f>
        <v/>
      </c>
      <c r="K16" s="36">
        <f>IF($A16="",FALSE,COUNTIFS('Work Register'!$A$5:$A$500,$A16,'Work Register'!$E$5:$E$500,"Next")=0)</f>
        <v/>
      </c>
      <c r="L16" s="36">
        <f>IF($A16="",FALSE,AND($J16&lt;&gt;"",$J16&lt;TODAY()-14,$D16&lt;&gt;"Done"))</f>
        <v/>
      </c>
      <c r="M16" s="87">
        <f>IF($A16="",FALSE,COUNTIF($A$5:$A$20,$A16)&gt;1)</f>
        <v/>
      </c>
      <c r="R16" s="138">
        <f>IF($A16="","",COUNTIFS('Work Register'!$A$5:$A$500,$A16,'Work Register'!$E$5:$E$500,"Waiting"))</f>
        <v/>
      </c>
      <c r="S16" s="138">
        <f>IF($A16="",FALSE,AND($E16=0,$F16=0,$H16=0,OR($G16&gt;0,$R16&gt;0)))</f>
        <v/>
      </c>
    </row>
    <row r="17">
      <c r="A17" s="35" t="n"/>
      <c r="B17" s="17" t="n"/>
      <c r="C17" s="17" t="n"/>
      <c r="D17" s="17" t="n"/>
      <c r="E17" s="36">
        <f>IF($A17="","",COUNTIFS('Work Register'!$A$5:$A$500,$A17,'Work Register'!$E$5:$E$500,"Captured")+COUNTIFS('Work Register'!$A$5:$A$500,$A17,'Work Register'!$E$5:$E$500,"Next"))</f>
        <v/>
      </c>
      <c r="F17" s="36">
        <f>IF($A17="","",COUNTIFS('Work Register'!$A$5:$A$500,$A17,'Work Register'!$E$5:$E$500,"In Progress"))</f>
        <v/>
      </c>
      <c r="G17" s="36">
        <f>IF($A17="","",COUNTIFS('Work Register'!$A$5:$A$500,$A17,'Work Register'!$E$5:$E$500,"Blocked"))</f>
        <v/>
      </c>
      <c r="H17" s="36">
        <f>IF($A17="","",COUNTIFS('Work Register'!$A$5:$A$500,$A17,'Work Register'!$E$5:$E$500,"Done"))</f>
        <v/>
      </c>
      <c r="I17" s="36">
        <f>IF($A17="","",ROUND(SUMIFS('Work Register'!$M$5:$M$500,'Work Register'!$A$5:$A$500,$A17,'Work Register'!$E$5:$E$500,"&lt;&gt;Done")/60,1))</f>
        <v/>
      </c>
      <c r="J17" s="37">
        <f>IF($A17="","",IFERROR(AGGREGATE(14,6,'Work Register'!$L$5:$L$500/('Work Register'!$A$5:$A$500=$A17),1),""))</f>
        <v/>
      </c>
      <c r="K17" s="36">
        <f>IF($A17="",FALSE,COUNTIFS('Work Register'!$A$5:$A$500,$A17,'Work Register'!$E$5:$E$500,"Next")=0)</f>
        <v/>
      </c>
      <c r="L17" s="36">
        <f>IF($A17="",FALSE,AND($J17&lt;&gt;"",$J17&lt;TODAY()-14,$D17&lt;&gt;"Done"))</f>
        <v/>
      </c>
      <c r="M17" s="87">
        <f>IF($A17="",FALSE,COUNTIF($A$5:$A$20,$A17)&gt;1)</f>
        <v/>
      </c>
      <c r="R17" s="138">
        <f>IF($A17="","",COUNTIFS('Work Register'!$A$5:$A$500,$A17,'Work Register'!$E$5:$E$500,"Waiting"))</f>
        <v/>
      </c>
      <c r="S17" s="138">
        <f>IF($A17="",FALSE,AND($E17=0,$F17=0,$H17=0,OR($G17&gt;0,$R17&gt;0)))</f>
        <v/>
      </c>
    </row>
    <row r="18">
      <c r="A18" s="35" t="n"/>
      <c r="B18" s="17" t="n"/>
      <c r="C18" s="17" t="n"/>
      <c r="D18" s="17" t="n"/>
      <c r="E18" s="36">
        <f>IF($A18="","",COUNTIFS('Work Register'!$A$5:$A$500,$A18,'Work Register'!$E$5:$E$500,"Captured")+COUNTIFS('Work Register'!$A$5:$A$500,$A18,'Work Register'!$E$5:$E$500,"Next"))</f>
        <v/>
      </c>
      <c r="F18" s="36">
        <f>IF($A18="","",COUNTIFS('Work Register'!$A$5:$A$500,$A18,'Work Register'!$E$5:$E$500,"In Progress"))</f>
        <v/>
      </c>
      <c r="G18" s="36">
        <f>IF($A18="","",COUNTIFS('Work Register'!$A$5:$A$500,$A18,'Work Register'!$E$5:$E$500,"Blocked"))</f>
        <v/>
      </c>
      <c r="H18" s="36">
        <f>IF($A18="","",COUNTIFS('Work Register'!$A$5:$A$500,$A18,'Work Register'!$E$5:$E$500,"Done"))</f>
        <v/>
      </c>
      <c r="I18" s="36">
        <f>IF($A18="","",ROUND(SUMIFS('Work Register'!$M$5:$M$500,'Work Register'!$A$5:$A$500,$A18,'Work Register'!$E$5:$E$500,"&lt;&gt;Done")/60,1))</f>
        <v/>
      </c>
      <c r="J18" s="37">
        <f>IF($A18="","",IFERROR(AGGREGATE(14,6,'Work Register'!$L$5:$L$500/('Work Register'!$A$5:$A$500=$A18),1),""))</f>
        <v/>
      </c>
      <c r="K18" s="36">
        <f>IF($A18="",FALSE,COUNTIFS('Work Register'!$A$5:$A$500,$A18,'Work Register'!$E$5:$E$500,"Next")=0)</f>
        <v/>
      </c>
      <c r="L18" s="36">
        <f>IF($A18="",FALSE,AND($J18&lt;&gt;"",$J18&lt;TODAY()-14,$D18&lt;&gt;"Done"))</f>
        <v/>
      </c>
      <c r="M18" s="87">
        <f>IF($A18="",FALSE,COUNTIF($A$5:$A$20,$A18)&gt;1)</f>
        <v/>
      </c>
      <c r="R18" s="138">
        <f>IF($A18="","",COUNTIFS('Work Register'!$A$5:$A$500,$A18,'Work Register'!$E$5:$E$500,"Waiting"))</f>
        <v/>
      </c>
      <c r="S18" s="138">
        <f>IF($A18="",FALSE,AND($E18=0,$F18=0,$H18=0,OR($G18&gt;0,$R18&gt;0)))</f>
        <v/>
      </c>
    </row>
    <row r="19">
      <c r="A19" s="35" t="n"/>
      <c r="B19" s="17" t="n"/>
      <c r="C19" s="17" t="n"/>
      <c r="D19" s="17" t="n"/>
      <c r="E19" s="36">
        <f>IF($A19="","",COUNTIFS('Work Register'!$A$5:$A$500,$A19,'Work Register'!$E$5:$E$500,"Captured")+COUNTIFS('Work Register'!$A$5:$A$500,$A19,'Work Register'!$E$5:$E$500,"Next"))</f>
        <v/>
      </c>
      <c r="F19" s="36">
        <f>IF($A19="","",COUNTIFS('Work Register'!$A$5:$A$500,$A19,'Work Register'!$E$5:$E$500,"In Progress"))</f>
        <v/>
      </c>
      <c r="G19" s="36">
        <f>IF($A19="","",COUNTIFS('Work Register'!$A$5:$A$500,$A19,'Work Register'!$E$5:$E$500,"Blocked"))</f>
        <v/>
      </c>
      <c r="H19" s="36">
        <f>IF($A19="","",COUNTIFS('Work Register'!$A$5:$A$500,$A19,'Work Register'!$E$5:$E$500,"Done"))</f>
        <v/>
      </c>
      <c r="I19" s="36">
        <f>IF($A19="","",ROUND(SUMIFS('Work Register'!$M$5:$M$500,'Work Register'!$A$5:$A$500,$A19,'Work Register'!$E$5:$E$500,"&lt;&gt;Done")/60,1))</f>
        <v/>
      </c>
      <c r="J19" s="37">
        <f>IF($A19="","",IFERROR(AGGREGATE(14,6,'Work Register'!$L$5:$L$500/('Work Register'!$A$5:$A$500=$A19),1),""))</f>
        <v/>
      </c>
      <c r="K19" s="36">
        <f>IF($A19="",FALSE,COUNTIFS('Work Register'!$A$5:$A$500,$A19,'Work Register'!$E$5:$E$500,"Next")=0)</f>
        <v/>
      </c>
      <c r="L19" s="36">
        <f>IF($A19="",FALSE,AND($J19&lt;&gt;"",$J19&lt;TODAY()-14,$D19&lt;&gt;"Done"))</f>
        <v/>
      </c>
      <c r="M19" s="87">
        <f>IF($A19="",FALSE,COUNTIF($A$5:$A$20,$A19)&gt;1)</f>
        <v/>
      </c>
      <c r="R19" s="138">
        <f>IF($A19="","",COUNTIFS('Work Register'!$A$5:$A$500,$A19,'Work Register'!$E$5:$E$500,"Waiting"))</f>
        <v/>
      </c>
      <c r="S19" s="138">
        <f>IF($A19="",FALSE,AND($E19=0,$F19=0,$H19=0,OR($G19&gt;0,$R19&gt;0)))</f>
        <v/>
      </c>
    </row>
    <row r="20">
      <c r="A20" s="35" t="n"/>
      <c r="B20" s="17" t="n"/>
      <c r="C20" s="17" t="n"/>
      <c r="D20" s="17" t="n"/>
      <c r="E20" s="36">
        <f>IF($A20="","",COUNTIFS('Work Register'!$A$5:$A$500,$A20,'Work Register'!$E$5:$E$500,"Captured")+COUNTIFS('Work Register'!$A$5:$A$500,$A20,'Work Register'!$E$5:$E$500,"Next"))</f>
        <v/>
      </c>
      <c r="F20" s="36">
        <f>IF($A20="","",COUNTIFS('Work Register'!$A$5:$A$500,$A20,'Work Register'!$E$5:$E$500,"In Progress"))</f>
        <v/>
      </c>
      <c r="G20" s="36">
        <f>IF($A20="","",COUNTIFS('Work Register'!$A$5:$A$500,$A20,'Work Register'!$E$5:$E$500,"Blocked"))</f>
        <v/>
      </c>
      <c r="H20" s="36">
        <f>IF($A20="","",COUNTIFS('Work Register'!$A$5:$A$500,$A20,'Work Register'!$E$5:$E$500,"Done"))</f>
        <v/>
      </c>
      <c r="I20" s="36">
        <f>IF($A20="","",ROUND(SUMIFS('Work Register'!$M$5:$M$500,'Work Register'!$A$5:$A$500,$A20,'Work Register'!$E$5:$E$500,"&lt;&gt;Done")/60,1))</f>
        <v/>
      </c>
      <c r="J20" s="37">
        <f>IF($A20="","",IFERROR(AGGREGATE(14,6,'Work Register'!$L$5:$L$500/('Work Register'!$A$5:$A$500=$A20),1),""))</f>
        <v/>
      </c>
      <c r="K20" s="36">
        <f>IF($A20="",FALSE,COUNTIFS('Work Register'!$A$5:$A$500,$A20,'Work Register'!$E$5:$E$500,"Next")=0)</f>
        <v/>
      </c>
      <c r="L20" s="36">
        <f>IF($A20="",FALSE,AND($J20&lt;&gt;"",$J20&lt;TODAY()-14,$D20&lt;&gt;"Done"))</f>
        <v/>
      </c>
      <c r="M20" s="87">
        <f>IF($A20="",FALSE,COUNTIF($A$5:$A$20,$A20)&gt;1)</f>
        <v/>
      </c>
      <c r="R20" s="138">
        <f>IF($A20="","",COUNTIFS('Work Register'!$A$5:$A$500,$A20,'Work Register'!$E$5:$E$500,"Waiting"))</f>
        <v/>
      </c>
      <c r="S20" s="138">
        <f>IF($A20="",FALSE,AND($E20=0,$F20=0,$H20=0,OR($G20&gt;0,$R20&gt;0)))</f>
        <v/>
      </c>
    </row>
  </sheetData>
  <sheetProtection selectLockedCells="0" selectUnlockedCells="0" sheet="1" objects="0" insertRows="1" insertHyperlinks="1" autoFilter="1" scenarios="0" formatColumns="1" deleteColumns="1" insertColumns="1" pivotTables="1" deleteRows="1" formatCells="1" formatRows="1" sort="1"/>
  <mergeCells count="1">
    <mergeCell ref="A3:D3"/>
  </mergeCells>
  <conditionalFormatting sqref="A5:A20">
    <cfRule type="expression" priority="1" dxfId="6">
      <formula>COUNTIF($A$5:$A$20,A5)&gt;1</formula>
    </cfRule>
  </conditionalFormatting>
  <dataValidations count="2">
    <dataValidation sqref="B5 B6 B7 B8 B9 B10 B11 B12 B13 B14 B15 B16 B17 B18 B19 B20" showDropDown="0" showInputMessage="0" showErrorMessage="0" allowBlank="1" type="list">
      <formula1>PriorityList</formula1>
    </dataValidation>
    <dataValidation sqref="D5 D6 D7 D8 D9 D10 D11 D12 D13 D14 D15 D16 D17 D18 D19 D20" showDropDown="0" showInputMessage="0" showErrorMessage="0" allowBlank="1" type="list">
      <formula1>StatusList</formula1>
    </dataValidation>
  </dataValidations>
  <hyperlinks>
    <hyperlink xmlns:r="http://schemas.openxmlformats.org/officeDocument/2006/relationships" ref="A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0"/>
  <sheetViews>
    <sheetView showGridLines="0" workbookViewId="0">
      <selection activeCell="A1" sqref="A1"/>
    </sheetView>
  </sheetViews>
  <sheetFormatPr baseColWidth="8" defaultRowHeight="15"/>
  <cols>
    <col width="26" customWidth="1" min="2" max="2"/>
    <col width="22" customWidth="1" min="3" max="3"/>
    <col width="16" customWidth="1" min="4" max="4"/>
    <col width="12" customWidth="1" min="5" max="5"/>
    <col width="10" customWidth="1" min="6" max="6"/>
    <col width="12" customWidth="1" min="7" max="7"/>
    <col width="10" customWidth="1" min="8" max="8"/>
    <col width="14" customWidth="1" min="9" max="9"/>
  </cols>
  <sheetData>
    <row r="1">
      <c r="A1" s="39" t="n"/>
      <c r="B1" s="39" t="n"/>
      <c r="C1" s="39" t="n"/>
      <c r="D1" s="39" t="n"/>
      <c r="E1" s="39" t="n"/>
      <c r="F1" s="39" t="n"/>
      <c r="G1" s="39" t="n"/>
      <c r="H1" s="39" t="n"/>
      <c r="I1" s="39" t="n"/>
      <c r="J1" s="39" t="n"/>
      <c r="T1" t="inlineStr">
        <is>
          <t>All</t>
        </is>
      </c>
    </row>
    <row r="2">
      <c r="A2" s="39" t="n"/>
      <c r="B2" s="89" t="inlineStr">
        <is>
          <t>Task Finder</t>
        </is>
      </c>
      <c r="C2" s="39" t="n"/>
      <c r="D2" s="39" t="n"/>
      <c r="E2" s="39" t="n"/>
      <c r="F2" s="39" t="n"/>
      <c r="G2" s="39" t="n"/>
      <c r="H2" s="39" t="n"/>
      <c r="I2" s="39" t="n"/>
      <c r="J2" s="39" t="n"/>
      <c r="T2" t="inlineStr">
        <is>
          <t>High Priority</t>
        </is>
      </c>
    </row>
    <row r="3">
      <c r="A3" s="39" t="n"/>
      <c r="B3" s="39" t="n"/>
      <c r="C3" s="39" t="n"/>
      <c r="D3" s="39" t="n"/>
      <c r="E3" s="39" t="n"/>
      <c r="F3" s="39" t="n"/>
      <c r="G3" s="39" t="n"/>
      <c r="H3" s="39" t="n"/>
      <c r="I3" s="39" t="n"/>
      <c r="J3" s="39" t="n"/>
      <c r="T3" t="inlineStr">
        <is>
          <t>Due This Week</t>
        </is>
      </c>
    </row>
    <row r="4" ht="20" customHeight="1">
      <c r="A4" s="39" t="n"/>
      <c r="B4" s="90" t="inlineStr">
        <is>
          <t>← Home</t>
        </is>
      </c>
      <c r="C4" s="39" t="n"/>
      <c r="D4" s="39" t="n"/>
      <c r="E4" s="39" t="n"/>
      <c r="F4" s="39" t="n"/>
      <c r="G4" s="39" t="n"/>
      <c r="H4" s="39" t="n"/>
      <c r="I4" s="39" t="n"/>
      <c r="J4" s="39" t="n"/>
      <c r="T4" t="inlineStr">
        <is>
          <t>Quick Wins (15 mins or less)</t>
        </is>
      </c>
    </row>
    <row r="5">
      <c r="A5" s="39" t="n"/>
      <c r="B5" s="39" t="n"/>
      <c r="C5" s="39" t="n"/>
      <c r="D5" s="39" t="n"/>
      <c r="E5" s="39" t="n"/>
      <c r="F5" s="39" t="n"/>
      <c r="G5" s="39" t="n"/>
      <c r="H5" s="39" t="n"/>
      <c r="I5" s="39" t="n"/>
      <c r="J5" s="39" t="n"/>
      <c r="T5" t="inlineStr">
        <is>
          <t>Deep Thinking</t>
        </is>
      </c>
    </row>
    <row r="6">
      <c r="A6" s="39" t="n"/>
      <c r="B6" s="77" t="inlineStr">
        <is>
          <t>Filter</t>
        </is>
      </c>
      <c r="C6" s="91" t="inlineStr">
        <is>
          <t>All</t>
        </is>
      </c>
      <c r="D6" s="92">
        <f>COUNTIF('Work Register'!$P$5:$P$500,TRUE)&amp;" matching task(s)"</f>
        <v/>
      </c>
      <c r="G6" s="39" t="n"/>
      <c r="H6" s="39" t="n"/>
      <c r="I6" s="39" t="n"/>
      <c r="J6" s="39" t="n"/>
      <c r="T6" t="inlineStr">
        <is>
          <t>Processing</t>
        </is>
      </c>
    </row>
    <row r="7">
      <c r="A7" s="39" t="n"/>
      <c r="B7" s="77" t="inlineStr">
        <is>
          <t>Keyword</t>
        </is>
      </c>
      <c r="C7" s="98" t="n"/>
      <c r="D7" s="83" t="inlineStr">
        <is>
          <t>Only used when Filter = Keyword. Searches Mission, Deliverable, Component, Task, and Notes.</t>
        </is>
      </c>
      <c r="I7" s="39" t="n"/>
      <c r="J7" s="39" t="n"/>
      <c r="T7" t="inlineStr">
        <is>
          <t>Blocked</t>
        </is>
      </c>
    </row>
    <row r="8">
      <c r="A8" s="39" t="n"/>
      <c r="B8" s="39" t="n"/>
      <c r="C8" s="39" t="n"/>
      <c r="D8" s="39" t="n"/>
      <c r="E8" s="39" t="n"/>
      <c r="F8" s="39" t="n"/>
      <c r="G8" s="39" t="n"/>
      <c r="H8" s="39" t="n"/>
      <c r="I8" s="39" t="n"/>
      <c r="J8" s="39" t="n"/>
      <c r="T8" t="inlineStr">
        <is>
          <t>Waiting</t>
        </is>
      </c>
    </row>
    <row r="9">
      <c r="A9" s="39" t="n"/>
      <c r="B9" s="89" t="inlineStr">
        <is>
          <t>Matching Tasks</t>
        </is>
      </c>
      <c r="C9" s="39" t="n"/>
      <c r="D9" s="39" t="n"/>
      <c r="E9" s="39" t="n"/>
      <c r="F9" s="39" t="n"/>
      <c r="G9" s="39" t="n"/>
      <c r="H9" s="39" t="n"/>
      <c r="I9" s="39" t="n"/>
      <c r="J9" s="39" t="n"/>
      <c r="T9" t="inlineStr">
        <is>
          <t>Recently Updated</t>
        </is>
      </c>
    </row>
    <row r="10">
      <c r="A10" s="39" t="n"/>
      <c r="B10" s="94" t="inlineStr">
        <is>
          <t>Task</t>
        </is>
      </c>
      <c r="C10" s="94" t="inlineStr">
        <is>
          <t>Mission</t>
        </is>
      </c>
      <c r="D10" s="94" t="inlineStr">
        <is>
          <t>Component</t>
        </is>
      </c>
      <c r="E10" s="94" t="inlineStr">
        <is>
          <t>Status</t>
        </is>
      </c>
      <c r="F10" s="94" t="inlineStr">
        <is>
          <t>Priority</t>
        </is>
      </c>
      <c r="G10" s="94" t="inlineStr">
        <is>
          <t>Due Date</t>
        </is>
      </c>
      <c r="H10" s="94" t="inlineStr">
        <is>
          <t>Time</t>
        </is>
      </c>
      <c r="I10" s="94" t="inlineStr">
        <is>
          <t>Energy</t>
        </is>
      </c>
      <c r="J10" s="39" t="n"/>
      <c r="T10" t="inlineStr">
        <is>
          <t>Keyword</t>
        </is>
      </c>
    </row>
    <row r="11">
      <c r="A11" s="39" t="n"/>
      <c r="B11" s="95">
        <f>IFERROR(INDEX('Work Register'!D:D,AGGREGATE(15,6,ROW('Work Register'!$D$5:$D$500)/('Work Register'!$P$5:$P$500=TRUE),1)),"")</f>
        <v/>
      </c>
      <c r="C11" s="95">
        <f>IFERROR(INDEX('Work Register'!A:A,AGGREGATE(15,6,ROW('Work Register'!$D$5:$D$500)/('Work Register'!$P$5:$P$500=TRUE),1)),"")</f>
        <v/>
      </c>
      <c r="D11" s="95">
        <f>IFERROR(INDEX('Work Register'!C:C,AGGREGATE(15,6,ROW('Work Register'!$D$5:$D$500)/('Work Register'!$P$5:$P$500=TRUE),1)),"")</f>
        <v/>
      </c>
      <c r="E11" s="96">
        <f>IFERROR(INDEX('Work Register'!E:E,AGGREGATE(15,6,ROW('Work Register'!$D$5:$D$500)/('Work Register'!$P$5:$P$500=TRUE),1)),"")</f>
        <v/>
      </c>
      <c r="F11" s="96">
        <f>IFERROR(INDEX('Work Register'!F:F,AGGREGATE(15,6,ROW('Work Register'!$D$5:$D$500)/('Work Register'!$P$5:$P$500=TRUE),1)),"")</f>
        <v/>
      </c>
      <c r="G11" s="96">
        <f>IFERROR(INDEX('Work Register'!I:I,AGGREGATE(15,6,ROW('Work Register'!$D$5:$D$500)/('Work Register'!$P$5:$P$500=TRUE),1)),"")</f>
        <v/>
      </c>
      <c r="H11" s="96">
        <f>IFERROR(INDEX('Work Register'!H:H,AGGREGATE(15,6,ROW('Work Register'!$D$5:$D$500)/('Work Register'!$P$5:$P$500=TRUE),1)),"")</f>
        <v/>
      </c>
      <c r="I11" s="96">
        <f>IFERROR(INDEX('Work Register'!G:G,AGGREGATE(15,6,ROW('Work Register'!$D$5:$D$500)/('Work Register'!$P$5:$P$500=TRUE),1)),"")</f>
        <v/>
      </c>
      <c r="J11" s="39" t="n"/>
    </row>
    <row r="12">
      <c r="A12" s="39" t="n"/>
      <c r="B12" s="95">
        <f>IFERROR(INDEX('Work Register'!D:D,AGGREGATE(15,6,ROW('Work Register'!$D$5:$D$500)/('Work Register'!$P$5:$P$500=TRUE),2)),"")</f>
        <v/>
      </c>
      <c r="C12" s="95">
        <f>IFERROR(INDEX('Work Register'!A:A,AGGREGATE(15,6,ROW('Work Register'!$D$5:$D$500)/('Work Register'!$P$5:$P$500=TRUE),2)),"")</f>
        <v/>
      </c>
      <c r="D12" s="95">
        <f>IFERROR(INDEX('Work Register'!C:C,AGGREGATE(15,6,ROW('Work Register'!$D$5:$D$500)/('Work Register'!$P$5:$P$500=TRUE),2)),"")</f>
        <v/>
      </c>
      <c r="E12" s="96">
        <f>IFERROR(INDEX('Work Register'!E:E,AGGREGATE(15,6,ROW('Work Register'!$D$5:$D$500)/('Work Register'!$P$5:$P$500=TRUE),2)),"")</f>
        <v/>
      </c>
      <c r="F12" s="96">
        <f>IFERROR(INDEX('Work Register'!F:F,AGGREGATE(15,6,ROW('Work Register'!$D$5:$D$500)/('Work Register'!$P$5:$P$500=TRUE),2)),"")</f>
        <v/>
      </c>
      <c r="G12" s="96">
        <f>IFERROR(INDEX('Work Register'!I:I,AGGREGATE(15,6,ROW('Work Register'!$D$5:$D$500)/('Work Register'!$P$5:$P$500=TRUE),2)),"")</f>
        <v/>
      </c>
      <c r="H12" s="96">
        <f>IFERROR(INDEX('Work Register'!H:H,AGGREGATE(15,6,ROW('Work Register'!$D$5:$D$500)/('Work Register'!$P$5:$P$500=TRUE),2)),"")</f>
        <v/>
      </c>
      <c r="I12" s="96">
        <f>IFERROR(INDEX('Work Register'!G:G,AGGREGATE(15,6,ROW('Work Register'!$D$5:$D$500)/('Work Register'!$P$5:$P$500=TRUE),2)),"")</f>
        <v/>
      </c>
      <c r="J12" s="39" t="n"/>
    </row>
    <row r="13">
      <c r="A13" s="39" t="n"/>
      <c r="B13" s="95">
        <f>IFERROR(INDEX('Work Register'!D:D,AGGREGATE(15,6,ROW('Work Register'!$D$5:$D$500)/('Work Register'!$P$5:$P$500=TRUE),3)),"")</f>
        <v/>
      </c>
      <c r="C13" s="95">
        <f>IFERROR(INDEX('Work Register'!A:A,AGGREGATE(15,6,ROW('Work Register'!$D$5:$D$500)/('Work Register'!$P$5:$P$500=TRUE),3)),"")</f>
        <v/>
      </c>
      <c r="D13" s="95">
        <f>IFERROR(INDEX('Work Register'!C:C,AGGREGATE(15,6,ROW('Work Register'!$D$5:$D$500)/('Work Register'!$P$5:$P$500=TRUE),3)),"")</f>
        <v/>
      </c>
      <c r="E13" s="96">
        <f>IFERROR(INDEX('Work Register'!E:E,AGGREGATE(15,6,ROW('Work Register'!$D$5:$D$500)/('Work Register'!$P$5:$P$500=TRUE),3)),"")</f>
        <v/>
      </c>
      <c r="F13" s="96">
        <f>IFERROR(INDEX('Work Register'!F:F,AGGREGATE(15,6,ROW('Work Register'!$D$5:$D$500)/('Work Register'!$P$5:$P$500=TRUE),3)),"")</f>
        <v/>
      </c>
      <c r="G13" s="96">
        <f>IFERROR(INDEX('Work Register'!I:I,AGGREGATE(15,6,ROW('Work Register'!$D$5:$D$500)/('Work Register'!$P$5:$P$500=TRUE),3)),"")</f>
        <v/>
      </c>
      <c r="H13" s="96">
        <f>IFERROR(INDEX('Work Register'!H:H,AGGREGATE(15,6,ROW('Work Register'!$D$5:$D$500)/('Work Register'!$P$5:$P$500=TRUE),3)),"")</f>
        <v/>
      </c>
      <c r="I13" s="96">
        <f>IFERROR(INDEX('Work Register'!G:G,AGGREGATE(15,6,ROW('Work Register'!$D$5:$D$500)/('Work Register'!$P$5:$P$500=TRUE),3)),"")</f>
        <v/>
      </c>
      <c r="J13" s="39" t="n"/>
    </row>
    <row r="14">
      <c r="A14" s="39" t="n"/>
      <c r="B14" s="95">
        <f>IFERROR(INDEX('Work Register'!D:D,AGGREGATE(15,6,ROW('Work Register'!$D$5:$D$500)/('Work Register'!$P$5:$P$500=TRUE),4)),"")</f>
        <v/>
      </c>
      <c r="C14" s="95">
        <f>IFERROR(INDEX('Work Register'!A:A,AGGREGATE(15,6,ROW('Work Register'!$D$5:$D$500)/('Work Register'!$P$5:$P$500=TRUE),4)),"")</f>
        <v/>
      </c>
      <c r="D14" s="95">
        <f>IFERROR(INDEX('Work Register'!C:C,AGGREGATE(15,6,ROW('Work Register'!$D$5:$D$500)/('Work Register'!$P$5:$P$500=TRUE),4)),"")</f>
        <v/>
      </c>
      <c r="E14" s="96">
        <f>IFERROR(INDEX('Work Register'!E:E,AGGREGATE(15,6,ROW('Work Register'!$D$5:$D$500)/('Work Register'!$P$5:$P$500=TRUE),4)),"")</f>
        <v/>
      </c>
      <c r="F14" s="96">
        <f>IFERROR(INDEX('Work Register'!F:F,AGGREGATE(15,6,ROW('Work Register'!$D$5:$D$500)/('Work Register'!$P$5:$P$500=TRUE),4)),"")</f>
        <v/>
      </c>
      <c r="G14" s="96">
        <f>IFERROR(INDEX('Work Register'!I:I,AGGREGATE(15,6,ROW('Work Register'!$D$5:$D$500)/('Work Register'!$P$5:$P$500=TRUE),4)),"")</f>
        <v/>
      </c>
      <c r="H14" s="96">
        <f>IFERROR(INDEX('Work Register'!H:H,AGGREGATE(15,6,ROW('Work Register'!$D$5:$D$500)/('Work Register'!$P$5:$P$500=TRUE),4)),"")</f>
        <v/>
      </c>
      <c r="I14" s="96">
        <f>IFERROR(INDEX('Work Register'!G:G,AGGREGATE(15,6,ROW('Work Register'!$D$5:$D$500)/('Work Register'!$P$5:$P$500=TRUE),4)),"")</f>
        <v/>
      </c>
      <c r="J14" s="39" t="n"/>
    </row>
    <row r="15">
      <c r="A15" s="39" t="n"/>
      <c r="B15" s="95">
        <f>IFERROR(INDEX('Work Register'!D:D,AGGREGATE(15,6,ROW('Work Register'!$D$5:$D$500)/('Work Register'!$P$5:$P$500=TRUE),5)),"")</f>
        <v/>
      </c>
      <c r="C15" s="95">
        <f>IFERROR(INDEX('Work Register'!A:A,AGGREGATE(15,6,ROW('Work Register'!$D$5:$D$500)/('Work Register'!$P$5:$P$500=TRUE),5)),"")</f>
        <v/>
      </c>
      <c r="D15" s="95">
        <f>IFERROR(INDEX('Work Register'!C:C,AGGREGATE(15,6,ROW('Work Register'!$D$5:$D$500)/('Work Register'!$P$5:$P$500=TRUE),5)),"")</f>
        <v/>
      </c>
      <c r="E15" s="96">
        <f>IFERROR(INDEX('Work Register'!E:E,AGGREGATE(15,6,ROW('Work Register'!$D$5:$D$500)/('Work Register'!$P$5:$P$500=TRUE),5)),"")</f>
        <v/>
      </c>
      <c r="F15" s="96">
        <f>IFERROR(INDEX('Work Register'!F:F,AGGREGATE(15,6,ROW('Work Register'!$D$5:$D$500)/('Work Register'!$P$5:$P$500=TRUE),5)),"")</f>
        <v/>
      </c>
      <c r="G15" s="96">
        <f>IFERROR(INDEX('Work Register'!I:I,AGGREGATE(15,6,ROW('Work Register'!$D$5:$D$500)/('Work Register'!$P$5:$P$500=TRUE),5)),"")</f>
        <v/>
      </c>
      <c r="H15" s="96">
        <f>IFERROR(INDEX('Work Register'!H:H,AGGREGATE(15,6,ROW('Work Register'!$D$5:$D$500)/('Work Register'!$P$5:$P$500=TRUE),5)),"")</f>
        <v/>
      </c>
      <c r="I15" s="96">
        <f>IFERROR(INDEX('Work Register'!G:G,AGGREGATE(15,6,ROW('Work Register'!$D$5:$D$500)/('Work Register'!$P$5:$P$500=TRUE),5)),"")</f>
        <v/>
      </c>
      <c r="J15" s="39" t="n"/>
    </row>
    <row r="16">
      <c r="A16" s="39" t="n"/>
      <c r="B16" s="95">
        <f>IFERROR(INDEX('Work Register'!D:D,AGGREGATE(15,6,ROW('Work Register'!$D$5:$D$500)/('Work Register'!$P$5:$P$500=TRUE),6)),"")</f>
        <v/>
      </c>
      <c r="C16" s="95">
        <f>IFERROR(INDEX('Work Register'!A:A,AGGREGATE(15,6,ROW('Work Register'!$D$5:$D$500)/('Work Register'!$P$5:$P$500=TRUE),6)),"")</f>
        <v/>
      </c>
      <c r="D16" s="95">
        <f>IFERROR(INDEX('Work Register'!C:C,AGGREGATE(15,6,ROW('Work Register'!$D$5:$D$500)/('Work Register'!$P$5:$P$500=TRUE),6)),"")</f>
        <v/>
      </c>
      <c r="E16" s="96">
        <f>IFERROR(INDEX('Work Register'!E:E,AGGREGATE(15,6,ROW('Work Register'!$D$5:$D$500)/('Work Register'!$P$5:$P$500=TRUE),6)),"")</f>
        <v/>
      </c>
      <c r="F16" s="96">
        <f>IFERROR(INDEX('Work Register'!F:F,AGGREGATE(15,6,ROW('Work Register'!$D$5:$D$500)/('Work Register'!$P$5:$P$500=TRUE),6)),"")</f>
        <v/>
      </c>
      <c r="G16" s="96">
        <f>IFERROR(INDEX('Work Register'!I:I,AGGREGATE(15,6,ROW('Work Register'!$D$5:$D$500)/('Work Register'!$P$5:$P$500=TRUE),6)),"")</f>
        <v/>
      </c>
      <c r="H16" s="96">
        <f>IFERROR(INDEX('Work Register'!H:H,AGGREGATE(15,6,ROW('Work Register'!$D$5:$D$500)/('Work Register'!$P$5:$P$500=TRUE),6)),"")</f>
        <v/>
      </c>
      <c r="I16" s="96">
        <f>IFERROR(INDEX('Work Register'!G:G,AGGREGATE(15,6,ROW('Work Register'!$D$5:$D$500)/('Work Register'!$P$5:$P$500=TRUE),6)),"")</f>
        <v/>
      </c>
      <c r="J16" s="39" t="n"/>
    </row>
    <row r="17">
      <c r="A17" s="39" t="n"/>
      <c r="B17" s="95">
        <f>IFERROR(INDEX('Work Register'!D:D,AGGREGATE(15,6,ROW('Work Register'!$D$5:$D$500)/('Work Register'!$P$5:$P$500=TRUE),7)),"")</f>
        <v/>
      </c>
      <c r="C17" s="95">
        <f>IFERROR(INDEX('Work Register'!A:A,AGGREGATE(15,6,ROW('Work Register'!$D$5:$D$500)/('Work Register'!$P$5:$P$500=TRUE),7)),"")</f>
        <v/>
      </c>
      <c r="D17" s="95">
        <f>IFERROR(INDEX('Work Register'!C:C,AGGREGATE(15,6,ROW('Work Register'!$D$5:$D$500)/('Work Register'!$P$5:$P$500=TRUE),7)),"")</f>
        <v/>
      </c>
      <c r="E17" s="96">
        <f>IFERROR(INDEX('Work Register'!E:E,AGGREGATE(15,6,ROW('Work Register'!$D$5:$D$500)/('Work Register'!$P$5:$P$500=TRUE),7)),"")</f>
        <v/>
      </c>
      <c r="F17" s="96">
        <f>IFERROR(INDEX('Work Register'!F:F,AGGREGATE(15,6,ROW('Work Register'!$D$5:$D$500)/('Work Register'!$P$5:$P$500=TRUE),7)),"")</f>
        <v/>
      </c>
      <c r="G17" s="96">
        <f>IFERROR(INDEX('Work Register'!I:I,AGGREGATE(15,6,ROW('Work Register'!$D$5:$D$500)/('Work Register'!$P$5:$P$500=TRUE),7)),"")</f>
        <v/>
      </c>
      <c r="H17" s="96">
        <f>IFERROR(INDEX('Work Register'!H:H,AGGREGATE(15,6,ROW('Work Register'!$D$5:$D$500)/('Work Register'!$P$5:$P$500=TRUE),7)),"")</f>
        <v/>
      </c>
      <c r="I17" s="96">
        <f>IFERROR(INDEX('Work Register'!G:G,AGGREGATE(15,6,ROW('Work Register'!$D$5:$D$500)/('Work Register'!$P$5:$P$500=TRUE),7)),"")</f>
        <v/>
      </c>
      <c r="J17" s="39" t="n"/>
    </row>
    <row r="18">
      <c r="A18" s="39" t="n"/>
      <c r="B18" s="95">
        <f>IFERROR(INDEX('Work Register'!D:D,AGGREGATE(15,6,ROW('Work Register'!$D$5:$D$500)/('Work Register'!$P$5:$P$500=TRUE),8)),"")</f>
        <v/>
      </c>
      <c r="C18" s="95">
        <f>IFERROR(INDEX('Work Register'!A:A,AGGREGATE(15,6,ROW('Work Register'!$D$5:$D$500)/('Work Register'!$P$5:$P$500=TRUE),8)),"")</f>
        <v/>
      </c>
      <c r="D18" s="95">
        <f>IFERROR(INDEX('Work Register'!C:C,AGGREGATE(15,6,ROW('Work Register'!$D$5:$D$500)/('Work Register'!$P$5:$P$500=TRUE),8)),"")</f>
        <v/>
      </c>
      <c r="E18" s="96">
        <f>IFERROR(INDEX('Work Register'!E:E,AGGREGATE(15,6,ROW('Work Register'!$D$5:$D$500)/('Work Register'!$P$5:$P$500=TRUE),8)),"")</f>
        <v/>
      </c>
      <c r="F18" s="96">
        <f>IFERROR(INDEX('Work Register'!F:F,AGGREGATE(15,6,ROW('Work Register'!$D$5:$D$500)/('Work Register'!$P$5:$P$500=TRUE),8)),"")</f>
        <v/>
      </c>
      <c r="G18" s="96">
        <f>IFERROR(INDEX('Work Register'!I:I,AGGREGATE(15,6,ROW('Work Register'!$D$5:$D$500)/('Work Register'!$P$5:$P$500=TRUE),8)),"")</f>
        <v/>
      </c>
      <c r="H18" s="96">
        <f>IFERROR(INDEX('Work Register'!H:H,AGGREGATE(15,6,ROW('Work Register'!$D$5:$D$500)/('Work Register'!$P$5:$P$500=TRUE),8)),"")</f>
        <v/>
      </c>
      <c r="I18" s="96">
        <f>IFERROR(INDEX('Work Register'!G:G,AGGREGATE(15,6,ROW('Work Register'!$D$5:$D$500)/('Work Register'!$P$5:$P$500=TRUE),8)),"")</f>
        <v/>
      </c>
      <c r="J18" s="39" t="n"/>
    </row>
    <row r="19">
      <c r="A19" s="39" t="n"/>
      <c r="B19" s="95">
        <f>IFERROR(INDEX('Work Register'!D:D,AGGREGATE(15,6,ROW('Work Register'!$D$5:$D$500)/('Work Register'!$P$5:$P$500=TRUE),9)),"")</f>
        <v/>
      </c>
      <c r="C19" s="95">
        <f>IFERROR(INDEX('Work Register'!A:A,AGGREGATE(15,6,ROW('Work Register'!$D$5:$D$500)/('Work Register'!$P$5:$P$500=TRUE),9)),"")</f>
        <v/>
      </c>
      <c r="D19" s="95">
        <f>IFERROR(INDEX('Work Register'!C:C,AGGREGATE(15,6,ROW('Work Register'!$D$5:$D$500)/('Work Register'!$P$5:$P$500=TRUE),9)),"")</f>
        <v/>
      </c>
      <c r="E19" s="96">
        <f>IFERROR(INDEX('Work Register'!E:E,AGGREGATE(15,6,ROW('Work Register'!$D$5:$D$500)/('Work Register'!$P$5:$P$500=TRUE),9)),"")</f>
        <v/>
      </c>
      <c r="F19" s="96">
        <f>IFERROR(INDEX('Work Register'!F:F,AGGREGATE(15,6,ROW('Work Register'!$D$5:$D$500)/('Work Register'!$P$5:$P$500=TRUE),9)),"")</f>
        <v/>
      </c>
      <c r="G19" s="96">
        <f>IFERROR(INDEX('Work Register'!I:I,AGGREGATE(15,6,ROW('Work Register'!$D$5:$D$500)/('Work Register'!$P$5:$P$500=TRUE),9)),"")</f>
        <v/>
      </c>
      <c r="H19" s="96">
        <f>IFERROR(INDEX('Work Register'!H:H,AGGREGATE(15,6,ROW('Work Register'!$D$5:$D$500)/('Work Register'!$P$5:$P$500=TRUE),9)),"")</f>
        <v/>
      </c>
      <c r="I19" s="96">
        <f>IFERROR(INDEX('Work Register'!G:G,AGGREGATE(15,6,ROW('Work Register'!$D$5:$D$500)/('Work Register'!$P$5:$P$500=TRUE),9)),"")</f>
        <v/>
      </c>
      <c r="J19" s="39" t="n"/>
    </row>
    <row r="20">
      <c r="A20" s="39" t="n"/>
      <c r="B20" s="95">
        <f>IFERROR(INDEX('Work Register'!D:D,AGGREGATE(15,6,ROW('Work Register'!$D$5:$D$500)/('Work Register'!$P$5:$P$500=TRUE),10)),"")</f>
        <v/>
      </c>
      <c r="C20" s="95">
        <f>IFERROR(INDEX('Work Register'!A:A,AGGREGATE(15,6,ROW('Work Register'!$D$5:$D$500)/('Work Register'!$P$5:$P$500=TRUE),10)),"")</f>
        <v/>
      </c>
      <c r="D20" s="95">
        <f>IFERROR(INDEX('Work Register'!C:C,AGGREGATE(15,6,ROW('Work Register'!$D$5:$D$500)/('Work Register'!$P$5:$P$500=TRUE),10)),"")</f>
        <v/>
      </c>
      <c r="E20" s="96">
        <f>IFERROR(INDEX('Work Register'!E:E,AGGREGATE(15,6,ROW('Work Register'!$D$5:$D$500)/('Work Register'!$P$5:$P$500=TRUE),10)),"")</f>
        <v/>
      </c>
      <c r="F20" s="96">
        <f>IFERROR(INDEX('Work Register'!F:F,AGGREGATE(15,6,ROW('Work Register'!$D$5:$D$500)/('Work Register'!$P$5:$P$500=TRUE),10)),"")</f>
        <v/>
      </c>
      <c r="G20" s="96">
        <f>IFERROR(INDEX('Work Register'!I:I,AGGREGATE(15,6,ROW('Work Register'!$D$5:$D$500)/('Work Register'!$P$5:$P$500=TRUE),10)),"")</f>
        <v/>
      </c>
      <c r="H20" s="96">
        <f>IFERROR(INDEX('Work Register'!H:H,AGGREGATE(15,6,ROW('Work Register'!$D$5:$D$500)/('Work Register'!$P$5:$P$500=TRUE),10)),"")</f>
        <v/>
      </c>
      <c r="I20" s="96">
        <f>IFERROR(INDEX('Work Register'!G:G,AGGREGATE(15,6,ROW('Work Register'!$D$5:$D$500)/('Work Register'!$P$5:$P$500=TRUE),10)),"")</f>
        <v/>
      </c>
      <c r="J20" s="39" t="n"/>
    </row>
    <row r="21">
      <c r="A21" s="39" t="n"/>
      <c r="B21" s="95">
        <f>IFERROR(INDEX('Work Register'!D:D,AGGREGATE(15,6,ROW('Work Register'!$D$5:$D$500)/('Work Register'!$P$5:$P$500=TRUE),11)),"")</f>
        <v/>
      </c>
      <c r="C21" s="95">
        <f>IFERROR(INDEX('Work Register'!A:A,AGGREGATE(15,6,ROW('Work Register'!$D$5:$D$500)/('Work Register'!$P$5:$P$500=TRUE),11)),"")</f>
        <v/>
      </c>
      <c r="D21" s="95">
        <f>IFERROR(INDEX('Work Register'!C:C,AGGREGATE(15,6,ROW('Work Register'!$D$5:$D$500)/('Work Register'!$P$5:$P$500=TRUE),11)),"")</f>
        <v/>
      </c>
      <c r="E21" s="96">
        <f>IFERROR(INDEX('Work Register'!E:E,AGGREGATE(15,6,ROW('Work Register'!$D$5:$D$500)/('Work Register'!$P$5:$P$500=TRUE),11)),"")</f>
        <v/>
      </c>
      <c r="F21" s="96">
        <f>IFERROR(INDEX('Work Register'!F:F,AGGREGATE(15,6,ROW('Work Register'!$D$5:$D$500)/('Work Register'!$P$5:$P$500=TRUE),11)),"")</f>
        <v/>
      </c>
      <c r="G21" s="96">
        <f>IFERROR(INDEX('Work Register'!I:I,AGGREGATE(15,6,ROW('Work Register'!$D$5:$D$500)/('Work Register'!$P$5:$P$500=TRUE),11)),"")</f>
        <v/>
      </c>
      <c r="H21" s="96">
        <f>IFERROR(INDEX('Work Register'!H:H,AGGREGATE(15,6,ROW('Work Register'!$D$5:$D$500)/('Work Register'!$P$5:$P$500=TRUE),11)),"")</f>
        <v/>
      </c>
      <c r="I21" s="96">
        <f>IFERROR(INDEX('Work Register'!G:G,AGGREGATE(15,6,ROW('Work Register'!$D$5:$D$500)/('Work Register'!$P$5:$P$500=TRUE),11)),"")</f>
        <v/>
      </c>
      <c r="J21" s="39" t="n"/>
    </row>
    <row r="22">
      <c r="A22" s="39" t="n"/>
      <c r="B22" s="95">
        <f>IFERROR(INDEX('Work Register'!D:D,AGGREGATE(15,6,ROW('Work Register'!$D$5:$D$500)/('Work Register'!$P$5:$P$500=TRUE),12)),"")</f>
        <v/>
      </c>
      <c r="C22" s="95">
        <f>IFERROR(INDEX('Work Register'!A:A,AGGREGATE(15,6,ROW('Work Register'!$D$5:$D$500)/('Work Register'!$P$5:$P$500=TRUE),12)),"")</f>
        <v/>
      </c>
      <c r="D22" s="95">
        <f>IFERROR(INDEX('Work Register'!C:C,AGGREGATE(15,6,ROW('Work Register'!$D$5:$D$500)/('Work Register'!$P$5:$P$500=TRUE),12)),"")</f>
        <v/>
      </c>
      <c r="E22" s="96">
        <f>IFERROR(INDEX('Work Register'!E:E,AGGREGATE(15,6,ROW('Work Register'!$D$5:$D$500)/('Work Register'!$P$5:$P$500=TRUE),12)),"")</f>
        <v/>
      </c>
      <c r="F22" s="96">
        <f>IFERROR(INDEX('Work Register'!F:F,AGGREGATE(15,6,ROW('Work Register'!$D$5:$D$500)/('Work Register'!$P$5:$P$500=TRUE),12)),"")</f>
        <v/>
      </c>
      <c r="G22" s="96">
        <f>IFERROR(INDEX('Work Register'!I:I,AGGREGATE(15,6,ROW('Work Register'!$D$5:$D$500)/('Work Register'!$P$5:$P$500=TRUE),12)),"")</f>
        <v/>
      </c>
      <c r="H22" s="96">
        <f>IFERROR(INDEX('Work Register'!H:H,AGGREGATE(15,6,ROW('Work Register'!$D$5:$D$500)/('Work Register'!$P$5:$P$500=TRUE),12)),"")</f>
        <v/>
      </c>
      <c r="I22" s="96">
        <f>IFERROR(INDEX('Work Register'!G:G,AGGREGATE(15,6,ROW('Work Register'!$D$5:$D$500)/('Work Register'!$P$5:$P$500=TRUE),12)),"")</f>
        <v/>
      </c>
      <c r="J22" s="39" t="n"/>
    </row>
    <row r="23">
      <c r="A23" s="39" t="n"/>
      <c r="B23" s="95">
        <f>IFERROR(INDEX('Work Register'!D:D,AGGREGATE(15,6,ROW('Work Register'!$D$5:$D$500)/('Work Register'!$P$5:$P$500=TRUE),13)),"")</f>
        <v/>
      </c>
      <c r="C23" s="95">
        <f>IFERROR(INDEX('Work Register'!A:A,AGGREGATE(15,6,ROW('Work Register'!$D$5:$D$500)/('Work Register'!$P$5:$P$500=TRUE),13)),"")</f>
        <v/>
      </c>
      <c r="D23" s="95">
        <f>IFERROR(INDEX('Work Register'!C:C,AGGREGATE(15,6,ROW('Work Register'!$D$5:$D$500)/('Work Register'!$P$5:$P$500=TRUE),13)),"")</f>
        <v/>
      </c>
      <c r="E23" s="96">
        <f>IFERROR(INDEX('Work Register'!E:E,AGGREGATE(15,6,ROW('Work Register'!$D$5:$D$500)/('Work Register'!$P$5:$P$500=TRUE),13)),"")</f>
        <v/>
      </c>
      <c r="F23" s="96">
        <f>IFERROR(INDEX('Work Register'!F:F,AGGREGATE(15,6,ROW('Work Register'!$D$5:$D$500)/('Work Register'!$P$5:$P$500=TRUE),13)),"")</f>
        <v/>
      </c>
      <c r="G23" s="96">
        <f>IFERROR(INDEX('Work Register'!I:I,AGGREGATE(15,6,ROW('Work Register'!$D$5:$D$500)/('Work Register'!$P$5:$P$500=TRUE),13)),"")</f>
        <v/>
      </c>
      <c r="H23" s="96">
        <f>IFERROR(INDEX('Work Register'!H:H,AGGREGATE(15,6,ROW('Work Register'!$D$5:$D$500)/('Work Register'!$P$5:$P$500=TRUE),13)),"")</f>
        <v/>
      </c>
      <c r="I23" s="96">
        <f>IFERROR(INDEX('Work Register'!G:G,AGGREGATE(15,6,ROW('Work Register'!$D$5:$D$500)/('Work Register'!$P$5:$P$500=TRUE),13)),"")</f>
        <v/>
      </c>
      <c r="J23" s="39" t="n"/>
    </row>
    <row r="24">
      <c r="A24" s="39" t="n"/>
      <c r="B24" s="95">
        <f>IFERROR(INDEX('Work Register'!D:D,AGGREGATE(15,6,ROW('Work Register'!$D$5:$D$500)/('Work Register'!$P$5:$P$500=TRUE),14)),"")</f>
        <v/>
      </c>
      <c r="C24" s="95">
        <f>IFERROR(INDEX('Work Register'!A:A,AGGREGATE(15,6,ROW('Work Register'!$D$5:$D$500)/('Work Register'!$P$5:$P$500=TRUE),14)),"")</f>
        <v/>
      </c>
      <c r="D24" s="95">
        <f>IFERROR(INDEX('Work Register'!C:C,AGGREGATE(15,6,ROW('Work Register'!$D$5:$D$500)/('Work Register'!$P$5:$P$500=TRUE),14)),"")</f>
        <v/>
      </c>
      <c r="E24" s="96">
        <f>IFERROR(INDEX('Work Register'!E:E,AGGREGATE(15,6,ROW('Work Register'!$D$5:$D$500)/('Work Register'!$P$5:$P$500=TRUE),14)),"")</f>
        <v/>
      </c>
      <c r="F24" s="96">
        <f>IFERROR(INDEX('Work Register'!F:F,AGGREGATE(15,6,ROW('Work Register'!$D$5:$D$500)/('Work Register'!$P$5:$P$500=TRUE),14)),"")</f>
        <v/>
      </c>
      <c r="G24" s="96">
        <f>IFERROR(INDEX('Work Register'!I:I,AGGREGATE(15,6,ROW('Work Register'!$D$5:$D$500)/('Work Register'!$P$5:$P$500=TRUE),14)),"")</f>
        <v/>
      </c>
      <c r="H24" s="96">
        <f>IFERROR(INDEX('Work Register'!H:H,AGGREGATE(15,6,ROW('Work Register'!$D$5:$D$500)/('Work Register'!$P$5:$P$500=TRUE),14)),"")</f>
        <v/>
      </c>
      <c r="I24" s="96">
        <f>IFERROR(INDEX('Work Register'!G:G,AGGREGATE(15,6,ROW('Work Register'!$D$5:$D$500)/('Work Register'!$P$5:$P$500=TRUE),14)),"")</f>
        <v/>
      </c>
      <c r="J24" s="39" t="n"/>
    </row>
    <row r="25">
      <c r="A25" s="39" t="n"/>
      <c r="B25" s="95">
        <f>IFERROR(INDEX('Work Register'!D:D,AGGREGATE(15,6,ROW('Work Register'!$D$5:$D$500)/('Work Register'!$P$5:$P$500=TRUE),15)),"")</f>
        <v/>
      </c>
      <c r="C25" s="95">
        <f>IFERROR(INDEX('Work Register'!A:A,AGGREGATE(15,6,ROW('Work Register'!$D$5:$D$500)/('Work Register'!$P$5:$P$500=TRUE),15)),"")</f>
        <v/>
      </c>
      <c r="D25" s="95">
        <f>IFERROR(INDEX('Work Register'!C:C,AGGREGATE(15,6,ROW('Work Register'!$D$5:$D$500)/('Work Register'!$P$5:$P$500=TRUE),15)),"")</f>
        <v/>
      </c>
      <c r="E25" s="96">
        <f>IFERROR(INDEX('Work Register'!E:E,AGGREGATE(15,6,ROW('Work Register'!$D$5:$D$500)/('Work Register'!$P$5:$P$500=TRUE),15)),"")</f>
        <v/>
      </c>
      <c r="F25" s="96">
        <f>IFERROR(INDEX('Work Register'!F:F,AGGREGATE(15,6,ROW('Work Register'!$D$5:$D$500)/('Work Register'!$P$5:$P$500=TRUE),15)),"")</f>
        <v/>
      </c>
      <c r="G25" s="96">
        <f>IFERROR(INDEX('Work Register'!I:I,AGGREGATE(15,6,ROW('Work Register'!$D$5:$D$500)/('Work Register'!$P$5:$P$500=TRUE),15)),"")</f>
        <v/>
      </c>
      <c r="H25" s="96">
        <f>IFERROR(INDEX('Work Register'!H:H,AGGREGATE(15,6,ROW('Work Register'!$D$5:$D$500)/('Work Register'!$P$5:$P$500=TRUE),15)),"")</f>
        <v/>
      </c>
      <c r="I25" s="96">
        <f>IFERROR(INDEX('Work Register'!G:G,AGGREGATE(15,6,ROW('Work Register'!$D$5:$D$500)/('Work Register'!$P$5:$P$500=TRUE),15)),"")</f>
        <v/>
      </c>
      <c r="J25" s="39" t="n"/>
    </row>
    <row r="26">
      <c r="A26" s="39" t="n"/>
      <c r="B26" s="39" t="n"/>
      <c r="C26" s="39" t="n"/>
      <c r="D26" s="39" t="n"/>
      <c r="E26" s="39" t="n"/>
      <c r="F26" s="39" t="n"/>
      <c r="G26" s="39" t="n"/>
      <c r="H26" s="39" t="n"/>
      <c r="I26" s="39" t="n"/>
      <c r="J26" s="39" t="n"/>
    </row>
    <row r="27">
      <c r="A27" s="39" t="n"/>
      <c r="B27" s="83" t="n"/>
      <c r="G27" s="39" t="n"/>
      <c r="H27" s="39" t="n"/>
      <c r="I27" s="39" t="n"/>
      <c r="J27" s="39" t="n"/>
    </row>
    <row r="28">
      <c r="A28" s="39" t="n"/>
      <c r="B28" s="39" t="n"/>
      <c r="C28" s="39" t="n"/>
      <c r="D28" s="39" t="n"/>
      <c r="E28" s="39" t="n"/>
      <c r="F28" s="39" t="n"/>
      <c r="G28" s="39" t="n"/>
      <c r="H28" s="39" t="n"/>
      <c r="I28" s="39" t="n"/>
      <c r="J28" s="39" t="n"/>
    </row>
    <row r="29">
      <c r="A29" s="39" t="n"/>
      <c r="B29" s="131" t="inlineStr">
        <is>
          <t>Archived Matches (Keyword search only)</t>
        </is>
      </c>
      <c r="C29" s="39" t="n"/>
      <c r="D29" s="39" t="n"/>
      <c r="E29" s="39" t="n"/>
      <c r="F29" s="39" t="n"/>
      <c r="G29" s="39" t="n"/>
      <c r="H29" s="39" t="n"/>
      <c r="I29" s="39" t="n"/>
      <c r="J29" s="39" t="n"/>
    </row>
    <row r="30">
      <c r="A30" s="39" t="n"/>
      <c r="B30" s="132">
        <f>IF('Task Finder'!$C$6&lt;&gt;"Keyword","Set Filter to Keyword above to search Archive.",COUNTIF(Archive!$M$6:$M$500,TRUE)&amp;" archived match(es)")</f>
        <v/>
      </c>
      <c r="G30" s="39" t="n"/>
      <c r="H30" s="39" t="n"/>
      <c r="I30" s="39" t="n"/>
      <c r="J30" s="39" t="n"/>
    </row>
    <row r="31">
      <c r="B31" s="133" t="inlineStr">
        <is>
          <t>Task</t>
        </is>
      </c>
      <c r="C31" s="133" t="inlineStr">
        <is>
          <t>Mission</t>
        </is>
      </c>
      <c r="D31" s="133" t="inlineStr">
        <is>
          <t>Component</t>
        </is>
      </c>
      <c r="E31" s="133" t="inlineStr">
        <is>
          <t>Status</t>
        </is>
      </c>
      <c r="F31" s="133" t="inlineStr">
        <is>
          <t>Completed Date</t>
        </is>
      </c>
    </row>
    <row r="32">
      <c r="B32" s="134">
        <f>IFERROR(INDEX(Archive!D:D,AGGREGATE(15,6,ROW(Archive!$A$6:$A$500)/(Archive!$M$6:$M$500=TRUE),1)),"")</f>
        <v/>
      </c>
      <c r="C32" s="134">
        <f>IFERROR(INDEX(Archive!A:A,AGGREGATE(15,6,ROW(Archive!$A$6:$A$500)/(Archive!$M$6:$M$500=TRUE),1)),"")</f>
        <v/>
      </c>
      <c r="D32" s="134">
        <f>IFERROR(INDEX(Archive!C:C,AGGREGATE(15,6,ROW(Archive!$A$6:$A$500)/(Archive!$M$6:$M$500=TRUE),1)),"")</f>
        <v/>
      </c>
      <c r="E32" s="135">
        <f>IFERROR(INDEX(Archive!E:E,AGGREGATE(15,6,ROW(Archive!$A$6:$A$500)/(Archive!$M$6:$M$500=TRUE),1)),"")</f>
        <v/>
      </c>
      <c r="F32" s="135">
        <f>IFERROR(INDEX(Archive!L:L,AGGREGATE(15,6,ROW(Archive!$A$6:$A$500)/(Archive!$M$6:$M$500=TRUE),1)),"")</f>
        <v/>
      </c>
    </row>
    <row r="33">
      <c r="B33" s="134">
        <f>IFERROR(INDEX(Archive!D:D,AGGREGATE(15,6,ROW(Archive!$A$6:$A$500)/(Archive!$M$6:$M$500=TRUE),2)),"")</f>
        <v/>
      </c>
      <c r="C33" s="134">
        <f>IFERROR(INDEX(Archive!A:A,AGGREGATE(15,6,ROW(Archive!$A$6:$A$500)/(Archive!$M$6:$M$500=TRUE),2)),"")</f>
        <v/>
      </c>
      <c r="D33" s="134">
        <f>IFERROR(INDEX(Archive!C:C,AGGREGATE(15,6,ROW(Archive!$A$6:$A$500)/(Archive!$M$6:$M$500=TRUE),2)),"")</f>
        <v/>
      </c>
      <c r="E33" s="135">
        <f>IFERROR(INDEX(Archive!E:E,AGGREGATE(15,6,ROW(Archive!$A$6:$A$500)/(Archive!$M$6:$M$500=TRUE),2)),"")</f>
        <v/>
      </c>
      <c r="F33" s="135">
        <f>IFERROR(INDEX(Archive!L:L,AGGREGATE(15,6,ROW(Archive!$A$6:$A$500)/(Archive!$M$6:$M$500=TRUE),2)),"")</f>
        <v/>
      </c>
    </row>
    <row r="34">
      <c r="B34" s="134">
        <f>IFERROR(INDEX(Archive!D:D,AGGREGATE(15,6,ROW(Archive!$A$6:$A$500)/(Archive!$M$6:$M$500=TRUE),3)),"")</f>
        <v/>
      </c>
      <c r="C34" s="134">
        <f>IFERROR(INDEX(Archive!A:A,AGGREGATE(15,6,ROW(Archive!$A$6:$A$500)/(Archive!$M$6:$M$500=TRUE),3)),"")</f>
        <v/>
      </c>
      <c r="D34" s="134">
        <f>IFERROR(INDEX(Archive!C:C,AGGREGATE(15,6,ROW(Archive!$A$6:$A$500)/(Archive!$M$6:$M$500=TRUE),3)),"")</f>
        <v/>
      </c>
      <c r="E34" s="135">
        <f>IFERROR(INDEX(Archive!E:E,AGGREGATE(15,6,ROW(Archive!$A$6:$A$500)/(Archive!$M$6:$M$500=TRUE),3)),"")</f>
        <v/>
      </c>
      <c r="F34" s="135">
        <f>IFERROR(INDEX(Archive!L:L,AGGREGATE(15,6,ROW(Archive!$A$6:$A$500)/(Archive!$M$6:$M$500=TRUE),3)),"")</f>
        <v/>
      </c>
    </row>
    <row r="35">
      <c r="B35" s="134">
        <f>IFERROR(INDEX(Archive!D:D,AGGREGATE(15,6,ROW(Archive!$A$6:$A$500)/(Archive!$M$6:$M$500=TRUE),4)),"")</f>
        <v/>
      </c>
      <c r="C35" s="134">
        <f>IFERROR(INDEX(Archive!A:A,AGGREGATE(15,6,ROW(Archive!$A$6:$A$500)/(Archive!$M$6:$M$500=TRUE),4)),"")</f>
        <v/>
      </c>
      <c r="D35" s="134">
        <f>IFERROR(INDEX(Archive!C:C,AGGREGATE(15,6,ROW(Archive!$A$6:$A$500)/(Archive!$M$6:$M$500=TRUE),4)),"")</f>
        <v/>
      </c>
      <c r="E35" s="135">
        <f>IFERROR(INDEX(Archive!E:E,AGGREGATE(15,6,ROW(Archive!$A$6:$A$500)/(Archive!$M$6:$M$500=TRUE),4)),"")</f>
        <v/>
      </c>
      <c r="F35" s="135">
        <f>IFERROR(INDEX(Archive!L:L,AGGREGATE(15,6,ROW(Archive!$A$6:$A$500)/(Archive!$M$6:$M$500=TRUE),4)),"")</f>
        <v/>
      </c>
    </row>
    <row r="36">
      <c r="B36" s="134">
        <f>IFERROR(INDEX(Archive!D:D,AGGREGATE(15,6,ROW(Archive!$A$6:$A$500)/(Archive!$M$6:$M$500=TRUE),5)),"")</f>
        <v/>
      </c>
      <c r="C36" s="134">
        <f>IFERROR(INDEX(Archive!A:A,AGGREGATE(15,6,ROW(Archive!$A$6:$A$500)/(Archive!$M$6:$M$500=TRUE),5)),"")</f>
        <v/>
      </c>
      <c r="D36" s="134">
        <f>IFERROR(INDEX(Archive!C:C,AGGREGATE(15,6,ROW(Archive!$A$6:$A$500)/(Archive!$M$6:$M$500=TRUE),5)),"")</f>
        <v/>
      </c>
      <c r="E36" s="135">
        <f>IFERROR(INDEX(Archive!E:E,AGGREGATE(15,6,ROW(Archive!$A$6:$A$500)/(Archive!$M$6:$M$500=TRUE),5)),"")</f>
        <v/>
      </c>
      <c r="F36" s="135">
        <f>IFERROR(INDEX(Archive!L:L,AGGREGATE(15,6,ROW(Archive!$A$6:$A$500)/(Archive!$M$6:$M$500=TRUE),5)),"")</f>
        <v/>
      </c>
    </row>
    <row r="37">
      <c r="B37" s="134">
        <f>IFERROR(INDEX(Archive!D:D,AGGREGATE(15,6,ROW(Archive!$A$6:$A$500)/(Archive!$M$6:$M$500=TRUE),6)),"")</f>
        <v/>
      </c>
      <c r="C37" s="134">
        <f>IFERROR(INDEX(Archive!A:A,AGGREGATE(15,6,ROW(Archive!$A$6:$A$500)/(Archive!$M$6:$M$500=TRUE),6)),"")</f>
        <v/>
      </c>
      <c r="D37" s="134">
        <f>IFERROR(INDEX(Archive!C:C,AGGREGATE(15,6,ROW(Archive!$A$6:$A$500)/(Archive!$M$6:$M$500=TRUE),6)),"")</f>
        <v/>
      </c>
      <c r="E37" s="135">
        <f>IFERROR(INDEX(Archive!E:E,AGGREGATE(15,6,ROW(Archive!$A$6:$A$500)/(Archive!$M$6:$M$500=TRUE),6)),"")</f>
        <v/>
      </c>
      <c r="F37" s="135">
        <f>IFERROR(INDEX(Archive!L:L,AGGREGATE(15,6,ROW(Archive!$A$6:$A$500)/(Archive!$M$6:$M$500=TRUE),6)),"")</f>
        <v/>
      </c>
    </row>
    <row r="38">
      <c r="B38" s="134">
        <f>IFERROR(INDEX(Archive!D:D,AGGREGATE(15,6,ROW(Archive!$A$6:$A$500)/(Archive!$M$6:$M$500=TRUE),7)),"")</f>
        <v/>
      </c>
      <c r="C38" s="134">
        <f>IFERROR(INDEX(Archive!A:A,AGGREGATE(15,6,ROW(Archive!$A$6:$A$500)/(Archive!$M$6:$M$500=TRUE),7)),"")</f>
        <v/>
      </c>
      <c r="D38" s="134">
        <f>IFERROR(INDEX(Archive!C:C,AGGREGATE(15,6,ROW(Archive!$A$6:$A$500)/(Archive!$M$6:$M$500=TRUE),7)),"")</f>
        <v/>
      </c>
      <c r="E38" s="135">
        <f>IFERROR(INDEX(Archive!E:E,AGGREGATE(15,6,ROW(Archive!$A$6:$A$500)/(Archive!$M$6:$M$500=TRUE),7)),"")</f>
        <v/>
      </c>
      <c r="F38" s="135">
        <f>IFERROR(INDEX(Archive!L:L,AGGREGATE(15,6,ROW(Archive!$A$6:$A$500)/(Archive!$M$6:$M$500=TRUE),7)),"")</f>
        <v/>
      </c>
    </row>
    <row r="39">
      <c r="B39" s="134">
        <f>IFERROR(INDEX(Archive!D:D,AGGREGATE(15,6,ROW(Archive!$A$6:$A$500)/(Archive!$M$6:$M$500=TRUE),8)),"")</f>
        <v/>
      </c>
      <c r="C39" s="134">
        <f>IFERROR(INDEX(Archive!A:A,AGGREGATE(15,6,ROW(Archive!$A$6:$A$500)/(Archive!$M$6:$M$500=TRUE),8)),"")</f>
        <v/>
      </c>
      <c r="D39" s="134">
        <f>IFERROR(INDEX(Archive!C:C,AGGREGATE(15,6,ROW(Archive!$A$6:$A$500)/(Archive!$M$6:$M$500=TRUE),8)),"")</f>
        <v/>
      </c>
      <c r="E39" s="135">
        <f>IFERROR(INDEX(Archive!E:E,AGGREGATE(15,6,ROW(Archive!$A$6:$A$500)/(Archive!$M$6:$M$500=TRUE),8)),"")</f>
        <v/>
      </c>
      <c r="F39" s="135">
        <f>IFERROR(INDEX(Archive!L:L,AGGREGATE(15,6,ROW(Archive!$A$6:$A$500)/(Archive!$M$6:$M$500=TRUE),8)),"")</f>
        <v/>
      </c>
    </row>
    <row r="40">
      <c r="B40" s="136" t="inlineStr">
        <is>
          <t>Showing up to 15 active matches and 8 archived matches. Narrow the filter for a shorter list.</t>
        </is>
      </c>
    </row>
  </sheetData>
  <sheetProtection selectLockedCells="0" selectUnlockedCells="0" sheet="1" objects="0" insertRows="1" insertHyperlinks="1" autoFilter="1" scenarios="0" formatColumns="1" deleteColumns="1" insertColumns="1" pivotTables="1" deleteRows="1" formatCells="1" formatRows="1" sort="1"/>
  <mergeCells count="5">
    <mergeCell ref="B30:F30"/>
    <mergeCell ref="D7:H7"/>
    <mergeCell ref="D6:F6"/>
    <mergeCell ref="B40:F40"/>
    <mergeCell ref="B27:F27"/>
  </mergeCells>
  <dataValidations count="1">
    <dataValidation sqref="C6" showDropDown="0" showInputMessage="0" showErrorMessage="0" allowBlank="0" type="list">
      <formula1>FilterOptions</formula1>
    </dataValidation>
  </dataValidations>
  <hyperlinks>
    <hyperlink xmlns:r="http://schemas.openxmlformats.org/officeDocument/2006/relationships" ref="B4"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J40"/>
  <sheetViews>
    <sheetView showGridLines="0" workbookViewId="0">
      <selection activeCell="A1" sqref="A1"/>
    </sheetView>
  </sheetViews>
  <sheetFormatPr baseColWidth="8" defaultRowHeight="15"/>
  <cols>
    <col width="25" customWidth="1" min="2" max="2"/>
    <col width="20" customWidth="1" min="3" max="3"/>
    <col width="20" customWidth="1" min="4" max="4"/>
    <col width="15" customWidth="1" min="5" max="5"/>
    <col width="15" customWidth="1" min="6" max="6"/>
    <col width="25" customWidth="1" min="7" max="7"/>
  </cols>
  <sheetData>
    <row r="2">
      <c r="B2" s="10" t="inlineStr">
        <is>
          <t>Today</t>
        </is>
      </c>
    </row>
    <row r="3">
      <c r="B3" s="20">
        <f>TEXT(TODAY(),"dddd, mmmm d, yyyy")</f>
        <v/>
      </c>
    </row>
    <row r="4" ht="20" customHeight="1">
      <c r="B4" s="11" t="inlineStr">
        <is>
          <t>← Home</t>
        </is>
      </c>
    </row>
    <row r="5">
      <c r="A5" s="39" t="n"/>
      <c r="B5" s="39" t="n"/>
      <c r="C5" s="39" t="n"/>
      <c r="D5" s="39" t="n"/>
      <c r="E5" s="39" t="n"/>
      <c r="F5" s="39" t="n"/>
      <c r="G5" s="39" t="n"/>
      <c r="H5" s="39" t="n"/>
      <c r="I5" s="39" t="n"/>
      <c r="J5" s="39" t="n"/>
    </row>
    <row r="6">
      <c r="A6" s="39" t="n"/>
      <c r="B6" s="40" t="inlineStr">
        <is>
          <t>Recommended Next Task</t>
        </is>
      </c>
      <c r="H6" s="39" t="n"/>
      <c r="I6" s="39" t="n"/>
      <c r="J6" s="39" t="n"/>
    </row>
    <row r="7" ht="26" customHeight="1">
      <c r="A7" s="39" t="n"/>
      <c r="B7" s="157">
        <f>IF(Home!$Z$1=0,"No actionable tasks right now",Home!C10&amp;"  ›  "&amp;Home!C11&amp;"  ›  "&amp;Home!C12)</f>
        <v/>
      </c>
      <c r="C7" s="113" t="n"/>
      <c r="D7" s="113" t="n"/>
      <c r="E7" s="113" t="n"/>
      <c r="F7" s="113" t="n"/>
      <c r="G7" s="114" t="n"/>
      <c r="H7" s="39" t="n"/>
      <c r="I7" s="39" t="n"/>
      <c r="J7" s="39" t="n"/>
    </row>
    <row r="8" ht="18" customHeight="1">
      <c r="A8" s="39" t="n"/>
      <c r="B8" s="71">
        <f>Home!C13</f>
        <v/>
      </c>
      <c r="G8" s="72">
        <f>Home!C14</f>
        <v/>
      </c>
      <c r="H8" s="39" t="n"/>
      <c r="I8" s="39" t="n"/>
      <c r="J8" s="39" t="n"/>
    </row>
    <row r="9" ht="16" customHeight="1">
      <c r="A9" s="39" t="n"/>
      <c r="B9" s="117">
        <f>IF(Home!$Z$1=0,"","Energy: "&amp;Home!C16&amp;"   •   Due: "&amp;Home!C17&amp;"   •   Status: "&amp;Home!C18)</f>
        <v/>
      </c>
      <c r="H9" s="39" t="n"/>
      <c r="I9" s="39" t="n"/>
      <c r="J9" s="39" t="n"/>
    </row>
    <row r="10">
      <c r="A10" s="39" t="n"/>
      <c r="B10" s="40" t="inlineStr">
        <is>
          <t>Planned Tasks (Your Selection)</t>
        </is>
      </c>
      <c r="C10" s="39" t="n"/>
      <c r="D10" s="39" t="n"/>
      <c r="E10" s="39" t="n"/>
      <c r="F10" s="39" t="n"/>
      <c r="G10" s="39" t="n"/>
      <c r="H10" s="39" t="n"/>
      <c r="I10" s="39" t="n"/>
      <c r="J10" s="39" t="n"/>
    </row>
    <row r="11">
      <c r="A11" s="39" t="n"/>
      <c r="B11" s="61" t="inlineStr">
        <is>
          <t>Copy from Recommended Next Task or Top 3 below — the user always has the final say.</t>
        </is>
      </c>
      <c r="H11" s="39" t="n"/>
      <c r="I11" s="39" t="n"/>
      <c r="J11" s="39" t="n"/>
    </row>
    <row r="12">
      <c r="A12" s="39" t="n"/>
      <c r="B12" s="13" t="inlineStr">
        <is>
          <t>Priority</t>
        </is>
      </c>
      <c r="C12" s="13" t="inlineStr">
        <is>
          <t>Task</t>
        </is>
      </c>
      <c r="D12" s="13" t="inlineStr">
        <is>
          <t>Mission</t>
        </is>
      </c>
      <c r="E12" s="13" t="inlineStr">
        <is>
          <t>Estimated Time</t>
        </is>
      </c>
      <c r="F12" s="13" t="inlineStr">
        <is>
          <t>Energy</t>
        </is>
      </c>
      <c r="G12" s="13" t="inlineStr">
        <is>
          <t>Status</t>
        </is>
      </c>
      <c r="H12" s="39" t="n"/>
      <c r="I12" s="39" t="n"/>
      <c r="J12" s="39" t="n"/>
    </row>
    <row r="13" ht="25" customHeight="1">
      <c r="A13" s="39" t="n"/>
      <c r="B13" s="63" t="n"/>
      <c r="C13" s="63" t="n"/>
      <c r="D13" s="63" t="n"/>
      <c r="E13" s="63" t="n"/>
      <c r="F13" s="63" t="n"/>
      <c r="G13" s="63" t="n"/>
      <c r="H13" s="39" t="n"/>
      <c r="I13" s="39" t="n"/>
      <c r="J13" s="39" t="n"/>
    </row>
    <row r="14" ht="25" customHeight="1">
      <c r="A14" s="39" t="n"/>
      <c r="B14" s="63" t="n"/>
      <c r="C14" s="63" t="n"/>
      <c r="D14" s="63" t="n"/>
      <c r="E14" s="63" t="n"/>
      <c r="F14" s="63" t="n"/>
      <c r="G14" s="63" t="n"/>
      <c r="H14" s="39" t="n"/>
      <c r="I14" s="39" t="n"/>
      <c r="J14" s="39" t="n"/>
    </row>
    <row r="15" ht="25" customHeight="1">
      <c r="A15" s="39" t="n"/>
      <c r="B15" s="63" t="n"/>
      <c r="C15" s="63" t="n"/>
      <c r="D15" s="63" t="n"/>
      <c r="E15" s="63" t="n"/>
      <c r="F15" s="63" t="n"/>
      <c r="G15" s="63" t="n"/>
      <c r="H15" s="39" t="n"/>
      <c r="I15" s="39" t="n"/>
      <c r="J15" s="39" t="n"/>
    </row>
    <row r="16" ht="25" customHeight="1">
      <c r="A16" s="39" t="n"/>
      <c r="B16" s="39" t="n"/>
      <c r="C16" s="39" t="n"/>
      <c r="D16" s="39" t="n"/>
      <c r="E16" s="39" t="n"/>
      <c r="F16" s="39" t="n"/>
      <c r="G16" s="39" t="n"/>
      <c r="H16" s="39" t="n"/>
      <c r="I16" s="39" t="n"/>
      <c r="J16" s="39" t="n"/>
    </row>
    <row r="17" ht="25" customHeight="1">
      <c r="A17" s="39" t="n"/>
      <c r="B17" s="39" t="n"/>
      <c r="C17" s="39" t="n"/>
      <c r="D17" s="39" t="n"/>
      <c r="E17" s="39" t="n"/>
      <c r="F17" s="39" t="n"/>
      <c r="G17" s="39" t="n"/>
      <c r="H17" s="39" t="n"/>
      <c r="I17" s="39" t="n"/>
      <c r="J17" s="39" t="n"/>
    </row>
    <row r="18" ht="25" customHeight="1">
      <c r="A18" s="39" t="n"/>
      <c r="B18" s="40" t="inlineStr">
        <is>
          <t>Current Focus</t>
        </is>
      </c>
      <c r="C18" s="39" t="n"/>
      <c r="D18" s="39" t="n"/>
      <c r="E18" s="39" t="n"/>
      <c r="F18" s="39" t="n"/>
      <c r="G18" s="39" t="n"/>
      <c r="H18" s="39" t="n"/>
      <c r="I18" s="39" t="n"/>
      <c r="J18" s="39" t="n"/>
    </row>
    <row r="19" ht="22" customHeight="1">
      <c r="A19" s="39" t="n"/>
      <c r="B19" s="8" t="inlineStr">
        <is>
          <t>Current Mission</t>
        </is>
      </c>
      <c r="C19" s="158">
        <f>'Current Focus'!C7</f>
        <v/>
      </c>
      <c r="D19" s="113" t="n"/>
      <c r="E19" s="113" t="n"/>
      <c r="F19" s="113" t="n"/>
      <c r="G19" s="114" t="n"/>
      <c r="H19" s="39" t="n"/>
      <c r="I19" s="39" t="n"/>
      <c r="J19" s="39" t="n"/>
    </row>
    <row r="20" ht="22" customHeight="1">
      <c r="A20" s="39" t="n"/>
      <c r="B20" s="8" t="inlineStr">
        <is>
          <t>Current Deliverable</t>
        </is>
      </c>
      <c r="C20" s="158">
        <f>'Current Focus'!C8</f>
        <v/>
      </c>
      <c r="D20" s="113" t="n"/>
      <c r="E20" s="113" t="n"/>
      <c r="F20" s="113" t="n"/>
      <c r="G20" s="114" t="n"/>
      <c r="H20" s="39" t="n"/>
      <c r="I20" s="39" t="n"/>
      <c r="J20" s="39" t="n"/>
    </row>
    <row r="21" ht="22" customHeight="1">
      <c r="A21" s="39" t="n"/>
      <c r="B21" s="8" t="inlineStr">
        <is>
          <t>Current Component</t>
        </is>
      </c>
      <c r="C21" s="158">
        <f>'Current Focus'!C9</f>
        <v/>
      </c>
      <c r="D21" s="113" t="n"/>
      <c r="E21" s="113" t="n"/>
      <c r="F21" s="113" t="n"/>
      <c r="G21" s="114" t="n"/>
      <c r="H21" s="39" t="n"/>
      <c r="I21" s="39" t="n"/>
      <c r="J21" s="39" t="n"/>
    </row>
    <row r="22" ht="22" customHeight="1">
      <c r="A22" s="39" t="n"/>
      <c r="B22" s="8" t="inlineStr">
        <is>
          <t>Current Task</t>
        </is>
      </c>
      <c r="C22" s="158">
        <f>'Current Focus'!C5</f>
        <v/>
      </c>
      <c r="D22" s="113" t="n"/>
      <c r="E22" s="113" t="n"/>
      <c r="F22" s="113" t="n"/>
      <c r="G22" s="114" t="n"/>
      <c r="H22" s="39" t="n"/>
      <c r="I22" s="39" t="n"/>
      <c r="J22" s="39" t="n"/>
    </row>
    <row r="23" ht="22" customHeight="1">
      <c r="A23" s="39" t="n"/>
      <c r="B23" s="8" t="inlineStr">
        <is>
          <t>Definition of Done</t>
        </is>
      </c>
      <c r="C23" s="158">
        <f>'Current Focus'!C11</f>
        <v/>
      </c>
      <c r="D23" s="113" t="n"/>
      <c r="E23" s="113" t="n"/>
      <c r="F23" s="113" t="n"/>
      <c r="G23" s="114" t="n"/>
      <c r="H23" s="39" t="n"/>
      <c r="I23" s="39" t="n"/>
      <c r="J23" s="39" t="n"/>
    </row>
    <row r="24" ht="22" customHeight="1">
      <c r="A24" s="39" t="n"/>
      <c r="B24" s="8" t="inlineStr">
        <is>
          <t>Current Blocker</t>
        </is>
      </c>
      <c r="C24" s="158">
        <f>'Current Focus'!C13</f>
        <v/>
      </c>
      <c r="D24" s="113" t="n"/>
      <c r="E24" s="113" t="n"/>
      <c r="F24" s="113" t="n"/>
      <c r="G24" s="114" t="n"/>
      <c r="H24" s="39" t="n"/>
      <c r="I24" s="39" t="n"/>
      <c r="J24" s="39" t="n"/>
    </row>
    <row r="25" ht="22" customHeight="1">
      <c r="A25" s="39" t="n"/>
      <c r="B25" s="8" t="inlineStr">
        <is>
          <t>Next Physical Action</t>
        </is>
      </c>
      <c r="C25" s="158">
        <f>'Current Focus'!C12</f>
        <v/>
      </c>
      <c r="D25" s="113" t="n"/>
      <c r="E25" s="113" t="n"/>
      <c r="F25" s="113" t="n"/>
      <c r="G25" s="114" t="n"/>
      <c r="H25" s="39" t="n"/>
      <c r="I25" s="39" t="n"/>
      <c r="J25" s="39" t="n"/>
    </row>
    <row r="26">
      <c r="A26" s="39" t="n"/>
      <c r="B26" s="85" t="inlineStr">
        <is>
          <t>Edit Current Focus on the Current Focus sheet — this section mirrors it automatically.</t>
        </is>
      </c>
      <c r="H26" s="39" t="n"/>
      <c r="I26" s="39" t="n"/>
      <c r="J26" s="39" t="n"/>
    </row>
    <row r="27">
      <c r="A27" s="39" t="n"/>
      <c r="B27" s="40" t="inlineStr">
        <is>
          <t>Top 3 Recommended (Auto)</t>
        </is>
      </c>
      <c r="C27" s="39" t="n"/>
      <c r="D27" s="39" t="n"/>
      <c r="E27" s="39" t="n"/>
      <c r="F27" s="39" t="n"/>
      <c r="G27" s="39" t="n"/>
      <c r="H27" s="39" t="n"/>
      <c r="I27" s="39" t="n"/>
      <c r="J27" s="39" t="n"/>
    </row>
    <row r="28">
      <c r="A28" s="39" t="n"/>
      <c r="B28" s="61" t="inlineStr">
        <is>
          <t>Ranked automatically by priority, due date, fit to your available time, and current energy.</t>
        </is>
      </c>
      <c r="H28" s="39" t="n"/>
      <c r="I28" s="39" t="n"/>
      <c r="J28" s="39" t="n"/>
    </row>
    <row r="29">
      <c r="A29" s="39" t="n"/>
      <c r="B29" s="13" t="inlineStr">
        <is>
          <t>Priority</t>
        </is>
      </c>
      <c r="C29" s="13" t="inlineStr">
        <is>
          <t>Task</t>
        </is>
      </c>
      <c r="D29" s="13" t="inlineStr">
        <is>
          <t>Mission</t>
        </is>
      </c>
      <c r="E29" s="13" t="inlineStr">
        <is>
          <t>Due Date</t>
        </is>
      </c>
      <c r="F29" s="13" t="inlineStr">
        <is>
          <t>Time</t>
        </is>
      </c>
      <c r="G29" s="13" t="inlineStr">
        <is>
          <t>Energy</t>
        </is>
      </c>
      <c r="H29" s="39" t="n"/>
      <c r="I29" s="39" t="n"/>
      <c r="J29" s="39" t="n"/>
    </row>
    <row r="30">
      <c r="A30" s="39" t="n"/>
      <c r="B30" s="64">
        <f>IFERROR(IF(LARGE('Work Register'!$N$5:$N$500,1)&lt;=-500,"",INDEX('Work Register'!F:F,MATCH(LARGE('Work Register'!$N$5:$N$500,1),'Work Register'!$N$5:$N$500,0)+4)),"")</f>
        <v/>
      </c>
      <c r="C30" s="42">
        <f>IFERROR(IF(LARGE('Work Register'!$N$5:$N$500,1)&lt;=-500,"",INDEX('Work Register'!D:D,MATCH(LARGE('Work Register'!$N$5:$N$500,1),'Work Register'!$N$5:$N$500,0)+4)),"")</f>
        <v/>
      </c>
      <c r="D30" s="42">
        <f>IFERROR(IF(LARGE('Work Register'!$N$5:$N$500,1)&lt;=-500,"",INDEX('Work Register'!A:A,MATCH(LARGE('Work Register'!$N$5:$N$500,1),'Work Register'!$N$5:$N$500,0)+4)),"")</f>
        <v/>
      </c>
      <c r="E30" s="64">
        <f>IFERROR(IF(LARGE('Work Register'!$N$5:$N$500,1)&lt;=-500,"",INDEX('Work Register'!I:I,MATCH(LARGE('Work Register'!$N$5:$N$500,1),'Work Register'!$N$5:$N$500,0)+4)),"")</f>
        <v/>
      </c>
      <c r="F30" s="64">
        <f>IFERROR(IF(LARGE('Work Register'!$N$5:$N$500,1)&lt;=-500,"",INDEX('Work Register'!H:H,MATCH(LARGE('Work Register'!$N$5:$N$500,1),'Work Register'!$N$5:$N$500,0)+4)),"")</f>
        <v/>
      </c>
      <c r="G30" s="64">
        <f>IFERROR(IF(LARGE('Work Register'!$N$5:$N$500,1)&lt;=-500,"",INDEX('Work Register'!G:G,MATCH(LARGE('Work Register'!$N$5:$N$500,1),'Work Register'!$N$5:$N$500,0)+4)),"")</f>
        <v/>
      </c>
      <c r="H30" s="39" t="n"/>
      <c r="I30" s="39" t="n"/>
      <c r="J30" s="39" t="n"/>
    </row>
    <row r="31">
      <c r="A31" s="39" t="n"/>
      <c r="B31" s="64">
        <f>IFERROR(IF(LARGE('Work Register'!$N$5:$N$500,2)&lt;=-500,"",INDEX('Work Register'!F:F,MATCH(LARGE('Work Register'!$N$5:$N$500,2),'Work Register'!$N$5:$N$500,0)+4)),"")</f>
        <v/>
      </c>
      <c r="C31" s="42">
        <f>IFERROR(IF(LARGE('Work Register'!$N$5:$N$500,2)&lt;=-500,"",INDEX('Work Register'!D:D,MATCH(LARGE('Work Register'!$N$5:$N$500,2),'Work Register'!$N$5:$N$500,0)+4)),"")</f>
        <v/>
      </c>
      <c r="D31" s="42">
        <f>IFERROR(IF(LARGE('Work Register'!$N$5:$N$500,2)&lt;=-500,"",INDEX('Work Register'!A:A,MATCH(LARGE('Work Register'!$N$5:$N$500,2),'Work Register'!$N$5:$N$500,0)+4)),"")</f>
        <v/>
      </c>
      <c r="E31" s="64">
        <f>IFERROR(IF(LARGE('Work Register'!$N$5:$N$500,2)&lt;=-500,"",INDEX('Work Register'!I:I,MATCH(LARGE('Work Register'!$N$5:$N$500,2),'Work Register'!$N$5:$N$500,0)+4)),"")</f>
        <v/>
      </c>
      <c r="F31" s="64">
        <f>IFERROR(IF(LARGE('Work Register'!$N$5:$N$500,2)&lt;=-500,"",INDEX('Work Register'!H:H,MATCH(LARGE('Work Register'!$N$5:$N$500,2),'Work Register'!$N$5:$N$500,0)+4)),"")</f>
        <v/>
      </c>
      <c r="G31" s="64">
        <f>IFERROR(IF(LARGE('Work Register'!$N$5:$N$500,2)&lt;=-500,"",INDEX('Work Register'!G:G,MATCH(LARGE('Work Register'!$N$5:$N$500,2),'Work Register'!$N$5:$N$500,0)+4)),"")</f>
        <v/>
      </c>
      <c r="H31" s="39" t="n"/>
      <c r="I31" s="39" t="n"/>
      <c r="J31" s="39" t="n"/>
    </row>
    <row r="32">
      <c r="A32" s="39" t="n"/>
      <c r="B32" s="64">
        <f>IFERROR(IF(LARGE('Work Register'!$N$5:$N$500,3)&lt;=-500,"",INDEX('Work Register'!F:F,MATCH(LARGE('Work Register'!$N$5:$N$500,3),'Work Register'!$N$5:$N$500,0)+4)),"")</f>
        <v/>
      </c>
      <c r="C32" s="42">
        <f>IFERROR(IF(LARGE('Work Register'!$N$5:$N$500,3)&lt;=-500,"",INDEX('Work Register'!D:D,MATCH(LARGE('Work Register'!$N$5:$N$500,3),'Work Register'!$N$5:$N$500,0)+4)),"")</f>
        <v/>
      </c>
      <c r="D32" s="42">
        <f>IFERROR(IF(LARGE('Work Register'!$N$5:$N$500,3)&lt;=-500,"",INDEX('Work Register'!A:A,MATCH(LARGE('Work Register'!$N$5:$N$500,3),'Work Register'!$N$5:$N$500,0)+4)),"")</f>
        <v/>
      </c>
      <c r="E32" s="64">
        <f>IFERROR(IF(LARGE('Work Register'!$N$5:$N$500,3)&lt;=-500,"",INDEX('Work Register'!I:I,MATCH(LARGE('Work Register'!$N$5:$N$500,3),'Work Register'!$N$5:$N$500,0)+4)),"")</f>
        <v/>
      </c>
      <c r="F32" s="64">
        <f>IFERROR(IF(LARGE('Work Register'!$N$5:$N$500,3)&lt;=-500,"",INDEX('Work Register'!H:H,MATCH(LARGE('Work Register'!$N$5:$N$500,3),'Work Register'!$N$5:$N$500,0)+4)),"")</f>
        <v/>
      </c>
      <c r="G32" s="64">
        <f>IFERROR(IF(LARGE('Work Register'!$N$5:$N$500,3)&lt;=-500,"",INDEX('Work Register'!G:G,MATCH(LARGE('Work Register'!$N$5:$N$500,3),'Work Register'!$N$5:$N$500,0)+4)),"")</f>
        <v/>
      </c>
      <c r="H32" s="39" t="n"/>
      <c r="I32" s="39" t="n"/>
      <c r="J32" s="39" t="n"/>
    </row>
    <row r="33">
      <c r="A33" s="39" t="n"/>
      <c r="B33" s="39" t="n"/>
      <c r="C33" s="39" t="n"/>
      <c r="D33" s="39" t="n"/>
      <c r="E33" s="39" t="n"/>
      <c r="F33" s="39" t="n"/>
      <c r="G33" s="39" t="n"/>
      <c r="H33" s="39" t="n"/>
      <c r="I33" s="39" t="n"/>
      <c r="J33" s="39" t="n"/>
    </row>
    <row r="34">
      <c r="A34" s="39" t="n"/>
      <c r="B34" s="39" t="n"/>
      <c r="C34" s="39" t="n"/>
      <c r="D34" s="39" t="n"/>
      <c r="E34" s="39" t="n"/>
      <c r="F34" s="39" t="n"/>
      <c r="G34" s="39" t="n"/>
      <c r="H34" s="39" t="n"/>
      <c r="I34" s="39" t="n"/>
      <c r="J34" s="39" t="n"/>
    </row>
    <row r="35">
      <c r="A35" s="39" t="n"/>
      <c r="B35" s="39" t="n"/>
      <c r="C35" s="39" t="n"/>
      <c r="D35" s="39" t="n"/>
      <c r="E35" s="39" t="n"/>
      <c r="F35" s="39" t="n"/>
      <c r="G35" s="39" t="n"/>
      <c r="H35" s="39" t="n"/>
      <c r="I35" s="39" t="n"/>
      <c r="J35" s="39" t="n"/>
    </row>
    <row r="36">
      <c r="A36" s="39" t="n"/>
      <c r="B36" s="39" t="n"/>
      <c r="C36" s="39" t="n"/>
      <c r="D36" s="39" t="n"/>
      <c r="E36" s="39" t="n"/>
      <c r="F36" s="39" t="n"/>
      <c r="G36" s="39" t="n"/>
      <c r="H36" s="39" t="n"/>
      <c r="I36" s="39" t="n"/>
      <c r="J36" s="39" t="n"/>
    </row>
    <row r="37">
      <c r="A37" s="39" t="n"/>
      <c r="B37" s="39" t="n"/>
      <c r="C37" s="39" t="n"/>
      <c r="D37" s="39" t="n"/>
      <c r="E37" s="39" t="n"/>
      <c r="F37" s="39" t="n"/>
      <c r="G37" s="39" t="n"/>
      <c r="H37" s="39" t="n"/>
      <c r="I37" s="39" t="n"/>
      <c r="J37" s="39" t="n"/>
    </row>
    <row r="38">
      <c r="A38" s="39" t="n"/>
      <c r="B38" s="39" t="n"/>
      <c r="C38" s="39" t="n"/>
      <c r="D38" s="39" t="n"/>
      <c r="E38" s="39" t="n"/>
      <c r="F38" s="39" t="n"/>
      <c r="G38" s="39" t="n"/>
      <c r="H38" s="39" t="n"/>
      <c r="I38" s="39" t="n"/>
      <c r="J38" s="39" t="n"/>
    </row>
    <row r="39">
      <c r="A39" s="39" t="n"/>
      <c r="B39" s="39" t="n"/>
      <c r="C39" s="39" t="n"/>
      <c r="D39" s="39" t="n"/>
      <c r="E39" s="39" t="n"/>
      <c r="F39" s="39" t="n"/>
      <c r="G39" s="39" t="n"/>
      <c r="H39" s="39" t="n"/>
      <c r="I39" s="39" t="n"/>
      <c r="J39" s="39" t="n"/>
    </row>
    <row r="40">
      <c r="A40" s="39" t="n"/>
      <c r="B40" s="39" t="n"/>
      <c r="C40" s="39" t="n"/>
      <c r="D40" s="39" t="n"/>
      <c r="E40" s="39" t="n"/>
      <c r="F40" s="39" t="n"/>
      <c r="G40" s="39" t="n"/>
      <c r="H40" s="39" t="n"/>
      <c r="I40" s="39" t="n"/>
      <c r="J40" s="39" t="n"/>
    </row>
  </sheetData>
  <sheetProtection selectLockedCells="0" selectUnlockedCells="0" sheet="1" objects="0" insertRows="1" insertHyperlinks="1" autoFilter="1" scenarios="0" formatColumns="1" deleteColumns="1" insertColumns="1" pivotTables="1" deleteRows="1" formatCells="1" formatRows="1" sort="1"/>
  <mergeCells count="14">
    <mergeCell ref="C21:G21"/>
    <mergeCell ref="C20:G20"/>
    <mergeCell ref="B28:G28"/>
    <mergeCell ref="C24:G24"/>
    <mergeCell ref="B9:G9"/>
    <mergeCell ref="C25:G25"/>
    <mergeCell ref="C19:G19"/>
    <mergeCell ref="B26:G26"/>
    <mergeCell ref="C23:G23"/>
    <mergeCell ref="C22:G22"/>
    <mergeCell ref="B8:F8"/>
    <mergeCell ref="B7:G7"/>
    <mergeCell ref="B11:G11"/>
    <mergeCell ref="B6:G6"/>
  </mergeCells>
  <dataValidations count="6">
    <dataValidation sqref="B8 B9 B10" showDropDown="0" showInputMessage="0" showErrorMessage="0" allowBlank="1" type="list">
      <formula1>PriorityList</formula1>
    </dataValidation>
    <dataValidation sqref="F8 F9 F10" showDropDown="0" showInputMessage="0" showErrorMessage="0" allowBlank="1" type="list">
      <formula1>EnergyList</formula1>
    </dataValidation>
    <dataValidation sqref="G8 G9 G10" showDropDown="0" showInputMessage="0" showErrorMessage="0" allowBlank="1" type="list">
      <formula1>StatusList</formula1>
    </dataValidation>
    <dataValidation sqref="B13 B14 B15" showDropDown="0" showInputMessage="0" showErrorMessage="0" allowBlank="1" type="list">
      <formula1>PriorityList</formula1>
    </dataValidation>
    <dataValidation sqref="F13 F14 F15" showDropDown="0" showInputMessage="0" showErrorMessage="0" allowBlank="1" type="list">
      <formula1>EnergyList</formula1>
    </dataValidation>
    <dataValidation sqref="G13 G14 G15" showDropDown="0" showInputMessage="0" showErrorMessage="0" allowBlank="1" type="list">
      <formula1>StatusList</formula1>
    </dataValidation>
  </dataValidations>
  <hyperlinks>
    <hyperlink xmlns:r="http://schemas.openxmlformats.org/officeDocument/2006/relationships" ref="B4"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H22"/>
  <sheetViews>
    <sheetView showGridLines="0" workbookViewId="0">
      <selection activeCell="A1" sqref="A1"/>
    </sheetView>
  </sheetViews>
  <sheetFormatPr baseColWidth="8" defaultRowHeight="15"/>
  <cols>
    <col width="25" customWidth="1" min="2" max="2"/>
    <col width="45" customWidth="1" min="3" max="3"/>
  </cols>
  <sheetData>
    <row r="2">
      <c r="B2" s="10" t="inlineStr">
        <is>
          <t>Current Focus</t>
        </is>
      </c>
    </row>
    <row r="3" ht="20" customHeight="1">
      <c r="B3" s="11" t="inlineStr">
        <is>
          <t>← Home</t>
        </is>
      </c>
    </row>
    <row r="5" ht="22" customHeight="1">
      <c r="A5" s="39" t="n"/>
      <c r="B5" s="77" t="inlineStr">
        <is>
          <t>Current Task</t>
        </is>
      </c>
      <c r="C5" s="78" t="n"/>
      <c r="D5" s="39" t="n"/>
      <c r="E5" s="39" t="n"/>
      <c r="F5" s="39" t="n"/>
      <c r="G5" s="39" t="n"/>
      <c r="H5" s="39" t="n"/>
    </row>
    <row r="6" ht="18" customHeight="1">
      <c r="A6" s="39" t="n"/>
      <c r="B6" s="79">
        <f>IF($C$5="","",IF(ISNA(MATCH($C$5,'Work Register'!$D:$D,0)),"⚠ No task matches this name in Work Register — it may be a typo, or the task was renamed, completed and archived, or deleted. Update Current Task above.",IF($C$10="Done","⚠ This task is marked Done — pick a new Current Task",IF($C$10="Blocked","⚠ This task is Blocked — consider updating your focus",""))))</f>
        <v/>
      </c>
      <c r="E6" s="39" t="n"/>
      <c r="F6" s="39" t="n"/>
      <c r="G6" s="39" t="n"/>
      <c r="H6" s="39" t="n"/>
    </row>
    <row r="7" ht="20" customHeight="1">
      <c r="A7" s="39" t="n"/>
      <c r="B7" s="77" t="inlineStr">
        <is>
          <t>Mission</t>
        </is>
      </c>
      <c r="C7" s="95">
        <f>IFERROR(INDEX('Work Register'!A:A,MATCH($C$5,'Work Register'!$D:$D,0)),"")</f>
        <v/>
      </c>
      <c r="D7" s="39" t="n"/>
      <c r="E7" s="39" t="n"/>
      <c r="F7" s="39" t="n"/>
      <c r="G7" s="39" t="n"/>
      <c r="H7" s="39" t="n"/>
    </row>
    <row r="8" ht="20" customHeight="1">
      <c r="A8" s="39" t="n"/>
      <c r="B8" s="77" t="inlineStr">
        <is>
          <t>Deliverable</t>
        </is>
      </c>
      <c r="C8" s="95">
        <f>IFERROR(INDEX('Work Register'!B:B,MATCH($C$5,'Work Register'!$D:$D,0)),"")</f>
        <v/>
      </c>
      <c r="D8" s="39" t="n"/>
      <c r="E8" s="39" t="n"/>
      <c r="F8" s="39" t="n"/>
      <c r="G8" s="39" t="n"/>
      <c r="H8" s="39" t="n"/>
    </row>
    <row r="9" ht="20" customHeight="1">
      <c r="A9" s="39" t="n"/>
      <c r="B9" s="77" t="inlineStr">
        <is>
          <t>Component</t>
        </is>
      </c>
      <c r="C9" s="95">
        <f>IFERROR(INDEX('Work Register'!C:C,MATCH($C$5,'Work Register'!$D:$D,0)),"")</f>
        <v/>
      </c>
      <c r="D9" s="39" t="n"/>
      <c r="E9" s="39" t="n"/>
      <c r="F9" s="39" t="n"/>
      <c r="G9" s="39" t="n"/>
      <c r="H9" s="39" t="n"/>
    </row>
    <row r="10" ht="20" customHeight="1">
      <c r="A10" s="39" t="n"/>
      <c r="B10" s="77" t="inlineStr">
        <is>
          <t>Status</t>
        </is>
      </c>
      <c r="C10" s="95">
        <f>IFERROR(INDEX('Work Register'!E:E,MATCH($C$5,'Work Register'!$D:$D,0)),"")</f>
        <v/>
      </c>
      <c r="D10" s="39" t="n"/>
      <c r="E10" s="39" t="n"/>
      <c r="F10" s="39" t="n"/>
      <c r="G10" s="39" t="n"/>
      <c r="H10" s="39" t="n"/>
    </row>
    <row r="11" ht="20" customHeight="1">
      <c r="A11" s="39" t="n"/>
      <c r="B11" s="77" t="inlineStr">
        <is>
          <t>Definition of Done</t>
        </is>
      </c>
      <c r="C11" s="80" t="n"/>
      <c r="D11" s="39" t="n"/>
      <c r="E11" s="39" t="n"/>
      <c r="F11" s="39" t="n"/>
      <c r="G11" s="39" t="n"/>
      <c r="H11" s="39" t="n"/>
    </row>
    <row r="12" ht="20" customHeight="1">
      <c r="A12" s="39" t="n"/>
      <c r="B12" s="77" t="inlineStr">
        <is>
          <t>Next Physical Action</t>
        </is>
      </c>
      <c r="C12" s="80" t="n"/>
      <c r="D12" s="39" t="n"/>
      <c r="E12" s="39" t="n"/>
      <c r="F12" s="39" t="n"/>
      <c r="G12" s="39" t="n"/>
      <c r="H12" s="39" t="n"/>
    </row>
    <row r="13" ht="20" customHeight="1">
      <c r="A13" s="39" t="n"/>
      <c r="B13" s="77" t="inlineStr">
        <is>
          <t>Current Blocker</t>
        </is>
      </c>
      <c r="C13" s="80" t="n"/>
      <c r="D13" s="39" t="n"/>
      <c r="E13" s="39" t="n"/>
      <c r="F13" s="39" t="n"/>
      <c r="G13" s="39" t="n"/>
      <c r="H13" s="39" t="n"/>
    </row>
    <row r="14" ht="20" customHeight="1">
      <c r="A14" s="39" t="n"/>
      <c r="B14" s="77" t="inlineStr">
        <is>
          <t>Last Updated</t>
        </is>
      </c>
      <c r="C14" s="80" t="n"/>
      <c r="D14" s="39" t="n"/>
      <c r="E14" s="39" t="n"/>
      <c r="F14" s="39" t="n"/>
      <c r="G14" s="39" t="n"/>
      <c r="H14" s="39" t="n"/>
    </row>
    <row r="15">
      <c r="A15" s="39" t="n"/>
      <c r="B15" s="140" t="inlineStr">
        <is>
          <t>Reminder: changing Current Task above does NOT clear Definition of Done, Next Action, or Blocker — update those yourself too.</t>
        </is>
      </c>
      <c r="E15" s="39" t="n"/>
      <c r="F15" s="39" t="n"/>
      <c r="G15" s="39" t="n"/>
      <c r="H15" s="39" t="n"/>
    </row>
    <row r="16">
      <c r="A16" s="39" t="n"/>
      <c r="B16" s="82" t="inlineStr">
        <is>
          <t>How to use Current Focus:</t>
        </is>
      </c>
      <c r="C16" s="39" t="n"/>
      <c r="D16" s="39" t="n"/>
      <c r="E16" s="39" t="n"/>
      <c r="F16" s="39" t="n"/>
      <c r="G16" s="39" t="n"/>
      <c r="H16" s="39" t="n"/>
    </row>
    <row r="17">
      <c r="A17" s="39" t="n"/>
      <c r="B17" s="83" t="inlineStr">
        <is>
          <t>1. Type or paste the exact Task name from Work Register into Current Task above.</t>
        </is>
      </c>
      <c r="C17" s="39" t="n"/>
      <c r="D17" s="39" t="n"/>
      <c r="E17" s="39" t="n"/>
      <c r="F17" s="39" t="n"/>
      <c r="G17" s="39" t="n"/>
      <c r="H17" s="39" t="n"/>
    </row>
    <row r="18">
      <c r="A18" s="39" t="n"/>
      <c r="B18" s="83" t="inlineStr">
        <is>
          <t>2. Mission, Deliverable, Component, and Status fill in automatically.</t>
        </is>
      </c>
      <c r="C18" s="39" t="n"/>
      <c r="D18" s="39" t="n"/>
      <c r="E18" s="39" t="n"/>
      <c r="F18" s="39" t="n"/>
      <c r="G18" s="39" t="n"/>
      <c r="H18" s="39" t="n"/>
    </row>
    <row r="19">
      <c r="A19" s="39" t="n"/>
      <c r="B19" s="83" t="inlineStr">
        <is>
          <t>3. Fill in Definition of Done, Next Physical Action, and Blocker yourself — these aren't</t>
        </is>
      </c>
      <c r="C19" s="39" t="n"/>
      <c r="D19" s="39" t="n"/>
      <c r="E19" s="39" t="n"/>
      <c r="F19" s="39" t="n"/>
      <c r="G19" s="39" t="n"/>
      <c r="H19" s="39" t="n"/>
    </row>
    <row r="20">
      <c r="A20" s="39" t="n"/>
      <c r="B20" s="83" t="inlineStr">
        <is>
          <t xml:space="preserve">   tracked per-task in Work Register, only for whatever you're actively working on.</t>
        </is>
      </c>
      <c r="C20" s="39" t="n"/>
      <c r="D20" s="39" t="n"/>
      <c r="E20" s="39" t="n"/>
      <c r="F20" s="39" t="n"/>
      <c r="G20" s="39" t="n"/>
      <c r="H20" s="39" t="n"/>
    </row>
    <row r="21">
      <c r="B21" s="84" t="inlineStr">
        <is>
          <t>4. This is now the only place Current Focus lives — Today's Current Focus section</t>
        </is>
      </c>
    </row>
    <row r="22">
      <c r="B22" s="84" t="inlineStr">
        <is>
          <t xml:space="preserve">   reads from here automatically, so you only ever update it in one place.</t>
        </is>
      </c>
    </row>
  </sheetData>
  <sheetProtection selectLockedCells="0" selectUnlockedCells="0" sheet="1" objects="0" insertRows="1" insertHyperlinks="1" autoFilter="1" scenarios="0" formatColumns="1" deleteColumns="1" insertColumns="1" pivotTables="1" deleteRows="1" formatCells="1" formatRows="1" sort="1"/>
  <mergeCells count="2">
    <mergeCell ref="B15:D15"/>
    <mergeCell ref="B6:D6"/>
  </mergeCells>
  <hyperlinks>
    <hyperlink xmlns:r="http://schemas.openxmlformats.org/officeDocument/2006/relationships" ref="B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18"/>
  <sheetViews>
    <sheetView showGridLines="0" workbookViewId="0">
      <selection activeCell="A1" sqref="A1"/>
    </sheetView>
  </sheetViews>
  <sheetFormatPr baseColWidth="8" defaultRowHeight="15"/>
  <cols>
    <col width="20" customWidth="1" min="2" max="2"/>
    <col width="20" customWidth="1" min="3" max="3"/>
    <col width="20" customWidth="1" min="4" max="4"/>
    <col width="20" customWidth="1" min="5" max="5"/>
  </cols>
  <sheetData>
    <row r="2">
      <c r="B2" s="10" t="inlineStr">
        <is>
          <t>Weekly Review</t>
        </is>
      </c>
    </row>
    <row r="3" ht="20" customHeight="1">
      <c r="B3" s="11" t="inlineStr">
        <is>
          <t>← Home</t>
        </is>
      </c>
    </row>
    <row r="4">
      <c r="B4" s="20" t="inlineStr">
        <is>
          <t>Week of August 06, 2026</t>
        </is>
      </c>
    </row>
    <row r="6">
      <c r="B6" s="29" t="inlineStr">
        <is>
          <t>Active Missions</t>
        </is>
      </c>
      <c r="C6" s="29" t="inlineStr">
        <is>
          <t>Blocked Tasks</t>
        </is>
      </c>
      <c r="D6" s="29" t="inlineStr">
        <is>
          <t>Waiting Tasks</t>
        </is>
      </c>
      <c r="E6" s="29" t="inlineStr">
        <is>
          <t>Completed This Week</t>
        </is>
      </c>
    </row>
    <row r="7">
      <c r="B7" s="9">
        <f>COUNTIFS('Work Register'!E:E,"In Progress")+COUNTIFS('Work Register'!E:E,"Captured")+COUNTIFS('Work Register'!E:E,"Next")</f>
        <v/>
      </c>
      <c r="C7" s="9">
        <f>COUNTIF('Work Register'!E:E,"Blocked")</f>
        <v/>
      </c>
      <c r="D7" s="9">
        <f>COUNTIF('Work Register'!E:E,"Waiting")</f>
        <v/>
      </c>
      <c r="E7" s="9">
        <f>COUNTIFS('Work Register'!E:E,"Done",'Work Register'!L:L,"&gt;="&amp;(TODAY()-WEEKDAY(TODAY(),3)))</f>
        <v/>
      </c>
    </row>
    <row r="8">
      <c r="B8" s="73" t="inlineStr">
        <is>
          <t>Week starts Monday. Based on current Status/Priority; "Completed" uses each task's Last Updated date.</t>
        </is>
      </c>
    </row>
    <row r="10">
      <c r="B10" s="4" t="inlineStr">
        <is>
          <t>Weekly Review Checklist</t>
        </is>
      </c>
    </row>
    <row r="11" ht="20" customHeight="1">
      <c r="B11" s="159" t="inlineStr">
        <is>
          <t>□ Review all Blocked tasks - escalate or reassign</t>
        </is>
      </c>
      <c r="C11" s="113" t="n"/>
      <c r="D11" s="113" t="n"/>
      <c r="E11" s="114" t="n"/>
    </row>
    <row r="12" ht="20" customHeight="1">
      <c r="B12" s="159" t="inlineStr">
        <is>
          <t>□ Review all Waiting tasks - follow up on dependencies</t>
        </is>
      </c>
      <c r="C12" s="113" t="n"/>
      <c r="D12" s="113" t="n"/>
      <c r="E12" s="114" t="n"/>
    </row>
    <row r="13" ht="20" customHeight="1">
      <c r="B13" s="159" t="inlineStr">
        <is>
          <t>□ Check for overdue tasks - adjust priority or defer</t>
        </is>
      </c>
      <c r="C13" s="113" t="n"/>
      <c r="D13" s="113" t="n"/>
      <c r="E13" s="114" t="n"/>
    </row>
    <row r="14" ht="20" customHeight="1">
      <c r="B14" s="159" t="inlineStr">
        <is>
          <t>□ Celebrate completed work from this week</t>
        </is>
      </c>
      <c r="C14" s="113" t="n"/>
      <c r="D14" s="113" t="n"/>
      <c r="E14" s="114" t="n"/>
    </row>
    <row r="15" ht="20" customHeight="1">
      <c r="B15" s="159" t="inlineStr">
        <is>
          <t>□ Identify missions with no recent activity</t>
        </is>
      </c>
      <c r="C15" s="113" t="n"/>
      <c r="D15" s="113" t="n"/>
      <c r="E15" s="114" t="n"/>
    </row>
    <row r="16" ht="20" customHeight="1">
      <c r="B16" s="159" t="inlineStr">
        <is>
          <t>□ Check for tasks with no Next Action defined</t>
        </is>
      </c>
      <c r="C16" s="113" t="n"/>
      <c r="D16" s="113" t="n"/>
      <c r="E16" s="114" t="n"/>
    </row>
    <row r="17" ht="20" customHeight="1">
      <c r="B17" s="159" t="inlineStr">
        <is>
          <t>□ Plan new missions for next week</t>
        </is>
      </c>
      <c r="C17" s="113" t="n"/>
      <c r="D17" s="113" t="n"/>
      <c r="E17" s="114" t="n"/>
    </row>
    <row r="18" ht="20" customHeight="1">
      <c r="B18" s="159" t="inlineStr">
        <is>
          <t>□ Archive completed missions</t>
        </is>
      </c>
      <c r="C18" s="113" t="n"/>
      <c r="D18" s="113" t="n"/>
      <c r="E18" s="114" t="n"/>
    </row>
  </sheetData>
  <sheetProtection selectLockedCells="0" selectUnlockedCells="0" sheet="1" objects="0" insertRows="1" insertHyperlinks="1" autoFilter="1" scenarios="0" formatColumns="1" deleteColumns="1" insertColumns="1" pivotTables="1" deleteRows="1" formatCells="1" formatRows="1" sort="1"/>
  <mergeCells count="10">
    <mergeCell ref="B17:E17"/>
    <mergeCell ref="B18:E18"/>
    <mergeCell ref="B8:E8"/>
    <mergeCell ref="B12:E12"/>
    <mergeCell ref="B13:E13"/>
    <mergeCell ref="B16:E16"/>
    <mergeCell ref="B15:E15"/>
    <mergeCell ref="B11:E11"/>
    <mergeCell ref="B10:E10"/>
    <mergeCell ref="B14:E14"/>
  </mergeCells>
  <hyperlinks>
    <hyperlink xmlns:r="http://schemas.openxmlformats.org/officeDocument/2006/relationships" ref="B3"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00"/>
  <sheetViews>
    <sheetView showGridLines="0" workbookViewId="0">
      <selection activeCell="A1" sqref="A1"/>
    </sheetView>
  </sheetViews>
  <sheetFormatPr baseColWidth="8" defaultRowHeight="15"/>
  <cols>
    <col width="20" customWidth="1" min="1" max="1"/>
    <col width="20" customWidth="1" min="2" max="2"/>
    <col width="18" customWidth="1" min="3" max="3"/>
    <col width="25" customWidth="1" min="4" max="4"/>
    <col width="15" customWidth="1" min="5" max="5"/>
    <col width="12" customWidth="1" min="6" max="6"/>
    <col width="16" customWidth="1" min="7" max="7"/>
    <col width="16" customWidth="1" min="8" max="8"/>
    <col width="12" customWidth="1" min="9" max="9"/>
    <col width="10" customWidth="1" min="10" max="10"/>
    <col width="25" customWidth="1" min="11" max="11"/>
    <col width="15" customWidth="1" min="12" max="12"/>
    <col width="13" customWidth="1" min="13" max="13"/>
  </cols>
  <sheetData>
    <row r="1">
      <c r="A1" s="10" t="inlineStr">
        <is>
          <t>Archive</t>
        </is>
      </c>
    </row>
    <row r="2" ht="20" customHeight="1">
      <c r="A2" s="11" t="inlineStr">
        <is>
          <t>← Home</t>
        </is>
      </c>
    </row>
    <row r="3">
      <c r="A3" s="20" t="inlineStr">
        <is>
          <t>Completed missions and archived tasks</t>
        </is>
      </c>
    </row>
    <row r="4" ht="28" customHeight="1">
      <c r="A4" s="136" t="inlineStr">
        <is>
          <t>To archive: select the full row A:K on Work Register, copy, paste into the first empty row here starting at column A, then add today's date in Completed Date (L). Delete the row from Work Register. Rows highlighted amber below have a Status other than Done — confirm the task is really finished before leaving it archived.</t>
        </is>
      </c>
    </row>
    <row r="5">
      <c r="A5" s="74" t="inlineStr">
        <is>
          <t>Mission</t>
        </is>
      </c>
      <c r="B5" s="74" t="inlineStr">
        <is>
          <t>Deliverable</t>
        </is>
      </c>
      <c r="C5" s="74" t="inlineStr">
        <is>
          <t>Component</t>
        </is>
      </c>
      <c r="D5" s="74" t="inlineStr">
        <is>
          <t>Task</t>
        </is>
      </c>
      <c r="E5" s="74" t="inlineStr">
        <is>
          <t>Status</t>
        </is>
      </c>
      <c r="F5" s="74" t="inlineStr">
        <is>
          <t>Priority</t>
        </is>
      </c>
      <c r="G5" s="74" t="inlineStr">
        <is>
          <t>Energy</t>
        </is>
      </c>
      <c r="H5" s="74" t="inlineStr">
        <is>
          <t>Estimated Time</t>
        </is>
      </c>
      <c r="I5" s="74" t="inlineStr">
        <is>
          <t>Due Date</t>
        </is>
      </c>
      <c r="J5" s="74" t="inlineStr">
        <is>
          <t>Owner</t>
        </is>
      </c>
      <c r="K5" s="74" t="inlineStr">
        <is>
          <t>Notes</t>
        </is>
      </c>
      <c r="L5" s="74" t="inlineStr">
        <is>
          <t>Completed Date</t>
        </is>
      </c>
      <c r="M5" s="129" t="inlineStr">
        <is>
          <t>Keyword Match</t>
        </is>
      </c>
    </row>
    <row r="6">
      <c r="A6" s="76" t="n"/>
      <c r="B6" s="19" t="n"/>
      <c r="C6" s="19" t="n"/>
      <c r="D6" s="19" t="n"/>
      <c r="E6" s="19" t="n"/>
      <c r="F6" s="19" t="n"/>
      <c r="G6" s="19" t="n"/>
      <c r="H6" s="19" t="n"/>
      <c r="I6" s="19" t="n"/>
      <c r="J6" s="19" t="n"/>
      <c r="K6" s="19" t="n"/>
      <c r="L6" s="19" t="n"/>
      <c r="M6" s="130">
        <f>IF($A6="","",AND('Task Finder'!$C$7&lt;&gt;"",OR(ISNUMBER(SEARCH('Task Finder'!$C$7,$A6)),ISNUMBER(SEARCH('Task Finder'!$C$7,$B6)),ISNUMBER(SEARCH('Task Finder'!$C$7,$C6)),ISNUMBER(SEARCH('Task Finder'!$C$7,$D6)),ISNUMBER(SEARCH('Task Finder'!$C$7,$K6)))))</f>
        <v/>
      </c>
    </row>
    <row r="7">
      <c r="A7" s="139" t="n"/>
      <c r="B7" s="19" t="n"/>
      <c r="C7" s="19" t="n"/>
      <c r="D7" s="19" t="n"/>
      <c r="E7" s="19" t="n"/>
      <c r="F7" s="19" t="n"/>
      <c r="G7" s="19" t="n"/>
      <c r="H7" s="19" t="n"/>
      <c r="I7" s="19" t="n"/>
      <c r="J7" s="19" t="n"/>
      <c r="K7" s="19" t="n"/>
      <c r="L7" s="19" t="n"/>
      <c r="M7" s="130">
        <f>IF($A7="","",AND('Task Finder'!$C$7&lt;&gt;"",OR(ISNUMBER(SEARCH('Task Finder'!$C$7,$A7)),ISNUMBER(SEARCH('Task Finder'!$C$7,$B7)),ISNUMBER(SEARCH('Task Finder'!$C$7,$C7)),ISNUMBER(SEARCH('Task Finder'!$C$7,$D7)),ISNUMBER(SEARCH('Task Finder'!$C$7,$K7)))))</f>
        <v/>
      </c>
    </row>
    <row r="8">
      <c r="A8" s="19" t="n"/>
      <c r="B8" s="19" t="n"/>
      <c r="C8" s="19" t="n"/>
      <c r="D8" s="19" t="n"/>
      <c r="E8" s="19" t="n"/>
      <c r="F8" s="19" t="n"/>
      <c r="G8" s="19" t="n"/>
      <c r="H8" s="19" t="n"/>
      <c r="I8" s="19" t="n"/>
      <c r="J8" s="19" t="n"/>
      <c r="K8" s="19" t="n"/>
      <c r="L8" s="19" t="n"/>
      <c r="M8" s="130">
        <f>IF($A8="","",AND('Task Finder'!$C$7&lt;&gt;"",OR(ISNUMBER(SEARCH('Task Finder'!$C$7,$A8)),ISNUMBER(SEARCH('Task Finder'!$C$7,$B8)),ISNUMBER(SEARCH('Task Finder'!$C$7,$C8)),ISNUMBER(SEARCH('Task Finder'!$C$7,$D8)),ISNUMBER(SEARCH('Task Finder'!$C$7,$K8)))))</f>
        <v/>
      </c>
    </row>
    <row r="9">
      <c r="A9" s="19" t="n"/>
      <c r="B9" s="19" t="n"/>
      <c r="C9" s="19" t="n"/>
      <c r="D9" s="19" t="n"/>
      <c r="E9" s="19" t="n"/>
      <c r="F9" s="19" t="n"/>
      <c r="G9" s="19" t="n"/>
      <c r="H9" s="19" t="n"/>
      <c r="I9" s="19" t="n"/>
      <c r="J9" s="19" t="n"/>
      <c r="K9" s="19" t="n"/>
      <c r="L9" s="19" t="n"/>
      <c r="M9" s="130">
        <f>IF($A9="","",AND('Task Finder'!$C$7&lt;&gt;"",OR(ISNUMBER(SEARCH('Task Finder'!$C$7,$A9)),ISNUMBER(SEARCH('Task Finder'!$C$7,$B9)),ISNUMBER(SEARCH('Task Finder'!$C$7,$C9)),ISNUMBER(SEARCH('Task Finder'!$C$7,$D9)),ISNUMBER(SEARCH('Task Finder'!$C$7,$K9)))))</f>
        <v/>
      </c>
    </row>
    <row r="10">
      <c r="A10" s="19" t="n"/>
      <c r="B10" s="19" t="n"/>
      <c r="C10" s="19" t="n"/>
      <c r="D10" s="19" t="n"/>
      <c r="E10" s="19" t="n"/>
      <c r="F10" s="19" t="n"/>
      <c r="G10" s="19" t="n"/>
      <c r="H10" s="19" t="n"/>
      <c r="I10" s="19" t="n"/>
      <c r="J10" s="19" t="n"/>
      <c r="K10" s="19" t="n"/>
      <c r="L10" s="19" t="n"/>
      <c r="M10" s="130">
        <f>IF($A10="","",AND('Task Finder'!$C$7&lt;&gt;"",OR(ISNUMBER(SEARCH('Task Finder'!$C$7,$A10)),ISNUMBER(SEARCH('Task Finder'!$C$7,$B10)),ISNUMBER(SEARCH('Task Finder'!$C$7,$C10)),ISNUMBER(SEARCH('Task Finder'!$C$7,$D10)),ISNUMBER(SEARCH('Task Finder'!$C$7,$K10)))))</f>
        <v/>
      </c>
    </row>
    <row r="11">
      <c r="A11" s="19" t="n"/>
      <c r="B11" s="19" t="n"/>
      <c r="C11" s="19" t="n"/>
      <c r="D11" s="19" t="n"/>
      <c r="E11" s="19" t="n"/>
      <c r="F11" s="19" t="n"/>
      <c r="G11" s="19" t="n"/>
      <c r="H11" s="19" t="n"/>
      <c r="I11" s="19" t="n"/>
      <c r="J11" s="19" t="n"/>
      <c r="K11" s="19" t="n"/>
      <c r="L11" s="19" t="n"/>
      <c r="M11" s="130">
        <f>IF($A11="","",AND('Task Finder'!$C$7&lt;&gt;"",OR(ISNUMBER(SEARCH('Task Finder'!$C$7,$A11)),ISNUMBER(SEARCH('Task Finder'!$C$7,$B11)),ISNUMBER(SEARCH('Task Finder'!$C$7,$C11)),ISNUMBER(SEARCH('Task Finder'!$C$7,$D11)),ISNUMBER(SEARCH('Task Finder'!$C$7,$K11)))))</f>
        <v/>
      </c>
    </row>
    <row r="12">
      <c r="A12" s="19" t="n"/>
      <c r="B12" s="19" t="n"/>
      <c r="C12" s="19" t="n"/>
      <c r="D12" s="19" t="n"/>
      <c r="E12" s="19" t="n"/>
      <c r="F12" s="19" t="n"/>
      <c r="G12" s="19" t="n"/>
      <c r="H12" s="19" t="n"/>
      <c r="I12" s="19" t="n"/>
      <c r="J12" s="19" t="n"/>
      <c r="K12" s="19" t="n"/>
      <c r="L12" s="19" t="n"/>
      <c r="M12" s="130">
        <f>IF($A12="","",AND('Task Finder'!$C$7&lt;&gt;"",OR(ISNUMBER(SEARCH('Task Finder'!$C$7,$A12)),ISNUMBER(SEARCH('Task Finder'!$C$7,$B12)),ISNUMBER(SEARCH('Task Finder'!$C$7,$C12)),ISNUMBER(SEARCH('Task Finder'!$C$7,$D12)),ISNUMBER(SEARCH('Task Finder'!$C$7,$K12)))))</f>
        <v/>
      </c>
    </row>
    <row r="13">
      <c r="A13" s="19" t="n"/>
      <c r="B13" s="19" t="n"/>
      <c r="C13" s="19" t="n"/>
      <c r="D13" s="19" t="n"/>
      <c r="E13" s="19" t="n"/>
      <c r="F13" s="19" t="n"/>
      <c r="G13" s="19" t="n"/>
      <c r="H13" s="19" t="n"/>
      <c r="I13" s="19" t="n"/>
      <c r="J13" s="19" t="n"/>
      <c r="K13" s="19" t="n"/>
      <c r="L13" s="19" t="n"/>
      <c r="M13" s="130">
        <f>IF($A13="","",AND('Task Finder'!$C$7&lt;&gt;"",OR(ISNUMBER(SEARCH('Task Finder'!$C$7,$A13)),ISNUMBER(SEARCH('Task Finder'!$C$7,$B13)),ISNUMBER(SEARCH('Task Finder'!$C$7,$C13)),ISNUMBER(SEARCH('Task Finder'!$C$7,$D13)),ISNUMBER(SEARCH('Task Finder'!$C$7,$K13)))))</f>
        <v/>
      </c>
    </row>
    <row r="14">
      <c r="A14" s="19" t="n"/>
      <c r="B14" s="19" t="n"/>
      <c r="C14" s="19" t="n"/>
      <c r="D14" s="19" t="n"/>
      <c r="E14" s="19" t="n"/>
      <c r="F14" s="19" t="n"/>
      <c r="G14" s="19" t="n"/>
      <c r="H14" s="19" t="n"/>
      <c r="I14" s="19" t="n"/>
      <c r="J14" s="19" t="n"/>
      <c r="K14" s="19" t="n"/>
      <c r="L14" s="19" t="n"/>
      <c r="M14" s="130">
        <f>IF($A14="","",AND('Task Finder'!$C$7&lt;&gt;"",OR(ISNUMBER(SEARCH('Task Finder'!$C$7,$A14)),ISNUMBER(SEARCH('Task Finder'!$C$7,$B14)),ISNUMBER(SEARCH('Task Finder'!$C$7,$C14)),ISNUMBER(SEARCH('Task Finder'!$C$7,$D14)),ISNUMBER(SEARCH('Task Finder'!$C$7,$K14)))))</f>
        <v/>
      </c>
    </row>
    <row r="15">
      <c r="A15" s="19" t="n"/>
      <c r="B15" s="19" t="n"/>
      <c r="C15" s="19" t="n"/>
      <c r="D15" s="19" t="n"/>
      <c r="E15" s="19" t="n"/>
      <c r="F15" s="19" t="n"/>
      <c r="G15" s="19" t="n"/>
      <c r="H15" s="19" t="n"/>
      <c r="I15" s="19" t="n"/>
      <c r="J15" s="19" t="n"/>
      <c r="K15" s="19" t="n"/>
      <c r="L15" s="19" t="n"/>
      <c r="M15" s="130">
        <f>IF($A15="","",AND('Task Finder'!$C$7&lt;&gt;"",OR(ISNUMBER(SEARCH('Task Finder'!$C$7,$A15)),ISNUMBER(SEARCH('Task Finder'!$C$7,$B15)),ISNUMBER(SEARCH('Task Finder'!$C$7,$C15)),ISNUMBER(SEARCH('Task Finder'!$C$7,$D15)),ISNUMBER(SEARCH('Task Finder'!$C$7,$K15)))))</f>
        <v/>
      </c>
    </row>
    <row r="16">
      <c r="A16" s="19" t="n"/>
      <c r="B16" s="19" t="n"/>
      <c r="C16" s="19" t="n"/>
      <c r="D16" s="19" t="n"/>
      <c r="E16" s="19" t="n"/>
      <c r="F16" s="19" t="n"/>
      <c r="G16" s="19" t="n"/>
      <c r="H16" s="19" t="n"/>
      <c r="I16" s="19" t="n"/>
      <c r="J16" s="19" t="n"/>
      <c r="K16" s="19" t="n"/>
      <c r="L16" s="19" t="n"/>
      <c r="M16" s="130">
        <f>IF($A16="","",AND('Task Finder'!$C$7&lt;&gt;"",OR(ISNUMBER(SEARCH('Task Finder'!$C$7,$A16)),ISNUMBER(SEARCH('Task Finder'!$C$7,$B16)),ISNUMBER(SEARCH('Task Finder'!$C$7,$C16)),ISNUMBER(SEARCH('Task Finder'!$C$7,$D16)),ISNUMBER(SEARCH('Task Finder'!$C$7,$K16)))))</f>
        <v/>
      </c>
    </row>
    <row r="17">
      <c r="A17" s="19" t="n"/>
      <c r="B17" s="19" t="n"/>
      <c r="C17" s="19" t="n"/>
      <c r="D17" s="19" t="n"/>
      <c r="E17" s="19" t="n"/>
      <c r="F17" s="19" t="n"/>
      <c r="G17" s="19" t="n"/>
      <c r="H17" s="19" t="n"/>
      <c r="I17" s="19" t="n"/>
      <c r="J17" s="19" t="n"/>
      <c r="K17" s="19" t="n"/>
      <c r="L17" s="19" t="n"/>
      <c r="M17" s="130">
        <f>IF($A17="","",AND('Task Finder'!$C$7&lt;&gt;"",OR(ISNUMBER(SEARCH('Task Finder'!$C$7,$A17)),ISNUMBER(SEARCH('Task Finder'!$C$7,$B17)),ISNUMBER(SEARCH('Task Finder'!$C$7,$C17)),ISNUMBER(SEARCH('Task Finder'!$C$7,$D17)),ISNUMBER(SEARCH('Task Finder'!$C$7,$K17)))))</f>
        <v/>
      </c>
    </row>
    <row r="18">
      <c r="A18" s="19" t="n"/>
      <c r="B18" s="19" t="n"/>
      <c r="C18" s="19" t="n"/>
      <c r="D18" s="19" t="n"/>
      <c r="E18" s="19" t="n"/>
      <c r="F18" s="19" t="n"/>
      <c r="G18" s="19" t="n"/>
      <c r="H18" s="19" t="n"/>
      <c r="I18" s="19" t="n"/>
      <c r="J18" s="19" t="n"/>
      <c r="K18" s="19" t="n"/>
      <c r="L18" s="19" t="n"/>
      <c r="M18" s="130">
        <f>IF($A18="","",AND('Task Finder'!$C$7&lt;&gt;"",OR(ISNUMBER(SEARCH('Task Finder'!$C$7,$A18)),ISNUMBER(SEARCH('Task Finder'!$C$7,$B18)),ISNUMBER(SEARCH('Task Finder'!$C$7,$C18)),ISNUMBER(SEARCH('Task Finder'!$C$7,$D18)),ISNUMBER(SEARCH('Task Finder'!$C$7,$K18)))))</f>
        <v/>
      </c>
    </row>
    <row r="19">
      <c r="A19" s="19" t="n"/>
      <c r="B19" s="19" t="n"/>
      <c r="C19" s="19" t="n"/>
      <c r="D19" s="19" t="n"/>
      <c r="E19" s="19" t="n"/>
      <c r="F19" s="19" t="n"/>
      <c r="G19" s="19" t="n"/>
      <c r="H19" s="19" t="n"/>
      <c r="I19" s="19" t="n"/>
      <c r="J19" s="19" t="n"/>
      <c r="K19" s="19" t="n"/>
      <c r="L19" s="19" t="n"/>
      <c r="M19" s="130">
        <f>IF($A19="","",AND('Task Finder'!$C$7&lt;&gt;"",OR(ISNUMBER(SEARCH('Task Finder'!$C$7,$A19)),ISNUMBER(SEARCH('Task Finder'!$C$7,$B19)),ISNUMBER(SEARCH('Task Finder'!$C$7,$C19)),ISNUMBER(SEARCH('Task Finder'!$C$7,$D19)),ISNUMBER(SEARCH('Task Finder'!$C$7,$K19)))))</f>
        <v/>
      </c>
    </row>
    <row r="20">
      <c r="A20" s="19" t="n"/>
      <c r="B20" s="19" t="n"/>
      <c r="C20" s="19" t="n"/>
      <c r="D20" s="19" t="n"/>
      <c r="E20" s="19" t="n"/>
      <c r="F20" s="19" t="n"/>
      <c r="G20" s="19" t="n"/>
      <c r="H20" s="19" t="n"/>
      <c r="I20" s="19" t="n"/>
      <c r="J20" s="19" t="n"/>
      <c r="K20" s="19" t="n"/>
      <c r="L20" s="19" t="n"/>
      <c r="M20" s="130">
        <f>IF($A20="","",AND('Task Finder'!$C$7&lt;&gt;"",OR(ISNUMBER(SEARCH('Task Finder'!$C$7,$A20)),ISNUMBER(SEARCH('Task Finder'!$C$7,$B20)),ISNUMBER(SEARCH('Task Finder'!$C$7,$C20)),ISNUMBER(SEARCH('Task Finder'!$C$7,$D20)),ISNUMBER(SEARCH('Task Finder'!$C$7,$K20)))))</f>
        <v/>
      </c>
    </row>
    <row r="21">
      <c r="A21" s="19" t="n"/>
      <c r="B21" s="19" t="n"/>
      <c r="C21" s="19" t="n"/>
      <c r="D21" s="19" t="n"/>
      <c r="E21" s="19" t="n"/>
      <c r="F21" s="19" t="n"/>
      <c r="G21" s="19" t="n"/>
      <c r="H21" s="19" t="n"/>
      <c r="I21" s="19" t="n"/>
      <c r="J21" s="19" t="n"/>
      <c r="K21" s="19" t="n"/>
      <c r="L21" s="19" t="n"/>
      <c r="M21" s="130">
        <f>IF($A21="","",AND('Task Finder'!$C$7&lt;&gt;"",OR(ISNUMBER(SEARCH('Task Finder'!$C$7,$A21)),ISNUMBER(SEARCH('Task Finder'!$C$7,$B21)),ISNUMBER(SEARCH('Task Finder'!$C$7,$C21)),ISNUMBER(SEARCH('Task Finder'!$C$7,$D21)),ISNUMBER(SEARCH('Task Finder'!$C$7,$K21)))))</f>
        <v/>
      </c>
    </row>
    <row r="22">
      <c r="A22" s="19" t="n"/>
      <c r="B22" s="19" t="n"/>
      <c r="C22" s="19" t="n"/>
      <c r="D22" s="19" t="n"/>
      <c r="E22" s="19" t="n"/>
      <c r="F22" s="19" t="n"/>
      <c r="G22" s="19" t="n"/>
      <c r="H22" s="19" t="n"/>
      <c r="I22" s="19" t="n"/>
      <c r="J22" s="19" t="n"/>
      <c r="K22" s="19" t="n"/>
      <c r="L22" s="19" t="n"/>
      <c r="M22" s="130">
        <f>IF($A22="","",AND('Task Finder'!$C$7&lt;&gt;"",OR(ISNUMBER(SEARCH('Task Finder'!$C$7,$A22)),ISNUMBER(SEARCH('Task Finder'!$C$7,$B22)),ISNUMBER(SEARCH('Task Finder'!$C$7,$C22)),ISNUMBER(SEARCH('Task Finder'!$C$7,$D22)),ISNUMBER(SEARCH('Task Finder'!$C$7,$K22)))))</f>
        <v/>
      </c>
    </row>
    <row r="23">
      <c r="A23" s="19" t="n"/>
      <c r="B23" s="19" t="n"/>
      <c r="C23" s="19" t="n"/>
      <c r="D23" s="19" t="n"/>
      <c r="E23" s="19" t="n"/>
      <c r="F23" s="19" t="n"/>
      <c r="G23" s="19" t="n"/>
      <c r="H23" s="19" t="n"/>
      <c r="I23" s="19" t="n"/>
      <c r="J23" s="19" t="n"/>
      <c r="K23" s="19" t="n"/>
      <c r="L23" s="19" t="n"/>
      <c r="M23" s="130">
        <f>IF($A23="","",AND('Task Finder'!$C$7&lt;&gt;"",OR(ISNUMBER(SEARCH('Task Finder'!$C$7,$A23)),ISNUMBER(SEARCH('Task Finder'!$C$7,$B23)),ISNUMBER(SEARCH('Task Finder'!$C$7,$C23)),ISNUMBER(SEARCH('Task Finder'!$C$7,$D23)),ISNUMBER(SEARCH('Task Finder'!$C$7,$K23)))))</f>
        <v/>
      </c>
    </row>
    <row r="24">
      <c r="A24" s="19" t="n"/>
      <c r="B24" s="19" t="n"/>
      <c r="C24" s="19" t="n"/>
      <c r="D24" s="19" t="n"/>
      <c r="E24" s="19" t="n"/>
      <c r="F24" s="19" t="n"/>
      <c r="G24" s="19" t="n"/>
      <c r="H24" s="19" t="n"/>
      <c r="I24" s="19" t="n"/>
      <c r="J24" s="19" t="n"/>
      <c r="K24" s="19" t="n"/>
      <c r="L24" s="19" t="n"/>
      <c r="M24" s="130">
        <f>IF($A24="","",AND('Task Finder'!$C$7&lt;&gt;"",OR(ISNUMBER(SEARCH('Task Finder'!$C$7,$A24)),ISNUMBER(SEARCH('Task Finder'!$C$7,$B24)),ISNUMBER(SEARCH('Task Finder'!$C$7,$C24)),ISNUMBER(SEARCH('Task Finder'!$C$7,$D24)),ISNUMBER(SEARCH('Task Finder'!$C$7,$K24)))))</f>
        <v/>
      </c>
    </row>
    <row r="25">
      <c r="A25" s="19" t="n"/>
      <c r="B25" s="19" t="n"/>
      <c r="C25" s="19" t="n"/>
      <c r="D25" s="19" t="n"/>
      <c r="E25" s="19" t="n"/>
      <c r="F25" s="19" t="n"/>
      <c r="G25" s="19" t="n"/>
      <c r="H25" s="19" t="n"/>
      <c r="I25" s="19" t="n"/>
      <c r="J25" s="19" t="n"/>
      <c r="K25" s="19" t="n"/>
      <c r="L25" s="19" t="n"/>
      <c r="M25" s="130">
        <f>IF($A25="","",AND('Task Finder'!$C$7&lt;&gt;"",OR(ISNUMBER(SEARCH('Task Finder'!$C$7,$A25)),ISNUMBER(SEARCH('Task Finder'!$C$7,$B25)),ISNUMBER(SEARCH('Task Finder'!$C$7,$C25)),ISNUMBER(SEARCH('Task Finder'!$C$7,$D25)),ISNUMBER(SEARCH('Task Finder'!$C$7,$K25)))))</f>
        <v/>
      </c>
    </row>
    <row r="26">
      <c r="A26" s="19" t="n"/>
      <c r="B26" s="19" t="n"/>
      <c r="C26" s="19" t="n"/>
      <c r="D26" s="19" t="n"/>
      <c r="E26" s="19" t="n"/>
      <c r="F26" s="19" t="n"/>
      <c r="G26" s="19" t="n"/>
      <c r="H26" s="19" t="n"/>
      <c r="I26" s="19" t="n"/>
      <c r="J26" s="19" t="n"/>
      <c r="K26" s="19" t="n"/>
      <c r="L26" s="19" t="n"/>
      <c r="M26" s="130">
        <f>IF($A26="","",AND('Task Finder'!$C$7&lt;&gt;"",OR(ISNUMBER(SEARCH('Task Finder'!$C$7,$A26)),ISNUMBER(SEARCH('Task Finder'!$C$7,$B26)),ISNUMBER(SEARCH('Task Finder'!$C$7,$C26)),ISNUMBER(SEARCH('Task Finder'!$C$7,$D26)),ISNUMBER(SEARCH('Task Finder'!$C$7,$K26)))))</f>
        <v/>
      </c>
    </row>
    <row r="27">
      <c r="A27" s="19" t="n"/>
      <c r="B27" s="19" t="n"/>
      <c r="C27" s="19" t="n"/>
      <c r="D27" s="19" t="n"/>
      <c r="E27" s="19" t="n"/>
      <c r="F27" s="19" t="n"/>
      <c r="G27" s="19" t="n"/>
      <c r="H27" s="19" t="n"/>
      <c r="I27" s="19" t="n"/>
      <c r="J27" s="19" t="n"/>
      <c r="K27" s="19" t="n"/>
      <c r="L27" s="19" t="n"/>
      <c r="M27" s="130">
        <f>IF($A27="","",AND('Task Finder'!$C$7&lt;&gt;"",OR(ISNUMBER(SEARCH('Task Finder'!$C$7,$A27)),ISNUMBER(SEARCH('Task Finder'!$C$7,$B27)),ISNUMBER(SEARCH('Task Finder'!$C$7,$C27)),ISNUMBER(SEARCH('Task Finder'!$C$7,$D27)),ISNUMBER(SEARCH('Task Finder'!$C$7,$K27)))))</f>
        <v/>
      </c>
    </row>
    <row r="28">
      <c r="A28" s="19" t="n"/>
      <c r="B28" s="19" t="n"/>
      <c r="C28" s="19" t="n"/>
      <c r="D28" s="19" t="n"/>
      <c r="E28" s="19" t="n"/>
      <c r="F28" s="19" t="n"/>
      <c r="G28" s="19" t="n"/>
      <c r="H28" s="19" t="n"/>
      <c r="I28" s="19" t="n"/>
      <c r="J28" s="19" t="n"/>
      <c r="K28" s="19" t="n"/>
      <c r="L28" s="19" t="n"/>
      <c r="M28" s="130">
        <f>IF($A28="","",AND('Task Finder'!$C$7&lt;&gt;"",OR(ISNUMBER(SEARCH('Task Finder'!$C$7,$A28)),ISNUMBER(SEARCH('Task Finder'!$C$7,$B28)),ISNUMBER(SEARCH('Task Finder'!$C$7,$C28)),ISNUMBER(SEARCH('Task Finder'!$C$7,$D28)),ISNUMBER(SEARCH('Task Finder'!$C$7,$K28)))))</f>
        <v/>
      </c>
    </row>
    <row r="29">
      <c r="A29" s="19" t="n"/>
      <c r="B29" s="19" t="n"/>
      <c r="C29" s="19" t="n"/>
      <c r="D29" s="19" t="n"/>
      <c r="E29" s="19" t="n"/>
      <c r="F29" s="19" t="n"/>
      <c r="G29" s="19" t="n"/>
      <c r="H29" s="19" t="n"/>
      <c r="I29" s="19" t="n"/>
      <c r="J29" s="19" t="n"/>
      <c r="K29" s="19" t="n"/>
      <c r="L29" s="19" t="n"/>
      <c r="M29" s="130">
        <f>IF($A29="","",AND('Task Finder'!$C$7&lt;&gt;"",OR(ISNUMBER(SEARCH('Task Finder'!$C$7,$A29)),ISNUMBER(SEARCH('Task Finder'!$C$7,$B29)),ISNUMBER(SEARCH('Task Finder'!$C$7,$C29)),ISNUMBER(SEARCH('Task Finder'!$C$7,$D29)),ISNUMBER(SEARCH('Task Finder'!$C$7,$K29)))))</f>
        <v/>
      </c>
    </row>
    <row r="30">
      <c r="A30" s="19" t="n"/>
      <c r="B30" s="19" t="n"/>
      <c r="C30" s="19" t="n"/>
      <c r="D30" s="19" t="n"/>
      <c r="E30" s="19" t="n"/>
      <c r="F30" s="19" t="n"/>
      <c r="G30" s="19" t="n"/>
      <c r="H30" s="19" t="n"/>
      <c r="I30" s="19" t="n"/>
      <c r="J30" s="19" t="n"/>
      <c r="K30" s="19" t="n"/>
      <c r="L30" s="19" t="n"/>
      <c r="M30" s="130">
        <f>IF($A30="","",AND('Task Finder'!$C$7&lt;&gt;"",OR(ISNUMBER(SEARCH('Task Finder'!$C$7,$A30)),ISNUMBER(SEARCH('Task Finder'!$C$7,$B30)),ISNUMBER(SEARCH('Task Finder'!$C$7,$C30)),ISNUMBER(SEARCH('Task Finder'!$C$7,$D30)),ISNUMBER(SEARCH('Task Finder'!$C$7,$K30)))))</f>
        <v/>
      </c>
    </row>
    <row r="31">
      <c r="A31" s="19" t="n"/>
      <c r="B31" s="19" t="n"/>
      <c r="C31" s="19" t="n"/>
      <c r="D31" s="19" t="n"/>
      <c r="E31" s="19" t="n"/>
      <c r="F31" s="19" t="n"/>
      <c r="G31" s="19" t="n"/>
      <c r="H31" s="19" t="n"/>
      <c r="I31" s="19" t="n"/>
      <c r="J31" s="19" t="n"/>
      <c r="K31" s="19" t="n"/>
      <c r="L31" s="19" t="n"/>
      <c r="M31" s="130">
        <f>IF($A31="","",AND('Task Finder'!$C$7&lt;&gt;"",OR(ISNUMBER(SEARCH('Task Finder'!$C$7,$A31)),ISNUMBER(SEARCH('Task Finder'!$C$7,$B31)),ISNUMBER(SEARCH('Task Finder'!$C$7,$C31)),ISNUMBER(SEARCH('Task Finder'!$C$7,$D31)),ISNUMBER(SEARCH('Task Finder'!$C$7,$K31)))))</f>
        <v/>
      </c>
    </row>
    <row r="32">
      <c r="A32" s="19" t="n"/>
      <c r="B32" s="19" t="n"/>
      <c r="C32" s="19" t="n"/>
      <c r="D32" s="19" t="n"/>
      <c r="E32" s="19" t="n"/>
      <c r="F32" s="19" t="n"/>
      <c r="G32" s="19" t="n"/>
      <c r="H32" s="19" t="n"/>
      <c r="I32" s="19" t="n"/>
      <c r="J32" s="19" t="n"/>
      <c r="K32" s="19" t="n"/>
      <c r="L32" s="19" t="n"/>
      <c r="M32" s="130">
        <f>IF($A32="","",AND('Task Finder'!$C$7&lt;&gt;"",OR(ISNUMBER(SEARCH('Task Finder'!$C$7,$A32)),ISNUMBER(SEARCH('Task Finder'!$C$7,$B32)),ISNUMBER(SEARCH('Task Finder'!$C$7,$C32)),ISNUMBER(SEARCH('Task Finder'!$C$7,$D32)),ISNUMBER(SEARCH('Task Finder'!$C$7,$K32)))))</f>
        <v/>
      </c>
    </row>
    <row r="33">
      <c r="A33" s="19" t="n"/>
      <c r="B33" s="19" t="n"/>
      <c r="C33" s="19" t="n"/>
      <c r="D33" s="19" t="n"/>
      <c r="E33" s="19" t="n"/>
      <c r="F33" s="19" t="n"/>
      <c r="G33" s="19" t="n"/>
      <c r="H33" s="19" t="n"/>
      <c r="I33" s="19" t="n"/>
      <c r="J33" s="19" t="n"/>
      <c r="K33" s="19" t="n"/>
      <c r="L33" s="19" t="n"/>
      <c r="M33" s="130">
        <f>IF($A33="","",AND('Task Finder'!$C$7&lt;&gt;"",OR(ISNUMBER(SEARCH('Task Finder'!$C$7,$A33)),ISNUMBER(SEARCH('Task Finder'!$C$7,$B33)),ISNUMBER(SEARCH('Task Finder'!$C$7,$C33)),ISNUMBER(SEARCH('Task Finder'!$C$7,$D33)),ISNUMBER(SEARCH('Task Finder'!$C$7,$K33)))))</f>
        <v/>
      </c>
    </row>
    <row r="34">
      <c r="A34" s="19" t="n"/>
      <c r="B34" s="19" t="n"/>
      <c r="C34" s="19" t="n"/>
      <c r="D34" s="19" t="n"/>
      <c r="E34" s="19" t="n"/>
      <c r="F34" s="19" t="n"/>
      <c r="G34" s="19" t="n"/>
      <c r="H34" s="19" t="n"/>
      <c r="I34" s="19" t="n"/>
      <c r="J34" s="19" t="n"/>
      <c r="K34" s="19" t="n"/>
      <c r="L34" s="19" t="n"/>
      <c r="M34" s="130">
        <f>IF($A34="","",AND('Task Finder'!$C$7&lt;&gt;"",OR(ISNUMBER(SEARCH('Task Finder'!$C$7,$A34)),ISNUMBER(SEARCH('Task Finder'!$C$7,$B34)),ISNUMBER(SEARCH('Task Finder'!$C$7,$C34)),ISNUMBER(SEARCH('Task Finder'!$C$7,$D34)),ISNUMBER(SEARCH('Task Finder'!$C$7,$K34)))))</f>
        <v/>
      </c>
    </row>
    <row r="35">
      <c r="A35" s="19" t="n"/>
      <c r="B35" s="19" t="n"/>
      <c r="C35" s="19" t="n"/>
      <c r="D35" s="19" t="n"/>
      <c r="E35" s="19" t="n"/>
      <c r="F35" s="19" t="n"/>
      <c r="G35" s="19" t="n"/>
      <c r="H35" s="19" t="n"/>
      <c r="I35" s="19" t="n"/>
      <c r="J35" s="19" t="n"/>
      <c r="K35" s="19" t="n"/>
      <c r="L35" s="19" t="n"/>
      <c r="M35" s="130">
        <f>IF($A35="","",AND('Task Finder'!$C$7&lt;&gt;"",OR(ISNUMBER(SEARCH('Task Finder'!$C$7,$A35)),ISNUMBER(SEARCH('Task Finder'!$C$7,$B35)),ISNUMBER(SEARCH('Task Finder'!$C$7,$C35)),ISNUMBER(SEARCH('Task Finder'!$C$7,$D35)),ISNUMBER(SEARCH('Task Finder'!$C$7,$K35)))))</f>
        <v/>
      </c>
    </row>
    <row r="36">
      <c r="A36" s="19" t="n"/>
      <c r="B36" s="19" t="n"/>
      <c r="C36" s="19" t="n"/>
      <c r="D36" s="19" t="n"/>
      <c r="E36" s="19" t="n"/>
      <c r="F36" s="19" t="n"/>
      <c r="G36" s="19" t="n"/>
      <c r="H36" s="19" t="n"/>
      <c r="I36" s="19" t="n"/>
      <c r="J36" s="19" t="n"/>
      <c r="K36" s="19" t="n"/>
      <c r="L36" s="19" t="n"/>
      <c r="M36" s="130">
        <f>IF($A36="","",AND('Task Finder'!$C$7&lt;&gt;"",OR(ISNUMBER(SEARCH('Task Finder'!$C$7,$A36)),ISNUMBER(SEARCH('Task Finder'!$C$7,$B36)),ISNUMBER(SEARCH('Task Finder'!$C$7,$C36)),ISNUMBER(SEARCH('Task Finder'!$C$7,$D36)),ISNUMBER(SEARCH('Task Finder'!$C$7,$K36)))))</f>
        <v/>
      </c>
    </row>
    <row r="37">
      <c r="A37" s="19" t="n"/>
      <c r="B37" s="19" t="n"/>
      <c r="C37" s="19" t="n"/>
      <c r="D37" s="19" t="n"/>
      <c r="E37" s="19" t="n"/>
      <c r="F37" s="19" t="n"/>
      <c r="G37" s="19" t="n"/>
      <c r="H37" s="19" t="n"/>
      <c r="I37" s="19" t="n"/>
      <c r="J37" s="19" t="n"/>
      <c r="K37" s="19" t="n"/>
      <c r="L37" s="19" t="n"/>
      <c r="M37" s="130">
        <f>IF($A37="","",AND('Task Finder'!$C$7&lt;&gt;"",OR(ISNUMBER(SEARCH('Task Finder'!$C$7,$A37)),ISNUMBER(SEARCH('Task Finder'!$C$7,$B37)),ISNUMBER(SEARCH('Task Finder'!$C$7,$C37)),ISNUMBER(SEARCH('Task Finder'!$C$7,$D37)),ISNUMBER(SEARCH('Task Finder'!$C$7,$K37)))))</f>
        <v/>
      </c>
    </row>
    <row r="38">
      <c r="A38" s="19" t="n"/>
      <c r="B38" s="19" t="n"/>
      <c r="C38" s="19" t="n"/>
      <c r="D38" s="19" t="n"/>
      <c r="E38" s="19" t="n"/>
      <c r="F38" s="19" t="n"/>
      <c r="G38" s="19" t="n"/>
      <c r="H38" s="19" t="n"/>
      <c r="I38" s="19" t="n"/>
      <c r="J38" s="19" t="n"/>
      <c r="K38" s="19" t="n"/>
      <c r="L38" s="19" t="n"/>
      <c r="M38" s="130">
        <f>IF($A38="","",AND('Task Finder'!$C$7&lt;&gt;"",OR(ISNUMBER(SEARCH('Task Finder'!$C$7,$A38)),ISNUMBER(SEARCH('Task Finder'!$C$7,$B38)),ISNUMBER(SEARCH('Task Finder'!$C$7,$C38)),ISNUMBER(SEARCH('Task Finder'!$C$7,$D38)),ISNUMBER(SEARCH('Task Finder'!$C$7,$K38)))))</f>
        <v/>
      </c>
    </row>
    <row r="39">
      <c r="A39" s="19" t="n"/>
      <c r="B39" s="19" t="n"/>
      <c r="C39" s="19" t="n"/>
      <c r="D39" s="19" t="n"/>
      <c r="E39" s="19" t="n"/>
      <c r="F39" s="19" t="n"/>
      <c r="G39" s="19" t="n"/>
      <c r="H39" s="19" t="n"/>
      <c r="I39" s="19" t="n"/>
      <c r="J39" s="19" t="n"/>
      <c r="K39" s="19" t="n"/>
      <c r="L39" s="19" t="n"/>
      <c r="M39" s="130">
        <f>IF($A39="","",AND('Task Finder'!$C$7&lt;&gt;"",OR(ISNUMBER(SEARCH('Task Finder'!$C$7,$A39)),ISNUMBER(SEARCH('Task Finder'!$C$7,$B39)),ISNUMBER(SEARCH('Task Finder'!$C$7,$C39)),ISNUMBER(SEARCH('Task Finder'!$C$7,$D39)),ISNUMBER(SEARCH('Task Finder'!$C$7,$K39)))))</f>
        <v/>
      </c>
    </row>
    <row r="40">
      <c r="A40" s="19" t="n"/>
      <c r="B40" s="19" t="n"/>
      <c r="C40" s="19" t="n"/>
      <c r="D40" s="19" t="n"/>
      <c r="E40" s="19" t="n"/>
      <c r="F40" s="19" t="n"/>
      <c r="G40" s="19" t="n"/>
      <c r="H40" s="19" t="n"/>
      <c r="I40" s="19" t="n"/>
      <c r="J40" s="19" t="n"/>
      <c r="K40" s="19" t="n"/>
      <c r="L40" s="19" t="n"/>
      <c r="M40" s="130">
        <f>IF($A40="","",AND('Task Finder'!$C$7&lt;&gt;"",OR(ISNUMBER(SEARCH('Task Finder'!$C$7,$A40)),ISNUMBER(SEARCH('Task Finder'!$C$7,$B40)),ISNUMBER(SEARCH('Task Finder'!$C$7,$C40)),ISNUMBER(SEARCH('Task Finder'!$C$7,$D40)),ISNUMBER(SEARCH('Task Finder'!$C$7,$K40)))))</f>
        <v/>
      </c>
    </row>
    <row r="41">
      <c r="A41" s="19" t="n"/>
      <c r="B41" s="19" t="n"/>
      <c r="C41" s="19" t="n"/>
      <c r="D41" s="19" t="n"/>
      <c r="E41" s="19" t="n"/>
      <c r="F41" s="19" t="n"/>
      <c r="G41" s="19" t="n"/>
      <c r="H41" s="19" t="n"/>
      <c r="I41" s="19" t="n"/>
      <c r="J41" s="19" t="n"/>
      <c r="K41" s="19" t="n"/>
      <c r="L41" s="19" t="n"/>
      <c r="M41" s="130">
        <f>IF($A41="","",AND('Task Finder'!$C$7&lt;&gt;"",OR(ISNUMBER(SEARCH('Task Finder'!$C$7,$A41)),ISNUMBER(SEARCH('Task Finder'!$C$7,$B41)),ISNUMBER(SEARCH('Task Finder'!$C$7,$C41)),ISNUMBER(SEARCH('Task Finder'!$C$7,$D41)),ISNUMBER(SEARCH('Task Finder'!$C$7,$K41)))))</f>
        <v/>
      </c>
    </row>
    <row r="42">
      <c r="A42" s="19" t="n"/>
      <c r="B42" s="19" t="n"/>
      <c r="C42" s="19" t="n"/>
      <c r="D42" s="19" t="n"/>
      <c r="E42" s="19" t="n"/>
      <c r="F42" s="19" t="n"/>
      <c r="G42" s="19" t="n"/>
      <c r="H42" s="19" t="n"/>
      <c r="I42" s="19" t="n"/>
      <c r="J42" s="19" t="n"/>
      <c r="K42" s="19" t="n"/>
      <c r="L42" s="19" t="n"/>
      <c r="M42" s="130">
        <f>IF($A42="","",AND('Task Finder'!$C$7&lt;&gt;"",OR(ISNUMBER(SEARCH('Task Finder'!$C$7,$A42)),ISNUMBER(SEARCH('Task Finder'!$C$7,$B42)),ISNUMBER(SEARCH('Task Finder'!$C$7,$C42)),ISNUMBER(SEARCH('Task Finder'!$C$7,$D42)),ISNUMBER(SEARCH('Task Finder'!$C$7,$K42)))))</f>
        <v/>
      </c>
    </row>
    <row r="43">
      <c r="A43" s="19" t="n"/>
      <c r="B43" s="19" t="n"/>
      <c r="C43" s="19" t="n"/>
      <c r="D43" s="19" t="n"/>
      <c r="E43" s="19" t="n"/>
      <c r="F43" s="19" t="n"/>
      <c r="G43" s="19" t="n"/>
      <c r="H43" s="19" t="n"/>
      <c r="I43" s="19" t="n"/>
      <c r="J43" s="19" t="n"/>
      <c r="K43" s="19" t="n"/>
      <c r="L43" s="19" t="n"/>
      <c r="M43" s="130">
        <f>IF($A43="","",AND('Task Finder'!$C$7&lt;&gt;"",OR(ISNUMBER(SEARCH('Task Finder'!$C$7,$A43)),ISNUMBER(SEARCH('Task Finder'!$C$7,$B43)),ISNUMBER(SEARCH('Task Finder'!$C$7,$C43)),ISNUMBER(SEARCH('Task Finder'!$C$7,$D43)),ISNUMBER(SEARCH('Task Finder'!$C$7,$K43)))))</f>
        <v/>
      </c>
    </row>
    <row r="44">
      <c r="A44" s="19" t="n"/>
      <c r="B44" s="19" t="n"/>
      <c r="C44" s="19" t="n"/>
      <c r="D44" s="19" t="n"/>
      <c r="E44" s="19" t="n"/>
      <c r="F44" s="19" t="n"/>
      <c r="G44" s="19" t="n"/>
      <c r="H44" s="19" t="n"/>
      <c r="I44" s="19" t="n"/>
      <c r="J44" s="19" t="n"/>
      <c r="K44" s="19" t="n"/>
      <c r="L44" s="19" t="n"/>
      <c r="M44" s="130">
        <f>IF($A44="","",AND('Task Finder'!$C$7&lt;&gt;"",OR(ISNUMBER(SEARCH('Task Finder'!$C$7,$A44)),ISNUMBER(SEARCH('Task Finder'!$C$7,$B44)),ISNUMBER(SEARCH('Task Finder'!$C$7,$C44)),ISNUMBER(SEARCH('Task Finder'!$C$7,$D44)),ISNUMBER(SEARCH('Task Finder'!$C$7,$K44)))))</f>
        <v/>
      </c>
    </row>
    <row r="45">
      <c r="A45" s="19" t="n"/>
      <c r="B45" s="19" t="n"/>
      <c r="C45" s="19" t="n"/>
      <c r="D45" s="19" t="n"/>
      <c r="E45" s="19" t="n"/>
      <c r="F45" s="19" t="n"/>
      <c r="G45" s="19" t="n"/>
      <c r="H45" s="19" t="n"/>
      <c r="I45" s="19" t="n"/>
      <c r="J45" s="19" t="n"/>
      <c r="K45" s="19" t="n"/>
      <c r="L45" s="19" t="n"/>
      <c r="M45" s="130">
        <f>IF($A45="","",AND('Task Finder'!$C$7&lt;&gt;"",OR(ISNUMBER(SEARCH('Task Finder'!$C$7,$A45)),ISNUMBER(SEARCH('Task Finder'!$C$7,$B45)),ISNUMBER(SEARCH('Task Finder'!$C$7,$C45)),ISNUMBER(SEARCH('Task Finder'!$C$7,$D45)),ISNUMBER(SEARCH('Task Finder'!$C$7,$K45)))))</f>
        <v/>
      </c>
    </row>
    <row r="46">
      <c r="A46" s="19" t="n"/>
      <c r="B46" s="19" t="n"/>
      <c r="C46" s="19" t="n"/>
      <c r="D46" s="19" t="n"/>
      <c r="E46" s="19" t="n"/>
      <c r="F46" s="19" t="n"/>
      <c r="G46" s="19" t="n"/>
      <c r="H46" s="19" t="n"/>
      <c r="I46" s="19" t="n"/>
      <c r="J46" s="19" t="n"/>
      <c r="K46" s="19" t="n"/>
      <c r="L46" s="19" t="n"/>
      <c r="M46" s="130">
        <f>IF($A46="","",AND('Task Finder'!$C$7&lt;&gt;"",OR(ISNUMBER(SEARCH('Task Finder'!$C$7,$A46)),ISNUMBER(SEARCH('Task Finder'!$C$7,$B46)),ISNUMBER(SEARCH('Task Finder'!$C$7,$C46)),ISNUMBER(SEARCH('Task Finder'!$C$7,$D46)),ISNUMBER(SEARCH('Task Finder'!$C$7,$K46)))))</f>
        <v/>
      </c>
    </row>
    <row r="47">
      <c r="A47" s="19" t="n"/>
      <c r="B47" s="19" t="n"/>
      <c r="C47" s="19" t="n"/>
      <c r="D47" s="19" t="n"/>
      <c r="E47" s="19" t="n"/>
      <c r="F47" s="19" t="n"/>
      <c r="G47" s="19" t="n"/>
      <c r="H47" s="19" t="n"/>
      <c r="I47" s="19" t="n"/>
      <c r="J47" s="19" t="n"/>
      <c r="K47" s="19" t="n"/>
      <c r="L47" s="19" t="n"/>
      <c r="M47" s="130">
        <f>IF($A47="","",AND('Task Finder'!$C$7&lt;&gt;"",OR(ISNUMBER(SEARCH('Task Finder'!$C$7,$A47)),ISNUMBER(SEARCH('Task Finder'!$C$7,$B47)),ISNUMBER(SEARCH('Task Finder'!$C$7,$C47)),ISNUMBER(SEARCH('Task Finder'!$C$7,$D47)),ISNUMBER(SEARCH('Task Finder'!$C$7,$K47)))))</f>
        <v/>
      </c>
    </row>
    <row r="48">
      <c r="A48" s="19" t="n"/>
      <c r="B48" s="19" t="n"/>
      <c r="C48" s="19" t="n"/>
      <c r="D48" s="19" t="n"/>
      <c r="E48" s="19" t="n"/>
      <c r="F48" s="19" t="n"/>
      <c r="G48" s="19" t="n"/>
      <c r="H48" s="19" t="n"/>
      <c r="I48" s="19" t="n"/>
      <c r="J48" s="19" t="n"/>
      <c r="K48" s="19" t="n"/>
      <c r="L48" s="19" t="n"/>
      <c r="M48" s="130">
        <f>IF($A48="","",AND('Task Finder'!$C$7&lt;&gt;"",OR(ISNUMBER(SEARCH('Task Finder'!$C$7,$A48)),ISNUMBER(SEARCH('Task Finder'!$C$7,$B48)),ISNUMBER(SEARCH('Task Finder'!$C$7,$C48)),ISNUMBER(SEARCH('Task Finder'!$C$7,$D48)),ISNUMBER(SEARCH('Task Finder'!$C$7,$K48)))))</f>
        <v/>
      </c>
    </row>
    <row r="49">
      <c r="A49" s="19" t="n"/>
      <c r="B49" s="19" t="n"/>
      <c r="C49" s="19" t="n"/>
      <c r="D49" s="19" t="n"/>
      <c r="E49" s="19" t="n"/>
      <c r="F49" s="19" t="n"/>
      <c r="G49" s="19" t="n"/>
      <c r="H49" s="19" t="n"/>
      <c r="I49" s="19" t="n"/>
      <c r="J49" s="19" t="n"/>
      <c r="K49" s="19" t="n"/>
      <c r="L49" s="19" t="n"/>
      <c r="M49" s="130">
        <f>IF($A49="","",AND('Task Finder'!$C$7&lt;&gt;"",OR(ISNUMBER(SEARCH('Task Finder'!$C$7,$A49)),ISNUMBER(SEARCH('Task Finder'!$C$7,$B49)),ISNUMBER(SEARCH('Task Finder'!$C$7,$C49)),ISNUMBER(SEARCH('Task Finder'!$C$7,$D49)),ISNUMBER(SEARCH('Task Finder'!$C$7,$K49)))))</f>
        <v/>
      </c>
    </row>
    <row r="50">
      <c r="A50" s="19" t="n"/>
      <c r="B50" s="19" t="n"/>
      <c r="C50" s="19" t="n"/>
      <c r="D50" s="19" t="n"/>
      <c r="E50" s="19" t="n"/>
      <c r="F50" s="19" t="n"/>
      <c r="G50" s="19" t="n"/>
      <c r="H50" s="19" t="n"/>
      <c r="I50" s="19" t="n"/>
      <c r="J50" s="19" t="n"/>
      <c r="K50" s="19" t="n"/>
      <c r="L50" s="19" t="n"/>
      <c r="M50" s="130">
        <f>IF($A50="","",AND('Task Finder'!$C$7&lt;&gt;"",OR(ISNUMBER(SEARCH('Task Finder'!$C$7,$A50)),ISNUMBER(SEARCH('Task Finder'!$C$7,$B50)),ISNUMBER(SEARCH('Task Finder'!$C$7,$C50)),ISNUMBER(SEARCH('Task Finder'!$C$7,$D50)),ISNUMBER(SEARCH('Task Finder'!$C$7,$K50)))))</f>
        <v/>
      </c>
    </row>
    <row r="51">
      <c r="A51" s="19" t="n"/>
      <c r="B51" s="19" t="n"/>
      <c r="C51" s="19" t="n"/>
      <c r="D51" s="19" t="n"/>
      <c r="E51" s="19" t="n"/>
      <c r="F51" s="19" t="n"/>
      <c r="G51" s="19" t="n"/>
      <c r="H51" s="19" t="n"/>
      <c r="I51" s="19" t="n"/>
      <c r="J51" s="19" t="n"/>
      <c r="K51" s="19" t="n"/>
      <c r="L51" s="19" t="n"/>
      <c r="M51" s="130">
        <f>IF($A51="","",AND('Task Finder'!$C$7&lt;&gt;"",OR(ISNUMBER(SEARCH('Task Finder'!$C$7,$A51)),ISNUMBER(SEARCH('Task Finder'!$C$7,$B51)),ISNUMBER(SEARCH('Task Finder'!$C$7,$C51)),ISNUMBER(SEARCH('Task Finder'!$C$7,$D51)),ISNUMBER(SEARCH('Task Finder'!$C$7,$K51)))))</f>
        <v/>
      </c>
    </row>
    <row r="52">
      <c r="A52" s="19" t="n"/>
      <c r="B52" s="19" t="n"/>
      <c r="C52" s="19" t="n"/>
      <c r="D52" s="19" t="n"/>
      <c r="E52" s="19" t="n"/>
      <c r="F52" s="19" t="n"/>
      <c r="G52" s="19" t="n"/>
      <c r="H52" s="19" t="n"/>
      <c r="I52" s="19" t="n"/>
      <c r="J52" s="19" t="n"/>
      <c r="K52" s="19" t="n"/>
      <c r="L52" s="19" t="n"/>
      <c r="M52" s="130">
        <f>IF($A52="","",AND('Task Finder'!$C$7&lt;&gt;"",OR(ISNUMBER(SEARCH('Task Finder'!$C$7,$A52)),ISNUMBER(SEARCH('Task Finder'!$C$7,$B52)),ISNUMBER(SEARCH('Task Finder'!$C$7,$C52)),ISNUMBER(SEARCH('Task Finder'!$C$7,$D52)),ISNUMBER(SEARCH('Task Finder'!$C$7,$K52)))))</f>
        <v/>
      </c>
    </row>
    <row r="53">
      <c r="A53" s="19" t="n"/>
      <c r="B53" s="19" t="n"/>
      <c r="C53" s="19" t="n"/>
      <c r="D53" s="19" t="n"/>
      <c r="E53" s="19" t="n"/>
      <c r="F53" s="19" t="n"/>
      <c r="G53" s="19" t="n"/>
      <c r="H53" s="19" t="n"/>
      <c r="I53" s="19" t="n"/>
      <c r="J53" s="19" t="n"/>
      <c r="K53" s="19" t="n"/>
      <c r="L53" s="19" t="n"/>
      <c r="M53" s="130">
        <f>IF($A53="","",AND('Task Finder'!$C$7&lt;&gt;"",OR(ISNUMBER(SEARCH('Task Finder'!$C$7,$A53)),ISNUMBER(SEARCH('Task Finder'!$C$7,$B53)),ISNUMBER(SEARCH('Task Finder'!$C$7,$C53)),ISNUMBER(SEARCH('Task Finder'!$C$7,$D53)),ISNUMBER(SEARCH('Task Finder'!$C$7,$K53)))))</f>
        <v/>
      </c>
    </row>
    <row r="54">
      <c r="A54" s="19" t="n"/>
      <c r="B54" s="19" t="n"/>
      <c r="C54" s="19" t="n"/>
      <c r="D54" s="19" t="n"/>
      <c r="E54" s="19" t="n"/>
      <c r="F54" s="19" t="n"/>
      <c r="G54" s="19" t="n"/>
      <c r="H54" s="19" t="n"/>
      <c r="I54" s="19" t="n"/>
      <c r="J54" s="19" t="n"/>
      <c r="K54" s="19" t="n"/>
      <c r="L54" s="19" t="n"/>
      <c r="M54" s="130">
        <f>IF($A54="","",AND('Task Finder'!$C$7&lt;&gt;"",OR(ISNUMBER(SEARCH('Task Finder'!$C$7,$A54)),ISNUMBER(SEARCH('Task Finder'!$C$7,$B54)),ISNUMBER(SEARCH('Task Finder'!$C$7,$C54)),ISNUMBER(SEARCH('Task Finder'!$C$7,$D54)),ISNUMBER(SEARCH('Task Finder'!$C$7,$K54)))))</f>
        <v/>
      </c>
    </row>
    <row r="55">
      <c r="A55" s="19" t="n"/>
      <c r="B55" s="19" t="n"/>
      <c r="C55" s="19" t="n"/>
      <c r="D55" s="19" t="n"/>
      <c r="E55" s="19" t="n"/>
      <c r="F55" s="19" t="n"/>
      <c r="G55" s="19" t="n"/>
      <c r="H55" s="19" t="n"/>
      <c r="I55" s="19" t="n"/>
      <c r="J55" s="19" t="n"/>
      <c r="K55" s="19" t="n"/>
      <c r="L55" s="19" t="n"/>
      <c r="M55" s="130">
        <f>IF($A55="","",AND('Task Finder'!$C$7&lt;&gt;"",OR(ISNUMBER(SEARCH('Task Finder'!$C$7,$A55)),ISNUMBER(SEARCH('Task Finder'!$C$7,$B55)),ISNUMBER(SEARCH('Task Finder'!$C$7,$C55)),ISNUMBER(SEARCH('Task Finder'!$C$7,$D55)),ISNUMBER(SEARCH('Task Finder'!$C$7,$K55)))))</f>
        <v/>
      </c>
    </row>
    <row r="56">
      <c r="A56" s="19" t="n"/>
      <c r="B56" s="19" t="n"/>
      <c r="C56" s="19" t="n"/>
      <c r="D56" s="19" t="n"/>
      <c r="E56" s="19" t="n"/>
      <c r="F56" s="19" t="n"/>
      <c r="G56" s="19" t="n"/>
      <c r="H56" s="19" t="n"/>
      <c r="I56" s="19" t="n"/>
      <c r="J56" s="19" t="n"/>
      <c r="K56" s="19" t="n"/>
      <c r="L56" s="19" t="n"/>
      <c r="M56" s="130">
        <f>IF($A56="","",AND('Task Finder'!$C$7&lt;&gt;"",OR(ISNUMBER(SEARCH('Task Finder'!$C$7,$A56)),ISNUMBER(SEARCH('Task Finder'!$C$7,$B56)),ISNUMBER(SEARCH('Task Finder'!$C$7,$C56)),ISNUMBER(SEARCH('Task Finder'!$C$7,$D56)),ISNUMBER(SEARCH('Task Finder'!$C$7,$K56)))))</f>
        <v/>
      </c>
    </row>
    <row r="57">
      <c r="A57" s="19" t="n"/>
      <c r="B57" s="19" t="n"/>
      <c r="C57" s="19" t="n"/>
      <c r="D57" s="19" t="n"/>
      <c r="E57" s="19" t="n"/>
      <c r="F57" s="19" t="n"/>
      <c r="G57" s="19" t="n"/>
      <c r="H57" s="19" t="n"/>
      <c r="I57" s="19" t="n"/>
      <c r="J57" s="19" t="n"/>
      <c r="K57" s="19" t="n"/>
      <c r="L57" s="19" t="n"/>
      <c r="M57" s="130">
        <f>IF($A57="","",AND('Task Finder'!$C$7&lt;&gt;"",OR(ISNUMBER(SEARCH('Task Finder'!$C$7,$A57)),ISNUMBER(SEARCH('Task Finder'!$C$7,$B57)),ISNUMBER(SEARCH('Task Finder'!$C$7,$C57)),ISNUMBER(SEARCH('Task Finder'!$C$7,$D57)),ISNUMBER(SEARCH('Task Finder'!$C$7,$K57)))))</f>
        <v/>
      </c>
    </row>
    <row r="58">
      <c r="A58" s="19" t="n"/>
      <c r="B58" s="19" t="n"/>
      <c r="C58" s="19" t="n"/>
      <c r="D58" s="19" t="n"/>
      <c r="E58" s="19" t="n"/>
      <c r="F58" s="19" t="n"/>
      <c r="G58" s="19" t="n"/>
      <c r="H58" s="19" t="n"/>
      <c r="I58" s="19" t="n"/>
      <c r="J58" s="19" t="n"/>
      <c r="K58" s="19" t="n"/>
      <c r="L58" s="19" t="n"/>
      <c r="M58" s="130">
        <f>IF($A58="","",AND('Task Finder'!$C$7&lt;&gt;"",OR(ISNUMBER(SEARCH('Task Finder'!$C$7,$A58)),ISNUMBER(SEARCH('Task Finder'!$C$7,$B58)),ISNUMBER(SEARCH('Task Finder'!$C$7,$C58)),ISNUMBER(SEARCH('Task Finder'!$C$7,$D58)),ISNUMBER(SEARCH('Task Finder'!$C$7,$K58)))))</f>
        <v/>
      </c>
    </row>
    <row r="59">
      <c r="A59" s="19" t="n"/>
      <c r="B59" s="19" t="n"/>
      <c r="C59" s="19" t="n"/>
      <c r="D59" s="19" t="n"/>
      <c r="E59" s="19" t="n"/>
      <c r="F59" s="19" t="n"/>
      <c r="G59" s="19" t="n"/>
      <c r="H59" s="19" t="n"/>
      <c r="I59" s="19" t="n"/>
      <c r="J59" s="19" t="n"/>
      <c r="K59" s="19" t="n"/>
      <c r="L59" s="19" t="n"/>
      <c r="M59" s="130">
        <f>IF($A59="","",AND('Task Finder'!$C$7&lt;&gt;"",OR(ISNUMBER(SEARCH('Task Finder'!$C$7,$A59)),ISNUMBER(SEARCH('Task Finder'!$C$7,$B59)),ISNUMBER(SEARCH('Task Finder'!$C$7,$C59)),ISNUMBER(SEARCH('Task Finder'!$C$7,$D59)),ISNUMBER(SEARCH('Task Finder'!$C$7,$K59)))))</f>
        <v/>
      </c>
    </row>
    <row r="60">
      <c r="A60" s="19" t="n"/>
      <c r="B60" s="19" t="n"/>
      <c r="C60" s="19" t="n"/>
      <c r="D60" s="19" t="n"/>
      <c r="E60" s="19" t="n"/>
      <c r="F60" s="19" t="n"/>
      <c r="G60" s="19" t="n"/>
      <c r="H60" s="19" t="n"/>
      <c r="I60" s="19" t="n"/>
      <c r="J60" s="19" t="n"/>
      <c r="K60" s="19" t="n"/>
      <c r="L60" s="19" t="n"/>
      <c r="M60" s="130">
        <f>IF($A60="","",AND('Task Finder'!$C$7&lt;&gt;"",OR(ISNUMBER(SEARCH('Task Finder'!$C$7,$A60)),ISNUMBER(SEARCH('Task Finder'!$C$7,$B60)),ISNUMBER(SEARCH('Task Finder'!$C$7,$C60)),ISNUMBER(SEARCH('Task Finder'!$C$7,$D60)),ISNUMBER(SEARCH('Task Finder'!$C$7,$K60)))))</f>
        <v/>
      </c>
    </row>
    <row r="61">
      <c r="A61" s="19" t="n"/>
      <c r="B61" s="19" t="n"/>
      <c r="C61" s="19" t="n"/>
      <c r="D61" s="19" t="n"/>
      <c r="E61" s="19" t="n"/>
      <c r="F61" s="19" t="n"/>
      <c r="G61" s="19" t="n"/>
      <c r="H61" s="19" t="n"/>
      <c r="I61" s="19" t="n"/>
      <c r="J61" s="19" t="n"/>
      <c r="K61" s="19" t="n"/>
      <c r="L61" s="19" t="n"/>
      <c r="M61" s="130">
        <f>IF($A61="","",AND('Task Finder'!$C$7&lt;&gt;"",OR(ISNUMBER(SEARCH('Task Finder'!$C$7,$A61)),ISNUMBER(SEARCH('Task Finder'!$C$7,$B61)),ISNUMBER(SEARCH('Task Finder'!$C$7,$C61)),ISNUMBER(SEARCH('Task Finder'!$C$7,$D61)),ISNUMBER(SEARCH('Task Finder'!$C$7,$K61)))))</f>
        <v/>
      </c>
    </row>
    <row r="62">
      <c r="A62" s="19" t="n"/>
      <c r="B62" s="19" t="n"/>
      <c r="C62" s="19" t="n"/>
      <c r="D62" s="19" t="n"/>
      <c r="E62" s="19" t="n"/>
      <c r="F62" s="19" t="n"/>
      <c r="G62" s="19" t="n"/>
      <c r="H62" s="19" t="n"/>
      <c r="I62" s="19" t="n"/>
      <c r="J62" s="19" t="n"/>
      <c r="K62" s="19" t="n"/>
      <c r="L62" s="19" t="n"/>
      <c r="M62" s="130">
        <f>IF($A62="","",AND('Task Finder'!$C$7&lt;&gt;"",OR(ISNUMBER(SEARCH('Task Finder'!$C$7,$A62)),ISNUMBER(SEARCH('Task Finder'!$C$7,$B62)),ISNUMBER(SEARCH('Task Finder'!$C$7,$C62)),ISNUMBER(SEARCH('Task Finder'!$C$7,$D62)),ISNUMBER(SEARCH('Task Finder'!$C$7,$K62)))))</f>
        <v/>
      </c>
    </row>
    <row r="63">
      <c r="A63" s="19" t="n"/>
      <c r="B63" s="19" t="n"/>
      <c r="C63" s="19" t="n"/>
      <c r="D63" s="19" t="n"/>
      <c r="E63" s="19" t="n"/>
      <c r="F63" s="19" t="n"/>
      <c r="G63" s="19" t="n"/>
      <c r="H63" s="19" t="n"/>
      <c r="I63" s="19" t="n"/>
      <c r="J63" s="19" t="n"/>
      <c r="K63" s="19" t="n"/>
      <c r="L63" s="19" t="n"/>
      <c r="M63" s="130">
        <f>IF($A63="","",AND('Task Finder'!$C$7&lt;&gt;"",OR(ISNUMBER(SEARCH('Task Finder'!$C$7,$A63)),ISNUMBER(SEARCH('Task Finder'!$C$7,$B63)),ISNUMBER(SEARCH('Task Finder'!$C$7,$C63)),ISNUMBER(SEARCH('Task Finder'!$C$7,$D63)),ISNUMBER(SEARCH('Task Finder'!$C$7,$K63)))))</f>
        <v/>
      </c>
    </row>
    <row r="64">
      <c r="A64" s="19" t="n"/>
      <c r="B64" s="19" t="n"/>
      <c r="C64" s="19" t="n"/>
      <c r="D64" s="19" t="n"/>
      <c r="E64" s="19" t="n"/>
      <c r="F64" s="19" t="n"/>
      <c r="G64" s="19" t="n"/>
      <c r="H64" s="19" t="n"/>
      <c r="I64" s="19" t="n"/>
      <c r="J64" s="19" t="n"/>
      <c r="K64" s="19" t="n"/>
      <c r="L64" s="19" t="n"/>
      <c r="M64" s="130">
        <f>IF($A64="","",AND('Task Finder'!$C$7&lt;&gt;"",OR(ISNUMBER(SEARCH('Task Finder'!$C$7,$A64)),ISNUMBER(SEARCH('Task Finder'!$C$7,$B64)),ISNUMBER(SEARCH('Task Finder'!$C$7,$C64)),ISNUMBER(SEARCH('Task Finder'!$C$7,$D64)),ISNUMBER(SEARCH('Task Finder'!$C$7,$K64)))))</f>
        <v/>
      </c>
    </row>
    <row r="65">
      <c r="A65" s="19" t="n"/>
      <c r="B65" s="19" t="n"/>
      <c r="C65" s="19" t="n"/>
      <c r="D65" s="19" t="n"/>
      <c r="E65" s="19" t="n"/>
      <c r="F65" s="19" t="n"/>
      <c r="G65" s="19" t="n"/>
      <c r="H65" s="19" t="n"/>
      <c r="I65" s="19" t="n"/>
      <c r="J65" s="19" t="n"/>
      <c r="K65" s="19" t="n"/>
      <c r="L65" s="19" t="n"/>
      <c r="M65" s="130">
        <f>IF($A65="","",AND('Task Finder'!$C$7&lt;&gt;"",OR(ISNUMBER(SEARCH('Task Finder'!$C$7,$A65)),ISNUMBER(SEARCH('Task Finder'!$C$7,$B65)),ISNUMBER(SEARCH('Task Finder'!$C$7,$C65)),ISNUMBER(SEARCH('Task Finder'!$C$7,$D65)),ISNUMBER(SEARCH('Task Finder'!$C$7,$K65)))))</f>
        <v/>
      </c>
    </row>
    <row r="66">
      <c r="A66" s="19" t="n"/>
      <c r="B66" s="19" t="n"/>
      <c r="C66" s="19" t="n"/>
      <c r="D66" s="19" t="n"/>
      <c r="E66" s="19" t="n"/>
      <c r="F66" s="19" t="n"/>
      <c r="G66" s="19" t="n"/>
      <c r="H66" s="19" t="n"/>
      <c r="I66" s="19" t="n"/>
      <c r="J66" s="19" t="n"/>
      <c r="K66" s="19" t="n"/>
      <c r="L66" s="19" t="n"/>
      <c r="M66" s="130">
        <f>IF($A66="","",AND('Task Finder'!$C$7&lt;&gt;"",OR(ISNUMBER(SEARCH('Task Finder'!$C$7,$A66)),ISNUMBER(SEARCH('Task Finder'!$C$7,$B66)),ISNUMBER(SEARCH('Task Finder'!$C$7,$C66)),ISNUMBER(SEARCH('Task Finder'!$C$7,$D66)),ISNUMBER(SEARCH('Task Finder'!$C$7,$K66)))))</f>
        <v/>
      </c>
    </row>
    <row r="67">
      <c r="A67" s="19" t="n"/>
      <c r="B67" s="19" t="n"/>
      <c r="C67" s="19" t="n"/>
      <c r="D67" s="19" t="n"/>
      <c r="E67" s="19" t="n"/>
      <c r="F67" s="19" t="n"/>
      <c r="G67" s="19" t="n"/>
      <c r="H67" s="19" t="n"/>
      <c r="I67" s="19" t="n"/>
      <c r="J67" s="19" t="n"/>
      <c r="K67" s="19" t="n"/>
      <c r="L67" s="19" t="n"/>
      <c r="M67" s="130">
        <f>IF($A67="","",AND('Task Finder'!$C$7&lt;&gt;"",OR(ISNUMBER(SEARCH('Task Finder'!$C$7,$A67)),ISNUMBER(SEARCH('Task Finder'!$C$7,$B67)),ISNUMBER(SEARCH('Task Finder'!$C$7,$C67)),ISNUMBER(SEARCH('Task Finder'!$C$7,$D67)),ISNUMBER(SEARCH('Task Finder'!$C$7,$K67)))))</f>
        <v/>
      </c>
    </row>
    <row r="68">
      <c r="A68" s="19" t="n"/>
      <c r="B68" s="19" t="n"/>
      <c r="C68" s="19" t="n"/>
      <c r="D68" s="19" t="n"/>
      <c r="E68" s="19" t="n"/>
      <c r="F68" s="19" t="n"/>
      <c r="G68" s="19" t="n"/>
      <c r="H68" s="19" t="n"/>
      <c r="I68" s="19" t="n"/>
      <c r="J68" s="19" t="n"/>
      <c r="K68" s="19" t="n"/>
      <c r="L68" s="19" t="n"/>
      <c r="M68" s="130">
        <f>IF($A68="","",AND('Task Finder'!$C$7&lt;&gt;"",OR(ISNUMBER(SEARCH('Task Finder'!$C$7,$A68)),ISNUMBER(SEARCH('Task Finder'!$C$7,$B68)),ISNUMBER(SEARCH('Task Finder'!$C$7,$C68)),ISNUMBER(SEARCH('Task Finder'!$C$7,$D68)),ISNUMBER(SEARCH('Task Finder'!$C$7,$K68)))))</f>
        <v/>
      </c>
    </row>
    <row r="69">
      <c r="A69" s="19" t="n"/>
      <c r="B69" s="19" t="n"/>
      <c r="C69" s="19" t="n"/>
      <c r="D69" s="19" t="n"/>
      <c r="E69" s="19" t="n"/>
      <c r="F69" s="19" t="n"/>
      <c r="G69" s="19" t="n"/>
      <c r="H69" s="19" t="n"/>
      <c r="I69" s="19" t="n"/>
      <c r="J69" s="19" t="n"/>
      <c r="K69" s="19" t="n"/>
      <c r="L69" s="19" t="n"/>
      <c r="M69" s="130">
        <f>IF($A69="","",AND('Task Finder'!$C$7&lt;&gt;"",OR(ISNUMBER(SEARCH('Task Finder'!$C$7,$A69)),ISNUMBER(SEARCH('Task Finder'!$C$7,$B69)),ISNUMBER(SEARCH('Task Finder'!$C$7,$C69)),ISNUMBER(SEARCH('Task Finder'!$C$7,$D69)),ISNUMBER(SEARCH('Task Finder'!$C$7,$K69)))))</f>
        <v/>
      </c>
    </row>
    <row r="70">
      <c r="A70" s="19" t="n"/>
      <c r="B70" s="19" t="n"/>
      <c r="C70" s="19" t="n"/>
      <c r="D70" s="19" t="n"/>
      <c r="E70" s="19" t="n"/>
      <c r="F70" s="19" t="n"/>
      <c r="G70" s="19" t="n"/>
      <c r="H70" s="19" t="n"/>
      <c r="I70" s="19" t="n"/>
      <c r="J70" s="19" t="n"/>
      <c r="K70" s="19" t="n"/>
      <c r="L70" s="19" t="n"/>
      <c r="M70" s="130">
        <f>IF($A70="","",AND('Task Finder'!$C$7&lt;&gt;"",OR(ISNUMBER(SEARCH('Task Finder'!$C$7,$A70)),ISNUMBER(SEARCH('Task Finder'!$C$7,$B70)),ISNUMBER(SEARCH('Task Finder'!$C$7,$C70)),ISNUMBER(SEARCH('Task Finder'!$C$7,$D70)),ISNUMBER(SEARCH('Task Finder'!$C$7,$K70)))))</f>
        <v/>
      </c>
    </row>
    <row r="71">
      <c r="A71" s="19" t="n"/>
      <c r="B71" s="19" t="n"/>
      <c r="C71" s="19" t="n"/>
      <c r="D71" s="19" t="n"/>
      <c r="E71" s="19" t="n"/>
      <c r="F71" s="19" t="n"/>
      <c r="G71" s="19" t="n"/>
      <c r="H71" s="19" t="n"/>
      <c r="I71" s="19" t="n"/>
      <c r="J71" s="19" t="n"/>
      <c r="K71" s="19" t="n"/>
      <c r="L71" s="19" t="n"/>
      <c r="M71" s="130">
        <f>IF($A71="","",AND('Task Finder'!$C$7&lt;&gt;"",OR(ISNUMBER(SEARCH('Task Finder'!$C$7,$A71)),ISNUMBER(SEARCH('Task Finder'!$C$7,$B71)),ISNUMBER(SEARCH('Task Finder'!$C$7,$C71)),ISNUMBER(SEARCH('Task Finder'!$C$7,$D71)),ISNUMBER(SEARCH('Task Finder'!$C$7,$K71)))))</f>
        <v/>
      </c>
    </row>
    <row r="72">
      <c r="A72" s="19" t="n"/>
      <c r="B72" s="19" t="n"/>
      <c r="C72" s="19" t="n"/>
      <c r="D72" s="19" t="n"/>
      <c r="E72" s="19" t="n"/>
      <c r="F72" s="19" t="n"/>
      <c r="G72" s="19" t="n"/>
      <c r="H72" s="19" t="n"/>
      <c r="I72" s="19" t="n"/>
      <c r="J72" s="19" t="n"/>
      <c r="K72" s="19" t="n"/>
      <c r="L72" s="19" t="n"/>
      <c r="M72" s="130">
        <f>IF($A72="","",AND('Task Finder'!$C$7&lt;&gt;"",OR(ISNUMBER(SEARCH('Task Finder'!$C$7,$A72)),ISNUMBER(SEARCH('Task Finder'!$C$7,$B72)),ISNUMBER(SEARCH('Task Finder'!$C$7,$C72)),ISNUMBER(SEARCH('Task Finder'!$C$7,$D72)),ISNUMBER(SEARCH('Task Finder'!$C$7,$K72)))))</f>
        <v/>
      </c>
    </row>
    <row r="73">
      <c r="A73" s="19" t="n"/>
      <c r="B73" s="19" t="n"/>
      <c r="C73" s="19" t="n"/>
      <c r="D73" s="19" t="n"/>
      <c r="E73" s="19" t="n"/>
      <c r="F73" s="19" t="n"/>
      <c r="G73" s="19" t="n"/>
      <c r="H73" s="19" t="n"/>
      <c r="I73" s="19" t="n"/>
      <c r="J73" s="19" t="n"/>
      <c r="K73" s="19" t="n"/>
      <c r="L73" s="19" t="n"/>
      <c r="M73" s="130">
        <f>IF($A73="","",AND('Task Finder'!$C$7&lt;&gt;"",OR(ISNUMBER(SEARCH('Task Finder'!$C$7,$A73)),ISNUMBER(SEARCH('Task Finder'!$C$7,$B73)),ISNUMBER(SEARCH('Task Finder'!$C$7,$C73)),ISNUMBER(SEARCH('Task Finder'!$C$7,$D73)),ISNUMBER(SEARCH('Task Finder'!$C$7,$K73)))))</f>
        <v/>
      </c>
    </row>
    <row r="74">
      <c r="A74" s="19" t="n"/>
      <c r="B74" s="19" t="n"/>
      <c r="C74" s="19" t="n"/>
      <c r="D74" s="19" t="n"/>
      <c r="E74" s="19" t="n"/>
      <c r="F74" s="19" t="n"/>
      <c r="G74" s="19" t="n"/>
      <c r="H74" s="19" t="n"/>
      <c r="I74" s="19" t="n"/>
      <c r="J74" s="19" t="n"/>
      <c r="K74" s="19" t="n"/>
      <c r="L74" s="19" t="n"/>
      <c r="M74" s="130">
        <f>IF($A74="","",AND('Task Finder'!$C$7&lt;&gt;"",OR(ISNUMBER(SEARCH('Task Finder'!$C$7,$A74)),ISNUMBER(SEARCH('Task Finder'!$C$7,$B74)),ISNUMBER(SEARCH('Task Finder'!$C$7,$C74)),ISNUMBER(SEARCH('Task Finder'!$C$7,$D74)),ISNUMBER(SEARCH('Task Finder'!$C$7,$K74)))))</f>
        <v/>
      </c>
    </row>
    <row r="75">
      <c r="A75" s="19" t="n"/>
      <c r="B75" s="19" t="n"/>
      <c r="C75" s="19" t="n"/>
      <c r="D75" s="19" t="n"/>
      <c r="E75" s="19" t="n"/>
      <c r="F75" s="19" t="n"/>
      <c r="G75" s="19" t="n"/>
      <c r="H75" s="19" t="n"/>
      <c r="I75" s="19" t="n"/>
      <c r="J75" s="19" t="n"/>
      <c r="K75" s="19" t="n"/>
      <c r="L75" s="19" t="n"/>
      <c r="M75" s="130">
        <f>IF($A75="","",AND('Task Finder'!$C$7&lt;&gt;"",OR(ISNUMBER(SEARCH('Task Finder'!$C$7,$A75)),ISNUMBER(SEARCH('Task Finder'!$C$7,$B75)),ISNUMBER(SEARCH('Task Finder'!$C$7,$C75)),ISNUMBER(SEARCH('Task Finder'!$C$7,$D75)),ISNUMBER(SEARCH('Task Finder'!$C$7,$K75)))))</f>
        <v/>
      </c>
    </row>
    <row r="76">
      <c r="A76" s="19" t="n"/>
      <c r="B76" s="19" t="n"/>
      <c r="C76" s="19" t="n"/>
      <c r="D76" s="19" t="n"/>
      <c r="E76" s="19" t="n"/>
      <c r="F76" s="19" t="n"/>
      <c r="G76" s="19" t="n"/>
      <c r="H76" s="19" t="n"/>
      <c r="I76" s="19" t="n"/>
      <c r="J76" s="19" t="n"/>
      <c r="K76" s="19" t="n"/>
      <c r="L76" s="19" t="n"/>
      <c r="M76" s="130">
        <f>IF($A76="","",AND('Task Finder'!$C$7&lt;&gt;"",OR(ISNUMBER(SEARCH('Task Finder'!$C$7,$A76)),ISNUMBER(SEARCH('Task Finder'!$C$7,$B76)),ISNUMBER(SEARCH('Task Finder'!$C$7,$C76)),ISNUMBER(SEARCH('Task Finder'!$C$7,$D76)),ISNUMBER(SEARCH('Task Finder'!$C$7,$K76)))))</f>
        <v/>
      </c>
    </row>
    <row r="77">
      <c r="A77" s="19" t="n"/>
      <c r="B77" s="19" t="n"/>
      <c r="C77" s="19" t="n"/>
      <c r="D77" s="19" t="n"/>
      <c r="E77" s="19" t="n"/>
      <c r="F77" s="19" t="n"/>
      <c r="G77" s="19" t="n"/>
      <c r="H77" s="19" t="n"/>
      <c r="I77" s="19" t="n"/>
      <c r="J77" s="19" t="n"/>
      <c r="K77" s="19" t="n"/>
      <c r="L77" s="19" t="n"/>
      <c r="M77" s="130">
        <f>IF($A77="","",AND('Task Finder'!$C$7&lt;&gt;"",OR(ISNUMBER(SEARCH('Task Finder'!$C$7,$A77)),ISNUMBER(SEARCH('Task Finder'!$C$7,$B77)),ISNUMBER(SEARCH('Task Finder'!$C$7,$C77)),ISNUMBER(SEARCH('Task Finder'!$C$7,$D77)),ISNUMBER(SEARCH('Task Finder'!$C$7,$K77)))))</f>
        <v/>
      </c>
    </row>
    <row r="78">
      <c r="A78" s="19" t="n"/>
      <c r="B78" s="19" t="n"/>
      <c r="C78" s="19" t="n"/>
      <c r="D78" s="19" t="n"/>
      <c r="E78" s="19" t="n"/>
      <c r="F78" s="19" t="n"/>
      <c r="G78" s="19" t="n"/>
      <c r="H78" s="19" t="n"/>
      <c r="I78" s="19" t="n"/>
      <c r="J78" s="19" t="n"/>
      <c r="K78" s="19" t="n"/>
      <c r="L78" s="19" t="n"/>
      <c r="M78" s="130">
        <f>IF($A78="","",AND('Task Finder'!$C$7&lt;&gt;"",OR(ISNUMBER(SEARCH('Task Finder'!$C$7,$A78)),ISNUMBER(SEARCH('Task Finder'!$C$7,$B78)),ISNUMBER(SEARCH('Task Finder'!$C$7,$C78)),ISNUMBER(SEARCH('Task Finder'!$C$7,$D78)),ISNUMBER(SEARCH('Task Finder'!$C$7,$K78)))))</f>
        <v/>
      </c>
    </row>
    <row r="79">
      <c r="A79" s="19" t="n"/>
      <c r="B79" s="19" t="n"/>
      <c r="C79" s="19" t="n"/>
      <c r="D79" s="19" t="n"/>
      <c r="E79" s="19" t="n"/>
      <c r="F79" s="19" t="n"/>
      <c r="G79" s="19" t="n"/>
      <c r="H79" s="19" t="n"/>
      <c r="I79" s="19" t="n"/>
      <c r="J79" s="19" t="n"/>
      <c r="K79" s="19" t="n"/>
      <c r="L79" s="19" t="n"/>
      <c r="M79" s="130">
        <f>IF($A79="","",AND('Task Finder'!$C$7&lt;&gt;"",OR(ISNUMBER(SEARCH('Task Finder'!$C$7,$A79)),ISNUMBER(SEARCH('Task Finder'!$C$7,$B79)),ISNUMBER(SEARCH('Task Finder'!$C$7,$C79)),ISNUMBER(SEARCH('Task Finder'!$C$7,$D79)),ISNUMBER(SEARCH('Task Finder'!$C$7,$K79)))))</f>
        <v/>
      </c>
    </row>
    <row r="80">
      <c r="A80" s="19" t="n"/>
      <c r="B80" s="19" t="n"/>
      <c r="C80" s="19" t="n"/>
      <c r="D80" s="19" t="n"/>
      <c r="E80" s="19" t="n"/>
      <c r="F80" s="19" t="n"/>
      <c r="G80" s="19" t="n"/>
      <c r="H80" s="19" t="n"/>
      <c r="I80" s="19" t="n"/>
      <c r="J80" s="19" t="n"/>
      <c r="K80" s="19" t="n"/>
      <c r="L80" s="19" t="n"/>
      <c r="M80" s="130">
        <f>IF($A80="","",AND('Task Finder'!$C$7&lt;&gt;"",OR(ISNUMBER(SEARCH('Task Finder'!$C$7,$A80)),ISNUMBER(SEARCH('Task Finder'!$C$7,$B80)),ISNUMBER(SEARCH('Task Finder'!$C$7,$C80)),ISNUMBER(SEARCH('Task Finder'!$C$7,$D80)),ISNUMBER(SEARCH('Task Finder'!$C$7,$K80)))))</f>
        <v/>
      </c>
    </row>
    <row r="81">
      <c r="A81" s="19" t="n"/>
      <c r="B81" s="19" t="n"/>
      <c r="C81" s="19" t="n"/>
      <c r="D81" s="19" t="n"/>
      <c r="E81" s="19" t="n"/>
      <c r="F81" s="19" t="n"/>
      <c r="G81" s="19" t="n"/>
      <c r="H81" s="19" t="n"/>
      <c r="I81" s="19" t="n"/>
      <c r="J81" s="19" t="n"/>
      <c r="K81" s="19" t="n"/>
      <c r="L81" s="19" t="n"/>
      <c r="M81" s="130">
        <f>IF($A81="","",AND('Task Finder'!$C$7&lt;&gt;"",OR(ISNUMBER(SEARCH('Task Finder'!$C$7,$A81)),ISNUMBER(SEARCH('Task Finder'!$C$7,$B81)),ISNUMBER(SEARCH('Task Finder'!$C$7,$C81)),ISNUMBER(SEARCH('Task Finder'!$C$7,$D81)),ISNUMBER(SEARCH('Task Finder'!$C$7,$K81)))))</f>
        <v/>
      </c>
    </row>
    <row r="82">
      <c r="A82" s="19" t="n"/>
      <c r="B82" s="19" t="n"/>
      <c r="C82" s="19" t="n"/>
      <c r="D82" s="19" t="n"/>
      <c r="E82" s="19" t="n"/>
      <c r="F82" s="19" t="n"/>
      <c r="G82" s="19" t="n"/>
      <c r="H82" s="19" t="n"/>
      <c r="I82" s="19" t="n"/>
      <c r="J82" s="19" t="n"/>
      <c r="K82" s="19" t="n"/>
      <c r="L82" s="19" t="n"/>
      <c r="M82" s="130">
        <f>IF($A82="","",AND('Task Finder'!$C$7&lt;&gt;"",OR(ISNUMBER(SEARCH('Task Finder'!$C$7,$A82)),ISNUMBER(SEARCH('Task Finder'!$C$7,$B82)),ISNUMBER(SEARCH('Task Finder'!$C$7,$C82)),ISNUMBER(SEARCH('Task Finder'!$C$7,$D82)),ISNUMBER(SEARCH('Task Finder'!$C$7,$K82)))))</f>
        <v/>
      </c>
    </row>
    <row r="83">
      <c r="A83" s="19" t="n"/>
      <c r="B83" s="19" t="n"/>
      <c r="C83" s="19" t="n"/>
      <c r="D83" s="19" t="n"/>
      <c r="E83" s="19" t="n"/>
      <c r="F83" s="19" t="n"/>
      <c r="G83" s="19" t="n"/>
      <c r="H83" s="19" t="n"/>
      <c r="I83" s="19" t="n"/>
      <c r="J83" s="19" t="n"/>
      <c r="K83" s="19" t="n"/>
      <c r="L83" s="19" t="n"/>
      <c r="M83" s="130">
        <f>IF($A83="","",AND('Task Finder'!$C$7&lt;&gt;"",OR(ISNUMBER(SEARCH('Task Finder'!$C$7,$A83)),ISNUMBER(SEARCH('Task Finder'!$C$7,$B83)),ISNUMBER(SEARCH('Task Finder'!$C$7,$C83)),ISNUMBER(SEARCH('Task Finder'!$C$7,$D83)),ISNUMBER(SEARCH('Task Finder'!$C$7,$K83)))))</f>
        <v/>
      </c>
    </row>
    <row r="84">
      <c r="A84" s="19" t="n"/>
      <c r="B84" s="19" t="n"/>
      <c r="C84" s="19" t="n"/>
      <c r="D84" s="19" t="n"/>
      <c r="E84" s="19" t="n"/>
      <c r="F84" s="19" t="n"/>
      <c r="G84" s="19" t="n"/>
      <c r="H84" s="19" t="n"/>
      <c r="I84" s="19" t="n"/>
      <c r="J84" s="19" t="n"/>
      <c r="K84" s="19" t="n"/>
      <c r="L84" s="19" t="n"/>
      <c r="M84" s="130">
        <f>IF($A84="","",AND('Task Finder'!$C$7&lt;&gt;"",OR(ISNUMBER(SEARCH('Task Finder'!$C$7,$A84)),ISNUMBER(SEARCH('Task Finder'!$C$7,$B84)),ISNUMBER(SEARCH('Task Finder'!$C$7,$C84)),ISNUMBER(SEARCH('Task Finder'!$C$7,$D84)),ISNUMBER(SEARCH('Task Finder'!$C$7,$K84)))))</f>
        <v/>
      </c>
    </row>
    <row r="85">
      <c r="A85" s="19" t="n"/>
      <c r="B85" s="19" t="n"/>
      <c r="C85" s="19" t="n"/>
      <c r="D85" s="19" t="n"/>
      <c r="E85" s="19" t="n"/>
      <c r="F85" s="19" t="n"/>
      <c r="G85" s="19" t="n"/>
      <c r="H85" s="19" t="n"/>
      <c r="I85" s="19" t="n"/>
      <c r="J85" s="19" t="n"/>
      <c r="K85" s="19" t="n"/>
      <c r="L85" s="19" t="n"/>
      <c r="M85" s="130">
        <f>IF($A85="","",AND('Task Finder'!$C$7&lt;&gt;"",OR(ISNUMBER(SEARCH('Task Finder'!$C$7,$A85)),ISNUMBER(SEARCH('Task Finder'!$C$7,$B85)),ISNUMBER(SEARCH('Task Finder'!$C$7,$C85)),ISNUMBER(SEARCH('Task Finder'!$C$7,$D85)),ISNUMBER(SEARCH('Task Finder'!$C$7,$K85)))))</f>
        <v/>
      </c>
    </row>
    <row r="86">
      <c r="A86" s="19" t="n"/>
      <c r="B86" s="19" t="n"/>
      <c r="C86" s="19" t="n"/>
      <c r="D86" s="19" t="n"/>
      <c r="E86" s="19" t="n"/>
      <c r="F86" s="19" t="n"/>
      <c r="G86" s="19" t="n"/>
      <c r="H86" s="19" t="n"/>
      <c r="I86" s="19" t="n"/>
      <c r="J86" s="19" t="n"/>
      <c r="K86" s="19" t="n"/>
      <c r="L86" s="19" t="n"/>
      <c r="M86" s="130">
        <f>IF($A86="","",AND('Task Finder'!$C$7&lt;&gt;"",OR(ISNUMBER(SEARCH('Task Finder'!$C$7,$A86)),ISNUMBER(SEARCH('Task Finder'!$C$7,$B86)),ISNUMBER(SEARCH('Task Finder'!$C$7,$C86)),ISNUMBER(SEARCH('Task Finder'!$C$7,$D86)),ISNUMBER(SEARCH('Task Finder'!$C$7,$K86)))))</f>
        <v/>
      </c>
    </row>
    <row r="87">
      <c r="A87" s="19" t="n"/>
      <c r="B87" s="19" t="n"/>
      <c r="C87" s="19" t="n"/>
      <c r="D87" s="19" t="n"/>
      <c r="E87" s="19" t="n"/>
      <c r="F87" s="19" t="n"/>
      <c r="G87" s="19" t="n"/>
      <c r="H87" s="19" t="n"/>
      <c r="I87" s="19" t="n"/>
      <c r="J87" s="19" t="n"/>
      <c r="K87" s="19" t="n"/>
      <c r="L87" s="19" t="n"/>
      <c r="M87" s="130">
        <f>IF($A87="","",AND('Task Finder'!$C$7&lt;&gt;"",OR(ISNUMBER(SEARCH('Task Finder'!$C$7,$A87)),ISNUMBER(SEARCH('Task Finder'!$C$7,$B87)),ISNUMBER(SEARCH('Task Finder'!$C$7,$C87)),ISNUMBER(SEARCH('Task Finder'!$C$7,$D87)),ISNUMBER(SEARCH('Task Finder'!$C$7,$K87)))))</f>
        <v/>
      </c>
    </row>
    <row r="88">
      <c r="A88" s="19" t="n"/>
      <c r="B88" s="19" t="n"/>
      <c r="C88" s="19" t="n"/>
      <c r="D88" s="19" t="n"/>
      <c r="E88" s="19" t="n"/>
      <c r="F88" s="19" t="n"/>
      <c r="G88" s="19" t="n"/>
      <c r="H88" s="19" t="n"/>
      <c r="I88" s="19" t="n"/>
      <c r="J88" s="19" t="n"/>
      <c r="K88" s="19" t="n"/>
      <c r="L88" s="19" t="n"/>
      <c r="M88" s="130">
        <f>IF($A88="","",AND('Task Finder'!$C$7&lt;&gt;"",OR(ISNUMBER(SEARCH('Task Finder'!$C$7,$A88)),ISNUMBER(SEARCH('Task Finder'!$C$7,$B88)),ISNUMBER(SEARCH('Task Finder'!$C$7,$C88)),ISNUMBER(SEARCH('Task Finder'!$C$7,$D88)),ISNUMBER(SEARCH('Task Finder'!$C$7,$K88)))))</f>
        <v/>
      </c>
    </row>
    <row r="89">
      <c r="A89" s="19" t="n"/>
      <c r="B89" s="19" t="n"/>
      <c r="C89" s="19" t="n"/>
      <c r="D89" s="19" t="n"/>
      <c r="E89" s="19" t="n"/>
      <c r="F89" s="19" t="n"/>
      <c r="G89" s="19" t="n"/>
      <c r="H89" s="19" t="n"/>
      <c r="I89" s="19" t="n"/>
      <c r="J89" s="19" t="n"/>
      <c r="K89" s="19" t="n"/>
      <c r="L89" s="19" t="n"/>
      <c r="M89" s="130">
        <f>IF($A89="","",AND('Task Finder'!$C$7&lt;&gt;"",OR(ISNUMBER(SEARCH('Task Finder'!$C$7,$A89)),ISNUMBER(SEARCH('Task Finder'!$C$7,$B89)),ISNUMBER(SEARCH('Task Finder'!$C$7,$C89)),ISNUMBER(SEARCH('Task Finder'!$C$7,$D89)),ISNUMBER(SEARCH('Task Finder'!$C$7,$K89)))))</f>
        <v/>
      </c>
    </row>
    <row r="90">
      <c r="A90" s="19" t="n"/>
      <c r="B90" s="19" t="n"/>
      <c r="C90" s="19" t="n"/>
      <c r="D90" s="19" t="n"/>
      <c r="E90" s="19" t="n"/>
      <c r="F90" s="19" t="n"/>
      <c r="G90" s="19" t="n"/>
      <c r="H90" s="19" t="n"/>
      <c r="I90" s="19" t="n"/>
      <c r="J90" s="19" t="n"/>
      <c r="K90" s="19" t="n"/>
      <c r="L90" s="19" t="n"/>
      <c r="M90" s="130">
        <f>IF($A90="","",AND('Task Finder'!$C$7&lt;&gt;"",OR(ISNUMBER(SEARCH('Task Finder'!$C$7,$A90)),ISNUMBER(SEARCH('Task Finder'!$C$7,$B90)),ISNUMBER(SEARCH('Task Finder'!$C$7,$C90)),ISNUMBER(SEARCH('Task Finder'!$C$7,$D90)),ISNUMBER(SEARCH('Task Finder'!$C$7,$K90)))))</f>
        <v/>
      </c>
    </row>
    <row r="91">
      <c r="A91" s="19" t="n"/>
      <c r="B91" s="19" t="n"/>
      <c r="C91" s="19" t="n"/>
      <c r="D91" s="19" t="n"/>
      <c r="E91" s="19" t="n"/>
      <c r="F91" s="19" t="n"/>
      <c r="G91" s="19" t="n"/>
      <c r="H91" s="19" t="n"/>
      <c r="I91" s="19" t="n"/>
      <c r="J91" s="19" t="n"/>
      <c r="K91" s="19" t="n"/>
      <c r="L91" s="19" t="n"/>
      <c r="M91" s="130">
        <f>IF($A91="","",AND('Task Finder'!$C$7&lt;&gt;"",OR(ISNUMBER(SEARCH('Task Finder'!$C$7,$A91)),ISNUMBER(SEARCH('Task Finder'!$C$7,$B91)),ISNUMBER(SEARCH('Task Finder'!$C$7,$C91)),ISNUMBER(SEARCH('Task Finder'!$C$7,$D91)),ISNUMBER(SEARCH('Task Finder'!$C$7,$K91)))))</f>
        <v/>
      </c>
    </row>
    <row r="92">
      <c r="A92" s="19" t="n"/>
      <c r="B92" s="19" t="n"/>
      <c r="C92" s="19" t="n"/>
      <c r="D92" s="19" t="n"/>
      <c r="E92" s="19" t="n"/>
      <c r="F92" s="19" t="n"/>
      <c r="G92" s="19" t="n"/>
      <c r="H92" s="19" t="n"/>
      <c r="I92" s="19" t="n"/>
      <c r="J92" s="19" t="n"/>
      <c r="K92" s="19" t="n"/>
      <c r="L92" s="19" t="n"/>
      <c r="M92" s="130">
        <f>IF($A92="","",AND('Task Finder'!$C$7&lt;&gt;"",OR(ISNUMBER(SEARCH('Task Finder'!$C$7,$A92)),ISNUMBER(SEARCH('Task Finder'!$C$7,$B92)),ISNUMBER(SEARCH('Task Finder'!$C$7,$C92)),ISNUMBER(SEARCH('Task Finder'!$C$7,$D92)),ISNUMBER(SEARCH('Task Finder'!$C$7,$K92)))))</f>
        <v/>
      </c>
    </row>
    <row r="93">
      <c r="A93" s="19" t="n"/>
      <c r="B93" s="19" t="n"/>
      <c r="C93" s="19" t="n"/>
      <c r="D93" s="19" t="n"/>
      <c r="E93" s="19" t="n"/>
      <c r="F93" s="19" t="n"/>
      <c r="G93" s="19" t="n"/>
      <c r="H93" s="19" t="n"/>
      <c r="I93" s="19" t="n"/>
      <c r="J93" s="19" t="n"/>
      <c r="K93" s="19" t="n"/>
      <c r="L93" s="19" t="n"/>
      <c r="M93" s="130">
        <f>IF($A93="","",AND('Task Finder'!$C$7&lt;&gt;"",OR(ISNUMBER(SEARCH('Task Finder'!$C$7,$A93)),ISNUMBER(SEARCH('Task Finder'!$C$7,$B93)),ISNUMBER(SEARCH('Task Finder'!$C$7,$C93)),ISNUMBER(SEARCH('Task Finder'!$C$7,$D93)),ISNUMBER(SEARCH('Task Finder'!$C$7,$K93)))))</f>
        <v/>
      </c>
    </row>
    <row r="94">
      <c r="A94" s="19" t="n"/>
      <c r="B94" s="19" t="n"/>
      <c r="C94" s="19" t="n"/>
      <c r="D94" s="19" t="n"/>
      <c r="E94" s="19" t="n"/>
      <c r="F94" s="19" t="n"/>
      <c r="G94" s="19" t="n"/>
      <c r="H94" s="19" t="n"/>
      <c r="I94" s="19" t="n"/>
      <c r="J94" s="19" t="n"/>
      <c r="K94" s="19" t="n"/>
      <c r="L94" s="19" t="n"/>
      <c r="M94" s="130">
        <f>IF($A94="","",AND('Task Finder'!$C$7&lt;&gt;"",OR(ISNUMBER(SEARCH('Task Finder'!$C$7,$A94)),ISNUMBER(SEARCH('Task Finder'!$C$7,$B94)),ISNUMBER(SEARCH('Task Finder'!$C$7,$C94)),ISNUMBER(SEARCH('Task Finder'!$C$7,$D94)),ISNUMBER(SEARCH('Task Finder'!$C$7,$K94)))))</f>
        <v/>
      </c>
    </row>
    <row r="95">
      <c r="A95" s="19" t="n"/>
      <c r="B95" s="19" t="n"/>
      <c r="C95" s="19" t="n"/>
      <c r="D95" s="19" t="n"/>
      <c r="E95" s="19" t="n"/>
      <c r="F95" s="19" t="n"/>
      <c r="G95" s="19" t="n"/>
      <c r="H95" s="19" t="n"/>
      <c r="I95" s="19" t="n"/>
      <c r="J95" s="19" t="n"/>
      <c r="K95" s="19" t="n"/>
      <c r="L95" s="19" t="n"/>
      <c r="M95" s="130">
        <f>IF($A95="","",AND('Task Finder'!$C$7&lt;&gt;"",OR(ISNUMBER(SEARCH('Task Finder'!$C$7,$A95)),ISNUMBER(SEARCH('Task Finder'!$C$7,$B95)),ISNUMBER(SEARCH('Task Finder'!$C$7,$C95)),ISNUMBER(SEARCH('Task Finder'!$C$7,$D95)),ISNUMBER(SEARCH('Task Finder'!$C$7,$K95)))))</f>
        <v/>
      </c>
    </row>
    <row r="96">
      <c r="A96" s="19" t="n"/>
      <c r="B96" s="19" t="n"/>
      <c r="C96" s="19" t="n"/>
      <c r="D96" s="19" t="n"/>
      <c r="E96" s="19" t="n"/>
      <c r="F96" s="19" t="n"/>
      <c r="G96" s="19" t="n"/>
      <c r="H96" s="19" t="n"/>
      <c r="I96" s="19" t="n"/>
      <c r="J96" s="19" t="n"/>
      <c r="K96" s="19" t="n"/>
      <c r="L96" s="19" t="n"/>
      <c r="M96" s="130">
        <f>IF($A96="","",AND('Task Finder'!$C$7&lt;&gt;"",OR(ISNUMBER(SEARCH('Task Finder'!$C$7,$A96)),ISNUMBER(SEARCH('Task Finder'!$C$7,$B96)),ISNUMBER(SEARCH('Task Finder'!$C$7,$C96)),ISNUMBER(SEARCH('Task Finder'!$C$7,$D96)),ISNUMBER(SEARCH('Task Finder'!$C$7,$K96)))))</f>
        <v/>
      </c>
    </row>
    <row r="97">
      <c r="A97" s="19" t="n"/>
      <c r="B97" s="19" t="n"/>
      <c r="C97" s="19" t="n"/>
      <c r="D97" s="19" t="n"/>
      <c r="E97" s="19" t="n"/>
      <c r="F97" s="19" t="n"/>
      <c r="G97" s="19" t="n"/>
      <c r="H97" s="19" t="n"/>
      <c r="I97" s="19" t="n"/>
      <c r="J97" s="19" t="n"/>
      <c r="K97" s="19" t="n"/>
      <c r="L97" s="19" t="n"/>
      <c r="M97" s="130">
        <f>IF($A97="","",AND('Task Finder'!$C$7&lt;&gt;"",OR(ISNUMBER(SEARCH('Task Finder'!$C$7,$A97)),ISNUMBER(SEARCH('Task Finder'!$C$7,$B97)),ISNUMBER(SEARCH('Task Finder'!$C$7,$C97)),ISNUMBER(SEARCH('Task Finder'!$C$7,$D97)),ISNUMBER(SEARCH('Task Finder'!$C$7,$K97)))))</f>
        <v/>
      </c>
    </row>
    <row r="98">
      <c r="A98" s="19" t="n"/>
      <c r="B98" s="19" t="n"/>
      <c r="C98" s="19" t="n"/>
      <c r="D98" s="19" t="n"/>
      <c r="E98" s="19" t="n"/>
      <c r="F98" s="19" t="n"/>
      <c r="G98" s="19" t="n"/>
      <c r="H98" s="19" t="n"/>
      <c r="I98" s="19" t="n"/>
      <c r="J98" s="19" t="n"/>
      <c r="K98" s="19" t="n"/>
      <c r="L98" s="19" t="n"/>
      <c r="M98" s="130">
        <f>IF($A98="","",AND('Task Finder'!$C$7&lt;&gt;"",OR(ISNUMBER(SEARCH('Task Finder'!$C$7,$A98)),ISNUMBER(SEARCH('Task Finder'!$C$7,$B98)),ISNUMBER(SEARCH('Task Finder'!$C$7,$C98)),ISNUMBER(SEARCH('Task Finder'!$C$7,$D98)),ISNUMBER(SEARCH('Task Finder'!$C$7,$K98)))))</f>
        <v/>
      </c>
    </row>
    <row r="99">
      <c r="A99" s="19" t="n"/>
      <c r="B99" s="19" t="n"/>
      <c r="C99" s="19" t="n"/>
      <c r="D99" s="19" t="n"/>
      <c r="E99" s="19" t="n"/>
      <c r="F99" s="19" t="n"/>
      <c r="G99" s="19" t="n"/>
      <c r="H99" s="19" t="n"/>
      <c r="I99" s="19" t="n"/>
      <c r="J99" s="19" t="n"/>
      <c r="K99" s="19" t="n"/>
      <c r="L99" s="19" t="n"/>
      <c r="M99" s="130">
        <f>IF($A99="","",AND('Task Finder'!$C$7&lt;&gt;"",OR(ISNUMBER(SEARCH('Task Finder'!$C$7,$A99)),ISNUMBER(SEARCH('Task Finder'!$C$7,$B99)),ISNUMBER(SEARCH('Task Finder'!$C$7,$C99)),ISNUMBER(SEARCH('Task Finder'!$C$7,$D99)),ISNUMBER(SEARCH('Task Finder'!$C$7,$K99)))))</f>
        <v/>
      </c>
    </row>
    <row r="100">
      <c r="A100" s="19" t="n"/>
      <c r="B100" s="19" t="n"/>
      <c r="C100" s="19" t="n"/>
      <c r="D100" s="19" t="n"/>
      <c r="E100" s="19" t="n"/>
      <c r="F100" s="19" t="n"/>
      <c r="G100" s="19" t="n"/>
      <c r="H100" s="19" t="n"/>
      <c r="I100" s="19" t="n"/>
      <c r="J100" s="19" t="n"/>
      <c r="K100" s="19" t="n"/>
      <c r="L100" s="19" t="n"/>
      <c r="M100" s="130">
        <f>IF($A100="","",AND('Task Finder'!$C$7&lt;&gt;"",OR(ISNUMBER(SEARCH('Task Finder'!$C$7,$A100)),ISNUMBER(SEARCH('Task Finder'!$C$7,$B100)),ISNUMBER(SEARCH('Task Finder'!$C$7,$C100)),ISNUMBER(SEARCH('Task Finder'!$C$7,$D100)),ISNUMBER(SEARCH('Task Finder'!$C$7,$K100)))))</f>
        <v/>
      </c>
    </row>
    <row r="101">
      <c r="A101" s="19" t="n"/>
      <c r="B101" s="19" t="n"/>
      <c r="C101" s="19" t="n"/>
      <c r="D101" s="19" t="n"/>
      <c r="E101" s="19" t="n"/>
      <c r="F101" s="19" t="n"/>
      <c r="G101" s="19" t="n"/>
      <c r="H101" s="19" t="n"/>
      <c r="I101" s="19" t="n"/>
      <c r="J101" s="19" t="n"/>
      <c r="K101" s="19" t="n"/>
      <c r="L101" s="19" t="n"/>
      <c r="M101" s="130">
        <f>IF($A101="","",AND('Task Finder'!$C$7&lt;&gt;"",OR(ISNUMBER(SEARCH('Task Finder'!$C$7,$A101)),ISNUMBER(SEARCH('Task Finder'!$C$7,$B101)),ISNUMBER(SEARCH('Task Finder'!$C$7,$C101)),ISNUMBER(SEARCH('Task Finder'!$C$7,$D101)),ISNUMBER(SEARCH('Task Finder'!$C$7,$K101)))))</f>
        <v/>
      </c>
    </row>
    <row r="102">
      <c r="A102" s="19" t="n"/>
      <c r="B102" s="19" t="n"/>
      <c r="C102" s="19" t="n"/>
      <c r="D102" s="19" t="n"/>
      <c r="E102" s="19" t="n"/>
      <c r="F102" s="19" t="n"/>
      <c r="G102" s="19" t="n"/>
      <c r="H102" s="19" t="n"/>
      <c r="I102" s="19" t="n"/>
      <c r="J102" s="19" t="n"/>
      <c r="K102" s="19" t="n"/>
      <c r="L102" s="19" t="n"/>
      <c r="M102" s="130">
        <f>IF($A102="","",AND('Task Finder'!$C$7&lt;&gt;"",OR(ISNUMBER(SEARCH('Task Finder'!$C$7,$A102)),ISNUMBER(SEARCH('Task Finder'!$C$7,$B102)),ISNUMBER(SEARCH('Task Finder'!$C$7,$C102)),ISNUMBER(SEARCH('Task Finder'!$C$7,$D102)),ISNUMBER(SEARCH('Task Finder'!$C$7,$K102)))))</f>
        <v/>
      </c>
    </row>
    <row r="103">
      <c r="A103" s="19" t="n"/>
      <c r="B103" s="19" t="n"/>
      <c r="C103" s="19" t="n"/>
      <c r="D103" s="19" t="n"/>
      <c r="E103" s="19" t="n"/>
      <c r="F103" s="19" t="n"/>
      <c r="G103" s="19" t="n"/>
      <c r="H103" s="19" t="n"/>
      <c r="I103" s="19" t="n"/>
      <c r="J103" s="19" t="n"/>
      <c r="K103" s="19" t="n"/>
      <c r="L103" s="19" t="n"/>
      <c r="M103" s="130">
        <f>IF($A103="","",AND('Task Finder'!$C$7&lt;&gt;"",OR(ISNUMBER(SEARCH('Task Finder'!$C$7,$A103)),ISNUMBER(SEARCH('Task Finder'!$C$7,$B103)),ISNUMBER(SEARCH('Task Finder'!$C$7,$C103)),ISNUMBER(SEARCH('Task Finder'!$C$7,$D103)),ISNUMBER(SEARCH('Task Finder'!$C$7,$K103)))))</f>
        <v/>
      </c>
    </row>
    <row r="104">
      <c r="A104" s="19" t="n"/>
      <c r="B104" s="19" t="n"/>
      <c r="C104" s="19" t="n"/>
      <c r="D104" s="19" t="n"/>
      <c r="E104" s="19" t="n"/>
      <c r="F104" s="19" t="n"/>
      <c r="G104" s="19" t="n"/>
      <c r="H104" s="19" t="n"/>
      <c r="I104" s="19" t="n"/>
      <c r="J104" s="19" t="n"/>
      <c r="K104" s="19" t="n"/>
      <c r="L104" s="19" t="n"/>
      <c r="M104" s="130">
        <f>IF($A104="","",AND('Task Finder'!$C$7&lt;&gt;"",OR(ISNUMBER(SEARCH('Task Finder'!$C$7,$A104)),ISNUMBER(SEARCH('Task Finder'!$C$7,$B104)),ISNUMBER(SEARCH('Task Finder'!$C$7,$C104)),ISNUMBER(SEARCH('Task Finder'!$C$7,$D104)),ISNUMBER(SEARCH('Task Finder'!$C$7,$K104)))))</f>
        <v/>
      </c>
    </row>
    <row r="105">
      <c r="A105" s="19" t="n"/>
      <c r="B105" s="19" t="n"/>
      <c r="C105" s="19" t="n"/>
      <c r="D105" s="19" t="n"/>
      <c r="E105" s="19" t="n"/>
      <c r="F105" s="19" t="n"/>
      <c r="G105" s="19" t="n"/>
      <c r="H105" s="19" t="n"/>
      <c r="I105" s="19" t="n"/>
      <c r="J105" s="19" t="n"/>
      <c r="K105" s="19" t="n"/>
      <c r="L105" s="19" t="n"/>
      <c r="M105" s="130">
        <f>IF($A105="","",AND('Task Finder'!$C$7&lt;&gt;"",OR(ISNUMBER(SEARCH('Task Finder'!$C$7,$A105)),ISNUMBER(SEARCH('Task Finder'!$C$7,$B105)),ISNUMBER(SEARCH('Task Finder'!$C$7,$C105)),ISNUMBER(SEARCH('Task Finder'!$C$7,$D105)),ISNUMBER(SEARCH('Task Finder'!$C$7,$K105)))))</f>
        <v/>
      </c>
    </row>
    <row r="106">
      <c r="A106" s="19" t="n"/>
      <c r="B106" s="19" t="n"/>
      <c r="C106" s="19" t="n"/>
      <c r="D106" s="19" t="n"/>
      <c r="E106" s="19" t="n"/>
      <c r="F106" s="19" t="n"/>
      <c r="G106" s="19" t="n"/>
      <c r="H106" s="19" t="n"/>
      <c r="I106" s="19" t="n"/>
      <c r="J106" s="19" t="n"/>
      <c r="K106" s="19" t="n"/>
      <c r="L106" s="19" t="n"/>
      <c r="M106" s="130">
        <f>IF($A106="","",AND('Task Finder'!$C$7&lt;&gt;"",OR(ISNUMBER(SEARCH('Task Finder'!$C$7,$A106)),ISNUMBER(SEARCH('Task Finder'!$C$7,$B106)),ISNUMBER(SEARCH('Task Finder'!$C$7,$C106)),ISNUMBER(SEARCH('Task Finder'!$C$7,$D106)),ISNUMBER(SEARCH('Task Finder'!$C$7,$K106)))))</f>
        <v/>
      </c>
    </row>
    <row r="107">
      <c r="A107" s="19" t="n"/>
      <c r="B107" s="19" t="n"/>
      <c r="C107" s="19" t="n"/>
      <c r="D107" s="19" t="n"/>
      <c r="E107" s="19" t="n"/>
      <c r="F107" s="19" t="n"/>
      <c r="G107" s="19" t="n"/>
      <c r="H107" s="19" t="n"/>
      <c r="I107" s="19" t="n"/>
      <c r="J107" s="19" t="n"/>
      <c r="K107" s="19" t="n"/>
      <c r="L107" s="19" t="n"/>
      <c r="M107" s="130">
        <f>IF($A107="","",AND('Task Finder'!$C$7&lt;&gt;"",OR(ISNUMBER(SEARCH('Task Finder'!$C$7,$A107)),ISNUMBER(SEARCH('Task Finder'!$C$7,$B107)),ISNUMBER(SEARCH('Task Finder'!$C$7,$C107)),ISNUMBER(SEARCH('Task Finder'!$C$7,$D107)),ISNUMBER(SEARCH('Task Finder'!$C$7,$K107)))))</f>
        <v/>
      </c>
    </row>
    <row r="108">
      <c r="A108" s="19" t="n"/>
      <c r="B108" s="19" t="n"/>
      <c r="C108" s="19" t="n"/>
      <c r="D108" s="19" t="n"/>
      <c r="E108" s="19" t="n"/>
      <c r="F108" s="19" t="n"/>
      <c r="G108" s="19" t="n"/>
      <c r="H108" s="19" t="n"/>
      <c r="I108" s="19" t="n"/>
      <c r="J108" s="19" t="n"/>
      <c r="K108" s="19" t="n"/>
      <c r="L108" s="19" t="n"/>
      <c r="M108" s="130">
        <f>IF($A108="","",AND('Task Finder'!$C$7&lt;&gt;"",OR(ISNUMBER(SEARCH('Task Finder'!$C$7,$A108)),ISNUMBER(SEARCH('Task Finder'!$C$7,$B108)),ISNUMBER(SEARCH('Task Finder'!$C$7,$C108)),ISNUMBER(SEARCH('Task Finder'!$C$7,$D108)),ISNUMBER(SEARCH('Task Finder'!$C$7,$K108)))))</f>
        <v/>
      </c>
    </row>
    <row r="109">
      <c r="A109" s="19" t="n"/>
      <c r="B109" s="19" t="n"/>
      <c r="C109" s="19" t="n"/>
      <c r="D109" s="19" t="n"/>
      <c r="E109" s="19" t="n"/>
      <c r="F109" s="19" t="n"/>
      <c r="G109" s="19" t="n"/>
      <c r="H109" s="19" t="n"/>
      <c r="I109" s="19" t="n"/>
      <c r="J109" s="19" t="n"/>
      <c r="K109" s="19" t="n"/>
      <c r="L109" s="19" t="n"/>
      <c r="M109" s="130">
        <f>IF($A109="","",AND('Task Finder'!$C$7&lt;&gt;"",OR(ISNUMBER(SEARCH('Task Finder'!$C$7,$A109)),ISNUMBER(SEARCH('Task Finder'!$C$7,$B109)),ISNUMBER(SEARCH('Task Finder'!$C$7,$C109)),ISNUMBER(SEARCH('Task Finder'!$C$7,$D109)),ISNUMBER(SEARCH('Task Finder'!$C$7,$K109)))))</f>
        <v/>
      </c>
    </row>
    <row r="110">
      <c r="A110" s="19" t="n"/>
      <c r="B110" s="19" t="n"/>
      <c r="C110" s="19" t="n"/>
      <c r="D110" s="19" t="n"/>
      <c r="E110" s="19" t="n"/>
      <c r="F110" s="19" t="n"/>
      <c r="G110" s="19" t="n"/>
      <c r="H110" s="19" t="n"/>
      <c r="I110" s="19" t="n"/>
      <c r="J110" s="19" t="n"/>
      <c r="K110" s="19" t="n"/>
      <c r="L110" s="19" t="n"/>
      <c r="M110" s="130">
        <f>IF($A110="","",AND('Task Finder'!$C$7&lt;&gt;"",OR(ISNUMBER(SEARCH('Task Finder'!$C$7,$A110)),ISNUMBER(SEARCH('Task Finder'!$C$7,$B110)),ISNUMBER(SEARCH('Task Finder'!$C$7,$C110)),ISNUMBER(SEARCH('Task Finder'!$C$7,$D110)),ISNUMBER(SEARCH('Task Finder'!$C$7,$K110)))))</f>
        <v/>
      </c>
    </row>
    <row r="111">
      <c r="A111" s="19" t="n"/>
      <c r="B111" s="19" t="n"/>
      <c r="C111" s="19" t="n"/>
      <c r="D111" s="19" t="n"/>
      <c r="E111" s="19" t="n"/>
      <c r="F111" s="19" t="n"/>
      <c r="G111" s="19" t="n"/>
      <c r="H111" s="19" t="n"/>
      <c r="I111" s="19" t="n"/>
      <c r="J111" s="19" t="n"/>
      <c r="K111" s="19" t="n"/>
      <c r="L111" s="19" t="n"/>
      <c r="M111" s="130">
        <f>IF($A111="","",AND('Task Finder'!$C$7&lt;&gt;"",OR(ISNUMBER(SEARCH('Task Finder'!$C$7,$A111)),ISNUMBER(SEARCH('Task Finder'!$C$7,$B111)),ISNUMBER(SEARCH('Task Finder'!$C$7,$C111)),ISNUMBER(SEARCH('Task Finder'!$C$7,$D111)),ISNUMBER(SEARCH('Task Finder'!$C$7,$K111)))))</f>
        <v/>
      </c>
    </row>
    <row r="112">
      <c r="A112" s="19" t="n"/>
      <c r="B112" s="19" t="n"/>
      <c r="C112" s="19" t="n"/>
      <c r="D112" s="19" t="n"/>
      <c r="E112" s="19" t="n"/>
      <c r="F112" s="19" t="n"/>
      <c r="G112" s="19" t="n"/>
      <c r="H112" s="19" t="n"/>
      <c r="I112" s="19" t="n"/>
      <c r="J112" s="19" t="n"/>
      <c r="K112" s="19" t="n"/>
      <c r="L112" s="19" t="n"/>
      <c r="M112" s="130">
        <f>IF($A112="","",AND('Task Finder'!$C$7&lt;&gt;"",OR(ISNUMBER(SEARCH('Task Finder'!$C$7,$A112)),ISNUMBER(SEARCH('Task Finder'!$C$7,$B112)),ISNUMBER(SEARCH('Task Finder'!$C$7,$C112)),ISNUMBER(SEARCH('Task Finder'!$C$7,$D112)),ISNUMBER(SEARCH('Task Finder'!$C$7,$K112)))))</f>
        <v/>
      </c>
    </row>
    <row r="113">
      <c r="A113" s="19" t="n"/>
      <c r="B113" s="19" t="n"/>
      <c r="C113" s="19" t="n"/>
      <c r="D113" s="19" t="n"/>
      <c r="E113" s="19" t="n"/>
      <c r="F113" s="19" t="n"/>
      <c r="G113" s="19" t="n"/>
      <c r="H113" s="19" t="n"/>
      <c r="I113" s="19" t="n"/>
      <c r="J113" s="19" t="n"/>
      <c r="K113" s="19" t="n"/>
      <c r="L113" s="19" t="n"/>
      <c r="M113" s="130">
        <f>IF($A113="","",AND('Task Finder'!$C$7&lt;&gt;"",OR(ISNUMBER(SEARCH('Task Finder'!$C$7,$A113)),ISNUMBER(SEARCH('Task Finder'!$C$7,$B113)),ISNUMBER(SEARCH('Task Finder'!$C$7,$C113)),ISNUMBER(SEARCH('Task Finder'!$C$7,$D113)),ISNUMBER(SEARCH('Task Finder'!$C$7,$K113)))))</f>
        <v/>
      </c>
    </row>
    <row r="114">
      <c r="A114" s="19" t="n"/>
      <c r="B114" s="19" t="n"/>
      <c r="C114" s="19" t="n"/>
      <c r="D114" s="19" t="n"/>
      <c r="E114" s="19" t="n"/>
      <c r="F114" s="19" t="n"/>
      <c r="G114" s="19" t="n"/>
      <c r="H114" s="19" t="n"/>
      <c r="I114" s="19" t="n"/>
      <c r="J114" s="19" t="n"/>
      <c r="K114" s="19" t="n"/>
      <c r="L114" s="19" t="n"/>
      <c r="M114" s="130">
        <f>IF($A114="","",AND('Task Finder'!$C$7&lt;&gt;"",OR(ISNUMBER(SEARCH('Task Finder'!$C$7,$A114)),ISNUMBER(SEARCH('Task Finder'!$C$7,$B114)),ISNUMBER(SEARCH('Task Finder'!$C$7,$C114)),ISNUMBER(SEARCH('Task Finder'!$C$7,$D114)),ISNUMBER(SEARCH('Task Finder'!$C$7,$K114)))))</f>
        <v/>
      </c>
    </row>
    <row r="115">
      <c r="A115" s="19" t="n"/>
      <c r="B115" s="19" t="n"/>
      <c r="C115" s="19" t="n"/>
      <c r="D115" s="19" t="n"/>
      <c r="E115" s="19" t="n"/>
      <c r="F115" s="19" t="n"/>
      <c r="G115" s="19" t="n"/>
      <c r="H115" s="19" t="n"/>
      <c r="I115" s="19" t="n"/>
      <c r="J115" s="19" t="n"/>
      <c r="K115" s="19" t="n"/>
      <c r="L115" s="19" t="n"/>
      <c r="M115" s="130">
        <f>IF($A115="","",AND('Task Finder'!$C$7&lt;&gt;"",OR(ISNUMBER(SEARCH('Task Finder'!$C$7,$A115)),ISNUMBER(SEARCH('Task Finder'!$C$7,$B115)),ISNUMBER(SEARCH('Task Finder'!$C$7,$C115)),ISNUMBER(SEARCH('Task Finder'!$C$7,$D115)),ISNUMBER(SEARCH('Task Finder'!$C$7,$K115)))))</f>
        <v/>
      </c>
    </row>
    <row r="116">
      <c r="A116" s="19" t="n"/>
      <c r="B116" s="19" t="n"/>
      <c r="C116" s="19" t="n"/>
      <c r="D116" s="19" t="n"/>
      <c r="E116" s="19" t="n"/>
      <c r="F116" s="19" t="n"/>
      <c r="G116" s="19" t="n"/>
      <c r="H116" s="19" t="n"/>
      <c r="I116" s="19" t="n"/>
      <c r="J116" s="19" t="n"/>
      <c r="K116" s="19" t="n"/>
      <c r="L116" s="19" t="n"/>
      <c r="M116" s="130">
        <f>IF($A116="","",AND('Task Finder'!$C$7&lt;&gt;"",OR(ISNUMBER(SEARCH('Task Finder'!$C$7,$A116)),ISNUMBER(SEARCH('Task Finder'!$C$7,$B116)),ISNUMBER(SEARCH('Task Finder'!$C$7,$C116)),ISNUMBER(SEARCH('Task Finder'!$C$7,$D116)),ISNUMBER(SEARCH('Task Finder'!$C$7,$K116)))))</f>
        <v/>
      </c>
    </row>
    <row r="117">
      <c r="A117" s="19" t="n"/>
      <c r="B117" s="19" t="n"/>
      <c r="C117" s="19" t="n"/>
      <c r="D117" s="19" t="n"/>
      <c r="E117" s="19" t="n"/>
      <c r="F117" s="19" t="n"/>
      <c r="G117" s="19" t="n"/>
      <c r="H117" s="19" t="n"/>
      <c r="I117" s="19" t="n"/>
      <c r="J117" s="19" t="n"/>
      <c r="K117" s="19" t="n"/>
      <c r="L117" s="19" t="n"/>
      <c r="M117" s="130">
        <f>IF($A117="","",AND('Task Finder'!$C$7&lt;&gt;"",OR(ISNUMBER(SEARCH('Task Finder'!$C$7,$A117)),ISNUMBER(SEARCH('Task Finder'!$C$7,$B117)),ISNUMBER(SEARCH('Task Finder'!$C$7,$C117)),ISNUMBER(SEARCH('Task Finder'!$C$7,$D117)),ISNUMBER(SEARCH('Task Finder'!$C$7,$K117)))))</f>
        <v/>
      </c>
    </row>
    <row r="118">
      <c r="A118" s="19" t="n"/>
      <c r="B118" s="19" t="n"/>
      <c r="C118" s="19" t="n"/>
      <c r="D118" s="19" t="n"/>
      <c r="E118" s="19" t="n"/>
      <c r="F118" s="19" t="n"/>
      <c r="G118" s="19" t="n"/>
      <c r="H118" s="19" t="n"/>
      <c r="I118" s="19" t="n"/>
      <c r="J118" s="19" t="n"/>
      <c r="K118" s="19" t="n"/>
      <c r="L118" s="19" t="n"/>
      <c r="M118" s="130">
        <f>IF($A118="","",AND('Task Finder'!$C$7&lt;&gt;"",OR(ISNUMBER(SEARCH('Task Finder'!$C$7,$A118)),ISNUMBER(SEARCH('Task Finder'!$C$7,$B118)),ISNUMBER(SEARCH('Task Finder'!$C$7,$C118)),ISNUMBER(SEARCH('Task Finder'!$C$7,$D118)),ISNUMBER(SEARCH('Task Finder'!$C$7,$K118)))))</f>
        <v/>
      </c>
    </row>
    <row r="119">
      <c r="A119" s="19" t="n"/>
      <c r="B119" s="19" t="n"/>
      <c r="C119" s="19" t="n"/>
      <c r="D119" s="19" t="n"/>
      <c r="E119" s="19" t="n"/>
      <c r="F119" s="19" t="n"/>
      <c r="G119" s="19" t="n"/>
      <c r="H119" s="19" t="n"/>
      <c r="I119" s="19" t="n"/>
      <c r="J119" s="19" t="n"/>
      <c r="K119" s="19" t="n"/>
      <c r="L119" s="19" t="n"/>
      <c r="M119" s="130">
        <f>IF($A119="","",AND('Task Finder'!$C$7&lt;&gt;"",OR(ISNUMBER(SEARCH('Task Finder'!$C$7,$A119)),ISNUMBER(SEARCH('Task Finder'!$C$7,$B119)),ISNUMBER(SEARCH('Task Finder'!$C$7,$C119)),ISNUMBER(SEARCH('Task Finder'!$C$7,$D119)),ISNUMBER(SEARCH('Task Finder'!$C$7,$K119)))))</f>
        <v/>
      </c>
    </row>
    <row r="120">
      <c r="A120" s="19" t="n"/>
      <c r="B120" s="19" t="n"/>
      <c r="C120" s="19" t="n"/>
      <c r="D120" s="19" t="n"/>
      <c r="E120" s="19" t="n"/>
      <c r="F120" s="19" t="n"/>
      <c r="G120" s="19" t="n"/>
      <c r="H120" s="19" t="n"/>
      <c r="I120" s="19" t="n"/>
      <c r="J120" s="19" t="n"/>
      <c r="K120" s="19" t="n"/>
      <c r="L120" s="19" t="n"/>
      <c r="M120" s="130">
        <f>IF($A120="","",AND('Task Finder'!$C$7&lt;&gt;"",OR(ISNUMBER(SEARCH('Task Finder'!$C$7,$A120)),ISNUMBER(SEARCH('Task Finder'!$C$7,$B120)),ISNUMBER(SEARCH('Task Finder'!$C$7,$C120)),ISNUMBER(SEARCH('Task Finder'!$C$7,$D120)),ISNUMBER(SEARCH('Task Finder'!$C$7,$K120)))))</f>
        <v/>
      </c>
    </row>
    <row r="121">
      <c r="A121" s="19" t="n"/>
      <c r="B121" s="19" t="n"/>
      <c r="C121" s="19" t="n"/>
      <c r="D121" s="19" t="n"/>
      <c r="E121" s="19" t="n"/>
      <c r="F121" s="19" t="n"/>
      <c r="G121" s="19" t="n"/>
      <c r="H121" s="19" t="n"/>
      <c r="I121" s="19" t="n"/>
      <c r="J121" s="19" t="n"/>
      <c r="K121" s="19" t="n"/>
      <c r="L121" s="19" t="n"/>
      <c r="M121" s="130">
        <f>IF($A121="","",AND('Task Finder'!$C$7&lt;&gt;"",OR(ISNUMBER(SEARCH('Task Finder'!$C$7,$A121)),ISNUMBER(SEARCH('Task Finder'!$C$7,$B121)),ISNUMBER(SEARCH('Task Finder'!$C$7,$C121)),ISNUMBER(SEARCH('Task Finder'!$C$7,$D121)),ISNUMBER(SEARCH('Task Finder'!$C$7,$K121)))))</f>
        <v/>
      </c>
    </row>
    <row r="122">
      <c r="A122" s="19" t="n"/>
      <c r="B122" s="19" t="n"/>
      <c r="C122" s="19" t="n"/>
      <c r="D122" s="19" t="n"/>
      <c r="E122" s="19" t="n"/>
      <c r="F122" s="19" t="n"/>
      <c r="G122" s="19" t="n"/>
      <c r="H122" s="19" t="n"/>
      <c r="I122" s="19" t="n"/>
      <c r="J122" s="19" t="n"/>
      <c r="K122" s="19" t="n"/>
      <c r="L122" s="19" t="n"/>
      <c r="M122" s="130">
        <f>IF($A122="","",AND('Task Finder'!$C$7&lt;&gt;"",OR(ISNUMBER(SEARCH('Task Finder'!$C$7,$A122)),ISNUMBER(SEARCH('Task Finder'!$C$7,$B122)),ISNUMBER(SEARCH('Task Finder'!$C$7,$C122)),ISNUMBER(SEARCH('Task Finder'!$C$7,$D122)),ISNUMBER(SEARCH('Task Finder'!$C$7,$K122)))))</f>
        <v/>
      </c>
    </row>
    <row r="123">
      <c r="A123" s="19" t="n"/>
      <c r="B123" s="19" t="n"/>
      <c r="C123" s="19" t="n"/>
      <c r="D123" s="19" t="n"/>
      <c r="E123" s="19" t="n"/>
      <c r="F123" s="19" t="n"/>
      <c r="G123" s="19" t="n"/>
      <c r="H123" s="19" t="n"/>
      <c r="I123" s="19" t="n"/>
      <c r="J123" s="19" t="n"/>
      <c r="K123" s="19" t="n"/>
      <c r="L123" s="19" t="n"/>
      <c r="M123" s="130">
        <f>IF($A123="","",AND('Task Finder'!$C$7&lt;&gt;"",OR(ISNUMBER(SEARCH('Task Finder'!$C$7,$A123)),ISNUMBER(SEARCH('Task Finder'!$C$7,$B123)),ISNUMBER(SEARCH('Task Finder'!$C$7,$C123)),ISNUMBER(SEARCH('Task Finder'!$C$7,$D123)),ISNUMBER(SEARCH('Task Finder'!$C$7,$K123)))))</f>
        <v/>
      </c>
    </row>
    <row r="124">
      <c r="A124" s="19" t="n"/>
      <c r="B124" s="19" t="n"/>
      <c r="C124" s="19" t="n"/>
      <c r="D124" s="19" t="n"/>
      <c r="E124" s="19" t="n"/>
      <c r="F124" s="19" t="n"/>
      <c r="G124" s="19" t="n"/>
      <c r="H124" s="19" t="n"/>
      <c r="I124" s="19" t="n"/>
      <c r="J124" s="19" t="n"/>
      <c r="K124" s="19" t="n"/>
      <c r="L124" s="19" t="n"/>
      <c r="M124" s="130">
        <f>IF($A124="","",AND('Task Finder'!$C$7&lt;&gt;"",OR(ISNUMBER(SEARCH('Task Finder'!$C$7,$A124)),ISNUMBER(SEARCH('Task Finder'!$C$7,$B124)),ISNUMBER(SEARCH('Task Finder'!$C$7,$C124)),ISNUMBER(SEARCH('Task Finder'!$C$7,$D124)),ISNUMBER(SEARCH('Task Finder'!$C$7,$K124)))))</f>
        <v/>
      </c>
    </row>
    <row r="125">
      <c r="A125" s="19" t="n"/>
      <c r="B125" s="19" t="n"/>
      <c r="C125" s="19" t="n"/>
      <c r="D125" s="19" t="n"/>
      <c r="E125" s="19" t="n"/>
      <c r="F125" s="19" t="n"/>
      <c r="G125" s="19" t="n"/>
      <c r="H125" s="19" t="n"/>
      <c r="I125" s="19" t="n"/>
      <c r="J125" s="19" t="n"/>
      <c r="K125" s="19" t="n"/>
      <c r="L125" s="19" t="n"/>
      <c r="M125" s="130">
        <f>IF($A125="","",AND('Task Finder'!$C$7&lt;&gt;"",OR(ISNUMBER(SEARCH('Task Finder'!$C$7,$A125)),ISNUMBER(SEARCH('Task Finder'!$C$7,$B125)),ISNUMBER(SEARCH('Task Finder'!$C$7,$C125)),ISNUMBER(SEARCH('Task Finder'!$C$7,$D125)),ISNUMBER(SEARCH('Task Finder'!$C$7,$K125)))))</f>
        <v/>
      </c>
    </row>
    <row r="126">
      <c r="A126" s="19" t="n"/>
      <c r="B126" s="19" t="n"/>
      <c r="C126" s="19" t="n"/>
      <c r="D126" s="19" t="n"/>
      <c r="E126" s="19" t="n"/>
      <c r="F126" s="19" t="n"/>
      <c r="G126" s="19" t="n"/>
      <c r="H126" s="19" t="n"/>
      <c r="I126" s="19" t="n"/>
      <c r="J126" s="19" t="n"/>
      <c r="K126" s="19" t="n"/>
      <c r="L126" s="19" t="n"/>
      <c r="M126" s="130">
        <f>IF($A126="","",AND('Task Finder'!$C$7&lt;&gt;"",OR(ISNUMBER(SEARCH('Task Finder'!$C$7,$A126)),ISNUMBER(SEARCH('Task Finder'!$C$7,$B126)),ISNUMBER(SEARCH('Task Finder'!$C$7,$C126)),ISNUMBER(SEARCH('Task Finder'!$C$7,$D126)),ISNUMBER(SEARCH('Task Finder'!$C$7,$K126)))))</f>
        <v/>
      </c>
    </row>
    <row r="127">
      <c r="A127" s="19" t="n"/>
      <c r="B127" s="19" t="n"/>
      <c r="C127" s="19" t="n"/>
      <c r="D127" s="19" t="n"/>
      <c r="E127" s="19" t="n"/>
      <c r="F127" s="19" t="n"/>
      <c r="G127" s="19" t="n"/>
      <c r="H127" s="19" t="n"/>
      <c r="I127" s="19" t="n"/>
      <c r="J127" s="19" t="n"/>
      <c r="K127" s="19" t="n"/>
      <c r="L127" s="19" t="n"/>
      <c r="M127" s="130">
        <f>IF($A127="","",AND('Task Finder'!$C$7&lt;&gt;"",OR(ISNUMBER(SEARCH('Task Finder'!$C$7,$A127)),ISNUMBER(SEARCH('Task Finder'!$C$7,$B127)),ISNUMBER(SEARCH('Task Finder'!$C$7,$C127)),ISNUMBER(SEARCH('Task Finder'!$C$7,$D127)),ISNUMBER(SEARCH('Task Finder'!$C$7,$K127)))))</f>
        <v/>
      </c>
    </row>
    <row r="128">
      <c r="A128" s="19" t="n"/>
      <c r="B128" s="19" t="n"/>
      <c r="C128" s="19" t="n"/>
      <c r="D128" s="19" t="n"/>
      <c r="E128" s="19" t="n"/>
      <c r="F128" s="19" t="n"/>
      <c r="G128" s="19" t="n"/>
      <c r="H128" s="19" t="n"/>
      <c r="I128" s="19" t="n"/>
      <c r="J128" s="19" t="n"/>
      <c r="K128" s="19" t="n"/>
      <c r="L128" s="19" t="n"/>
      <c r="M128" s="130">
        <f>IF($A128="","",AND('Task Finder'!$C$7&lt;&gt;"",OR(ISNUMBER(SEARCH('Task Finder'!$C$7,$A128)),ISNUMBER(SEARCH('Task Finder'!$C$7,$B128)),ISNUMBER(SEARCH('Task Finder'!$C$7,$C128)),ISNUMBER(SEARCH('Task Finder'!$C$7,$D128)),ISNUMBER(SEARCH('Task Finder'!$C$7,$K128)))))</f>
        <v/>
      </c>
    </row>
    <row r="129">
      <c r="A129" s="19" t="n"/>
      <c r="B129" s="19" t="n"/>
      <c r="C129" s="19" t="n"/>
      <c r="D129" s="19" t="n"/>
      <c r="E129" s="19" t="n"/>
      <c r="F129" s="19" t="n"/>
      <c r="G129" s="19" t="n"/>
      <c r="H129" s="19" t="n"/>
      <c r="I129" s="19" t="n"/>
      <c r="J129" s="19" t="n"/>
      <c r="K129" s="19" t="n"/>
      <c r="L129" s="19" t="n"/>
      <c r="M129" s="130">
        <f>IF($A129="","",AND('Task Finder'!$C$7&lt;&gt;"",OR(ISNUMBER(SEARCH('Task Finder'!$C$7,$A129)),ISNUMBER(SEARCH('Task Finder'!$C$7,$B129)),ISNUMBER(SEARCH('Task Finder'!$C$7,$C129)),ISNUMBER(SEARCH('Task Finder'!$C$7,$D129)),ISNUMBER(SEARCH('Task Finder'!$C$7,$K129)))))</f>
        <v/>
      </c>
    </row>
    <row r="130">
      <c r="A130" s="19" t="n"/>
      <c r="B130" s="19" t="n"/>
      <c r="C130" s="19" t="n"/>
      <c r="D130" s="19" t="n"/>
      <c r="E130" s="19" t="n"/>
      <c r="F130" s="19" t="n"/>
      <c r="G130" s="19" t="n"/>
      <c r="H130" s="19" t="n"/>
      <c r="I130" s="19" t="n"/>
      <c r="J130" s="19" t="n"/>
      <c r="K130" s="19" t="n"/>
      <c r="L130" s="19" t="n"/>
      <c r="M130" s="130">
        <f>IF($A130="","",AND('Task Finder'!$C$7&lt;&gt;"",OR(ISNUMBER(SEARCH('Task Finder'!$C$7,$A130)),ISNUMBER(SEARCH('Task Finder'!$C$7,$B130)),ISNUMBER(SEARCH('Task Finder'!$C$7,$C130)),ISNUMBER(SEARCH('Task Finder'!$C$7,$D130)),ISNUMBER(SEARCH('Task Finder'!$C$7,$K130)))))</f>
        <v/>
      </c>
    </row>
    <row r="131">
      <c r="A131" s="19" t="n"/>
      <c r="B131" s="19" t="n"/>
      <c r="C131" s="19" t="n"/>
      <c r="D131" s="19" t="n"/>
      <c r="E131" s="19" t="n"/>
      <c r="F131" s="19" t="n"/>
      <c r="G131" s="19" t="n"/>
      <c r="H131" s="19" t="n"/>
      <c r="I131" s="19" t="n"/>
      <c r="J131" s="19" t="n"/>
      <c r="K131" s="19" t="n"/>
      <c r="L131" s="19" t="n"/>
      <c r="M131" s="130">
        <f>IF($A131="","",AND('Task Finder'!$C$7&lt;&gt;"",OR(ISNUMBER(SEARCH('Task Finder'!$C$7,$A131)),ISNUMBER(SEARCH('Task Finder'!$C$7,$B131)),ISNUMBER(SEARCH('Task Finder'!$C$7,$C131)),ISNUMBER(SEARCH('Task Finder'!$C$7,$D131)),ISNUMBER(SEARCH('Task Finder'!$C$7,$K131)))))</f>
        <v/>
      </c>
    </row>
    <row r="132">
      <c r="A132" s="19" t="n"/>
      <c r="B132" s="19" t="n"/>
      <c r="C132" s="19" t="n"/>
      <c r="D132" s="19" t="n"/>
      <c r="E132" s="19" t="n"/>
      <c r="F132" s="19" t="n"/>
      <c r="G132" s="19" t="n"/>
      <c r="H132" s="19" t="n"/>
      <c r="I132" s="19" t="n"/>
      <c r="J132" s="19" t="n"/>
      <c r="K132" s="19" t="n"/>
      <c r="L132" s="19" t="n"/>
      <c r="M132" s="130">
        <f>IF($A132="","",AND('Task Finder'!$C$7&lt;&gt;"",OR(ISNUMBER(SEARCH('Task Finder'!$C$7,$A132)),ISNUMBER(SEARCH('Task Finder'!$C$7,$B132)),ISNUMBER(SEARCH('Task Finder'!$C$7,$C132)),ISNUMBER(SEARCH('Task Finder'!$C$7,$D132)),ISNUMBER(SEARCH('Task Finder'!$C$7,$K132)))))</f>
        <v/>
      </c>
    </row>
    <row r="133">
      <c r="A133" s="19" t="n"/>
      <c r="B133" s="19" t="n"/>
      <c r="C133" s="19" t="n"/>
      <c r="D133" s="19" t="n"/>
      <c r="E133" s="19" t="n"/>
      <c r="F133" s="19" t="n"/>
      <c r="G133" s="19" t="n"/>
      <c r="H133" s="19" t="n"/>
      <c r="I133" s="19" t="n"/>
      <c r="J133" s="19" t="n"/>
      <c r="K133" s="19" t="n"/>
      <c r="L133" s="19" t="n"/>
      <c r="M133" s="130">
        <f>IF($A133="","",AND('Task Finder'!$C$7&lt;&gt;"",OR(ISNUMBER(SEARCH('Task Finder'!$C$7,$A133)),ISNUMBER(SEARCH('Task Finder'!$C$7,$B133)),ISNUMBER(SEARCH('Task Finder'!$C$7,$C133)),ISNUMBER(SEARCH('Task Finder'!$C$7,$D133)),ISNUMBER(SEARCH('Task Finder'!$C$7,$K133)))))</f>
        <v/>
      </c>
    </row>
    <row r="134">
      <c r="A134" s="19" t="n"/>
      <c r="B134" s="19" t="n"/>
      <c r="C134" s="19" t="n"/>
      <c r="D134" s="19" t="n"/>
      <c r="E134" s="19" t="n"/>
      <c r="F134" s="19" t="n"/>
      <c r="G134" s="19" t="n"/>
      <c r="H134" s="19" t="n"/>
      <c r="I134" s="19" t="n"/>
      <c r="J134" s="19" t="n"/>
      <c r="K134" s="19" t="n"/>
      <c r="L134" s="19" t="n"/>
      <c r="M134" s="130">
        <f>IF($A134="","",AND('Task Finder'!$C$7&lt;&gt;"",OR(ISNUMBER(SEARCH('Task Finder'!$C$7,$A134)),ISNUMBER(SEARCH('Task Finder'!$C$7,$B134)),ISNUMBER(SEARCH('Task Finder'!$C$7,$C134)),ISNUMBER(SEARCH('Task Finder'!$C$7,$D134)),ISNUMBER(SEARCH('Task Finder'!$C$7,$K134)))))</f>
        <v/>
      </c>
    </row>
    <row r="135">
      <c r="A135" s="19" t="n"/>
      <c r="B135" s="19" t="n"/>
      <c r="C135" s="19" t="n"/>
      <c r="D135" s="19" t="n"/>
      <c r="E135" s="19" t="n"/>
      <c r="F135" s="19" t="n"/>
      <c r="G135" s="19" t="n"/>
      <c r="H135" s="19" t="n"/>
      <c r="I135" s="19" t="n"/>
      <c r="J135" s="19" t="n"/>
      <c r="K135" s="19" t="n"/>
      <c r="L135" s="19" t="n"/>
      <c r="M135" s="130">
        <f>IF($A135="","",AND('Task Finder'!$C$7&lt;&gt;"",OR(ISNUMBER(SEARCH('Task Finder'!$C$7,$A135)),ISNUMBER(SEARCH('Task Finder'!$C$7,$B135)),ISNUMBER(SEARCH('Task Finder'!$C$7,$C135)),ISNUMBER(SEARCH('Task Finder'!$C$7,$D135)),ISNUMBER(SEARCH('Task Finder'!$C$7,$K135)))))</f>
        <v/>
      </c>
    </row>
    <row r="136">
      <c r="A136" s="19" t="n"/>
      <c r="B136" s="19" t="n"/>
      <c r="C136" s="19" t="n"/>
      <c r="D136" s="19" t="n"/>
      <c r="E136" s="19" t="n"/>
      <c r="F136" s="19" t="n"/>
      <c r="G136" s="19" t="n"/>
      <c r="H136" s="19" t="n"/>
      <c r="I136" s="19" t="n"/>
      <c r="J136" s="19" t="n"/>
      <c r="K136" s="19" t="n"/>
      <c r="L136" s="19" t="n"/>
      <c r="M136" s="130">
        <f>IF($A136="","",AND('Task Finder'!$C$7&lt;&gt;"",OR(ISNUMBER(SEARCH('Task Finder'!$C$7,$A136)),ISNUMBER(SEARCH('Task Finder'!$C$7,$B136)),ISNUMBER(SEARCH('Task Finder'!$C$7,$C136)),ISNUMBER(SEARCH('Task Finder'!$C$7,$D136)),ISNUMBER(SEARCH('Task Finder'!$C$7,$K136)))))</f>
        <v/>
      </c>
    </row>
    <row r="137">
      <c r="A137" s="19" t="n"/>
      <c r="B137" s="19" t="n"/>
      <c r="C137" s="19" t="n"/>
      <c r="D137" s="19" t="n"/>
      <c r="E137" s="19" t="n"/>
      <c r="F137" s="19" t="n"/>
      <c r="G137" s="19" t="n"/>
      <c r="H137" s="19" t="n"/>
      <c r="I137" s="19" t="n"/>
      <c r="J137" s="19" t="n"/>
      <c r="K137" s="19" t="n"/>
      <c r="L137" s="19" t="n"/>
      <c r="M137" s="130">
        <f>IF($A137="","",AND('Task Finder'!$C$7&lt;&gt;"",OR(ISNUMBER(SEARCH('Task Finder'!$C$7,$A137)),ISNUMBER(SEARCH('Task Finder'!$C$7,$B137)),ISNUMBER(SEARCH('Task Finder'!$C$7,$C137)),ISNUMBER(SEARCH('Task Finder'!$C$7,$D137)),ISNUMBER(SEARCH('Task Finder'!$C$7,$K137)))))</f>
        <v/>
      </c>
    </row>
    <row r="138">
      <c r="A138" s="19" t="n"/>
      <c r="B138" s="19" t="n"/>
      <c r="C138" s="19" t="n"/>
      <c r="D138" s="19" t="n"/>
      <c r="E138" s="19" t="n"/>
      <c r="F138" s="19" t="n"/>
      <c r="G138" s="19" t="n"/>
      <c r="H138" s="19" t="n"/>
      <c r="I138" s="19" t="n"/>
      <c r="J138" s="19" t="n"/>
      <c r="K138" s="19" t="n"/>
      <c r="L138" s="19" t="n"/>
      <c r="M138" s="130">
        <f>IF($A138="","",AND('Task Finder'!$C$7&lt;&gt;"",OR(ISNUMBER(SEARCH('Task Finder'!$C$7,$A138)),ISNUMBER(SEARCH('Task Finder'!$C$7,$B138)),ISNUMBER(SEARCH('Task Finder'!$C$7,$C138)),ISNUMBER(SEARCH('Task Finder'!$C$7,$D138)),ISNUMBER(SEARCH('Task Finder'!$C$7,$K138)))))</f>
        <v/>
      </c>
    </row>
    <row r="139">
      <c r="A139" s="19" t="n"/>
      <c r="B139" s="19" t="n"/>
      <c r="C139" s="19" t="n"/>
      <c r="D139" s="19" t="n"/>
      <c r="E139" s="19" t="n"/>
      <c r="F139" s="19" t="n"/>
      <c r="G139" s="19" t="n"/>
      <c r="H139" s="19" t="n"/>
      <c r="I139" s="19" t="n"/>
      <c r="J139" s="19" t="n"/>
      <c r="K139" s="19" t="n"/>
      <c r="L139" s="19" t="n"/>
      <c r="M139" s="130">
        <f>IF($A139="","",AND('Task Finder'!$C$7&lt;&gt;"",OR(ISNUMBER(SEARCH('Task Finder'!$C$7,$A139)),ISNUMBER(SEARCH('Task Finder'!$C$7,$B139)),ISNUMBER(SEARCH('Task Finder'!$C$7,$C139)),ISNUMBER(SEARCH('Task Finder'!$C$7,$D139)),ISNUMBER(SEARCH('Task Finder'!$C$7,$K139)))))</f>
        <v/>
      </c>
    </row>
    <row r="140">
      <c r="A140" s="19" t="n"/>
      <c r="B140" s="19" t="n"/>
      <c r="C140" s="19" t="n"/>
      <c r="D140" s="19" t="n"/>
      <c r="E140" s="19" t="n"/>
      <c r="F140" s="19" t="n"/>
      <c r="G140" s="19" t="n"/>
      <c r="H140" s="19" t="n"/>
      <c r="I140" s="19" t="n"/>
      <c r="J140" s="19" t="n"/>
      <c r="K140" s="19" t="n"/>
      <c r="L140" s="19" t="n"/>
      <c r="M140" s="130">
        <f>IF($A140="","",AND('Task Finder'!$C$7&lt;&gt;"",OR(ISNUMBER(SEARCH('Task Finder'!$C$7,$A140)),ISNUMBER(SEARCH('Task Finder'!$C$7,$B140)),ISNUMBER(SEARCH('Task Finder'!$C$7,$C140)),ISNUMBER(SEARCH('Task Finder'!$C$7,$D140)),ISNUMBER(SEARCH('Task Finder'!$C$7,$K140)))))</f>
        <v/>
      </c>
    </row>
    <row r="141">
      <c r="A141" s="19" t="n"/>
      <c r="B141" s="19" t="n"/>
      <c r="C141" s="19" t="n"/>
      <c r="D141" s="19" t="n"/>
      <c r="E141" s="19" t="n"/>
      <c r="F141" s="19" t="n"/>
      <c r="G141" s="19" t="n"/>
      <c r="H141" s="19" t="n"/>
      <c r="I141" s="19" t="n"/>
      <c r="J141" s="19" t="n"/>
      <c r="K141" s="19" t="n"/>
      <c r="L141" s="19" t="n"/>
      <c r="M141" s="130">
        <f>IF($A141="","",AND('Task Finder'!$C$7&lt;&gt;"",OR(ISNUMBER(SEARCH('Task Finder'!$C$7,$A141)),ISNUMBER(SEARCH('Task Finder'!$C$7,$B141)),ISNUMBER(SEARCH('Task Finder'!$C$7,$C141)),ISNUMBER(SEARCH('Task Finder'!$C$7,$D141)),ISNUMBER(SEARCH('Task Finder'!$C$7,$K141)))))</f>
        <v/>
      </c>
    </row>
    <row r="142">
      <c r="A142" s="19" t="n"/>
      <c r="B142" s="19" t="n"/>
      <c r="C142" s="19" t="n"/>
      <c r="D142" s="19" t="n"/>
      <c r="E142" s="19" t="n"/>
      <c r="F142" s="19" t="n"/>
      <c r="G142" s="19" t="n"/>
      <c r="H142" s="19" t="n"/>
      <c r="I142" s="19" t="n"/>
      <c r="J142" s="19" t="n"/>
      <c r="K142" s="19" t="n"/>
      <c r="L142" s="19" t="n"/>
      <c r="M142" s="130">
        <f>IF($A142="","",AND('Task Finder'!$C$7&lt;&gt;"",OR(ISNUMBER(SEARCH('Task Finder'!$C$7,$A142)),ISNUMBER(SEARCH('Task Finder'!$C$7,$B142)),ISNUMBER(SEARCH('Task Finder'!$C$7,$C142)),ISNUMBER(SEARCH('Task Finder'!$C$7,$D142)),ISNUMBER(SEARCH('Task Finder'!$C$7,$K142)))))</f>
        <v/>
      </c>
    </row>
    <row r="143">
      <c r="A143" s="19" t="n"/>
      <c r="B143" s="19" t="n"/>
      <c r="C143" s="19" t="n"/>
      <c r="D143" s="19" t="n"/>
      <c r="E143" s="19" t="n"/>
      <c r="F143" s="19" t="n"/>
      <c r="G143" s="19" t="n"/>
      <c r="H143" s="19" t="n"/>
      <c r="I143" s="19" t="n"/>
      <c r="J143" s="19" t="n"/>
      <c r="K143" s="19" t="n"/>
      <c r="L143" s="19" t="n"/>
      <c r="M143" s="130">
        <f>IF($A143="","",AND('Task Finder'!$C$7&lt;&gt;"",OR(ISNUMBER(SEARCH('Task Finder'!$C$7,$A143)),ISNUMBER(SEARCH('Task Finder'!$C$7,$B143)),ISNUMBER(SEARCH('Task Finder'!$C$7,$C143)),ISNUMBER(SEARCH('Task Finder'!$C$7,$D143)),ISNUMBER(SEARCH('Task Finder'!$C$7,$K143)))))</f>
        <v/>
      </c>
    </row>
    <row r="144">
      <c r="A144" s="19" t="n"/>
      <c r="B144" s="19" t="n"/>
      <c r="C144" s="19" t="n"/>
      <c r="D144" s="19" t="n"/>
      <c r="E144" s="19" t="n"/>
      <c r="F144" s="19" t="n"/>
      <c r="G144" s="19" t="n"/>
      <c r="H144" s="19" t="n"/>
      <c r="I144" s="19" t="n"/>
      <c r="J144" s="19" t="n"/>
      <c r="K144" s="19" t="n"/>
      <c r="L144" s="19" t="n"/>
      <c r="M144" s="130">
        <f>IF($A144="","",AND('Task Finder'!$C$7&lt;&gt;"",OR(ISNUMBER(SEARCH('Task Finder'!$C$7,$A144)),ISNUMBER(SEARCH('Task Finder'!$C$7,$B144)),ISNUMBER(SEARCH('Task Finder'!$C$7,$C144)),ISNUMBER(SEARCH('Task Finder'!$C$7,$D144)),ISNUMBER(SEARCH('Task Finder'!$C$7,$K144)))))</f>
        <v/>
      </c>
    </row>
    <row r="145">
      <c r="A145" s="19" t="n"/>
      <c r="B145" s="19" t="n"/>
      <c r="C145" s="19" t="n"/>
      <c r="D145" s="19" t="n"/>
      <c r="E145" s="19" t="n"/>
      <c r="F145" s="19" t="n"/>
      <c r="G145" s="19" t="n"/>
      <c r="H145" s="19" t="n"/>
      <c r="I145" s="19" t="n"/>
      <c r="J145" s="19" t="n"/>
      <c r="K145" s="19" t="n"/>
      <c r="L145" s="19" t="n"/>
      <c r="M145" s="130">
        <f>IF($A145="","",AND('Task Finder'!$C$7&lt;&gt;"",OR(ISNUMBER(SEARCH('Task Finder'!$C$7,$A145)),ISNUMBER(SEARCH('Task Finder'!$C$7,$B145)),ISNUMBER(SEARCH('Task Finder'!$C$7,$C145)),ISNUMBER(SEARCH('Task Finder'!$C$7,$D145)),ISNUMBER(SEARCH('Task Finder'!$C$7,$K145)))))</f>
        <v/>
      </c>
    </row>
    <row r="146">
      <c r="A146" s="19" t="n"/>
      <c r="B146" s="19" t="n"/>
      <c r="C146" s="19" t="n"/>
      <c r="D146" s="19" t="n"/>
      <c r="E146" s="19" t="n"/>
      <c r="F146" s="19" t="n"/>
      <c r="G146" s="19" t="n"/>
      <c r="H146" s="19" t="n"/>
      <c r="I146" s="19" t="n"/>
      <c r="J146" s="19" t="n"/>
      <c r="K146" s="19" t="n"/>
      <c r="L146" s="19" t="n"/>
      <c r="M146" s="130">
        <f>IF($A146="","",AND('Task Finder'!$C$7&lt;&gt;"",OR(ISNUMBER(SEARCH('Task Finder'!$C$7,$A146)),ISNUMBER(SEARCH('Task Finder'!$C$7,$B146)),ISNUMBER(SEARCH('Task Finder'!$C$7,$C146)),ISNUMBER(SEARCH('Task Finder'!$C$7,$D146)),ISNUMBER(SEARCH('Task Finder'!$C$7,$K146)))))</f>
        <v/>
      </c>
    </row>
    <row r="147">
      <c r="A147" s="19" t="n"/>
      <c r="B147" s="19" t="n"/>
      <c r="C147" s="19" t="n"/>
      <c r="D147" s="19" t="n"/>
      <c r="E147" s="19" t="n"/>
      <c r="F147" s="19" t="n"/>
      <c r="G147" s="19" t="n"/>
      <c r="H147" s="19" t="n"/>
      <c r="I147" s="19" t="n"/>
      <c r="J147" s="19" t="n"/>
      <c r="K147" s="19" t="n"/>
      <c r="L147" s="19" t="n"/>
      <c r="M147" s="130">
        <f>IF($A147="","",AND('Task Finder'!$C$7&lt;&gt;"",OR(ISNUMBER(SEARCH('Task Finder'!$C$7,$A147)),ISNUMBER(SEARCH('Task Finder'!$C$7,$B147)),ISNUMBER(SEARCH('Task Finder'!$C$7,$C147)),ISNUMBER(SEARCH('Task Finder'!$C$7,$D147)),ISNUMBER(SEARCH('Task Finder'!$C$7,$K147)))))</f>
        <v/>
      </c>
    </row>
    <row r="148">
      <c r="A148" s="19" t="n"/>
      <c r="B148" s="19" t="n"/>
      <c r="C148" s="19" t="n"/>
      <c r="D148" s="19" t="n"/>
      <c r="E148" s="19" t="n"/>
      <c r="F148" s="19" t="n"/>
      <c r="G148" s="19" t="n"/>
      <c r="H148" s="19" t="n"/>
      <c r="I148" s="19" t="n"/>
      <c r="J148" s="19" t="n"/>
      <c r="K148" s="19" t="n"/>
      <c r="L148" s="19" t="n"/>
      <c r="M148" s="130">
        <f>IF($A148="","",AND('Task Finder'!$C$7&lt;&gt;"",OR(ISNUMBER(SEARCH('Task Finder'!$C$7,$A148)),ISNUMBER(SEARCH('Task Finder'!$C$7,$B148)),ISNUMBER(SEARCH('Task Finder'!$C$7,$C148)),ISNUMBER(SEARCH('Task Finder'!$C$7,$D148)),ISNUMBER(SEARCH('Task Finder'!$C$7,$K148)))))</f>
        <v/>
      </c>
    </row>
    <row r="149">
      <c r="A149" s="19" t="n"/>
      <c r="B149" s="19" t="n"/>
      <c r="C149" s="19" t="n"/>
      <c r="D149" s="19" t="n"/>
      <c r="E149" s="19" t="n"/>
      <c r="F149" s="19" t="n"/>
      <c r="G149" s="19" t="n"/>
      <c r="H149" s="19" t="n"/>
      <c r="I149" s="19" t="n"/>
      <c r="J149" s="19" t="n"/>
      <c r="K149" s="19" t="n"/>
      <c r="L149" s="19" t="n"/>
      <c r="M149" s="130">
        <f>IF($A149="","",AND('Task Finder'!$C$7&lt;&gt;"",OR(ISNUMBER(SEARCH('Task Finder'!$C$7,$A149)),ISNUMBER(SEARCH('Task Finder'!$C$7,$B149)),ISNUMBER(SEARCH('Task Finder'!$C$7,$C149)),ISNUMBER(SEARCH('Task Finder'!$C$7,$D149)),ISNUMBER(SEARCH('Task Finder'!$C$7,$K149)))))</f>
        <v/>
      </c>
    </row>
    <row r="150">
      <c r="A150" s="19" t="n"/>
      <c r="B150" s="19" t="n"/>
      <c r="C150" s="19" t="n"/>
      <c r="D150" s="19" t="n"/>
      <c r="E150" s="19" t="n"/>
      <c r="F150" s="19" t="n"/>
      <c r="G150" s="19" t="n"/>
      <c r="H150" s="19" t="n"/>
      <c r="I150" s="19" t="n"/>
      <c r="J150" s="19" t="n"/>
      <c r="K150" s="19" t="n"/>
      <c r="L150" s="19" t="n"/>
      <c r="M150" s="130">
        <f>IF($A150="","",AND('Task Finder'!$C$7&lt;&gt;"",OR(ISNUMBER(SEARCH('Task Finder'!$C$7,$A150)),ISNUMBER(SEARCH('Task Finder'!$C$7,$B150)),ISNUMBER(SEARCH('Task Finder'!$C$7,$C150)),ISNUMBER(SEARCH('Task Finder'!$C$7,$D150)),ISNUMBER(SEARCH('Task Finder'!$C$7,$K150)))))</f>
        <v/>
      </c>
    </row>
    <row r="151">
      <c r="A151" s="19" t="n"/>
      <c r="B151" s="19" t="n"/>
      <c r="C151" s="19" t="n"/>
      <c r="D151" s="19" t="n"/>
      <c r="E151" s="19" t="n"/>
      <c r="F151" s="19" t="n"/>
      <c r="G151" s="19" t="n"/>
      <c r="H151" s="19" t="n"/>
      <c r="I151" s="19" t="n"/>
      <c r="J151" s="19" t="n"/>
      <c r="K151" s="19" t="n"/>
      <c r="L151" s="19" t="n"/>
      <c r="M151" s="130">
        <f>IF($A151="","",AND('Task Finder'!$C$7&lt;&gt;"",OR(ISNUMBER(SEARCH('Task Finder'!$C$7,$A151)),ISNUMBER(SEARCH('Task Finder'!$C$7,$B151)),ISNUMBER(SEARCH('Task Finder'!$C$7,$C151)),ISNUMBER(SEARCH('Task Finder'!$C$7,$D151)),ISNUMBER(SEARCH('Task Finder'!$C$7,$K151)))))</f>
        <v/>
      </c>
    </row>
    <row r="152">
      <c r="A152" s="19" t="n"/>
      <c r="B152" s="19" t="n"/>
      <c r="C152" s="19" t="n"/>
      <c r="D152" s="19" t="n"/>
      <c r="E152" s="19" t="n"/>
      <c r="F152" s="19" t="n"/>
      <c r="G152" s="19" t="n"/>
      <c r="H152" s="19" t="n"/>
      <c r="I152" s="19" t="n"/>
      <c r="J152" s="19" t="n"/>
      <c r="K152" s="19" t="n"/>
      <c r="L152" s="19" t="n"/>
      <c r="M152" s="130">
        <f>IF($A152="","",AND('Task Finder'!$C$7&lt;&gt;"",OR(ISNUMBER(SEARCH('Task Finder'!$C$7,$A152)),ISNUMBER(SEARCH('Task Finder'!$C$7,$B152)),ISNUMBER(SEARCH('Task Finder'!$C$7,$C152)),ISNUMBER(SEARCH('Task Finder'!$C$7,$D152)),ISNUMBER(SEARCH('Task Finder'!$C$7,$K152)))))</f>
        <v/>
      </c>
    </row>
    <row r="153">
      <c r="A153" s="19" t="n"/>
      <c r="B153" s="19" t="n"/>
      <c r="C153" s="19" t="n"/>
      <c r="D153" s="19" t="n"/>
      <c r="E153" s="19" t="n"/>
      <c r="F153" s="19" t="n"/>
      <c r="G153" s="19" t="n"/>
      <c r="H153" s="19" t="n"/>
      <c r="I153" s="19" t="n"/>
      <c r="J153" s="19" t="n"/>
      <c r="K153" s="19" t="n"/>
      <c r="L153" s="19" t="n"/>
      <c r="M153" s="130">
        <f>IF($A153="","",AND('Task Finder'!$C$7&lt;&gt;"",OR(ISNUMBER(SEARCH('Task Finder'!$C$7,$A153)),ISNUMBER(SEARCH('Task Finder'!$C$7,$B153)),ISNUMBER(SEARCH('Task Finder'!$C$7,$C153)),ISNUMBER(SEARCH('Task Finder'!$C$7,$D153)),ISNUMBER(SEARCH('Task Finder'!$C$7,$K153)))))</f>
        <v/>
      </c>
    </row>
    <row r="154">
      <c r="A154" s="19" t="n"/>
      <c r="B154" s="19" t="n"/>
      <c r="C154" s="19" t="n"/>
      <c r="D154" s="19" t="n"/>
      <c r="E154" s="19" t="n"/>
      <c r="F154" s="19" t="n"/>
      <c r="G154" s="19" t="n"/>
      <c r="H154" s="19" t="n"/>
      <c r="I154" s="19" t="n"/>
      <c r="J154" s="19" t="n"/>
      <c r="K154" s="19" t="n"/>
      <c r="L154" s="19" t="n"/>
      <c r="M154" s="130">
        <f>IF($A154="","",AND('Task Finder'!$C$7&lt;&gt;"",OR(ISNUMBER(SEARCH('Task Finder'!$C$7,$A154)),ISNUMBER(SEARCH('Task Finder'!$C$7,$B154)),ISNUMBER(SEARCH('Task Finder'!$C$7,$C154)),ISNUMBER(SEARCH('Task Finder'!$C$7,$D154)),ISNUMBER(SEARCH('Task Finder'!$C$7,$K154)))))</f>
        <v/>
      </c>
    </row>
    <row r="155">
      <c r="A155" s="19" t="n"/>
      <c r="B155" s="19" t="n"/>
      <c r="C155" s="19" t="n"/>
      <c r="D155" s="19" t="n"/>
      <c r="E155" s="19" t="n"/>
      <c r="F155" s="19" t="n"/>
      <c r="G155" s="19" t="n"/>
      <c r="H155" s="19" t="n"/>
      <c r="I155" s="19" t="n"/>
      <c r="J155" s="19" t="n"/>
      <c r="K155" s="19" t="n"/>
      <c r="L155" s="19" t="n"/>
      <c r="M155" s="130">
        <f>IF($A155="","",AND('Task Finder'!$C$7&lt;&gt;"",OR(ISNUMBER(SEARCH('Task Finder'!$C$7,$A155)),ISNUMBER(SEARCH('Task Finder'!$C$7,$B155)),ISNUMBER(SEARCH('Task Finder'!$C$7,$C155)),ISNUMBER(SEARCH('Task Finder'!$C$7,$D155)),ISNUMBER(SEARCH('Task Finder'!$C$7,$K155)))))</f>
        <v/>
      </c>
    </row>
    <row r="156">
      <c r="A156" s="19" t="n"/>
      <c r="B156" s="19" t="n"/>
      <c r="C156" s="19" t="n"/>
      <c r="D156" s="19" t="n"/>
      <c r="E156" s="19" t="n"/>
      <c r="F156" s="19" t="n"/>
      <c r="G156" s="19" t="n"/>
      <c r="H156" s="19" t="n"/>
      <c r="I156" s="19" t="n"/>
      <c r="J156" s="19" t="n"/>
      <c r="K156" s="19" t="n"/>
      <c r="L156" s="19" t="n"/>
      <c r="M156" s="130">
        <f>IF($A156="","",AND('Task Finder'!$C$7&lt;&gt;"",OR(ISNUMBER(SEARCH('Task Finder'!$C$7,$A156)),ISNUMBER(SEARCH('Task Finder'!$C$7,$B156)),ISNUMBER(SEARCH('Task Finder'!$C$7,$C156)),ISNUMBER(SEARCH('Task Finder'!$C$7,$D156)),ISNUMBER(SEARCH('Task Finder'!$C$7,$K156)))))</f>
        <v/>
      </c>
    </row>
    <row r="157">
      <c r="A157" s="19" t="n"/>
      <c r="B157" s="19" t="n"/>
      <c r="C157" s="19" t="n"/>
      <c r="D157" s="19" t="n"/>
      <c r="E157" s="19" t="n"/>
      <c r="F157" s="19" t="n"/>
      <c r="G157" s="19" t="n"/>
      <c r="H157" s="19" t="n"/>
      <c r="I157" s="19" t="n"/>
      <c r="J157" s="19" t="n"/>
      <c r="K157" s="19" t="n"/>
      <c r="L157" s="19" t="n"/>
      <c r="M157" s="130">
        <f>IF($A157="","",AND('Task Finder'!$C$7&lt;&gt;"",OR(ISNUMBER(SEARCH('Task Finder'!$C$7,$A157)),ISNUMBER(SEARCH('Task Finder'!$C$7,$B157)),ISNUMBER(SEARCH('Task Finder'!$C$7,$C157)),ISNUMBER(SEARCH('Task Finder'!$C$7,$D157)),ISNUMBER(SEARCH('Task Finder'!$C$7,$K157)))))</f>
        <v/>
      </c>
    </row>
    <row r="158">
      <c r="A158" s="19" t="n"/>
      <c r="B158" s="19" t="n"/>
      <c r="C158" s="19" t="n"/>
      <c r="D158" s="19" t="n"/>
      <c r="E158" s="19" t="n"/>
      <c r="F158" s="19" t="n"/>
      <c r="G158" s="19" t="n"/>
      <c r="H158" s="19" t="n"/>
      <c r="I158" s="19" t="n"/>
      <c r="J158" s="19" t="n"/>
      <c r="K158" s="19" t="n"/>
      <c r="L158" s="19" t="n"/>
      <c r="M158" s="130">
        <f>IF($A158="","",AND('Task Finder'!$C$7&lt;&gt;"",OR(ISNUMBER(SEARCH('Task Finder'!$C$7,$A158)),ISNUMBER(SEARCH('Task Finder'!$C$7,$B158)),ISNUMBER(SEARCH('Task Finder'!$C$7,$C158)),ISNUMBER(SEARCH('Task Finder'!$C$7,$D158)),ISNUMBER(SEARCH('Task Finder'!$C$7,$K158)))))</f>
        <v/>
      </c>
    </row>
    <row r="159">
      <c r="A159" s="19" t="n"/>
      <c r="B159" s="19" t="n"/>
      <c r="C159" s="19" t="n"/>
      <c r="D159" s="19" t="n"/>
      <c r="E159" s="19" t="n"/>
      <c r="F159" s="19" t="n"/>
      <c r="G159" s="19" t="n"/>
      <c r="H159" s="19" t="n"/>
      <c r="I159" s="19" t="n"/>
      <c r="J159" s="19" t="n"/>
      <c r="K159" s="19" t="n"/>
      <c r="L159" s="19" t="n"/>
      <c r="M159" s="130">
        <f>IF($A159="","",AND('Task Finder'!$C$7&lt;&gt;"",OR(ISNUMBER(SEARCH('Task Finder'!$C$7,$A159)),ISNUMBER(SEARCH('Task Finder'!$C$7,$B159)),ISNUMBER(SEARCH('Task Finder'!$C$7,$C159)),ISNUMBER(SEARCH('Task Finder'!$C$7,$D159)),ISNUMBER(SEARCH('Task Finder'!$C$7,$K159)))))</f>
        <v/>
      </c>
    </row>
    <row r="160">
      <c r="A160" s="19" t="n"/>
      <c r="B160" s="19" t="n"/>
      <c r="C160" s="19" t="n"/>
      <c r="D160" s="19" t="n"/>
      <c r="E160" s="19" t="n"/>
      <c r="F160" s="19" t="n"/>
      <c r="G160" s="19" t="n"/>
      <c r="H160" s="19" t="n"/>
      <c r="I160" s="19" t="n"/>
      <c r="J160" s="19" t="n"/>
      <c r="K160" s="19" t="n"/>
      <c r="L160" s="19" t="n"/>
      <c r="M160" s="130">
        <f>IF($A160="","",AND('Task Finder'!$C$7&lt;&gt;"",OR(ISNUMBER(SEARCH('Task Finder'!$C$7,$A160)),ISNUMBER(SEARCH('Task Finder'!$C$7,$B160)),ISNUMBER(SEARCH('Task Finder'!$C$7,$C160)),ISNUMBER(SEARCH('Task Finder'!$C$7,$D160)),ISNUMBER(SEARCH('Task Finder'!$C$7,$K160)))))</f>
        <v/>
      </c>
    </row>
    <row r="161">
      <c r="A161" s="19" t="n"/>
      <c r="B161" s="19" t="n"/>
      <c r="C161" s="19" t="n"/>
      <c r="D161" s="19" t="n"/>
      <c r="E161" s="19" t="n"/>
      <c r="F161" s="19" t="n"/>
      <c r="G161" s="19" t="n"/>
      <c r="H161" s="19" t="n"/>
      <c r="I161" s="19" t="n"/>
      <c r="J161" s="19" t="n"/>
      <c r="K161" s="19" t="n"/>
      <c r="L161" s="19" t="n"/>
      <c r="M161" s="130">
        <f>IF($A161="","",AND('Task Finder'!$C$7&lt;&gt;"",OR(ISNUMBER(SEARCH('Task Finder'!$C$7,$A161)),ISNUMBER(SEARCH('Task Finder'!$C$7,$B161)),ISNUMBER(SEARCH('Task Finder'!$C$7,$C161)),ISNUMBER(SEARCH('Task Finder'!$C$7,$D161)),ISNUMBER(SEARCH('Task Finder'!$C$7,$K161)))))</f>
        <v/>
      </c>
    </row>
    <row r="162">
      <c r="A162" s="19" t="n"/>
      <c r="B162" s="19" t="n"/>
      <c r="C162" s="19" t="n"/>
      <c r="D162" s="19" t="n"/>
      <c r="E162" s="19" t="n"/>
      <c r="F162" s="19" t="n"/>
      <c r="G162" s="19" t="n"/>
      <c r="H162" s="19" t="n"/>
      <c r="I162" s="19" t="n"/>
      <c r="J162" s="19" t="n"/>
      <c r="K162" s="19" t="n"/>
      <c r="L162" s="19" t="n"/>
      <c r="M162" s="130">
        <f>IF($A162="","",AND('Task Finder'!$C$7&lt;&gt;"",OR(ISNUMBER(SEARCH('Task Finder'!$C$7,$A162)),ISNUMBER(SEARCH('Task Finder'!$C$7,$B162)),ISNUMBER(SEARCH('Task Finder'!$C$7,$C162)),ISNUMBER(SEARCH('Task Finder'!$C$7,$D162)),ISNUMBER(SEARCH('Task Finder'!$C$7,$K162)))))</f>
        <v/>
      </c>
    </row>
    <row r="163">
      <c r="A163" s="19" t="n"/>
      <c r="B163" s="19" t="n"/>
      <c r="C163" s="19" t="n"/>
      <c r="D163" s="19" t="n"/>
      <c r="E163" s="19" t="n"/>
      <c r="F163" s="19" t="n"/>
      <c r="G163" s="19" t="n"/>
      <c r="H163" s="19" t="n"/>
      <c r="I163" s="19" t="n"/>
      <c r="J163" s="19" t="n"/>
      <c r="K163" s="19" t="n"/>
      <c r="L163" s="19" t="n"/>
      <c r="M163" s="130">
        <f>IF($A163="","",AND('Task Finder'!$C$7&lt;&gt;"",OR(ISNUMBER(SEARCH('Task Finder'!$C$7,$A163)),ISNUMBER(SEARCH('Task Finder'!$C$7,$B163)),ISNUMBER(SEARCH('Task Finder'!$C$7,$C163)),ISNUMBER(SEARCH('Task Finder'!$C$7,$D163)),ISNUMBER(SEARCH('Task Finder'!$C$7,$K163)))))</f>
        <v/>
      </c>
    </row>
    <row r="164">
      <c r="A164" s="19" t="n"/>
      <c r="B164" s="19" t="n"/>
      <c r="C164" s="19" t="n"/>
      <c r="D164" s="19" t="n"/>
      <c r="E164" s="19" t="n"/>
      <c r="F164" s="19" t="n"/>
      <c r="G164" s="19" t="n"/>
      <c r="H164" s="19" t="n"/>
      <c r="I164" s="19" t="n"/>
      <c r="J164" s="19" t="n"/>
      <c r="K164" s="19" t="n"/>
      <c r="L164" s="19" t="n"/>
      <c r="M164" s="130">
        <f>IF($A164="","",AND('Task Finder'!$C$7&lt;&gt;"",OR(ISNUMBER(SEARCH('Task Finder'!$C$7,$A164)),ISNUMBER(SEARCH('Task Finder'!$C$7,$B164)),ISNUMBER(SEARCH('Task Finder'!$C$7,$C164)),ISNUMBER(SEARCH('Task Finder'!$C$7,$D164)),ISNUMBER(SEARCH('Task Finder'!$C$7,$K164)))))</f>
        <v/>
      </c>
    </row>
    <row r="165">
      <c r="A165" s="19" t="n"/>
      <c r="B165" s="19" t="n"/>
      <c r="C165" s="19" t="n"/>
      <c r="D165" s="19" t="n"/>
      <c r="E165" s="19" t="n"/>
      <c r="F165" s="19" t="n"/>
      <c r="G165" s="19" t="n"/>
      <c r="H165" s="19" t="n"/>
      <c r="I165" s="19" t="n"/>
      <c r="J165" s="19" t="n"/>
      <c r="K165" s="19" t="n"/>
      <c r="L165" s="19" t="n"/>
      <c r="M165" s="130">
        <f>IF($A165="","",AND('Task Finder'!$C$7&lt;&gt;"",OR(ISNUMBER(SEARCH('Task Finder'!$C$7,$A165)),ISNUMBER(SEARCH('Task Finder'!$C$7,$B165)),ISNUMBER(SEARCH('Task Finder'!$C$7,$C165)),ISNUMBER(SEARCH('Task Finder'!$C$7,$D165)),ISNUMBER(SEARCH('Task Finder'!$C$7,$K165)))))</f>
        <v/>
      </c>
    </row>
    <row r="166">
      <c r="A166" s="19" t="n"/>
      <c r="B166" s="19" t="n"/>
      <c r="C166" s="19" t="n"/>
      <c r="D166" s="19" t="n"/>
      <c r="E166" s="19" t="n"/>
      <c r="F166" s="19" t="n"/>
      <c r="G166" s="19" t="n"/>
      <c r="H166" s="19" t="n"/>
      <c r="I166" s="19" t="n"/>
      <c r="J166" s="19" t="n"/>
      <c r="K166" s="19" t="n"/>
      <c r="L166" s="19" t="n"/>
      <c r="M166" s="130">
        <f>IF($A166="","",AND('Task Finder'!$C$7&lt;&gt;"",OR(ISNUMBER(SEARCH('Task Finder'!$C$7,$A166)),ISNUMBER(SEARCH('Task Finder'!$C$7,$B166)),ISNUMBER(SEARCH('Task Finder'!$C$7,$C166)),ISNUMBER(SEARCH('Task Finder'!$C$7,$D166)),ISNUMBER(SEARCH('Task Finder'!$C$7,$K166)))))</f>
        <v/>
      </c>
    </row>
    <row r="167">
      <c r="A167" s="19" t="n"/>
      <c r="B167" s="19" t="n"/>
      <c r="C167" s="19" t="n"/>
      <c r="D167" s="19" t="n"/>
      <c r="E167" s="19" t="n"/>
      <c r="F167" s="19" t="n"/>
      <c r="G167" s="19" t="n"/>
      <c r="H167" s="19" t="n"/>
      <c r="I167" s="19" t="n"/>
      <c r="J167" s="19" t="n"/>
      <c r="K167" s="19" t="n"/>
      <c r="L167" s="19" t="n"/>
      <c r="M167" s="130">
        <f>IF($A167="","",AND('Task Finder'!$C$7&lt;&gt;"",OR(ISNUMBER(SEARCH('Task Finder'!$C$7,$A167)),ISNUMBER(SEARCH('Task Finder'!$C$7,$B167)),ISNUMBER(SEARCH('Task Finder'!$C$7,$C167)),ISNUMBER(SEARCH('Task Finder'!$C$7,$D167)),ISNUMBER(SEARCH('Task Finder'!$C$7,$K167)))))</f>
        <v/>
      </c>
    </row>
    <row r="168">
      <c r="A168" s="19" t="n"/>
      <c r="B168" s="19" t="n"/>
      <c r="C168" s="19" t="n"/>
      <c r="D168" s="19" t="n"/>
      <c r="E168" s="19" t="n"/>
      <c r="F168" s="19" t="n"/>
      <c r="G168" s="19" t="n"/>
      <c r="H168" s="19" t="n"/>
      <c r="I168" s="19" t="n"/>
      <c r="J168" s="19" t="n"/>
      <c r="K168" s="19" t="n"/>
      <c r="L168" s="19" t="n"/>
      <c r="M168" s="130">
        <f>IF($A168="","",AND('Task Finder'!$C$7&lt;&gt;"",OR(ISNUMBER(SEARCH('Task Finder'!$C$7,$A168)),ISNUMBER(SEARCH('Task Finder'!$C$7,$B168)),ISNUMBER(SEARCH('Task Finder'!$C$7,$C168)),ISNUMBER(SEARCH('Task Finder'!$C$7,$D168)),ISNUMBER(SEARCH('Task Finder'!$C$7,$K168)))))</f>
        <v/>
      </c>
    </row>
    <row r="169">
      <c r="A169" s="19" t="n"/>
      <c r="B169" s="19" t="n"/>
      <c r="C169" s="19" t="n"/>
      <c r="D169" s="19" t="n"/>
      <c r="E169" s="19" t="n"/>
      <c r="F169" s="19" t="n"/>
      <c r="G169" s="19" t="n"/>
      <c r="H169" s="19" t="n"/>
      <c r="I169" s="19" t="n"/>
      <c r="J169" s="19" t="n"/>
      <c r="K169" s="19" t="n"/>
      <c r="L169" s="19" t="n"/>
      <c r="M169" s="130">
        <f>IF($A169="","",AND('Task Finder'!$C$7&lt;&gt;"",OR(ISNUMBER(SEARCH('Task Finder'!$C$7,$A169)),ISNUMBER(SEARCH('Task Finder'!$C$7,$B169)),ISNUMBER(SEARCH('Task Finder'!$C$7,$C169)),ISNUMBER(SEARCH('Task Finder'!$C$7,$D169)),ISNUMBER(SEARCH('Task Finder'!$C$7,$K169)))))</f>
        <v/>
      </c>
    </row>
    <row r="170">
      <c r="A170" s="19" t="n"/>
      <c r="B170" s="19" t="n"/>
      <c r="C170" s="19" t="n"/>
      <c r="D170" s="19" t="n"/>
      <c r="E170" s="19" t="n"/>
      <c r="F170" s="19" t="n"/>
      <c r="G170" s="19" t="n"/>
      <c r="H170" s="19" t="n"/>
      <c r="I170" s="19" t="n"/>
      <c r="J170" s="19" t="n"/>
      <c r="K170" s="19" t="n"/>
      <c r="L170" s="19" t="n"/>
      <c r="M170" s="130">
        <f>IF($A170="","",AND('Task Finder'!$C$7&lt;&gt;"",OR(ISNUMBER(SEARCH('Task Finder'!$C$7,$A170)),ISNUMBER(SEARCH('Task Finder'!$C$7,$B170)),ISNUMBER(SEARCH('Task Finder'!$C$7,$C170)),ISNUMBER(SEARCH('Task Finder'!$C$7,$D170)),ISNUMBER(SEARCH('Task Finder'!$C$7,$K170)))))</f>
        <v/>
      </c>
    </row>
    <row r="171">
      <c r="A171" s="19" t="n"/>
      <c r="B171" s="19" t="n"/>
      <c r="C171" s="19" t="n"/>
      <c r="D171" s="19" t="n"/>
      <c r="E171" s="19" t="n"/>
      <c r="F171" s="19" t="n"/>
      <c r="G171" s="19" t="n"/>
      <c r="H171" s="19" t="n"/>
      <c r="I171" s="19" t="n"/>
      <c r="J171" s="19" t="n"/>
      <c r="K171" s="19" t="n"/>
      <c r="L171" s="19" t="n"/>
      <c r="M171" s="130">
        <f>IF($A171="","",AND('Task Finder'!$C$7&lt;&gt;"",OR(ISNUMBER(SEARCH('Task Finder'!$C$7,$A171)),ISNUMBER(SEARCH('Task Finder'!$C$7,$B171)),ISNUMBER(SEARCH('Task Finder'!$C$7,$C171)),ISNUMBER(SEARCH('Task Finder'!$C$7,$D171)),ISNUMBER(SEARCH('Task Finder'!$C$7,$K171)))))</f>
        <v/>
      </c>
    </row>
    <row r="172">
      <c r="A172" s="19" t="n"/>
      <c r="B172" s="19" t="n"/>
      <c r="C172" s="19" t="n"/>
      <c r="D172" s="19" t="n"/>
      <c r="E172" s="19" t="n"/>
      <c r="F172" s="19" t="n"/>
      <c r="G172" s="19" t="n"/>
      <c r="H172" s="19" t="n"/>
      <c r="I172" s="19" t="n"/>
      <c r="J172" s="19" t="n"/>
      <c r="K172" s="19" t="n"/>
      <c r="L172" s="19" t="n"/>
      <c r="M172" s="130">
        <f>IF($A172="","",AND('Task Finder'!$C$7&lt;&gt;"",OR(ISNUMBER(SEARCH('Task Finder'!$C$7,$A172)),ISNUMBER(SEARCH('Task Finder'!$C$7,$B172)),ISNUMBER(SEARCH('Task Finder'!$C$7,$C172)),ISNUMBER(SEARCH('Task Finder'!$C$7,$D172)),ISNUMBER(SEARCH('Task Finder'!$C$7,$K172)))))</f>
        <v/>
      </c>
    </row>
    <row r="173">
      <c r="A173" s="19" t="n"/>
      <c r="B173" s="19" t="n"/>
      <c r="C173" s="19" t="n"/>
      <c r="D173" s="19" t="n"/>
      <c r="E173" s="19" t="n"/>
      <c r="F173" s="19" t="n"/>
      <c r="G173" s="19" t="n"/>
      <c r="H173" s="19" t="n"/>
      <c r="I173" s="19" t="n"/>
      <c r="J173" s="19" t="n"/>
      <c r="K173" s="19" t="n"/>
      <c r="L173" s="19" t="n"/>
      <c r="M173" s="130">
        <f>IF($A173="","",AND('Task Finder'!$C$7&lt;&gt;"",OR(ISNUMBER(SEARCH('Task Finder'!$C$7,$A173)),ISNUMBER(SEARCH('Task Finder'!$C$7,$B173)),ISNUMBER(SEARCH('Task Finder'!$C$7,$C173)),ISNUMBER(SEARCH('Task Finder'!$C$7,$D173)),ISNUMBER(SEARCH('Task Finder'!$C$7,$K173)))))</f>
        <v/>
      </c>
    </row>
    <row r="174">
      <c r="A174" s="19" t="n"/>
      <c r="B174" s="19" t="n"/>
      <c r="C174" s="19" t="n"/>
      <c r="D174" s="19" t="n"/>
      <c r="E174" s="19" t="n"/>
      <c r="F174" s="19" t="n"/>
      <c r="G174" s="19" t="n"/>
      <c r="H174" s="19" t="n"/>
      <c r="I174" s="19" t="n"/>
      <c r="J174" s="19" t="n"/>
      <c r="K174" s="19" t="n"/>
      <c r="L174" s="19" t="n"/>
      <c r="M174" s="130">
        <f>IF($A174="","",AND('Task Finder'!$C$7&lt;&gt;"",OR(ISNUMBER(SEARCH('Task Finder'!$C$7,$A174)),ISNUMBER(SEARCH('Task Finder'!$C$7,$B174)),ISNUMBER(SEARCH('Task Finder'!$C$7,$C174)),ISNUMBER(SEARCH('Task Finder'!$C$7,$D174)),ISNUMBER(SEARCH('Task Finder'!$C$7,$K174)))))</f>
        <v/>
      </c>
    </row>
    <row r="175">
      <c r="A175" s="19" t="n"/>
      <c r="B175" s="19" t="n"/>
      <c r="C175" s="19" t="n"/>
      <c r="D175" s="19" t="n"/>
      <c r="E175" s="19" t="n"/>
      <c r="F175" s="19" t="n"/>
      <c r="G175" s="19" t="n"/>
      <c r="H175" s="19" t="n"/>
      <c r="I175" s="19" t="n"/>
      <c r="J175" s="19" t="n"/>
      <c r="K175" s="19" t="n"/>
      <c r="L175" s="19" t="n"/>
      <c r="M175" s="130">
        <f>IF($A175="","",AND('Task Finder'!$C$7&lt;&gt;"",OR(ISNUMBER(SEARCH('Task Finder'!$C$7,$A175)),ISNUMBER(SEARCH('Task Finder'!$C$7,$B175)),ISNUMBER(SEARCH('Task Finder'!$C$7,$C175)),ISNUMBER(SEARCH('Task Finder'!$C$7,$D175)),ISNUMBER(SEARCH('Task Finder'!$C$7,$K175)))))</f>
        <v/>
      </c>
    </row>
    <row r="176">
      <c r="A176" s="19" t="n"/>
      <c r="B176" s="19" t="n"/>
      <c r="C176" s="19" t="n"/>
      <c r="D176" s="19" t="n"/>
      <c r="E176" s="19" t="n"/>
      <c r="F176" s="19" t="n"/>
      <c r="G176" s="19" t="n"/>
      <c r="H176" s="19" t="n"/>
      <c r="I176" s="19" t="n"/>
      <c r="J176" s="19" t="n"/>
      <c r="K176" s="19" t="n"/>
      <c r="L176" s="19" t="n"/>
      <c r="M176" s="130">
        <f>IF($A176="","",AND('Task Finder'!$C$7&lt;&gt;"",OR(ISNUMBER(SEARCH('Task Finder'!$C$7,$A176)),ISNUMBER(SEARCH('Task Finder'!$C$7,$B176)),ISNUMBER(SEARCH('Task Finder'!$C$7,$C176)),ISNUMBER(SEARCH('Task Finder'!$C$7,$D176)),ISNUMBER(SEARCH('Task Finder'!$C$7,$K176)))))</f>
        <v/>
      </c>
    </row>
    <row r="177">
      <c r="A177" s="19" t="n"/>
      <c r="B177" s="19" t="n"/>
      <c r="C177" s="19" t="n"/>
      <c r="D177" s="19" t="n"/>
      <c r="E177" s="19" t="n"/>
      <c r="F177" s="19" t="n"/>
      <c r="G177" s="19" t="n"/>
      <c r="H177" s="19" t="n"/>
      <c r="I177" s="19" t="n"/>
      <c r="J177" s="19" t="n"/>
      <c r="K177" s="19" t="n"/>
      <c r="L177" s="19" t="n"/>
      <c r="M177" s="130">
        <f>IF($A177="","",AND('Task Finder'!$C$7&lt;&gt;"",OR(ISNUMBER(SEARCH('Task Finder'!$C$7,$A177)),ISNUMBER(SEARCH('Task Finder'!$C$7,$B177)),ISNUMBER(SEARCH('Task Finder'!$C$7,$C177)),ISNUMBER(SEARCH('Task Finder'!$C$7,$D177)),ISNUMBER(SEARCH('Task Finder'!$C$7,$K177)))))</f>
        <v/>
      </c>
    </row>
    <row r="178">
      <c r="A178" s="19" t="n"/>
      <c r="B178" s="19" t="n"/>
      <c r="C178" s="19" t="n"/>
      <c r="D178" s="19" t="n"/>
      <c r="E178" s="19" t="n"/>
      <c r="F178" s="19" t="n"/>
      <c r="G178" s="19" t="n"/>
      <c r="H178" s="19" t="n"/>
      <c r="I178" s="19" t="n"/>
      <c r="J178" s="19" t="n"/>
      <c r="K178" s="19" t="n"/>
      <c r="L178" s="19" t="n"/>
      <c r="M178" s="130">
        <f>IF($A178="","",AND('Task Finder'!$C$7&lt;&gt;"",OR(ISNUMBER(SEARCH('Task Finder'!$C$7,$A178)),ISNUMBER(SEARCH('Task Finder'!$C$7,$B178)),ISNUMBER(SEARCH('Task Finder'!$C$7,$C178)),ISNUMBER(SEARCH('Task Finder'!$C$7,$D178)),ISNUMBER(SEARCH('Task Finder'!$C$7,$K178)))))</f>
        <v/>
      </c>
    </row>
    <row r="179">
      <c r="A179" s="19" t="n"/>
      <c r="B179" s="19" t="n"/>
      <c r="C179" s="19" t="n"/>
      <c r="D179" s="19" t="n"/>
      <c r="E179" s="19" t="n"/>
      <c r="F179" s="19" t="n"/>
      <c r="G179" s="19" t="n"/>
      <c r="H179" s="19" t="n"/>
      <c r="I179" s="19" t="n"/>
      <c r="J179" s="19" t="n"/>
      <c r="K179" s="19" t="n"/>
      <c r="L179" s="19" t="n"/>
      <c r="M179" s="130">
        <f>IF($A179="","",AND('Task Finder'!$C$7&lt;&gt;"",OR(ISNUMBER(SEARCH('Task Finder'!$C$7,$A179)),ISNUMBER(SEARCH('Task Finder'!$C$7,$B179)),ISNUMBER(SEARCH('Task Finder'!$C$7,$C179)),ISNUMBER(SEARCH('Task Finder'!$C$7,$D179)),ISNUMBER(SEARCH('Task Finder'!$C$7,$K179)))))</f>
        <v/>
      </c>
    </row>
    <row r="180">
      <c r="A180" s="19" t="n"/>
      <c r="B180" s="19" t="n"/>
      <c r="C180" s="19" t="n"/>
      <c r="D180" s="19" t="n"/>
      <c r="E180" s="19" t="n"/>
      <c r="F180" s="19" t="n"/>
      <c r="G180" s="19" t="n"/>
      <c r="H180" s="19" t="n"/>
      <c r="I180" s="19" t="n"/>
      <c r="J180" s="19" t="n"/>
      <c r="K180" s="19" t="n"/>
      <c r="L180" s="19" t="n"/>
      <c r="M180" s="130">
        <f>IF($A180="","",AND('Task Finder'!$C$7&lt;&gt;"",OR(ISNUMBER(SEARCH('Task Finder'!$C$7,$A180)),ISNUMBER(SEARCH('Task Finder'!$C$7,$B180)),ISNUMBER(SEARCH('Task Finder'!$C$7,$C180)),ISNUMBER(SEARCH('Task Finder'!$C$7,$D180)),ISNUMBER(SEARCH('Task Finder'!$C$7,$K180)))))</f>
        <v/>
      </c>
    </row>
    <row r="181">
      <c r="A181" s="19" t="n"/>
      <c r="B181" s="19" t="n"/>
      <c r="C181" s="19" t="n"/>
      <c r="D181" s="19" t="n"/>
      <c r="E181" s="19" t="n"/>
      <c r="F181" s="19" t="n"/>
      <c r="G181" s="19" t="n"/>
      <c r="H181" s="19" t="n"/>
      <c r="I181" s="19" t="n"/>
      <c r="J181" s="19" t="n"/>
      <c r="K181" s="19" t="n"/>
      <c r="L181" s="19" t="n"/>
      <c r="M181" s="130">
        <f>IF($A181="","",AND('Task Finder'!$C$7&lt;&gt;"",OR(ISNUMBER(SEARCH('Task Finder'!$C$7,$A181)),ISNUMBER(SEARCH('Task Finder'!$C$7,$B181)),ISNUMBER(SEARCH('Task Finder'!$C$7,$C181)),ISNUMBER(SEARCH('Task Finder'!$C$7,$D181)),ISNUMBER(SEARCH('Task Finder'!$C$7,$K181)))))</f>
        <v/>
      </c>
    </row>
    <row r="182">
      <c r="A182" s="19" t="n"/>
      <c r="B182" s="19" t="n"/>
      <c r="C182" s="19" t="n"/>
      <c r="D182" s="19" t="n"/>
      <c r="E182" s="19" t="n"/>
      <c r="F182" s="19" t="n"/>
      <c r="G182" s="19" t="n"/>
      <c r="H182" s="19" t="n"/>
      <c r="I182" s="19" t="n"/>
      <c r="J182" s="19" t="n"/>
      <c r="K182" s="19" t="n"/>
      <c r="L182" s="19" t="n"/>
      <c r="M182" s="130">
        <f>IF($A182="","",AND('Task Finder'!$C$7&lt;&gt;"",OR(ISNUMBER(SEARCH('Task Finder'!$C$7,$A182)),ISNUMBER(SEARCH('Task Finder'!$C$7,$B182)),ISNUMBER(SEARCH('Task Finder'!$C$7,$C182)),ISNUMBER(SEARCH('Task Finder'!$C$7,$D182)),ISNUMBER(SEARCH('Task Finder'!$C$7,$K182)))))</f>
        <v/>
      </c>
    </row>
    <row r="183">
      <c r="A183" s="19" t="n"/>
      <c r="B183" s="19" t="n"/>
      <c r="C183" s="19" t="n"/>
      <c r="D183" s="19" t="n"/>
      <c r="E183" s="19" t="n"/>
      <c r="F183" s="19" t="n"/>
      <c r="G183" s="19" t="n"/>
      <c r="H183" s="19" t="n"/>
      <c r="I183" s="19" t="n"/>
      <c r="J183" s="19" t="n"/>
      <c r="K183" s="19" t="n"/>
      <c r="L183" s="19" t="n"/>
      <c r="M183" s="130">
        <f>IF($A183="","",AND('Task Finder'!$C$7&lt;&gt;"",OR(ISNUMBER(SEARCH('Task Finder'!$C$7,$A183)),ISNUMBER(SEARCH('Task Finder'!$C$7,$B183)),ISNUMBER(SEARCH('Task Finder'!$C$7,$C183)),ISNUMBER(SEARCH('Task Finder'!$C$7,$D183)),ISNUMBER(SEARCH('Task Finder'!$C$7,$K183)))))</f>
        <v/>
      </c>
    </row>
    <row r="184">
      <c r="A184" s="19" t="n"/>
      <c r="B184" s="19" t="n"/>
      <c r="C184" s="19" t="n"/>
      <c r="D184" s="19" t="n"/>
      <c r="E184" s="19" t="n"/>
      <c r="F184" s="19" t="n"/>
      <c r="G184" s="19" t="n"/>
      <c r="H184" s="19" t="n"/>
      <c r="I184" s="19" t="n"/>
      <c r="J184" s="19" t="n"/>
      <c r="K184" s="19" t="n"/>
      <c r="L184" s="19" t="n"/>
      <c r="M184" s="130">
        <f>IF($A184="","",AND('Task Finder'!$C$7&lt;&gt;"",OR(ISNUMBER(SEARCH('Task Finder'!$C$7,$A184)),ISNUMBER(SEARCH('Task Finder'!$C$7,$B184)),ISNUMBER(SEARCH('Task Finder'!$C$7,$C184)),ISNUMBER(SEARCH('Task Finder'!$C$7,$D184)),ISNUMBER(SEARCH('Task Finder'!$C$7,$K184)))))</f>
        <v/>
      </c>
    </row>
    <row r="185">
      <c r="A185" s="19" t="n"/>
      <c r="B185" s="19" t="n"/>
      <c r="C185" s="19" t="n"/>
      <c r="D185" s="19" t="n"/>
      <c r="E185" s="19" t="n"/>
      <c r="F185" s="19" t="n"/>
      <c r="G185" s="19" t="n"/>
      <c r="H185" s="19" t="n"/>
      <c r="I185" s="19" t="n"/>
      <c r="J185" s="19" t="n"/>
      <c r="K185" s="19" t="n"/>
      <c r="L185" s="19" t="n"/>
      <c r="M185" s="130">
        <f>IF($A185="","",AND('Task Finder'!$C$7&lt;&gt;"",OR(ISNUMBER(SEARCH('Task Finder'!$C$7,$A185)),ISNUMBER(SEARCH('Task Finder'!$C$7,$B185)),ISNUMBER(SEARCH('Task Finder'!$C$7,$C185)),ISNUMBER(SEARCH('Task Finder'!$C$7,$D185)),ISNUMBER(SEARCH('Task Finder'!$C$7,$K185)))))</f>
        <v/>
      </c>
    </row>
    <row r="186">
      <c r="A186" s="19" t="n"/>
      <c r="B186" s="19" t="n"/>
      <c r="C186" s="19" t="n"/>
      <c r="D186" s="19" t="n"/>
      <c r="E186" s="19" t="n"/>
      <c r="F186" s="19" t="n"/>
      <c r="G186" s="19" t="n"/>
      <c r="H186" s="19" t="n"/>
      <c r="I186" s="19" t="n"/>
      <c r="J186" s="19" t="n"/>
      <c r="K186" s="19" t="n"/>
      <c r="L186" s="19" t="n"/>
      <c r="M186" s="130">
        <f>IF($A186="","",AND('Task Finder'!$C$7&lt;&gt;"",OR(ISNUMBER(SEARCH('Task Finder'!$C$7,$A186)),ISNUMBER(SEARCH('Task Finder'!$C$7,$B186)),ISNUMBER(SEARCH('Task Finder'!$C$7,$C186)),ISNUMBER(SEARCH('Task Finder'!$C$7,$D186)),ISNUMBER(SEARCH('Task Finder'!$C$7,$K186)))))</f>
        <v/>
      </c>
    </row>
    <row r="187">
      <c r="A187" s="19" t="n"/>
      <c r="B187" s="19" t="n"/>
      <c r="C187" s="19" t="n"/>
      <c r="D187" s="19" t="n"/>
      <c r="E187" s="19" t="n"/>
      <c r="F187" s="19" t="n"/>
      <c r="G187" s="19" t="n"/>
      <c r="H187" s="19" t="n"/>
      <c r="I187" s="19" t="n"/>
      <c r="J187" s="19" t="n"/>
      <c r="K187" s="19" t="n"/>
      <c r="L187" s="19" t="n"/>
      <c r="M187" s="130">
        <f>IF($A187="","",AND('Task Finder'!$C$7&lt;&gt;"",OR(ISNUMBER(SEARCH('Task Finder'!$C$7,$A187)),ISNUMBER(SEARCH('Task Finder'!$C$7,$B187)),ISNUMBER(SEARCH('Task Finder'!$C$7,$C187)),ISNUMBER(SEARCH('Task Finder'!$C$7,$D187)),ISNUMBER(SEARCH('Task Finder'!$C$7,$K187)))))</f>
        <v/>
      </c>
    </row>
    <row r="188">
      <c r="A188" s="19" t="n"/>
      <c r="B188" s="19" t="n"/>
      <c r="C188" s="19" t="n"/>
      <c r="D188" s="19" t="n"/>
      <c r="E188" s="19" t="n"/>
      <c r="F188" s="19" t="n"/>
      <c r="G188" s="19" t="n"/>
      <c r="H188" s="19" t="n"/>
      <c r="I188" s="19" t="n"/>
      <c r="J188" s="19" t="n"/>
      <c r="K188" s="19" t="n"/>
      <c r="L188" s="19" t="n"/>
      <c r="M188" s="130">
        <f>IF($A188="","",AND('Task Finder'!$C$7&lt;&gt;"",OR(ISNUMBER(SEARCH('Task Finder'!$C$7,$A188)),ISNUMBER(SEARCH('Task Finder'!$C$7,$B188)),ISNUMBER(SEARCH('Task Finder'!$C$7,$C188)),ISNUMBER(SEARCH('Task Finder'!$C$7,$D188)),ISNUMBER(SEARCH('Task Finder'!$C$7,$K188)))))</f>
        <v/>
      </c>
    </row>
    <row r="189">
      <c r="A189" s="19" t="n"/>
      <c r="B189" s="19" t="n"/>
      <c r="C189" s="19" t="n"/>
      <c r="D189" s="19" t="n"/>
      <c r="E189" s="19" t="n"/>
      <c r="F189" s="19" t="n"/>
      <c r="G189" s="19" t="n"/>
      <c r="H189" s="19" t="n"/>
      <c r="I189" s="19" t="n"/>
      <c r="J189" s="19" t="n"/>
      <c r="K189" s="19" t="n"/>
      <c r="L189" s="19" t="n"/>
      <c r="M189" s="130">
        <f>IF($A189="","",AND('Task Finder'!$C$7&lt;&gt;"",OR(ISNUMBER(SEARCH('Task Finder'!$C$7,$A189)),ISNUMBER(SEARCH('Task Finder'!$C$7,$B189)),ISNUMBER(SEARCH('Task Finder'!$C$7,$C189)),ISNUMBER(SEARCH('Task Finder'!$C$7,$D189)),ISNUMBER(SEARCH('Task Finder'!$C$7,$K189)))))</f>
        <v/>
      </c>
    </row>
    <row r="190">
      <c r="A190" s="19" t="n"/>
      <c r="B190" s="19" t="n"/>
      <c r="C190" s="19" t="n"/>
      <c r="D190" s="19" t="n"/>
      <c r="E190" s="19" t="n"/>
      <c r="F190" s="19" t="n"/>
      <c r="G190" s="19" t="n"/>
      <c r="H190" s="19" t="n"/>
      <c r="I190" s="19" t="n"/>
      <c r="J190" s="19" t="n"/>
      <c r="K190" s="19" t="n"/>
      <c r="L190" s="19" t="n"/>
      <c r="M190" s="130">
        <f>IF($A190="","",AND('Task Finder'!$C$7&lt;&gt;"",OR(ISNUMBER(SEARCH('Task Finder'!$C$7,$A190)),ISNUMBER(SEARCH('Task Finder'!$C$7,$B190)),ISNUMBER(SEARCH('Task Finder'!$C$7,$C190)),ISNUMBER(SEARCH('Task Finder'!$C$7,$D190)),ISNUMBER(SEARCH('Task Finder'!$C$7,$K190)))))</f>
        <v/>
      </c>
    </row>
    <row r="191">
      <c r="A191" s="19" t="n"/>
      <c r="B191" s="19" t="n"/>
      <c r="C191" s="19" t="n"/>
      <c r="D191" s="19" t="n"/>
      <c r="E191" s="19" t="n"/>
      <c r="F191" s="19" t="n"/>
      <c r="G191" s="19" t="n"/>
      <c r="H191" s="19" t="n"/>
      <c r="I191" s="19" t="n"/>
      <c r="J191" s="19" t="n"/>
      <c r="K191" s="19" t="n"/>
      <c r="L191" s="19" t="n"/>
      <c r="M191" s="130">
        <f>IF($A191="","",AND('Task Finder'!$C$7&lt;&gt;"",OR(ISNUMBER(SEARCH('Task Finder'!$C$7,$A191)),ISNUMBER(SEARCH('Task Finder'!$C$7,$B191)),ISNUMBER(SEARCH('Task Finder'!$C$7,$C191)),ISNUMBER(SEARCH('Task Finder'!$C$7,$D191)),ISNUMBER(SEARCH('Task Finder'!$C$7,$K191)))))</f>
        <v/>
      </c>
    </row>
    <row r="192">
      <c r="A192" s="19" t="n"/>
      <c r="B192" s="19" t="n"/>
      <c r="C192" s="19" t="n"/>
      <c r="D192" s="19" t="n"/>
      <c r="E192" s="19" t="n"/>
      <c r="F192" s="19" t="n"/>
      <c r="G192" s="19" t="n"/>
      <c r="H192" s="19" t="n"/>
      <c r="I192" s="19" t="n"/>
      <c r="J192" s="19" t="n"/>
      <c r="K192" s="19" t="n"/>
      <c r="L192" s="19" t="n"/>
      <c r="M192" s="130">
        <f>IF($A192="","",AND('Task Finder'!$C$7&lt;&gt;"",OR(ISNUMBER(SEARCH('Task Finder'!$C$7,$A192)),ISNUMBER(SEARCH('Task Finder'!$C$7,$B192)),ISNUMBER(SEARCH('Task Finder'!$C$7,$C192)),ISNUMBER(SEARCH('Task Finder'!$C$7,$D192)),ISNUMBER(SEARCH('Task Finder'!$C$7,$K192)))))</f>
        <v/>
      </c>
    </row>
    <row r="193">
      <c r="A193" s="19" t="n"/>
      <c r="B193" s="19" t="n"/>
      <c r="C193" s="19" t="n"/>
      <c r="D193" s="19" t="n"/>
      <c r="E193" s="19" t="n"/>
      <c r="F193" s="19" t="n"/>
      <c r="G193" s="19" t="n"/>
      <c r="H193" s="19" t="n"/>
      <c r="I193" s="19" t="n"/>
      <c r="J193" s="19" t="n"/>
      <c r="K193" s="19" t="n"/>
      <c r="L193" s="19" t="n"/>
      <c r="M193" s="130">
        <f>IF($A193="","",AND('Task Finder'!$C$7&lt;&gt;"",OR(ISNUMBER(SEARCH('Task Finder'!$C$7,$A193)),ISNUMBER(SEARCH('Task Finder'!$C$7,$B193)),ISNUMBER(SEARCH('Task Finder'!$C$7,$C193)),ISNUMBER(SEARCH('Task Finder'!$C$7,$D193)),ISNUMBER(SEARCH('Task Finder'!$C$7,$K193)))))</f>
        <v/>
      </c>
    </row>
    <row r="194">
      <c r="A194" s="19" t="n"/>
      <c r="B194" s="19" t="n"/>
      <c r="C194" s="19" t="n"/>
      <c r="D194" s="19" t="n"/>
      <c r="E194" s="19" t="n"/>
      <c r="F194" s="19" t="n"/>
      <c r="G194" s="19" t="n"/>
      <c r="H194" s="19" t="n"/>
      <c r="I194" s="19" t="n"/>
      <c r="J194" s="19" t="n"/>
      <c r="K194" s="19" t="n"/>
      <c r="L194" s="19" t="n"/>
      <c r="M194" s="130">
        <f>IF($A194="","",AND('Task Finder'!$C$7&lt;&gt;"",OR(ISNUMBER(SEARCH('Task Finder'!$C$7,$A194)),ISNUMBER(SEARCH('Task Finder'!$C$7,$B194)),ISNUMBER(SEARCH('Task Finder'!$C$7,$C194)),ISNUMBER(SEARCH('Task Finder'!$C$7,$D194)),ISNUMBER(SEARCH('Task Finder'!$C$7,$K194)))))</f>
        <v/>
      </c>
    </row>
    <row r="195">
      <c r="A195" s="19" t="n"/>
      <c r="B195" s="19" t="n"/>
      <c r="C195" s="19" t="n"/>
      <c r="D195" s="19" t="n"/>
      <c r="E195" s="19" t="n"/>
      <c r="F195" s="19" t="n"/>
      <c r="G195" s="19" t="n"/>
      <c r="H195" s="19" t="n"/>
      <c r="I195" s="19" t="n"/>
      <c r="J195" s="19" t="n"/>
      <c r="K195" s="19" t="n"/>
      <c r="L195" s="19" t="n"/>
      <c r="M195" s="130">
        <f>IF($A195="","",AND('Task Finder'!$C$7&lt;&gt;"",OR(ISNUMBER(SEARCH('Task Finder'!$C$7,$A195)),ISNUMBER(SEARCH('Task Finder'!$C$7,$B195)),ISNUMBER(SEARCH('Task Finder'!$C$7,$C195)),ISNUMBER(SEARCH('Task Finder'!$C$7,$D195)),ISNUMBER(SEARCH('Task Finder'!$C$7,$K195)))))</f>
        <v/>
      </c>
    </row>
    <row r="196">
      <c r="A196" s="19" t="n"/>
      <c r="B196" s="19" t="n"/>
      <c r="C196" s="19" t="n"/>
      <c r="D196" s="19" t="n"/>
      <c r="E196" s="19" t="n"/>
      <c r="F196" s="19" t="n"/>
      <c r="G196" s="19" t="n"/>
      <c r="H196" s="19" t="n"/>
      <c r="I196" s="19" t="n"/>
      <c r="J196" s="19" t="n"/>
      <c r="K196" s="19" t="n"/>
      <c r="L196" s="19" t="n"/>
      <c r="M196" s="130">
        <f>IF($A196="","",AND('Task Finder'!$C$7&lt;&gt;"",OR(ISNUMBER(SEARCH('Task Finder'!$C$7,$A196)),ISNUMBER(SEARCH('Task Finder'!$C$7,$B196)),ISNUMBER(SEARCH('Task Finder'!$C$7,$C196)),ISNUMBER(SEARCH('Task Finder'!$C$7,$D196)),ISNUMBER(SEARCH('Task Finder'!$C$7,$K196)))))</f>
        <v/>
      </c>
    </row>
    <row r="197">
      <c r="A197" s="19" t="n"/>
      <c r="B197" s="19" t="n"/>
      <c r="C197" s="19" t="n"/>
      <c r="D197" s="19" t="n"/>
      <c r="E197" s="19" t="n"/>
      <c r="F197" s="19" t="n"/>
      <c r="G197" s="19" t="n"/>
      <c r="H197" s="19" t="n"/>
      <c r="I197" s="19" t="n"/>
      <c r="J197" s="19" t="n"/>
      <c r="K197" s="19" t="n"/>
      <c r="L197" s="19" t="n"/>
      <c r="M197" s="130">
        <f>IF($A197="","",AND('Task Finder'!$C$7&lt;&gt;"",OR(ISNUMBER(SEARCH('Task Finder'!$C$7,$A197)),ISNUMBER(SEARCH('Task Finder'!$C$7,$B197)),ISNUMBER(SEARCH('Task Finder'!$C$7,$C197)),ISNUMBER(SEARCH('Task Finder'!$C$7,$D197)),ISNUMBER(SEARCH('Task Finder'!$C$7,$K197)))))</f>
        <v/>
      </c>
    </row>
    <row r="198">
      <c r="A198" s="19" t="n"/>
      <c r="B198" s="19" t="n"/>
      <c r="C198" s="19" t="n"/>
      <c r="D198" s="19" t="n"/>
      <c r="E198" s="19" t="n"/>
      <c r="F198" s="19" t="n"/>
      <c r="G198" s="19" t="n"/>
      <c r="H198" s="19" t="n"/>
      <c r="I198" s="19" t="n"/>
      <c r="J198" s="19" t="n"/>
      <c r="K198" s="19" t="n"/>
      <c r="L198" s="19" t="n"/>
      <c r="M198" s="130">
        <f>IF($A198="","",AND('Task Finder'!$C$7&lt;&gt;"",OR(ISNUMBER(SEARCH('Task Finder'!$C$7,$A198)),ISNUMBER(SEARCH('Task Finder'!$C$7,$B198)),ISNUMBER(SEARCH('Task Finder'!$C$7,$C198)),ISNUMBER(SEARCH('Task Finder'!$C$7,$D198)),ISNUMBER(SEARCH('Task Finder'!$C$7,$K198)))))</f>
        <v/>
      </c>
    </row>
    <row r="199">
      <c r="A199" s="19" t="n"/>
      <c r="B199" s="19" t="n"/>
      <c r="C199" s="19" t="n"/>
      <c r="D199" s="19" t="n"/>
      <c r="E199" s="19" t="n"/>
      <c r="F199" s="19" t="n"/>
      <c r="G199" s="19" t="n"/>
      <c r="H199" s="19" t="n"/>
      <c r="I199" s="19" t="n"/>
      <c r="J199" s="19" t="n"/>
      <c r="K199" s="19" t="n"/>
      <c r="L199" s="19" t="n"/>
      <c r="M199" s="130">
        <f>IF($A199="","",AND('Task Finder'!$C$7&lt;&gt;"",OR(ISNUMBER(SEARCH('Task Finder'!$C$7,$A199)),ISNUMBER(SEARCH('Task Finder'!$C$7,$B199)),ISNUMBER(SEARCH('Task Finder'!$C$7,$C199)),ISNUMBER(SEARCH('Task Finder'!$C$7,$D199)),ISNUMBER(SEARCH('Task Finder'!$C$7,$K199)))))</f>
        <v/>
      </c>
    </row>
    <row r="200">
      <c r="A200" s="19" t="n"/>
      <c r="B200" s="19" t="n"/>
      <c r="C200" s="19" t="n"/>
      <c r="D200" s="19" t="n"/>
      <c r="E200" s="19" t="n"/>
      <c r="F200" s="19" t="n"/>
      <c r="G200" s="19" t="n"/>
      <c r="H200" s="19" t="n"/>
      <c r="I200" s="19" t="n"/>
      <c r="J200" s="19" t="n"/>
      <c r="K200" s="19" t="n"/>
      <c r="L200" s="19" t="n"/>
      <c r="M200" s="130">
        <f>IF($A200="","",AND('Task Finder'!$C$7&lt;&gt;"",OR(ISNUMBER(SEARCH('Task Finder'!$C$7,$A200)),ISNUMBER(SEARCH('Task Finder'!$C$7,$B200)),ISNUMBER(SEARCH('Task Finder'!$C$7,$C200)),ISNUMBER(SEARCH('Task Finder'!$C$7,$D200)),ISNUMBER(SEARCH('Task Finder'!$C$7,$K200)))))</f>
        <v/>
      </c>
    </row>
    <row r="201">
      <c r="A201" s="19" t="n"/>
      <c r="B201" s="19" t="n"/>
      <c r="C201" s="19" t="n"/>
      <c r="D201" s="19" t="n"/>
      <c r="E201" s="19" t="n"/>
      <c r="F201" s="19" t="n"/>
      <c r="G201" s="19" t="n"/>
      <c r="H201" s="19" t="n"/>
      <c r="I201" s="19" t="n"/>
      <c r="J201" s="19" t="n"/>
      <c r="K201" s="19" t="n"/>
      <c r="L201" s="19" t="n"/>
      <c r="M201" s="130">
        <f>IF($A201="","",AND('Task Finder'!$C$7&lt;&gt;"",OR(ISNUMBER(SEARCH('Task Finder'!$C$7,$A201)),ISNUMBER(SEARCH('Task Finder'!$C$7,$B201)),ISNUMBER(SEARCH('Task Finder'!$C$7,$C201)),ISNUMBER(SEARCH('Task Finder'!$C$7,$D201)),ISNUMBER(SEARCH('Task Finder'!$C$7,$K201)))))</f>
        <v/>
      </c>
    </row>
    <row r="202">
      <c r="A202" s="19" t="n"/>
      <c r="B202" s="19" t="n"/>
      <c r="C202" s="19" t="n"/>
      <c r="D202" s="19" t="n"/>
      <c r="E202" s="19" t="n"/>
      <c r="F202" s="19" t="n"/>
      <c r="G202" s="19" t="n"/>
      <c r="H202" s="19" t="n"/>
      <c r="I202" s="19" t="n"/>
      <c r="J202" s="19" t="n"/>
      <c r="K202" s="19" t="n"/>
      <c r="L202" s="19" t="n"/>
      <c r="M202" s="130">
        <f>IF($A202="","",AND('Task Finder'!$C$7&lt;&gt;"",OR(ISNUMBER(SEARCH('Task Finder'!$C$7,$A202)),ISNUMBER(SEARCH('Task Finder'!$C$7,$B202)),ISNUMBER(SEARCH('Task Finder'!$C$7,$C202)),ISNUMBER(SEARCH('Task Finder'!$C$7,$D202)),ISNUMBER(SEARCH('Task Finder'!$C$7,$K202)))))</f>
        <v/>
      </c>
    </row>
    <row r="203">
      <c r="A203" s="19" t="n"/>
      <c r="B203" s="19" t="n"/>
      <c r="C203" s="19" t="n"/>
      <c r="D203" s="19" t="n"/>
      <c r="E203" s="19" t="n"/>
      <c r="F203" s="19" t="n"/>
      <c r="G203" s="19" t="n"/>
      <c r="H203" s="19" t="n"/>
      <c r="I203" s="19" t="n"/>
      <c r="J203" s="19" t="n"/>
      <c r="K203" s="19" t="n"/>
      <c r="L203" s="19" t="n"/>
      <c r="M203" s="130">
        <f>IF($A203="","",AND('Task Finder'!$C$7&lt;&gt;"",OR(ISNUMBER(SEARCH('Task Finder'!$C$7,$A203)),ISNUMBER(SEARCH('Task Finder'!$C$7,$B203)),ISNUMBER(SEARCH('Task Finder'!$C$7,$C203)),ISNUMBER(SEARCH('Task Finder'!$C$7,$D203)),ISNUMBER(SEARCH('Task Finder'!$C$7,$K203)))))</f>
        <v/>
      </c>
    </row>
    <row r="204">
      <c r="A204" s="19" t="n"/>
      <c r="B204" s="19" t="n"/>
      <c r="C204" s="19" t="n"/>
      <c r="D204" s="19" t="n"/>
      <c r="E204" s="19" t="n"/>
      <c r="F204" s="19" t="n"/>
      <c r="G204" s="19" t="n"/>
      <c r="H204" s="19" t="n"/>
      <c r="I204" s="19" t="n"/>
      <c r="J204" s="19" t="n"/>
      <c r="K204" s="19" t="n"/>
      <c r="L204" s="19" t="n"/>
      <c r="M204" s="130">
        <f>IF($A204="","",AND('Task Finder'!$C$7&lt;&gt;"",OR(ISNUMBER(SEARCH('Task Finder'!$C$7,$A204)),ISNUMBER(SEARCH('Task Finder'!$C$7,$B204)),ISNUMBER(SEARCH('Task Finder'!$C$7,$C204)),ISNUMBER(SEARCH('Task Finder'!$C$7,$D204)),ISNUMBER(SEARCH('Task Finder'!$C$7,$K204)))))</f>
        <v/>
      </c>
    </row>
    <row r="205">
      <c r="A205" s="19" t="n"/>
      <c r="B205" s="19" t="n"/>
      <c r="C205" s="19" t="n"/>
      <c r="D205" s="19" t="n"/>
      <c r="E205" s="19" t="n"/>
      <c r="F205" s="19" t="n"/>
      <c r="G205" s="19" t="n"/>
      <c r="H205" s="19" t="n"/>
      <c r="I205" s="19" t="n"/>
      <c r="J205" s="19" t="n"/>
      <c r="K205" s="19" t="n"/>
      <c r="L205" s="19" t="n"/>
      <c r="M205" s="130">
        <f>IF($A205="","",AND('Task Finder'!$C$7&lt;&gt;"",OR(ISNUMBER(SEARCH('Task Finder'!$C$7,$A205)),ISNUMBER(SEARCH('Task Finder'!$C$7,$B205)),ISNUMBER(SEARCH('Task Finder'!$C$7,$C205)),ISNUMBER(SEARCH('Task Finder'!$C$7,$D205)),ISNUMBER(SEARCH('Task Finder'!$C$7,$K205)))))</f>
        <v/>
      </c>
    </row>
    <row r="206">
      <c r="A206" s="19" t="n"/>
      <c r="B206" s="19" t="n"/>
      <c r="C206" s="19" t="n"/>
      <c r="D206" s="19" t="n"/>
      <c r="E206" s="19" t="n"/>
      <c r="F206" s="19" t="n"/>
      <c r="G206" s="19" t="n"/>
      <c r="H206" s="19" t="n"/>
      <c r="I206" s="19" t="n"/>
      <c r="J206" s="19" t="n"/>
      <c r="K206" s="19" t="n"/>
      <c r="L206" s="19" t="n"/>
      <c r="M206" s="130">
        <f>IF($A206="","",AND('Task Finder'!$C$7&lt;&gt;"",OR(ISNUMBER(SEARCH('Task Finder'!$C$7,$A206)),ISNUMBER(SEARCH('Task Finder'!$C$7,$B206)),ISNUMBER(SEARCH('Task Finder'!$C$7,$C206)),ISNUMBER(SEARCH('Task Finder'!$C$7,$D206)),ISNUMBER(SEARCH('Task Finder'!$C$7,$K206)))))</f>
        <v/>
      </c>
    </row>
    <row r="207">
      <c r="A207" s="19" t="n"/>
      <c r="B207" s="19" t="n"/>
      <c r="C207" s="19" t="n"/>
      <c r="D207" s="19" t="n"/>
      <c r="E207" s="19" t="n"/>
      <c r="F207" s="19" t="n"/>
      <c r="G207" s="19" t="n"/>
      <c r="H207" s="19" t="n"/>
      <c r="I207" s="19" t="n"/>
      <c r="J207" s="19" t="n"/>
      <c r="K207" s="19" t="n"/>
      <c r="L207" s="19" t="n"/>
      <c r="M207" s="130">
        <f>IF($A207="","",AND('Task Finder'!$C$7&lt;&gt;"",OR(ISNUMBER(SEARCH('Task Finder'!$C$7,$A207)),ISNUMBER(SEARCH('Task Finder'!$C$7,$B207)),ISNUMBER(SEARCH('Task Finder'!$C$7,$C207)),ISNUMBER(SEARCH('Task Finder'!$C$7,$D207)),ISNUMBER(SEARCH('Task Finder'!$C$7,$K207)))))</f>
        <v/>
      </c>
    </row>
    <row r="208">
      <c r="A208" s="19" t="n"/>
      <c r="B208" s="19" t="n"/>
      <c r="C208" s="19" t="n"/>
      <c r="D208" s="19" t="n"/>
      <c r="E208" s="19" t="n"/>
      <c r="F208" s="19" t="n"/>
      <c r="G208" s="19" t="n"/>
      <c r="H208" s="19" t="n"/>
      <c r="I208" s="19" t="n"/>
      <c r="J208" s="19" t="n"/>
      <c r="K208" s="19" t="n"/>
      <c r="L208" s="19" t="n"/>
      <c r="M208" s="130">
        <f>IF($A208="","",AND('Task Finder'!$C$7&lt;&gt;"",OR(ISNUMBER(SEARCH('Task Finder'!$C$7,$A208)),ISNUMBER(SEARCH('Task Finder'!$C$7,$B208)),ISNUMBER(SEARCH('Task Finder'!$C$7,$C208)),ISNUMBER(SEARCH('Task Finder'!$C$7,$D208)),ISNUMBER(SEARCH('Task Finder'!$C$7,$K208)))))</f>
        <v/>
      </c>
    </row>
    <row r="209">
      <c r="A209" s="19" t="n"/>
      <c r="B209" s="19" t="n"/>
      <c r="C209" s="19" t="n"/>
      <c r="D209" s="19" t="n"/>
      <c r="E209" s="19" t="n"/>
      <c r="F209" s="19" t="n"/>
      <c r="G209" s="19" t="n"/>
      <c r="H209" s="19" t="n"/>
      <c r="I209" s="19" t="n"/>
      <c r="J209" s="19" t="n"/>
      <c r="K209" s="19" t="n"/>
      <c r="L209" s="19" t="n"/>
      <c r="M209" s="130">
        <f>IF($A209="","",AND('Task Finder'!$C$7&lt;&gt;"",OR(ISNUMBER(SEARCH('Task Finder'!$C$7,$A209)),ISNUMBER(SEARCH('Task Finder'!$C$7,$B209)),ISNUMBER(SEARCH('Task Finder'!$C$7,$C209)),ISNUMBER(SEARCH('Task Finder'!$C$7,$D209)),ISNUMBER(SEARCH('Task Finder'!$C$7,$K209)))))</f>
        <v/>
      </c>
    </row>
    <row r="210">
      <c r="A210" s="19" t="n"/>
      <c r="B210" s="19" t="n"/>
      <c r="C210" s="19" t="n"/>
      <c r="D210" s="19" t="n"/>
      <c r="E210" s="19" t="n"/>
      <c r="F210" s="19" t="n"/>
      <c r="G210" s="19" t="n"/>
      <c r="H210" s="19" t="n"/>
      <c r="I210" s="19" t="n"/>
      <c r="J210" s="19" t="n"/>
      <c r="K210" s="19" t="n"/>
      <c r="L210" s="19" t="n"/>
      <c r="M210" s="130">
        <f>IF($A210="","",AND('Task Finder'!$C$7&lt;&gt;"",OR(ISNUMBER(SEARCH('Task Finder'!$C$7,$A210)),ISNUMBER(SEARCH('Task Finder'!$C$7,$B210)),ISNUMBER(SEARCH('Task Finder'!$C$7,$C210)),ISNUMBER(SEARCH('Task Finder'!$C$7,$D210)),ISNUMBER(SEARCH('Task Finder'!$C$7,$K210)))))</f>
        <v/>
      </c>
    </row>
    <row r="211">
      <c r="A211" s="19" t="n"/>
      <c r="B211" s="19" t="n"/>
      <c r="C211" s="19" t="n"/>
      <c r="D211" s="19" t="n"/>
      <c r="E211" s="19" t="n"/>
      <c r="F211" s="19" t="n"/>
      <c r="G211" s="19" t="n"/>
      <c r="H211" s="19" t="n"/>
      <c r="I211" s="19" t="n"/>
      <c r="J211" s="19" t="n"/>
      <c r="K211" s="19" t="n"/>
      <c r="L211" s="19" t="n"/>
      <c r="M211" s="130">
        <f>IF($A211="","",AND('Task Finder'!$C$7&lt;&gt;"",OR(ISNUMBER(SEARCH('Task Finder'!$C$7,$A211)),ISNUMBER(SEARCH('Task Finder'!$C$7,$B211)),ISNUMBER(SEARCH('Task Finder'!$C$7,$C211)),ISNUMBER(SEARCH('Task Finder'!$C$7,$D211)),ISNUMBER(SEARCH('Task Finder'!$C$7,$K211)))))</f>
        <v/>
      </c>
    </row>
    <row r="212">
      <c r="A212" s="19" t="n"/>
      <c r="B212" s="19" t="n"/>
      <c r="C212" s="19" t="n"/>
      <c r="D212" s="19" t="n"/>
      <c r="E212" s="19" t="n"/>
      <c r="F212" s="19" t="n"/>
      <c r="G212" s="19" t="n"/>
      <c r="H212" s="19" t="n"/>
      <c r="I212" s="19" t="n"/>
      <c r="J212" s="19" t="n"/>
      <c r="K212" s="19" t="n"/>
      <c r="L212" s="19" t="n"/>
      <c r="M212" s="130">
        <f>IF($A212="","",AND('Task Finder'!$C$7&lt;&gt;"",OR(ISNUMBER(SEARCH('Task Finder'!$C$7,$A212)),ISNUMBER(SEARCH('Task Finder'!$C$7,$B212)),ISNUMBER(SEARCH('Task Finder'!$C$7,$C212)),ISNUMBER(SEARCH('Task Finder'!$C$7,$D212)),ISNUMBER(SEARCH('Task Finder'!$C$7,$K212)))))</f>
        <v/>
      </c>
    </row>
    <row r="213">
      <c r="A213" s="19" t="n"/>
      <c r="B213" s="19" t="n"/>
      <c r="C213" s="19" t="n"/>
      <c r="D213" s="19" t="n"/>
      <c r="E213" s="19" t="n"/>
      <c r="F213" s="19" t="n"/>
      <c r="G213" s="19" t="n"/>
      <c r="H213" s="19" t="n"/>
      <c r="I213" s="19" t="n"/>
      <c r="J213" s="19" t="n"/>
      <c r="K213" s="19" t="n"/>
      <c r="L213" s="19" t="n"/>
      <c r="M213" s="130">
        <f>IF($A213="","",AND('Task Finder'!$C$7&lt;&gt;"",OR(ISNUMBER(SEARCH('Task Finder'!$C$7,$A213)),ISNUMBER(SEARCH('Task Finder'!$C$7,$B213)),ISNUMBER(SEARCH('Task Finder'!$C$7,$C213)),ISNUMBER(SEARCH('Task Finder'!$C$7,$D213)),ISNUMBER(SEARCH('Task Finder'!$C$7,$K213)))))</f>
        <v/>
      </c>
    </row>
    <row r="214">
      <c r="A214" s="19" t="n"/>
      <c r="B214" s="19" t="n"/>
      <c r="C214" s="19" t="n"/>
      <c r="D214" s="19" t="n"/>
      <c r="E214" s="19" t="n"/>
      <c r="F214" s="19" t="n"/>
      <c r="G214" s="19" t="n"/>
      <c r="H214" s="19" t="n"/>
      <c r="I214" s="19" t="n"/>
      <c r="J214" s="19" t="n"/>
      <c r="K214" s="19" t="n"/>
      <c r="L214" s="19" t="n"/>
      <c r="M214" s="130">
        <f>IF($A214="","",AND('Task Finder'!$C$7&lt;&gt;"",OR(ISNUMBER(SEARCH('Task Finder'!$C$7,$A214)),ISNUMBER(SEARCH('Task Finder'!$C$7,$B214)),ISNUMBER(SEARCH('Task Finder'!$C$7,$C214)),ISNUMBER(SEARCH('Task Finder'!$C$7,$D214)),ISNUMBER(SEARCH('Task Finder'!$C$7,$K214)))))</f>
        <v/>
      </c>
    </row>
    <row r="215">
      <c r="A215" s="19" t="n"/>
      <c r="B215" s="19" t="n"/>
      <c r="C215" s="19" t="n"/>
      <c r="D215" s="19" t="n"/>
      <c r="E215" s="19" t="n"/>
      <c r="F215" s="19" t="n"/>
      <c r="G215" s="19" t="n"/>
      <c r="H215" s="19" t="n"/>
      <c r="I215" s="19" t="n"/>
      <c r="J215" s="19" t="n"/>
      <c r="K215" s="19" t="n"/>
      <c r="L215" s="19" t="n"/>
      <c r="M215" s="130">
        <f>IF($A215="","",AND('Task Finder'!$C$7&lt;&gt;"",OR(ISNUMBER(SEARCH('Task Finder'!$C$7,$A215)),ISNUMBER(SEARCH('Task Finder'!$C$7,$B215)),ISNUMBER(SEARCH('Task Finder'!$C$7,$C215)),ISNUMBER(SEARCH('Task Finder'!$C$7,$D215)),ISNUMBER(SEARCH('Task Finder'!$C$7,$K215)))))</f>
        <v/>
      </c>
    </row>
    <row r="216">
      <c r="A216" s="19" t="n"/>
      <c r="B216" s="19" t="n"/>
      <c r="C216" s="19" t="n"/>
      <c r="D216" s="19" t="n"/>
      <c r="E216" s="19" t="n"/>
      <c r="F216" s="19" t="n"/>
      <c r="G216" s="19" t="n"/>
      <c r="H216" s="19" t="n"/>
      <c r="I216" s="19" t="n"/>
      <c r="J216" s="19" t="n"/>
      <c r="K216" s="19" t="n"/>
      <c r="L216" s="19" t="n"/>
      <c r="M216" s="130">
        <f>IF($A216="","",AND('Task Finder'!$C$7&lt;&gt;"",OR(ISNUMBER(SEARCH('Task Finder'!$C$7,$A216)),ISNUMBER(SEARCH('Task Finder'!$C$7,$B216)),ISNUMBER(SEARCH('Task Finder'!$C$7,$C216)),ISNUMBER(SEARCH('Task Finder'!$C$7,$D216)),ISNUMBER(SEARCH('Task Finder'!$C$7,$K216)))))</f>
        <v/>
      </c>
    </row>
    <row r="217">
      <c r="A217" s="19" t="n"/>
      <c r="B217" s="19" t="n"/>
      <c r="C217" s="19" t="n"/>
      <c r="D217" s="19" t="n"/>
      <c r="E217" s="19" t="n"/>
      <c r="F217" s="19" t="n"/>
      <c r="G217" s="19" t="n"/>
      <c r="H217" s="19" t="n"/>
      <c r="I217" s="19" t="n"/>
      <c r="J217" s="19" t="n"/>
      <c r="K217" s="19" t="n"/>
      <c r="L217" s="19" t="n"/>
      <c r="M217" s="130">
        <f>IF($A217="","",AND('Task Finder'!$C$7&lt;&gt;"",OR(ISNUMBER(SEARCH('Task Finder'!$C$7,$A217)),ISNUMBER(SEARCH('Task Finder'!$C$7,$B217)),ISNUMBER(SEARCH('Task Finder'!$C$7,$C217)),ISNUMBER(SEARCH('Task Finder'!$C$7,$D217)),ISNUMBER(SEARCH('Task Finder'!$C$7,$K217)))))</f>
        <v/>
      </c>
    </row>
    <row r="218">
      <c r="A218" s="19" t="n"/>
      <c r="B218" s="19" t="n"/>
      <c r="C218" s="19" t="n"/>
      <c r="D218" s="19" t="n"/>
      <c r="E218" s="19" t="n"/>
      <c r="F218" s="19" t="n"/>
      <c r="G218" s="19" t="n"/>
      <c r="H218" s="19" t="n"/>
      <c r="I218" s="19" t="n"/>
      <c r="J218" s="19" t="n"/>
      <c r="K218" s="19" t="n"/>
      <c r="L218" s="19" t="n"/>
      <c r="M218" s="130">
        <f>IF($A218="","",AND('Task Finder'!$C$7&lt;&gt;"",OR(ISNUMBER(SEARCH('Task Finder'!$C$7,$A218)),ISNUMBER(SEARCH('Task Finder'!$C$7,$B218)),ISNUMBER(SEARCH('Task Finder'!$C$7,$C218)),ISNUMBER(SEARCH('Task Finder'!$C$7,$D218)),ISNUMBER(SEARCH('Task Finder'!$C$7,$K218)))))</f>
        <v/>
      </c>
    </row>
    <row r="219">
      <c r="A219" s="19" t="n"/>
      <c r="B219" s="19" t="n"/>
      <c r="C219" s="19" t="n"/>
      <c r="D219" s="19" t="n"/>
      <c r="E219" s="19" t="n"/>
      <c r="F219" s="19" t="n"/>
      <c r="G219" s="19" t="n"/>
      <c r="H219" s="19" t="n"/>
      <c r="I219" s="19" t="n"/>
      <c r="J219" s="19" t="n"/>
      <c r="K219" s="19" t="n"/>
      <c r="L219" s="19" t="n"/>
      <c r="M219" s="130">
        <f>IF($A219="","",AND('Task Finder'!$C$7&lt;&gt;"",OR(ISNUMBER(SEARCH('Task Finder'!$C$7,$A219)),ISNUMBER(SEARCH('Task Finder'!$C$7,$B219)),ISNUMBER(SEARCH('Task Finder'!$C$7,$C219)),ISNUMBER(SEARCH('Task Finder'!$C$7,$D219)),ISNUMBER(SEARCH('Task Finder'!$C$7,$K219)))))</f>
        <v/>
      </c>
    </row>
    <row r="220">
      <c r="A220" s="19" t="n"/>
      <c r="B220" s="19" t="n"/>
      <c r="C220" s="19" t="n"/>
      <c r="D220" s="19" t="n"/>
      <c r="E220" s="19" t="n"/>
      <c r="F220" s="19" t="n"/>
      <c r="G220" s="19" t="n"/>
      <c r="H220" s="19" t="n"/>
      <c r="I220" s="19" t="n"/>
      <c r="J220" s="19" t="n"/>
      <c r="K220" s="19" t="n"/>
      <c r="L220" s="19" t="n"/>
      <c r="M220" s="130">
        <f>IF($A220="","",AND('Task Finder'!$C$7&lt;&gt;"",OR(ISNUMBER(SEARCH('Task Finder'!$C$7,$A220)),ISNUMBER(SEARCH('Task Finder'!$C$7,$B220)),ISNUMBER(SEARCH('Task Finder'!$C$7,$C220)),ISNUMBER(SEARCH('Task Finder'!$C$7,$D220)),ISNUMBER(SEARCH('Task Finder'!$C$7,$K220)))))</f>
        <v/>
      </c>
    </row>
    <row r="221">
      <c r="A221" s="19" t="n"/>
      <c r="B221" s="19" t="n"/>
      <c r="C221" s="19" t="n"/>
      <c r="D221" s="19" t="n"/>
      <c r="E221" s="19" t="n"/>
      <c r="F221" s="19" t="n"/>
      <c r="G221" s="19" t="n"/>
      <c r="H221" s="19" t="n"/>
      <c r="I221" s="19" t="n"/>
      <c r="J221" s="19" t="n"/>
      <c r="K221" s="19" t="n"/>
      <c r="L221" s="19" t="n"/>
      <c r="M221" s="130">
        <f>IF($A221="","",AND('Task Finder'!$C$7&lt;&gt;"",OR(ISNUMBER(SEARCH('Task Finder'!$C$7,$A221)),ISNUMBER(SEARCH('Task Finder'!$C$7,$B221)),ISNUMBER(SEARCH('Task Finder'!$C$7,$C221)),ISNUMBER(SEARCH('Task Finder'!$C$7,$D221)),ISNUMBER(SEARCH('Task Finder'!$C$7,$K221)))))</f>
        <v/>
      </c>
    </row>
    <row r="222">
      <c r="A222" s="19" t="n"/>
      <c r="B222" s="19" t="n"/>
      <c r="C222" s="19" t="n"/>
      <c r="D222" s="19" t="n"/>
      <c r="E222" s="19" t="n"/>
      <c r="F222" s="19" t="n"/>
      <c r="G222" s="19" t="n"/>
      <c r="H222" s="19" t="n"/>
      <c r="I222" s="19" t="n"/>
      <c r="J222" s="19" t="n"/>
      <c r="K222" s="19" t="n"/>
      <c r="L222" s="19" t="n"/>
      <c r="M222" s="130">
        <f>IF($A222="","",AND('Task Finder'!$C$7&lt;&gt;"",OR(ISNUMBER(SEARCH('Task Finder'!$C$7,$A222)),ISNUMBER(SEARCH('Task Finder'!$C$7,$B222)),ISNUMBER(SEARCH('Task Finder'!$C$7,$C222)),ISNUMBER(SEARCH('Task Finder'!$C$7,$D222)),ISNUMBER(SEARCH('Task Finder'!$C$7,$K222)))))</f>
        <v/>
      </c>
    </row>
    <row r="223">
      <c r="A223" s="19" t="n"/>
      <c r="B223" s="19" t="n"/>
      <c r="C223" s="19" t="n"/>
      <c r="D223" s="19" t="n"/>
      <c r="E223" s="19" t="n"/>
      <c r="F223" s="19" t="n"/>
      <c r="G223" s="19" t="n"/>
      <c r="H223" s="19" t="n"/>
      <c r="I223" s="19" t="n"/>
      <c r="J223" s="19" t="n"/>
      <c r="K223" s="19" t="n"/>
      <c r="L223" s="19" t="n"/>
      <c r="M223" s="130">
        <f>IF($A223="","",AND('Task Finder'!$C$7&lt;&gt;"",OR(ISNUMBER(SEARCH('Task Finder'!$C$7,$A223)),ISNUMBER(SEARCH('Task Finder'!$C$7,$B223)),ISNUMBER(SEARCH('Task Finder'!$C$7,$C223)),ISNUMBER(SEARCH('Task Finder'!$C$7,$D223)),ISNUMBER(SEARCH('Task Finder'!$C$7,$K223)))))</f>
        <v/>
      </c>
    </row>
    <row r="224">
      <c r="A224" s="19" t="n"/>
      <c r="B224" s="19" t="n"/>
      <c r="C224" s="19" t="n"/>
      <c r="D224" s="19" t="n"/>
      <c r="E224" s="19" t="n"/>
      <c r="F224" s="19" t="n"/>
      <c r="G224" s="19" t="n"/>
      <c r="H224" s="19" t="n"/>
      <c r="I224" s="19" t="n"/>
      <c r="J224" s="19" t="n"/>
      <c r="K224" s="19" t="n"/>
      <c r="L224" s="19" t="n"/>
      <c r="M224" s="130">
        <f>IF($A224="","",AND('Task Finder'!$C$7&lt;&gt;"",OR(ISNUMBER(SEARCH('Task Finder'!$C$7,$A224)),ISNUMBER(SEARCH('Task Finder'!$C$7,$B224)),ISNUMBER(SEARCH('Task Finder'!$C$7,$C224)),ISNUMBER(SEARCH('Task Finder'!$C$7,$D224)),ISNUMBER(SEARCH('Task Finder'!$C$7,$K224)))))</f>
        <v/>
      </c>
    </row>
    <row r="225">
      <c r="A225" s="19" t="n"/>
      <c r="B225" s="19" t="n"/>
      <c r="C225" s="19" t="n"/>
      <c r="D225" s="19" t="n"/>
      <c r="E225" s="19" t="n"/>
      <c r="F225" s="19" t="n"/>
      <c r="G225" s="19" t="n"/>
      <c r="H225" s="19" t="n"/>
      <c r="I225" s="19" t="n"/>
      <c r="J225" s="19" t="n"/>
      <c r="K225" s="19" t="n"/>
      <c r="L225" s="19" t="n"/>
      <c r="M225" s="130">
        <f>IF($A225="","",AND('Task Finder'!$C$7&lt;&gt;"",OR(ISNUMBER(SEARCH('Task Finder'!$C$7,$A225)),ISNUMBER(SEARCH('Task Finder'!$C$7,$B225)),ISNUMBER(SEARCH('Task Finder'!$C$7,$C225)),ISNUMBER(SEARCH('Task Finder'!$C$7,$D225)),ISNUMBER(SEARCH('Task Finder'!$C$7,$K225)))))</f>
        <v/>
      </c>
    </row>
    <row r="226">
      <c r="A226" s="19" t="n"/>
      <c r="B226" s="19" t="n"/>
      <c r="C226" s="19" t="n"/>
      <c r="D226" s="19" t="n"/>
      <c r="E226" s="19" t="n"/>
      <c r="F226" s="19" t="n"/>
      <c r="G226" s="19" t="n"/>
      <c r="H226" s="19" t="n"/>
      <c r="I226" s="19" t="n"/>
      <c r="J226" s="19" t="n"/>
      <c r="K226" s="19" t="n"/>
      <c r="L226" s="19" t="n"/>
      <c r="M226" s="130">
        <f>IF($A226="","",AND('Task Finder'!$C$7&lt;&gt;"",OR(ISNUMBER(SEARCH('Task Finder'!$C$7,$A226)),ISNUMBER(SEARCH('Task Finder'!$C$7,$B226)),ISNUMBER(SEARCH('Task Finder'!$C$7,$C226)),ISNUMBER(SEARCH('Task Finder'!$C$7,$D226)),ISNUMBER(SEARCH('Task Finder'!$C$7,$K226)))))</f>
        <v/>
      </c>
    </row>
    <row r="227">
      <c r="A227" s="19" t="n"/>
      <c r="B227" s="19" t="n"/>
      <c r="C227" s="19" t="n"/>
      <c r="D227" s="19" t="n"/>
      <c r="E227" s="19" t="n"/>
      <c r="F227" s="19" t="n"/>
      <c r="G227" s="19" t="n"/>
      <c r="H227" s="19" t="n"/>
      <c r="I227" s="19" t="n"/>
      <c r="J227" s="19" t="n"/>
      <c r="K227" s="19" t="n"/>
      <c r="L227" s="19" t="n"/>
      <c r="M227" s="130">
        <f>IF($A227="","",AND('Task Finder'!$C$7&lt;&gt;"",OR(ISNUMBER(SEARCH('Task Finder'!$C$7,$A227)),ISNUMBER(SEARCH('Task Finder'!$C$7,$B227)),ISNUMBER(SEARCH('Task Finder'!$C$7,$C227)),ISNUMBER(SEARCH('Task Finder'!$C$7,$D227)),ISNUMBER(SEARCH('Task Finder'!$C$7,$K227)))))</f>
        <v/>
      </c>
    </row>
    <row r="228">
      <c r="A228" s="19" t="n"/>
      <c r="B228" s="19" t="n"/>
      <c r="C228" s="19" t="n"/>
      <c r="D228" s="19" t="n"/>
      <c r="E228" s="19" t="n"/>
      <c r="F228" s="19" t="n"/>
      <c r="G228" s="19" t="n"/>
      <c r="H228" s="19" t="n"/>
      <c r="I228" s="19" t="n"/>
      <c r="J228" s="19" t="n"/>
      <c r="K228" s="19" t="n"/>
      <c r="L228" s="19" t="n"/>
      <c r="M228" s="130">
        <f>IF($A228="","",AND('Task Finder'!$C$7&lt;&gt;"",OR(ISNUMBER(SEARCH('Task Finder'!$C$7,$A228)),ISNUMBER(SEARCH('Task Finder'!$C$7,$B228)),ISNUMBER(SEARCH('Task Finder'!$C$7,$C228)),ISNUMBER(SEARCH('Task Finder'!$C$7,$D228)),ISNUMBER(SEARCH('Task Finder'!$C$7,$K228)))))</f>
        <v/>
      </c>
    </row>
    <row r="229">
      <c r="A229" s="19" t="n"/>
      <c r="B229" s="19" t="n"/>
      <c r="C229" s="19" t="n"/>
      <c r="D229" s="19" t="n"/>
      <c r="E229" s="19" t="n"/>
      <c r="F229" s="19" t="n"/>
      <c r="G229" s="19" t="n"/>
      <c r="H229" s="19" t="n"/>
      <c r="I229" s="19" t="n"/>
      <c r="J229" s="19" t="n"/>
      <c r="K229" s="19" t="n"/>
      <c r="L229" s="19" t="n"/>
      <c r="M229" s="130">
        <f>IF($A229="","",AND('Task Finder'!$C$7&lt;&gt;"",OR(ISNUMBER(SEARCH('Task Finder'!$C$7,$A229)),ISNUMBER(SEARCH('Task Finder'!$C$7,$B229)),ISNUMBER(SEARCH('Task Finder'!$C$7,$C229)),ISNUMBER(SEARCH('Task Finder'!$C$7,$D229)),ISNUMBER(SEARCH('Task Finder'!$C$7,$K229)))))</f>
        <v/>
      </c>
    </row>
    <row r="230">
      <c r="A230" s="19" t="n"/>
      <c r="B230" s="19" t="n"/>
      <c r="C230" s="19" t="n"/>
      <c r="D230" s="19" t="n"/>
      <c r="E230" s="19" t="n"/>
      <c r="F230" s="19" t="n"/>
      <c r="G230" s="19" t="n"/>
      <c r="H230" s="19" t="n"/>
      <c r="I230" s="19" t="n"/>
      <c r="J230" s="19" t="n"/>
      <c r="K230" s="19" t="n"/>
      <c r="L230" s="19" t="n"/>
      <c r="M230" s="130">
        <f>IF($A230="","",AND('Task Finder'!$C$7&lt;&gt;"",OR(ISNUMBER(SEARCH('Task Finder'!$C$7,$A230)),ISNUMBER(SEARCH('Task Finder'!$C$7,$B230)),ISNUMBER(SEARCH('Task Finder'!$C$7,$C230)),ISNUMBER(SEARCH('Task Finder'!$C$7,$D230)),ISNUMBER(SEARCH('Task Finder'!$C$7,$K230)))))</f>
        <v/>
      </c>
    </row>
    <row r="231">
      <c r="A231" s="19" t="n"/>
      <c r="B231" s="19" t="n"/>
      <c r="C231" s="19" t="n"/>
      <c r="D231" s="19" t="n"/>
      <c r="E231" s="19" t="n"/>
      <c r="F231" s="19" t="n"/>
      <c r="G231" s="19" t="n"/>
      <c r="H231" s="19" t="n"/>
      <c r="I231" s="19" t="n"/>
      <c r="J231" s="19" t="n"/>
      <c r="K231" s="19" t="n"/>
      <c r="L231" s="19" t="n"/>
      <c r="M231" s="130">
        <f>IF($A231="","",AND('Task Finder'!$C$7&lt;&gt;"",OR(ISNUMBER(SEARCH('Task Finder'!$C$7,$A231)),ISNUMBER(SEARCH('Task Finder'!$C$7,$B231)),ISNUMBER(SEARCH('Task Finder'!$C$7,$C231)),ISNUMBER(SEARCH('Task Finder'!$C$7,$D231)),ISNUMBER(SEARCH('Task Finder'!$C$7,$K231)))))</f>
        <v/>
      </c>
    </row>
    <row r="232">
      <c r="A232" s="19" t="n"/>
      <c r="B232" s="19" t="n"/>
      <c r="C232" s="19" t="n"/>
      <c r="D232" s="19" t="n"/>
      <c r="E232" s="19" t="n"/>
      <c r="F232" s="19" t="n"/>
      <c r="G232" s="19" t="n"/>
      <c r="H232" s="19" t="n"/>
      <c r="I232" s="19" t="n"/>
      <c r="J232" s="19" t="n"/>
      <c r="K232" s="19" t="n"/>
      <c r="L232" s="19" t="n"/>
      <c r="M232" s="130">
        <f>IF($A232="","",AND('Task Finder'!$C$7&lt;&gt;"",OR(ISNUMBER(SEARCH('Task Finder'!$C$7,$A232)),ISNUMBER(SEARCH('Task Finder'!$C$7,$B232)),ISNUMBER(SEARCH('Task Finder'!$C$7,$C232)),ISNUMBER(SEARCH('Task Finder'!$C$7,$D232)),ISNUMBER(SEARCH('Task Finder'!$C$7,$K232)))))</f>
        <v/>
      </c>
    </row>
    <row r="233">
      <c r="A233" s="19" t="n"/>
      <c r="B233" s="19" t="n"/>
      <c r="C233" s="19" t="n"/>
      <c r="D233" s="19" t="n"/>
      <c r="E233" s="19" t="n"/>
      <c r="F233" s="19" t="n"/>
      <c r="G233" s="19" t="n"/>
      <c r="H233" s="19" t="n"/>
      <c r="I233" s="19" t="n"/>
      <c r="J233" s="19" t="n"/>
      <c r="K233" s="19" t="n"/>
      <c r="L233" s="19" t="n"/>
      <c r="M233" s="130">
        <f>IF($A233="","",AND('Task Finder'!$C$7&lt;&gt;"",OR(ISNUMBER(SEARCH('Task Finder'!$C$7,$A233)),ISNUMBER(SEARCH('Task Finder'!$C$7,$B233)),ISNUMBER(SEARCH('Task Finder'!$C$7,$C233)),ISNUMBER(SEARCH('Task Finder'!$C$7,$D233)),ISNUMBER(SEARCH('Task Finder'!$C$7,$K233)))))</f>
        <v/>
      </c>
    </row>
    <row r="234">
      <c r="A234" s="19" t="n"/>
      <c r="B234" s="19" t="n"/>
      <c r="C234" s="19" t="n"/>
      <c r="D234" s="19" t="n"/>
      <c r="E234" s="19" t="n"/>
      <c r="F234" s="19" t="n"/>
      <c r="G234" s="19" t="n"/>
      <c r="H234" s="19" t="n"/>
      <c r="I234" s="19" t="n"/>
      <c r="J234" s="19" t="n"/>
      <c r="K234" s="19" t="n"/>
      <c r="L234" s="19" t="n"/>
      <c r="M234" s="130">
        <f>IF($A234="","",AND('Task Finder'!$C$7&lt;&gt;"",OR(ISNUMBER(SEARCH('Task Finder'!$C$7,$A234)),ISNUMBER(SEARCH('Task Finder'!$C$7,$B234)),ISNUMBER(SEARCH('Task Finder'!$C$7,$C234)),ISNUMBER(SEARCH('Task Finder'!$C$7,$D234)),ISNUMBER(SEARCH('Task Finder'!$C$7,$K234)))))</f>
        <v/>
      </c>
    </row>
    <row r="235">
      <c r="A235" s="19" t="n"/>
      <c r="B235" s="19" t="n"/>
      <c r="C235" s="19" t="n"/>
      <c r="D235" s="19" t="n"/>
      <c r="E235" s="19" t="n"/>
      <c r="F235" s="19" t="n"/>
      <c r="G235" s="19" t="n"/>
      <c r="H235" s="19" t="n"/>
      <c r="I235" s="19" t="n"/>
      <c r="J235" s="19" t="n"/>
      <c r="K235" s="19" t="n"/>
      <c r="L235" s="19" t="n"/>
      <c r="M235" s="130">
        <f>IF($A235="","",AND('Task Finder'!$C$7&lt;&gt;"",OR(ISNUMBER(SEARCH('Task Finder'!$C$7,$A235)),ISNUMBER(SEARCH('Task Finder'!$C$7,$B235)),ISNUMBER(SEARCH('Task Finder'!$C$7,$C235)),ISNUMBER(SEARCH('Task Finder'!$C$7,$D235)),ISNUMBER(SEARCH('Task Finder'!$C$7,$K235)))))</f>
        <v/>
      </c>
    </row>
    <row r="236">
      <c r="A236" s="19" t="n"/>
      <c r="B236" s="19" t="n"/>
      <c r="C236" s="19" t="n"/>
      <c r="D236" s="19" t="n"/>
      <c r="E236" s="19" t="n"/>
      <c r="F236" s="19" t="n"/>
      <c r="G236" s="19" t="n"/>
      <c r="H236" s="19" t="n"/>
      <c r="I236" s="19" t="n"/>
      <c r="J236" s="19" t="n"/>
      <c r="K236" s="19" t="n"/>
      <c r="L236" s="19" t="n"/>
      <c r="M236" s="130">
        <f>IF($A236="","",AND('Task Finder'!$C$7&lt;&gt;"",OR(ISNUMBER(SEARCH('Task Finder'!$C$7,$A236)),ISNUMBER(SEARCH('Task Finder'!$C$7,$B236)),ISNUMBER(SEARCH('Task Finder'!$C$7,$C236)),ISNUMBER(SEARCH('Task Finder'!$C$7,$D236)),ISNUMBER(SEARCH('Task Finder'!$C$7,$K236)))))</f>
        <v/>
      </c>
    </row>
    <row r="237">
      <c r="A237" s="19" t="n"/>
      <c r="B237" s="19" t="n"/>
      <c r="C237" s="19" t="n"/>
      <c r="D237" s="19" t="n"/>
      <c r="E237" s="19" t="n"/>
      <c r="F237" s="19" t="n"/>
      <c r="G237" s="19" t="n"/>
      <c r="H237" s="19" t="n"/>
      <c r="I237" s="19" t="n"/>
      <c r="J237" s="19" t="n"/>
      <c r="K237" s="19" t="n"/>
      <c r="L237" s="19" t="n"/>
      <c r="M237" s="130">
        <f>IF($A237="","",AND('Task Finder'!$C$7&lt;&gt;"",OR(ISNUMBER(SEARCH('Task Finder'!$C$7,$A237)),ISNUMBER(SEARCH('Task Finder'!$C$7,$B237)),ISNUMBER(SEARCH('Task Finder'!$C$7,$C237)),ISNUMBER(SEARCH('Task Finder'!$C$7,$D237)),ISNUMBER(SEARCH('Task Finder'!$C$7,$K237)))))</f>
        <v/>
      </c>
    </row>
    <row r="238">
      <c r="A238" s="19" t="n"/>
      <c r="B238" s="19" t="n"/>
      <c r="C238" s="19" t="n"/>
      <c r="D238" s="19" t="n"/>
      <c r="E238" s="19" t="n"/>
      <c r="F238" s="19" t="n"/>
      <c r="G238" s="19" t="n"/>
      <c r="H238" s="19" t="n"/>
      <c r="I238" s="19" t="n"/>
      <c r="J238" s="19" t="n"/>
      <c r="K238" s="19" t="n"/>
      <c r="L238" s="19" t="n"/>
      <c r="M238" s="130">
        <f>IF($A238="","",AND('Task Finder'!$C$7&lt;&gt;"",OR(ISNUMBER(SEARCH('Task Finder'!$C$7,$A238)),ISNUMBER(SEARCH('Task Finder'!$C$7,$B238)),ISNUMBER(SEARCH('Task Finder'!$C$7,$C238)),ISNUMBER(SEARCH('Task Finder'!$C$7,$D238)),ISNUMBER(SEARCH('Task Finder'!$C$7,$K238)))))</f>
        <v/>
      </c>
    </row>
    <row r="239">
      <c r="A239" s="19" t="n"/>
      <c r="B239" s="19" t="n"/>
      <c r="C239" s="19" t="n"/>
      <c r="D239" s="19" t="n"/>
      <c r="E239" s="19" t="n"/>
      <c r="F239" s="19" t="n"/>
      <c r="G239" s="19" t="n"/>
      <c r="H239" s="19" t="n"/>
      <c r="I239" s="19" t="n"/>
      <c r="J239" s="19" t="n"/>
      <c r="K239" s="19" t="n"/>
      <c r="L239" s="19" t="n"/>
      <c r="M239" s="130">
        <f>IF($A239="","",AND('Task Finder'!$C$7&lt;&gt;"",OR(ISNUMBER(SEARCH('Task Finder'!$C$7,$A239)),ISNUMBER(SEARCH('Task Finder'!$C$7,$B239)),ISNUMBER(SEARCH('Task Finder'!$C$7,$C239)),ISNUMBER(SEARCH('Task Finder'!$C$7,$D239)),ISNUMBER(SEARCH('Task Finder'!$C$7,$K239)))))</f>
        <v/>
      </c>
    </row>
    <row r="240">
      <c r="A240" s="19" t="n"/>
      <c r="B240" s="19" t="n"/>
      <c r="C240" s="19" t="n"/>
      <c r="D240" s="19" t="n"/>
      <c r="E240" s="19" t="n"/>
      <c r="F240" s="19" t="n"/>
      <c r="G240" s="19" t="n"/>
      <c r="H240" s="19" t="n"/>
      <c r="I240" s="19" t="n"/>
      <c r="J240" s="19" t="n"/>
      <c r="K240" s="19" t="n"/>
      <c r="L240" s="19" t="n"/>
      <c r="M240" s="130">
        <f>IF($A240="","",AND('Task Finder'!$C$7&lt;&gt;"",OR(ISNUMBER(SEARCH('Task Finder'!$C$7,$A240)),ISNUMBER(SEARCH('Task Finder'!$C$7,$B240)),ISNUMBER(SEARCH('Task Finder'!$C$7,$C240)),ISNUMBER(SEARCH('Task Finder'!$C$7,$D240)),ISNUMBER(SEARCH('Task Finder'!$C$7,$K240)))))</f>
        <v/>
      </c>
    </row>
    <row r="241">
      <c r="A241" s="19" t="n"/>
      <c r="B241" s="19" t="n"/>
      <c r="C241" s="19" t="n"/>
      <c r="D241" s="19" t="n"/>
      <c r="E241" s="19" t="n"/>
      <c r="F241" s="19" t="n"/>
      <c r="G241" s="19" t="n"/>
      <c r="H241" s="19" t="n"/>
      <c r="I241" s="19" t="n"/>
      <c r="J241" s="19" t="n"/>
      <c r="K241" s="19" t="n"/>
      <c r="L241" s="19" t="n"/>
      <c r="M241" s="130">
        <f>IF($A241="","",AND('Task Finder'!$C$7&lt;&gt;"",OR(ISNUMBER(SEARCH('Task Finder'!$C$7,$A241)),ISNUMBER(SEARCH('Task Finder'!$C$7,$B241)),ISNUMBER(SEARCH('Task Finder'!$C$7,$C241)),ISNUMBER(SEARCH('Task Finder'!$C$7,$D241)),ISNUMBER(SEARCH('Task Finder'!$C$7,$K241)))))</f>
        <v/>
      </c>
    </row>
    <row r="242">
      <c r="A242" s="19" t="n"/>
      <c r="B242" s="19" t="n"/>
      <c r="C242" s="19" t="n"/>
      <c r="D242" s="19" t="n"/>
      <c r="E242" s="19" t="n"/>
      <c r="F242" s="19" t="n"/>
      <c r="G242" s="19" t="n"/>
      <c r="H242" s="19" t="n"/>
      <c r="I242" s="19" t="n"/>
      <c r="J242" s="19" t="n"/>
      <c r="K242" s="19" t="n"/>
      <c r="L242" s="19" t="n"/>
      <c r="M242" s="130">
        <f>IF($A242="","",AND('Task Finder'!$C$7&lt;&gt;"",OR(ISNUMBER(SEARCH('Task Finder'!$C$7,$A242)),ISNUMBER(SEARCH('Task Finder'!$C$7,$B242)),ISNUMBER(SEARCH('Task Finder'!$C$7,$C242)),ISNUMBER(SEARCH('Task Finder'!$C$7,$D242)),ISNUMBER(SEARCH('Task Finder'!$C$7,$K242)))))</f>
        <v/>
      </c>
    </row>
    <row r="243">
      <c r="A243" s="19" t="n"/>
      <c r="B243" s="19" t="n"/>
      <c r="C243" s="19" t="n"/>
      <c r="D243" s="19" t="n"/>
      <c r="E243" s="19" t="n"/>
      <c r="F243" s="19" t="n"/>
      <c r="G243" s="19" t="n"/>
      <c r="H243" s="19" t="n"/>
      <c r="I243" s="19" t="n"/>
      <c r="J243" s="19" t="n"/>
      <c r="K243" s="19" t="n"/>
      <c r="L243" s="19" t="n"/>
      <c r="M243" s="130">
        <f>IF($A243="","",AND('Task Finder'!$C$7&lt;&gt;"",OR(ISNUMBER(SEARCH('Task Finder'!$C$7,$A243)),ISNUMBER(SEARCH('Task Finder'!$C$7,$B243)),ISNUMBER(SEARCH('Task Finder'!$C$7,$C243)),ISNUMBER(SEARCH('Task Finder'!$C$7,$D243)),ISNUMBER(SEARCH('Task Finder'!$C$7,$K243)))))</f>
        <v/>
      </c>
    </row>
    <row r="244">
      <c r="A244" s="19" t="n"/>
      <c r="B244" s="19" t="n"/>
      <c r="C244" s="19" t="n"/>
      <c r="D244" s="19" t="n"/>
      <c r="E244" s="19" t="n"/>
      <c r="F244" s="19" t="n"/>
      <c r="G244" s="19" t="n"/>
      <c r="H244" s="19" t="n"/>
      <c r="I244" s="19" t="n"/>
      <c r="J244" s="19" t="n"/>
      <c r="K244" s="19" t="n"/>
      <c r="L244" s="19" t="n"/>
      <c r="M244" s="130">
        <f>IF($A244="","",AND('Task Finder'!$C$7&lt;&gt;"",OR(ISNUMBER(SEARCH('Task Finder'!$C$7,$A244)),ISNUMBER(SEARCH('Task Finder'!$C$7,$B244)),ISNUMBER(SEARCH('Task Finder'!$C$7,$C244)),ISNUMBER(SEARCH('Task Finder'!$C$7,$D244)),ISNUMBER(SEARCH('Task Finder'!$C$7,$K244)))))</f>
        <v/>
      </c>
    </row>
    <row r="245">
      <c r="A245" s="19" t="n"/>
      <c r="B245" s="19" t="n"/>
      <c r="C245" s="19" t="n"/>
      <c r="D245" s="19" t="n"/>
      <c r="E245" s="19" t="n"/>
      <c r="F245" s="19" t="n"/>
      <c r="G245" s="19" t="n"/>
      <c r="H245" s="19" t="n"/>
      <c r="I245" s="19" t="n"/>
      <c r="J245" s="19" t="n"/>
      <c r="K245" s="19" t="n"/>
      <c r="L245" s="19" t="n"/>
      <c r="M245" s="130">
        <f>IF($A245="","",AND('Task Finder'!$C$7&lt;&gt;"",OR(ISNUMBER(SEARCH('Task Finder'!$C$7,$A245)),ISNUMBER(SEARCH('Task Finder'!$C$7,$B245)),ISNUMBER(SEARCH('Task Finder'!$C$7,$C245)),ISNUMBER(SEARCH('Task Finder'!$C$7,$D245)),ISNUMBER(SEARCH('Task Finder'!$C$7,$K245)))))</f>
        <v/>
      </c>
    </row>
    <row r="246">
      <c r="A246" s="19" t="n"/>
      <c r="B246" s="19" t="n"/>
      <c r="C246" s="19" t="n"/>
      <c r="D246" s="19" t="n"/>
      <c r="E246" s="19" t="n"/>
      <c r="F246" s="19" t="n"/>
      <c r="G246" s="19" t="n"/>
      <c r="H246" s="19" t="n"/>
      <c r="I246" s="19" t="n"/>
      <c r="J246" s="19" t="n"/>
      <c r="K246" s="19" t="n"/>
      <c r="L246" s="19" t="n"/>
      <c r="M246" s="130">
        <f>IF($A246="","",AND('Task Finder'!$C$7&lt;&gt;"",OR(ISNUMBER(SEARCH('Task Finder'!$C$7,$A246)),ISNUMBER(SEARCH('Task Finder'!$C$7,$B246)),ISNUMBER(SEARCH('Task Finder'!$C$7,$C246)),ISNUMBER(SEARCH('Task Finder'!$C$7,$D246)),ISNUMBER(SEARCH('Task Finder'!$C$7,$K246)))))</f>
        <v/>
      </c>
    </row>
    <row r="247">
      <c r="A247" s="19" t="n"/>
      <c r="B247" s="19" t="n"/>
      <c r="C247" s="19" t="n"/>
      <c r="D247" s="19" t="n"/>
      <c r="E247" s="19" t="n"/>
      <c r="F247" s="19" t="n"/>
      <c r="G247" s="19" t="n"/>
      <c r="H247" s="19" t="n"/>
      <c r="I247" s="19" t="n"/>
      <c r="J247" s="19" t="n"/>
      <c r="K247" s="19" t="n"/>
      <c r="L247" s="19" t="n"/>
      <c r="M247" s="130">
        <f>IF($A247="","",AND('Task Finder'!$C$7&lt;&gt;"",OR(ISNUMBER(SEARCH('Task Finder'!$C$7,$A247)),ISNUMBER(SEARCH('Task Finder'!$C$7,$B247)),ISNUMBER(SEARCH('Task Finder'!$C$7,$C247)),ISNUMBER(SEARCH('Task Finder'!$C$7,$D247)),ISNUMBER(SEARCH('Task Finder'!$C$7,$K247)))))</f>
        <v/>
      </c>
    </row>
    <row r="248">
      <c r="A248" s="19" t="n"/>
      <c r="B248" s="19" t="n"/>
      <c r="C248" s="19" t="n"/>
      <c r="D248" s="19" t="n"/>
      <c r="E248" s="19" t="n"/>
      <c r="F248" s="19" t="n"/>
      <c r="G248" s="19" t="n"/>
      <c r="H248" s="19" t="n"/>
      <c r="I248" s="19" t="n"/>
      <c r="J248" s="19" t="n"/>
      <c r="K248" s="19" t="n"/>
      <c r="L248" s="19" t="n"/>
      <c r="M248" s="130">
        <f>IF($A248="","",AND('Task Finder'!$C$7&lt;&gt;"",OR(ISNUMBER(SEARCH('Task Finder'!$C$7,$A248)),ISNUMBER(SEARCH('Task Finder'!$C$7,$B248)),ISNUMBER(SEARCH('Task Finder'!$C$7,$C248)),ISNUMBER(SEARCH('Task Finder'!$C$7,$D248)),ISNUMBER(SEARCH('Task Finder'!$C$7,$K248)))))</f>
        <v/>
      </c>
    </row>
    <row r="249">
      <c r="A249" s="19" t="n"/>
      <c r="B249" s="19" t="n"/>
      <c r="C249" s="19" t="n"/>
      <c r="D249" s="19" t="n"/>
      <c r="E249" s="19" t="n"/>
      <c r="F249" s="19" t="n"/>
      <c r="G249" s="19" t="n"/>
      <c r="H249" s="19" t="n"/>
      <c r="I249" s="19" t="n"/>
      <c r="J249" s="19" t="n"/>
      <c r="K249" s="19" t="n"/>
      <c r="L249" s="19" t="n"/>
      <c r="M249" s="130">
        <f>IF($A249="","",AND('Task Finder'!$C$7&lt;&gt;"",OR(ISNUMBER(SEARCH('Task Finder'!$C$7,$A249)),ISNUMBER(SEARCH('Task Finder'!$C$7,$B249)),ISNUMBER(SEARCH('Task Finder'!$C$7,$C249)),ISNUMBER(SEARCH('Task Finder'!$C$7,$D249)),ISNUMBER(SEARCH('Task Finder'!$C$7,$K249)))))</f>
        <v/>
      </c>
    </row>
    <row r="250">
      <c r="A250" s="19" t="n"/>
      <c r="B250" s="19" t="n"/>
      <c r="C250" s="19" t="n"/>
      <c r="D250" s="19" t="n"/>
      <c r="E250" s="19" t="n"/>
      <c r="F250" s="19" t="n"/>
      <c r="G250" s="19" t="n"/>
      <c r="H250" s="19" t="n"/>
      <c r="I250" s="19" t="n"/>
      <c r="J250" s="19" t="n"/>
      <c r="K250" s="19" t="n"/>
      <c r="L250" s="19" t="n"/>
      <c r="M250" s="130">
        <f>IF($A250="","",AND('Task Finder'!$C$7&lt;&gt;"",OR(ISNUMBER(SEARCH('Task Finder'!$C$7,$A250)),ISNUMBER(SEARCH('Task Finder'!$C$7,$B250)),ISNUMBER(SEARCH('Task Finder'!$C$7,$C250)),ISNUMBER(SEARCH('Task Finder'!$C$7,$D250)),ISNUMBER(SEARCH('Task Finder'!$C$7,$K250)))))</f>
        <v/>
      </c>
    </row>
    <row r="251">
      <c r="A251" s="19" t="n"/>
      <c r="B251" s="19" t="n"/>
      <c r="C251" s="19" t="n"/>
      <c r="D251" s="19" t="n"/>
      <c r="E251" s="19" t="n"/>
      <c r="F251" s="19" t="n"/>
      <c r="G251" s="19" t="n"/>
      <c r="H251" s="19" t="n"/>
      <c r="I251" s="19" t="n"/>
      <c r="J251" s="19" t="n"/>
      <c r="K251" s="19" t="n"/>
      <c r="L251" s="19" t="n"/>
      <c r="M251" s="130">
        <f>IF($A251="","",AND('Task Finder'!$C$7&lt;&gt;"",OR(ISNUMBER(SEARCH('Task Finder'!$C$7,$A251)),ISNUMBER(SEARCH('Task Finder'!$C$7,$B251)),ISNUMBER(SEARCH('Task Finder'!$C$7,$C251)),ISNUMBER(SEARCH('Task Finder'!$C$7,$D251)),ISNUMBER(SEARCH('Task Finder'!$C$7,$K251)))))</f>
        <v/>
      </c>
    </row>
    <row r="252">
      <c r="A252" s="19" t="n"/>
      <c r="B252" s="19" t="n"/>
      <c r="C252" s="19" t="n"/>
      <c r="D252" s="19" t="n"/>
      <c r="E252" s="19" t="n"/>
      <c r="F252" s="19" t="n"/>
      <c r="G252" s="19" t="n"/>
      <c r="H252" s="19" t="n"/>
      <c r="I252" s="19" t="n"/>
      <c r="J252" s="19" t="n"/>
      <c r="K252" s="19" t="n"/>
      <c r="L252" s="19" t="n"/>
      <c r="M252" s="130">
        <f>IF($A252="","",AND('Task Finder'!$C$7&lt;&gt;"",OR(ISNUMBER(SEARCH('Task Finder'!$C$7,$A252)),ISNUMBER(SEARCH('Task Finder'!$C$7,$B252)),ISNUMBER(SEARCH('Task Finder'!$C$7,$C252)),ISNUMBER(SEARCH('Task Finder'!$C$7,$D252)),ISNUMBER(SEARCH('Task Finder'!$C$7,$K252)))))</f>
        <v/>
      </c>
    </row>
    <row r="253">
      <c r="A253" s="19" t="n"/>
      <c r="B253" s="19" t="n"/>
      <c r="C253" s="19" t="n"/>
      <c r="D253" s="19" t="n"/>
      <c r="E253" s="19" t="n"/>
      <c r="F253" s="19" t="n"/>
      <c r="G253" s="19" t="n"/>
      <c r="H253" s="19" t="n"/>
      <c r="I253" s="19" t="n"/>
      <c r="J253" s="19" t="n"/>
      <c r="K253" s="19" t="n"/>
      <c r="L253" s="19" t="n"/>
      <c r="M253" s="130">
        <f>IF($A253="","",AND('Task Finder'!$C$7&lt;&gt;"",OR(ISNUMBER(SEARCH('Task Finder'!$C$7,$A253)),ISNUMBER(SEARCH('Task Finder'!$C$7,$B253)),ISNUMBER(SEARCH('Task Finder'!$C$7,$C253)),ISNUMBER(SEARCH('Task Finder'!$C$7,$D253)),ISNUMBER(SEARCH('Task Finder'!$C$7,$K253)))))</f>
        <v/>
      </c>
    </row>
    <row r="254">
      <c r="A254" s="19" t="n"/>
      <c r="B254" s="19" t="n"/>
      <c r="C254" s="19" t="n"/>
      <c r="D254" s="19" t="n"/>
      <c r="E254" s="19" t="n"/>
      <c r="F254" s="19" t="n"/>
      <c r="G254" s="19" t="n"/>
      <c r="H254" s="19" t="n"/>
      <c r="I254" s="19" t="n"/>
      <c r="J254" s="19" t="n"/>
      <c r="K254" s="19" t="n"/>
      <c r="L254" s="19" t="n"/>
      <c r="M254" s="130">
        <f>IF($A254="","",AND('Task Finder'!$C$7&lt;&gt;"",OR(ISNUMBER(SEARCH('Task Finder'!$C$7,$A254)),ISNUMBER(SEARCH('Task Finder'!$C$7,$B254)),ISNUMBER(SEARCH('Task Finder'!$C$7,$C254)),ISNUMBER(SEARCH('Task Finder'!$C$7,$D254)),ISNUMBER(SEARCH('Task Finder'!$C$7,$K254)))))</f>
        <v/>
      </c>
    </row>
    <row r="255">
      <c r="A255" s="19" t="n"/>
      <c r="B255" s="19" t="n"/>
      <c r="C255" s="19" t="n"/>
      <c r="D255" s="19" t="n"/>
      <c r="E255" s="19" t="n"/>
      <c r="F255" s="19" t="n"/>
      <c r="G255" s="19" t="n"/>
      <c r="H255" s="19" t="n"/>
      <c r="I255" s="19" t="n"/>
      <c r="J255" s="19" t="n"/>
      <c r="K255" s="19" t="n"/>
      <c r="L255" s="19" t="n"/>
      <c r="M255" s="130">
        <f>IF($A255="","",AND('Task Finder'!$C$7&lt;&gt;"",OR(ISNUMBER(SEARCH('Task Finder'!$C$7,$A255)),ISNUMBER(SEARCH('Task Finder'!$C$7,$B255)),ISNUMBER(SEARCH('Task Finder'!$C$7,$C255)),ISNUMBER(SEARCH('Task Finder'!$C$7,$D255)),ISNUMBER(SEARCH('Task Finder'!$C$7,$K255)))))</f>
        <v/>
      </c>
    </row>
    <row r="256">
      <c r="A256" s="19" t="n"/>
      <c r="B256" s="19" t="n"/>
      <c r="C256" s="19" t="n"/>
      <c r="D256" s="19" t="n"/>
      <c r="E256" s="19" t="n"/>
      <c r="F256" s="19" t="n"/>
      <c r="G256" s="19" t="n"/>
      <c r="H256" s="19" t="n"/>
      <c r="I256" s="19" t="n"/>
      <c r="J256" s="19" t="n"/>
      <c r="K256" s="19" t="n"/>
      <c r="L256" s="19" t="n"/>
      <c r="M256" s="130">
        <f>IF($A256="","",AND('Task Finder'!$C$7&lt;&gt;"",OR(ISNUMBER(SEARCH('Task Finder'!$C$7,$A256)),ISNUMBER(SEARCH('Task Finder'!$C$7,$B256)),ISNUMBER(SEARCH('Task Finder'!$C$7,$C256)),ISNUMBER(SEARCH('Task Finder'!$C$7,$D256)),ISNUMBER(SEARCH('Task Finder'!$C$7,$K256)))))</f>
        <v/>
      </c>
    </row>
    <row r="257">
      <c r="A257" s="19" t="n"/>
      <c r="B257" s="19" t="n"/>
      <c r="C257" s="19" t="n"/>
      <c r="D257" s="19" t="n"/>
      <c r="E257" s="19" t="n"/>
      <c r="F257" s="19" t="n"/>
      <c r="G257" s="19" t="n"/>
      <c r="H257" s="19" t="n"/>
      <c r="I257" s="19" t="n"/>
      <c r="J257" s="19" t="n"/>
      <c r="K257" s="19" t="n"/>
      <c r="L257" s="19" t="n"/>
      <c r="M257" s="130">
        <f>IF($A257="","",AND('Task Finder'!$C$7&lt;&gt;"",OR(ISNUMBER(SEARCH('Task Finder'!$C$7,$A257)),ISNUMBER(SEARCH('Task Finder'!$C$7,$B257)),ISNUMBER(SEARCH('Task Finder'!$C$7,$C257)),ISNUMBER(SEARCH('Task Finder'!$C$7,$D257)),ISNUMBER(SEARCH('Task Finder'!$C$7,$K257)))))</f>
        <v/>
      </c>
    </row>
    <row r="258">
      <c r="A258" s="19" t="n"/>
      <c r="B258" s="19" t="n"/>
      <c r="C258" s="19" t="n"/>
      <c r="D258" s="19" t="n"/>
      <c r="E258" s="19" t="n"/>
      <c r="F258" s="19" t="n"/>
      <c r="G258" s="19" t="n"/>
      <c r="H258" s="19" t="n"/>
      <c r="I258" s="19" t="n"/>
      <c r="J258" s="19" t="n"/>
      <c r="K258" s="19" t="n"/>
      <c r="L258" s="19" t="n"/>
      <c r="M258" s="130">
        <f>IF($A258="","",AND('Task Finder'!$C$7&lt;&gt;"",OR(ISNUMBER(SEARCH('Task Finder'!$C$7,$A258)),ISNUMBER(SEARCH('Task Finder'!$C$7,$B258)),ISNUMBER(SEARCH('Task Finder'!$C$7,$C258)),ISNUMBER(SEARCH('Task Finder'!$C$7,$D258)),ISNUMBER(SEARCH('Task Finder'!$C$7,$K258)))))</f>
        <v/>
      </c>
    </row>
    <row r="259">
      <c r="A259" s="19" t="n"/>
      <c r="B259" s="19" t="n"/>
      <c r="C259" s="19" t="n"/>
      <c r="D259" s="19" t="n"/>
      <c r="E259" s="19" t="n"/>
      <c r="F259" s="19" t="n"/>
      <c r="G259" s="19" t="n"/>
      <c r="H259" s="19" t="n"/>
      <c r="I259" s="19" t="n"/>
      <c r="J259" s="19" t="n"/>
      <c r="K259" s="19" t="n"/>
      <c r="L259" s="19" t="n"/>
      <c r="M259" s="130">
        <f>IF($A259="","",AND('Task Finder'!$C$7&lt;&gt;"",OR(ISNUMBER(SEARCH('Task Finder'!$C$7,$A259)),ISNUMBER(SEARCH('Task Finder'!$C$7,$B259)),ISNUMBER(SEARCH('Task Finder'!$C$7,$C259)),ISNUMBER(SEARCH('Task Finder'!$C$7,$D259)),ISNUMBER(SEARCH('Task Finder'!$C$7,$K259)))))</f>
        <v/>
      </c>
    </row>
    <row r="260">
      <c r="A260" s="19" t="n"/>
      <c r="B260" s="19" t="n"/>
      <c r="C260" s="19" t="n"/>
      <c r="D260" s="19" t="n"/>
      <c r="E260" s="19" t="n"/>
      <c r="F260" s="19" t="n"/>
      <c r="G260" s="19" t="n"/>
      <c r="H260" s="19" t="n"/>
      <c r="I260" s="19" t="n"/>
      <c r="J260" s="19" t="n"/>
      <c r="K260" s="19" t="n"/>
      <c r="L260" s="19" t="n"/>
      <c r="M260" s="130">
        <f>IF($A260="","",AND('Task Finder'!$C$7&lt;&gt;"",OR(ISNUMBER(SEARCH('Task Finder'!$C$7,$A260)),ISNUMBER(SEARCH('Task Finder'!$C$7,$B260)),ISNUMBER(SEARCH('Task Finder'!$C$7,$C260)),ISNUMBER(SEARCH('Task Finder'!$C$7,$D260)),ISNUMBER(SEARCH('Task Finder'!$C$7,$K260)))))</f>
        <v/>
      </c>
    </row>
    <row r="261">
      <c r="A261" s="19" t="n"/>
      <c r="B261" s="19" t="n"/>
      <c r="C261" s="19" t="n"/>
      <c r="D261" s="19" t="n"/>
      <c r="E261" s="19" t="n"/>
      <c r="F261" s="19" t="n"/>
      <c r="G261" s="19" t="n"/>
      <c r="H261" s="19" t="n"/>
      <c r="I261" s="19" t="n"/>
      <c r="J261" s="19" t="n"/>
      <c r="K261" s="19" t="n"/>
      <c r="L261" s="19" t="n"/>
      <c r="M261" s="130">
        <f>IF($A261="","",AND('Task Finder'!$C$7&lt;&gt;"",OR(ISNUMBER(SEARCH('Task Finder'!$C$7,$A261)),ISNUMBER(SEARCH('Task Finder'!$C$7,$B261)),ISNUMBER(SEARCH('Task Finder'!$C$7,$C261)),ISNUMBER(SEARCH('Task Finder'!$C$7,$D261)),ISNUMBER(SEARCH('Task Finder'!$C$7,$K261)))))</f>
        <v/>
      </c>
    </row>
    <row r="262">
      <c r="A262" s="19" t="n"/>
      <c r="B262" s="19" t="n"/>
      <c r="C262" s="19" t="n"/>
      <c r="D262" s="19" t="n"/>
      <c r="E262" s="19" t="n"/>
      <c r="F262" s="19" t="n"/>
      <c r="G262" s="19" t="n"/>
      <c r="H262" s="19" t="n"/>
      <c r="I262" s="19" t="n"/>
      <c r="J262" s="19" t="n"/>
      <c r="K262" s="19" t="n"/>
      <c r="L262" s="19" t="n"/>
      <c r="M262" s="130">
        <f>IF($A262="","",AND('Task Finder'!$C$7&lt;&gt;"",OR(ISNUMBER(SEARCH('Task Finder'!$C$7,$A262)),ISNUMBER(SEARCH('Task Finder'!$C$7,$B262)),ISNUMBER(SEARCH('Task Finder'!$C$7,$C262)),ISNUMBER(SEARCH('Task Finder'!$C$7,$D262)),ISNUMBER(SEARCH('Task Finder'!$C$7,$K262)))))</f>
        <v/>
      </c>
    </row>
    <row r="263">
      <c r="A263" s="19" t="n"/>
      <c r="B263" s="19" t="n"/>
      <c r="C263" s="19" t="n"/>
      <c r="D263" s="19" t="n"/>
      <c r="E263" s="19" t="n"/>
      <c r="F263" s="19" t="n"/>
      <c r="G263" s="19" t="n"/>
      <c r="H263" s="19" t="n"/>
      <c r="I263" s="19" t="n"/>
      <c r="J263" s="19" t="n"/>
      <c r="K263" s="19" t="n"/>
      <c r="L263" s="19" t="n"/>
      <c r="M263" s="130">
        <f>IF($A263="","",AND('Task Finder'!$C$7&lt;&gt;"",OR(ISNUMBER(SEARCH('Task Finder'!$C$7,$A263)),ISNUMBER(SEARCH('Task Finder'!$C$7,$B263)),ISNUMBER(SEARCH('Task Finder'!$C$7,$C263)),ISNUMBER(SEARCH('Task Finder'!$C$7,$D263)),ISNUMBER(SEARCH('Task Finder'!$C$7,$K263)))))</f>
        <v/>
      </c>
    </row>
    <row r="264">
      <c r="A264" s="19" t="n"/>
      <c r="B264" s="19" t="n"/>
      <c r="C264" s="19" t="n"/>
      <c r="D264" s="19" t="n"/>
      <c r="E264" s="19" t="n"/>
      <c r="F264" s="19" t="n"/>
      <c r="G264" s="19" t="n"/>
      <c r="H264" s="19" t="n"/>
      <c r="I264" s="19" t="n"/>
      <c r="J264" s="19" t="n"/>
      <c r="K264" s="19" t="n"/>
      <c r="L264" s="19" t="n"/>
      <c r="M264" s="130">
        <f>IF($A264="","",AND('Task Finder'!$C$7&lt;&gt;"",OR(ISNUMBER(SEARCH('Task Finder'!$C$7,$A264)),ISNUMBER(SEARCH('Task Finder'!$C$7,$B264)),ISNUMBER(SEARCH('Task Finder'!$C$7,$C264)),ISNUMBER(SEARCH('Task Finder'!$C$7,$D264)),ISNUMBER(SEARCH('Task Finder'!$C$7,$K264)))))</f>
        <v/>
      </c>
    </row>
    <row r="265">
      <c r="A265" s="19" t="n"/>
      <c r="B265" s="19" t="n"/>
      <c r="C265" s="19" t="n"/>
      <c r="D265" s="19" t="n"/>
      <c r="E265" s="19" t="n"/>
      <c r="F265" s="19" t="n"/>
      <c r="G265" s="19" t="n"/>
      <c r="H265" s="19" t="n"/>
      <c r="I265" s="19" t="n"/>
      <c r="J265" s="19" t="n"/>
      <c r="K265" s="19" t="n"/>
      <c r="L265" s="19" t="n"/>
      <c r="M265" s="130">
        <f>IF($A265="","",AND('Task Finder'!$C$7&lt;&gt;"",OR(ISNUMBER(SEARCH('Task Finder'!$C$7,$A265)),ISNUMBER(SEARCH('Task Finder'!$C$7,$B265)),ISNUMBER(SEARCH('Task Finder'!$C$7,$C265)),ISNUMBER(SEARCH('Task Finder'!$C$7,$D265)),ISNUMBER(SEARCH('Task Finder'!$C$7,$K265)))))</f>
        <v/>
      </c>
    </row>
    <row r="266">
      <c r="A266" s="19" t="n"/>
      <c r="B266" s="19" t="n"/>
      <c r="C266" s="19" t="n"/>
      <c r="D266" s="19" t="n"/>
      <c r="E266" s="19" t="n"/>
      <c r="F266" s="19" t="n"/>
      <c r="G266" s="19" t="n"/>
      <c r="H266" s="19" t="n"/>
      <c r="I266" s="19" t="n"/>
      <c r="J266" s="19" t="n"/>
      <c r="K266" s="19" t="n"/>
      <c r="L266" s="19" t="n"/>
      <c r="M266" s="130">
        <f>IF($A266="","",AND('Task Finder'!$C$7&lt;&gt;"",OR(ISNUMBER(SEARCH('Task Finder'!$C$7,$A266)),ISNUMBER(SEARCH('Task Finder'!$C$7,$B266)),ISNUMBER(SEARCH('Task Finder'!$C$7,$C266)),ISNUMBER(SEARCH('Task Finder'!$C$7,$D266)),ISNUMBER(SEARCH('Task Finder'!$C$7,$K266)))))</f>
        <v/>
      </c>
    </row>
    <row r="267">
      <c r="A267" s="19" t="n"/>
      <c r="B267" s="19" t="n"/>
      <c r="C267" s="19" t="n"/>
      <c r="D267" s="19" t="n"/>
      <c r="E267" s="19" t="n"/>
      <c r="F267" s="19" t="n"/>
      <c r="G267" s="19" t="n"/>
      <c r="H267" s="19" t="n"/>
      <c r="I267" s="19" t="n"/>
      <c r="J267" s="19" t="n"/>
      <c r="K267" s="19" t="n"/>
      <c r="L267" s="19" t="n"/>
      <c r="M267" s="130">
        <f>IF($A267="","",AND('Task Finder'!$C$7&lt;&gt;"",OR(ISNUMBER(SEARCH('Task Finder'!$C$7,$A267)),ISNUMBER(SEARCH('Task Finder'!$C$7,$B267)),ISNUMBER(SEARCH('Task Finder'!$C$7,$C267)),ISNUMBER(SEARCH('Task Finder'!$C$7,$D267)),ISNUMBER(SEARCH('Task Finder'!$C$7,$K267)))))</f>
        <v/>
      </c>
    </row>
    <row r="268">
      <c r="A268" s="19" t="n"/>
      <c r="B268" s="19" t="n"/>
      <c r="C268" s="19" t="n"/>
      <c r="D268" s="19" t="n"/>
      <c r="E268" s="19" t="n"/>
      <c r="F268" s="19" t="n"/>
      <c r="G268" s="19" t="n"/>
      <c r="H268" s="19" t="n"/>
      <c r="I268" s="19" t="n"/>
      <c r="J268" s="19" t="n"/>
      <c r="K268" s="19" t="n"/>
      <c r="L268" s="19" t="n"/>
      <c r="M268" s="130">
        <f>IF($A268="","",AND('Task Finder'!$C$7&lt;&gt;"",OR(ISNUMBER(SEARCH('Task Finder'!$C$7,$A268)),ISNUMBER(SEARCH('Task Finder'!$C$7,$B268)),ISNUMBER(SEARCH('Task Finder'!$C$7,$C268)),ISNUMBER(SEARCH('Task Finder'!$C$7,$D268)),ISNUMBER(SEARCH('Task Finder'!$C$7,$K268)))))</f>
        <v/>
      </c>
    </row>
    <row r="269">
      <c r="A269" s="19" t="n"/>
      <c r="B269" s="19" t="n"/>
      <c r="C269" s="19" t="n"/>
      <c r="D269" s="19" t="n"/>
      <c r="E269" s="19" t="n"/>
      <c r="F269" s="19" t="n"/>
      <c r="G269" s="19" t="n"/>
      <c r="H269" s="19" t="n"/>
      <c r="I269" s="19" t="n"/>
      <c r="J269" s="19" t="n"/>
      <c r="K269" s="19" t="n"/>
      <c r="L269" s="19" t="n"/>
      <c r="M269" s="130">
        <f>IF($A269="","",AND('Task Finder'!$C$7&lt;&gt;"",OR(ISNUMBER(SEARCH('Task Finder'!$C$7,$A269)),ISNUMBER(SEARCH('Task Finder'!$C$7,$B269)),ISNUMBER(SEARCH('Task Finder'!$C$7,$C269)),ISNUMBER(SEARCH('Task Finder'!$C$7,$D269)),ISNUMBER(SEARCH('Task Finder'!$C$7,$K269)))))</f>
        <v/>
      </c>
    </row>
    <row r="270">
      <c r="A270" s="19" t="n"/>
      <c r="B270" s="19" t="n"/>
      <c r="C270" s="19" t="n"/>
      <c r="D270" s="19" t="n"/>
      <c r="E270" s="19" t="n"/>
      <c r="F270" s="19" t="n"/>
      <c r="G270" s="19" t="n"/>
      <c r="H270" s="19" t="n"/>
      <c r="I270" s="19" t="n"/>
      <c r="J270" s="19" t="n"/>
      <c r="K270" s="19" t="n"/>
      <c r="L270" s="19" t="n"/>
      <c r="M270" s="130">
        <f>IF($A270="","",AND('Task Finder'!$C$7&lt;&gt;"",OR(ISNUMBER(SEARCH('Task Finder'!$C$7,$A270)),ISNUMBER(SEARCH('Task Finder'!$C$7,$B270)),ISNUMBER(SEARCH('Task Finder'!$C$7,$C270)),ISNUMBER(SEARCH('Task Finder'!$C$7,$D270)),ISNUMBER(SEARCH('Task Finder'!$C$7,$K270)))))</f>
        <v/>
      </c>
    </row>
    <row r="271">
      <c r="A271" s="19" t="n"/>
      <c r="B271" s="19" t="n"/>
      <c r="C271" s="19" t="n"/>
      <c r="D271" s="19" t="n"/>
      <c r="E271" s="19" t="n"/>
      <c r="F271" s="19" t="n"/>
      <c r="G271" s="19" t="n"/>
      <c r="H271" s="19" t="n"/>
      <c r="I271" s="19" t="n"/>
      <c r="J271" s="19" t="n"/>
      <c r="K271" s="19" t="n"/>
      <c r="L271" s="19" t="n"/>
      <c r="M271" s="130">
        <f>IF($A271="","",AND('Task Finder'!$C$7&lt;&gt;"",OR(ISNUMBER(SEARCH('Task Finder'!$C$7,$A271)),ISNUMBER(SEARCH('Task Finder'!$C$7,$B271)),ISNUMBER(SEARCH('Task Finder'!$C$7,$C271)),ISNUMBER(SEARCH('Task Finder'!$C$7,$D271)),ISNUMBER(SEARCH('Task Finder'!$C$7,$K271)))))</f>
        <v/>
      </c>
    </row>
    <row r="272">
      <c r="A272" s="19" t="n"/>
      <c r="B272" s="19" t="n"/>
      <c r="C272" s="19" t="n"/>
      <c r="D272" s="19" t="n"/>
      <c r="E272" s="19" t="n"/>
      <c r="F272" s="19" t="n"/>
      <c r="G272" s="19" t="n"/>
      <c r="H272" s="19" t="n"/>
      <c r="I272" s="19" t="n"/>
      <c r="J272" s="19" t="n"/>
      <c r="K272" s="19" t="n"/>
      <c r="L272" s="19" t="n"/>
      <c r="M272" s="130">
        <f>IF($A272="","",AND('Task Finder'!$C$7&lt;&gt;"",OR(ISNUMBER(SEARCH('Task Finder'!$C$7,$A272)),ISNUMBER(SEARCH('Task Finder'!$C$7,$B272)),ISNUMBER(SEARCH('Task Finder'!$C$7,$C272)),ISNUMBER(SEARCH('Task Finder'!$C$7,$D272)),ISNUMBER(SEARCH('Task Finder'!$C$7,$K272)))))</f>
        <v/>
      </c>
    </row>
    <row r="273">
      <c r="A273" s="19" t="n"/>
      <c r="B273" s="19" t="n"/>
      <c r="C273" s="19" t="n"/>
      <c r="D273" s="19" t="n"/>
      <c r="E273" s="19" t="n"/>
      <c r="F273" s="19" t="n"/>
      <c r="G273" s="19" t="n"/>
      <c r="H273" s="19" t="n"/>
      <c r="I273" s="19" t="n"/>
      <c r="J273" s="19" t="n"/>
      <c r="K273" s="19" t="n"/>
      <c r="L273" s="19" t="n"/>
      <c r="M273" s="130">
        <f>IF($A273="","",AND('Task Finder'!$C$7&lt;&gt;"",OR(ISNUMBER(SEARCH('Task Finder'!$C$7,$A273)),ISNUMBER(SEARCH('Task Finder'!$C$7,$B273)),ISNUMBER(SEARCH('Task Finder'!$C$7,$C273)),ISNUMBER(SEARCH('Task Finder'!$C$7,$D273)),ISNUMBER(SEARCH('Task Finder'!$C$7,$K273)))))</f>
        <v/>
      </c>
    </row>
    <row r="274">
      <c r="A274" s="19" t="n"/>
      <c r="B274" s="19" t="n"/>
      <c r="C274" s="19" t="n"/>
      <c r="D274" s="19" t="n"/>
      <c r="E274" s="19" t="n"/>
      <c r="F274" s="19" t="n"/>
      <c r="G274" s="19" t="n"/>
      <c r="H274" s="19" t="n"/>
      <c r="I274" s="19" t="n"/>
      <c r="J274" s="19" t="n"/>
      <c r="K274" s="19" t="n"/>
      <c r="L274" s="19" t="n"/>
      <c r="M274" s="130">
        <f>IF($A274="","",AND('Task Finder'!$C$7&lt;&gt;"",OR(ISNUMBER(SEARCH('Task Finder'!$C$7,$A274)),ISNUMBER(SEARCH('Task Finder'!$C$7,$B274)),ISNUMBER(SEARCH('Task Finder'!$C$7,$C274)),ISNUMBER(SEARCH('Task Finder'!$C$7,$D274)),ISNUMBER(SEARCH('Task Finder'!$C$7,$K274)))))</f>
        <v/>
      </c>
    </row>
    <row r="275">
      <c r="A275" s="19" t="n"/>
      <c r="B275" s="19" t="n"/>
      <c r="C275" s="19" t="n"/>
      <c r="D275" s="19" t="n"/>
      <c r="E275" s="19" t="n"/>
      <c r="F275" s="19" t="n"/>
      <c r="G275" s="19" t="n"/>
      <c r="H275" s="19" t="n"/>
      <c r="I275" s="19" t="n"/>
      <c r="J275" s="19" t="n"/>
      <c r="K275" s="19" t="n"/>
      <c r="L275" s="19" t="n"/>
      <c r="M275" s="130">
        <f>IF($A275="","",AND('Task Finder'!$C$7&lt;&gt;"",OR(ISNUMBER(SEARCH('Task Finder'!$C$7,$A275)),ISNUMBER(SEARCH('Task Finder'!$C$7,$B275)),ISNUMBER(SEARCH('Task Finder'!$C$7,$C275)),ISNUMBER(SEARCH('Task Finder'!$C$7,$D275)),ISNUMBER(SEARCH('Task Finder'!$C$7,$K275)))))</f>
        <v/>
      </c>
    </row>
    <row r="276">
      <c r="A276" s="19" t="n"/>
      <c r="B276" s="19" t="n"/>
      <c r="C276" s="19" t="n"/>
      <c r="D276" s="19" t="n"/>
      <c r="E276" s="19" t="n"/>
      <c r="F276" s="19" t="n"/>
      <c r="G276" s="19" t="n"/>
      <c r="H276" s="19" t="n"/>
      <c r="I276" s="19" t="n"/>
      <c r="J276" s="19" t="n"/>
      <c r="K276" s="19" t="n"/>
      <c r="L276" s="19" t="n"/>
      <c r="M276" s="130">
        <f>IF($A276="","",AND('Task Finder'!$C$7&lt;&gt;"",OR(ISNUMBER(SEARCH('Task Finder'!$C$7,$A276)),ISNUMBER(SEARCH('Task Finder'!$C$7,$B276)),ISNUMBER(SEARCH('Task Finder'!$C$7,$C276)),ISNUMBER(SEARCH('Task Finder'!$C$7,$D276)),ISNUMBER(SEARCH('Task Finder'!$C$7,$K276)))))</f>
        <v/>
      </c>
    </row>
    <row r="277">
      <c r="A277" s="19" t="n"/>
      <c r="B277" s="19" t="n"/>
      <c r="C277" s="19" t="n"/>
      <c r="D277" s="19" t="n"/>
      <c r="E277" s="19" t="n"/>
      <c r="F277" s="19" t="n"/>
      <c r="G277" s="19" t="n"/>
      <c r="H277" s="19" t="n"/>
      <c r="I277" s="19" t="n"/>
      <c r="J277" s="19" t="n"/>
      <c r="K277" s="19" t="n"/>
      <c r="L277" s="19" t="n"/>
      <c r="M277" s="130">
        <f>IF($A277="","",AND('Task Finder'!$C$7&lt;&gt;"",OR(ISNUMBER(SEARCH('Task Finder'!$C$7,$A277)),ISNUMBER(SEARCH('Task Finder'!$C$7,$B277)),ISNUMBER(SEARCH('Task Finder'!$C$7,$C277)),ISNUMBER(SEARCH('Task Finder'!$C$7,$D277)),ISNUMBER(SEARCH('Task Finder'!$C$7,$K277)))))</f>
        <v/>
      </c>
    </row>
    <row r="278">
      <c r="A278" s="19" t="n"/>
      <c r="B278" s="19" t="n"/>
      <c r="C278" s="19" t="n"/>
      <c r="D278" s="19" t="n"/>
      <c r="E278" s="19" t="n"/>
      <c r="F278" s="19" t="n"/>
      <c r="G278" s="19" t="n"/>
      <c r="H278" s="19" t="n"/>
      <c r="I278" s="19" t="n"/>
      <c r="J278" s="19" t="n"/>
      <c r="K278" s="19" t="n"/>
      <c r="L278" s="19" t="n"/>
      <c r="M278" s="130">
        <f>IF($A278="","",AND('Task Finder'!$C$7&lt;&gt;"",OR(ISNUMBER(SEARCH('Task Finder'!$C$7,$A278)),ISNUMBER(SEARCH('Task Finder'!$C$7,$B278)),ISNUMBER(SEARCH('Task Finder'!$C$7,$C278)),ISNUMBER(SEARCH('Task Finder'!$C$7,$D278)),ISNUMBER(SEARCH('Task Finder'!$C$7,$K278)))))</f>
        <v/>
      </c>
    </row>
    <row r="279">
      <c r="A279" s="19" t="n"/>
      <c r="B279" s="19" t="n"/>
      <c r="C279" s="19" t="n"/>
      <c r="D279" s="19" t="n"/>
      <c r="E279" s="19" t="n"/>
      <c r="F279" s="19" t="n"/>
      <c r="G279" s="19" t="n"/>
      <c r="H279" s="19" t="n"/>
      <c r="I279" s="19" t="n"/>
      <c r="J279" s="19" t="n"/>
      <c r="K279" s="19" t="n"/>
      <c r="L279" s="19" t="n"/>
      <c r="M279" s="130">
        <f>IF($A279="","",AND('Task Finder'!$C$7&lt;&gt;"",OR(ISNUMBER(SEARCH('Task Finder'!$C$7,$A279)),ISNUMBER(SEARCH('Task Finder'!$C$7,$B279)),ISNUMBER(SEARCH('Task Finder'!$C$7,$C279)),ISNUMBER(SEARCH('Task Finder'!$C$7,$D279)),ISNUMBER(SEARCH('Task Finder'!$C$7,$K279)))))</f>
        <v/>
      </c>
    </row>
    <row r="280">
      <c r="A280" s="19" t="n"/>
      <c r="B280" s="19" t="n"/>
      <c r="C280" s="19" t="n"/>
      <c r="D280" s="19" t="n"/>
      <c r="E280" s="19" t="n"/>
      <c r="F280" s="19" t="n"/>
      <c r="G280" s="19" t="n"/>
      <c r="H280" s="19" t="n"/>
      <c r="I280" s="19" t="n"/>
      <c r="J280" s="19" t="n"/>
      <c r="K280" s="19" t="n"/>
      <c r="L280" s="19" t="n"/>
      <c r="M280" s="130">
        <f>IF($A280="","",AND('Task Finder'!$C$7&lt;&gt;"",OR(ISNUMBER(SEARCH('Task Finder'!$C$7,$A280)),ISNUMBER(SEARCH('Task Finder'!$C$7,$B280)),ISNUMBER(SEARCH('Task Finder'!$C$7,$C280)),ISNUMBER(SEARCH('Task Finder'!$C$7,$D280)),ISNUMBER(SEARCH('Task Finder'!$C$7,$K280)))))</f>
        <v/>
      </c>
    </row>
    <row r="281">
      <c r="A281" s="19" t="n"/>
      <c r="B281" s="19" t="n"/>
      <c r="C281" s="19" t="n"/>
      <c r="D281" s="19" t="n"/>
      <c r="E281" s="19" t="n"/>
      <c r="F281" s="19" t="n"/>
      <c r="G281" s="19" t="n"/>
      <c r="H281" s="19" t="n"/>
      <c r="I281" s="19" t="n"/>
      <c r="J281" s="19" t="n"/>
      <c r="K281" s="19" t="n"/>
      <c r="L281" s="19" t="n"/>
      <c r="M281" s="130">
        <f>IF($A281="","",AND('Task Finder'!$C$7&lt;&gt;"",OR(ISNUMBER(SEARCH('Task Finder'!$C$7,$A281)),ISNUMBER(SEARCH('Task Finder'!$C$7,$B281)),ISNUMBER(SEARCH('Task Finder'!$C$7,$C281)),ISNUMBER(SEARCH('Task Finder'!$C$7,$D281)),ISNUMBER(SEARCH('Task Finder'!$C$7,$K281)))))</f>
        <v/>
      </c>
    </row>
    <row r="282">
      <c r="A282" s="19" t="n"/>
      <c r="B282" s="19" t="n"/>
      <c r="C282" s="19" t="n"/>
      <c r="D282" s="19" t="n"/>
      <c r="E282" s="19" t="n"/>
      <c r="F282" s="19" t="n"/>
      <c r="G282" s="19" t="n"/>
      <c r="H282" s="19" t="n"/>
      <c r="I282" s="19" t="n"/>
      <c r="J282" s="19" t="n"/>
      <c r="K282" s="19" t="n"/>
      <c r="L282" s="19" t="n"/>
      <c r="M282" s="130">
        <f>IF($A282="","",AND('Task Finder'!$C$7&lt;&gt;"",OR(ISNUMBER(SEARCH('Task Finder'!$C$7,$A282)),ISNUMBER(SEARCH('Task Finder'!$C$7,$B282)),ISNUMBER(SEARCH('Task Finder'!$C$7,$C282)),ISNUMBER(SEARCH('Task Finder'!$C$7,$D282)),ISNUMBER(SEARCH('Task Finder'!$C$7,$K282)))))</f>
        <v/>
      </c>
    </row>
    <row r="283">
      <c r="A283" s="19" t="n"/>
      <c r="B283" s="19" t="n"/>
      <c r="C283" s="19" t="n"/>
      <c r="D283" s="19" t="n"/>
      <c r="E283" s="19" t="n"/>
      <c r="F283" s="19" t="n"/>
      <c r="G283" s="19" t="n"/>
      <c r="H283" s="19" t="n"/>
      <c r="I283" s="19" t="n"/>
      <c r="J283" s="19" t="n"/>
      <c r="K283" s="19" t="n"/>
      <c r="L283" s="19" t="n"/>
      <c r="M283" s="130">
        <f>IF($A283="","",AND('Task Finder'!$C$7&lt;&gt;"",OR(ISNUMBER(SEARCH('Task Finder'!$C$7,$A283)),ISNUMBER(SEARCH('Task Finder'!$C$7,$B283)),ISNUMBER(SEARCH('Task Finder'!$C$7,$C283)),ISNUMBER(SEARCH('Task Finder'!$C$7,$D283)),ISNUMBER(SEARCH('Task Finder'!$C$7,$K283)))))</f>
        <v/>
      </c>
    </row>
    <row r="284">
      <c r="A284" s="19" t="n"/>
      <c r="B284" s="19" t="n"/>
      <c r="C284" s="19" t="n"/>
      <c r="D284" s="19" t="n"/>
      <c r="E284" s="19" t="n"/>
      <c r="F284" s="19" t="n"/>
      <c r="G284" s="19" t="n"/>
      <c r="H284" s="19" t="n"/>
      <c r="I284" s="19" t="n"/>
      <c r="J284" s="19" t="n"/>
      <c r="K284" s="19" t="n"/>
      <c r="L284" s="19" t="n"/>
      <c r="M284" s="130">
        <f>IF($A284="","",AND('Task Finder'!$C$7&lt;&gt;"",OR(ISNUMBER(SEARCH('Task Finder'!$C$7,$A284)),ISNUMBER(SEARCH('Task Finder'!$C$7,$B284)),ISNUMBER(SEARCH('Task Finder'!$C$7,$C284)),ISNUMBER(SEARCH('Task Finder'!$C$7,$D284)),ISNUMBER(SEARCH('Task Finder'!$C$7,$K284)))))</f>
        <v/>
      </c>
    </row>
    <row r="285">
      <c r="A285" s="19" t="n"/>
      <c r="B285" s="19" t="n"/>
      <c r="C285" s="19" t="n"/>
      <c r="D285" s="19" t="n"/>
      <c r="E285" s="19" t="n"/>
      <c r="F285" s="19" t="n"/>
      <c r="G285" s="19" t="n"/>
      <c r="H285" s="19" t="n"/>
      <c r="I285" s="19" t="n"/>
      <c r="J285" s="19" t="n"/>
      <c r="K285" s="19" t="n"/>
      <c r="L285" s="19" t="n"/>
      <c r="M285" s="130">
        <f>IF($A285="","",AND('Task Finder'!$C$7&lt;&gt;"",OR(ISNUMBER(SEARCH('Task Finder'!$C$7,$A285)),ISNUMBER(SEARCH('Task Finder'!$C$7,$B285)),ISNUMBER(SEARCH('Task Finder'!$C$7,$C285)),ISNUMBER(SEARCH('Task Finder'!$C$7,$D285)),ISNUMBER(SEARCH('Task Finder'!$C$7,$K285)))))</f>
        <v/>
      </c>
    </row>
    <row r="286">
      <c r="A286" s="19" t="n"/>
      <c r="B286" s="19" t="n"/>
      <c r="C286" s="19" t="n"/>
      <c r="D286" s="19" t="n"/>
      <c r="E286" s="19" t="n"/>
      <c r="F286" s="19" t="n"/>
      <c r="G286" s="19" t="n"/>
      <c r="H286" s="19" t="n"/>
      <c r="I286" s="19" t="n"/>
      <c r="J286" s="19" t="n"/>
      <c r="K286" s="19" t="n"/>
      <c r="L286" s="19" t="n"/>
      <c r="M286" s="130">
        <f>IF($A286="","",AND('Task Finder'!$C$7&lt;&gt;"",OR(ISNUMBER(SEARCH('Task Finder'!$C$7,$A286)),ISNUMBER(SEARCH('Task Finder'!$C$7,$B286)),ISNUMBER(SEARCH('Task Finder'!$C$7,$C286)),ISNUMBER(SEARCH('Task Finder'!$C$7,$D286)),ISNUMBER(SEARCH('Task Finder'!$C$7,$K286)))))</f>
        <v/>
      </c>
    </row>
    <row r="287">
      <c r="A287" s="19" t="n"/>
      <c r="B287" s="19" t="n"/>
      <c r="C287" s="19" t="n"/>
      <c r="D287" s="19" t="n"/>
      <c r="E287" s="19" t="n"/>
      <c r="F287" s="19" t="n"/>
      <c r="G287" s="19" t="n"/>
      <c r="H287" s="19" t="n"/>
      <c r="I287" s="19" t="n"/>
      <c r="J287" s="19" t="n"/>
      <c r="K287" s="19" t="n"/>
      <c r="L287" s="19" t="n"/>
      <c r="M287" s="130">
        <f>IF($A287="","",AND('Task Finder'!$C$7&lt;&gt;"",OR(ISNUMBER(SEARCH('Task Finder'!$C$7,$A287)),ISNUMBER(SEARCH('Task Finder'!$C$7,$B287)),ISNUMBER(SEARCH('Task Finder'!$C$7,$C287)),ISNUMBER(SEARCH('Task Finder'!$C$7,$D287)),ISNUMBER(SEARCH('Task Finder'!$C$7,$K287)))))</f>
        <v/>
      </c>
    </row>
    <row r="288">
      <c r="A288" s="19" t="n"/>
      <c r="B288" s="19" t="n"/>
      <c r="C288" s="19" t="n"/>
      <c r="D288" s="19" t="n"/>
      <c r="E288" s="19" t="n"/>
      <c r="F288" s="19" t="n"/>
      <c r="G288" s="19" t="n"/>
      <c r="H288" s="19" t="n"/>
      <c r="I288" s="19" t="n"/>
      <c r="J288" s="19" t="n"/>
      <c r="K288" s="19" t="n"/>
      <c r="L288" s="19" t="n"/>
      <c r="M288" s="130">
        <f>IF($A288="","",AND('Task Finder'!$C$7&lt;&gt;"",OR(ISNUMBER(SEARCH('Task Finder'!$C$7,$A288)),ISNUMBER(SEARCH('Task Finder'!$C$7,$B288)),ISNUMBER(SEARCH('Task Finder'!$C$7,$C288)),ISNUMBER(SEARCH('Task Finder'!$C$7,$D288)),ISNUMBER(SEARCH('Task Finder'!$C$7,$K288)))))</f>
        <v/>
      </c>
    </row>
    <row r="289">
      <c r="A289" s="19" t="n"/>
      <c r="B289" s="19" t="n"/>
      <c r="C289" s="19" t="n"/>
      <c r="D289" s="19" t="n"/>
      <c r="E289" s="19" t="n"/>
      <c r="F289" s="19" t="n"/>
      <c r="G289" s="19" t="n"/>
      <c r="H289" s="19" t="n"/>
      <c r="I289" s="19" t="n"/>
      <c r="J289" s="19" t="n"/>
      <c r="K289" s="19" t="n"/>
      <c r="L289" s="19" t="n"/>
      <c r="M289" s="130">
        <f>IF($A289="","",AND('Task Finder'!$C$7&lt;&gt;"",OR(ISNUMBER(SEARCH('Task Finder'!$C$7,$A289)),ISNUMBER(SEARCH('Task Finder'!$C$7,$B289)),ISNUMBER(SEARCH('Task Finder'!$C$7,$C289)),ISNUMBER(SEARCH('Task Finder'!$C$7,$D289)),ISNUMBER(SEARCH('Task Finder'!$C$7,$K289)))))</f>
        <v/>
      </c>
    </row>
    <row r="290">
      <c r="A290" s="19" t="n"/>
      <c r="B290" s="19" t="n"/>
      <c r="C290" s="19" t="n"/>
      <c r="D290" s="19" t="n"/>
      <c r="E290" s="19" t="n"/>
      <c r="F290" s="19" t="n"/>
      <c r="G290" s="19" t="n"/>
      <c r="H290" s="19" t="n"/>
      <c r="I290" s="19" t="n"/>
      <c r="J290" s="19" t="n"/>
      <c r="K290" s="19" t="n"/>
      <c r="L290" s="19" t="n"/>
      <c r="M290" s="130">
        <f>IF($A290="","",AND('Task Finder'!$C$7&lt;&gt;"",OR(ISNUMBER(SEARCH('Task Finder'!$C$7,$A290)),ISNUMBER(SEARCH('Task Finder'!$C$7,$B290)),ISNUMBER(SEARCH('Task Finder'!$C$7,$C290)),ISNUMBER(SEARCH('Task Finder'!$C$7,$D290)),ISNUMBER(SEARCH('Task Finder'!$C$7,$K290)))))</f>
        <v/>
      </c>
    </row>
    <row r="291">
      <c r="A291" s="19" t="n"/>
      <c r="B291" s="19" t="n"/>
      <c r="C291" s="19" t="n"/>
      <c r="D291" s="19" t="n"/>
      <c r="E291" s="19" t="n"/>
      <c r="F291" s="19" t="n"/>
      <c r="G291" s="19" t="n"/>
      <c r="H291" s="19" t="n"/>
      <c r="I291" s="19" t="n"/>
      <c r="J291" s="19" t="n"/>
      <c r="K291" s="19" t="n"/>
      <c r="L291" s="19" t="n"/>
      <c r="M291" s="130">
        <f>IF($A291="","",AND('Task Finder'!$C$7&lt;&gt;"",OR(ISNUMBER(SEARCH('Task Finder'!$C$7,$A291)),ISNUMBER(SEARCH('Task Finder'!$C$7,$B291)),ISNUMBER(SEARCH('Task Finder'!$C$7,$C291)),ISNUMBER(SEARCH('Task Finder'!$C$7,$D291)),ISNUMBER(SEARCH('Task Finder'!$C$7,$K291)))))</f>
        <v/>
      </c>
    </row>
    <row r="292">
      <c r="A292" s="19" t="n"/>
      <c r="B292" s="19" t="n"/>
      <c r="C292" s="19" t="n"/>
      <c r="D292" s="19" t="n"/>
      <c r="E292" s="19" t="n"/>
      <c r="F292" s="19" t="n"/>
      <c r="G292" s="19" t="n"/>
      <c r="H292" s="19" t="n"/>
      <c r="I292" s="19" t="n"/>
      <c r="J292" s="19" t="n"/>
      <c r="K292" s="19" t="n"/>
      <c r="L292" s="19" t="n"/>
      <c r="M292" s="130">
        <f>IF($A292="","",AND('Task Finder'!$C$7&lt;&gt;"",OR(ISNUMBER(SEARCH('Task Finder'!$C$7,$A292)),ISNUMBER(SEARCH('Task Finder'!$C$7,$B292)),ISNUMBER(SEARCH('Task Finder'!$C$7,$C292)),ISNUMBER(SEARCH('Task Finder'!$C$7,$D292)),ISNUMBER(SEARCH('Task Finder'!$C$7,$K292)))))</f>
        <v/>
      </c>
    </row>
    <row r="293">
      <c r="A293" s="19" t="n"/>
      <c r="B293" s="19" t="n"/>
      <c r="C293" s="19" t="n"/>
      <c r="D293" s="19" t="n"/>
      <c r="E293" s="19" t="n"/>
      <c r="F293" s="19" t="n"/>
      <c r="G293" s="19" t="n"/>
      <c r="H293" s="19" t="n"/>
      <c r="I293" s="19" t="n"/>
      <c r="J293" s="19" t="n"/>
      <c r="K293" s="19" t="n"/>
      <c r="L293" s="19" t="n"/>
      <c r="M293" s="130">
        <f>IF($A293="","",AND('Task Finder'!$C$7&lt;&gt;"",OR(ISNUMBER(SEARCH('Task Finder'!$C$7,$A293)),ISNUMBER(SEARCH('Task Finder'!$C$7,$B293)),ISNUMBER(SEARCH('Task Finder'!$C$7,$C293)),ISNUMBER(SEARCH('Task Finder'!$C$7,$D293)),ISNUMBER(SEARCH('Task Finder'!$C$7,$K293)))))</f>
        <v/>
      </c>
    </row>
    <row r="294">
      <c r="A294" s="19" t="n"/>
      <c r="B294" s="19" t="n"/>
      <c r="C294" s="19" t="n"/>
      <c r="D294" s="19" t="n"/>
      <c r="E294" s="19" t="n"/>
      <c r="F294" s="19" t="n"/>
      <c r="G294" s="19" t="n"/>
      <c r="H294" s="19" t="n"/>
      <c r="I294" s="19" t="n"/>
      <c r="J294" s="19" t="n"/>
      <c r="K294" s="19" t="n"/>
      <c r="L294" s="19" t="n"/>
      <c r="M294" s="130">
        <f>IF($A294="","",AND('Task Finder'!$C$7&lt;&gt;"",OR(ISNUMBER(SEARCH('Task Finder'!$C$7,$A294)),ISNUMBER(SEARCH('Task Finder'!$C$7,$B294)),ISNUMBER(SEARCH('Task Finder'!$C$7,$C294)),ISNUMBER(SEARCH('Task Finder'!$C$7,$D294)),ISNUMBER(SEARCH('Task Finder'!$C$7,$K294)))))</f>
        <v/>
      </c>
    </row>
    <row r="295">
      <c r="A295" s="19" t="n"/>
      <c r="B295" s="19" t="n"/>
      <c r="C295" s="19" t="n"/>
      <c r="D295" s="19" t="n"/>
      <c r="E295" s="19" t="n"/>
      <c r="F295" s="19" t="n"/>
      <c r="G295" s="19" t="n"/>
      <c r="H295" s="19" t="n"/>
      <c r="I295" s="19" t="n"/>
      <c r="J295" s="19" t="n"/>
      <c r="K295" s="19" t="n"/>
      <c r="L295" s="19" t="n"/>
      <c r="M295" s="130">
        <f>IF($A295="","",AND('Task Finder'!$C$7&lt;&gt;"",OR(ISNUMBER(SEARCH('Task Finder'!$C$7,$A295)),ISNUMBER(SEARCH('Task Finder'!$C$7,$B295)),ISNUMBER(SEARCH('Task Finder'!$C$7,$C295)),ISNUMBER(SEARCH('Task Finder'!$C$7,$D295)),ISNUMBER(SEARCH('Task Finder'!$C$7,$K295)))))</f>
        <v/>
      </c>
    </row>
    <row r="296">
      <c r="A296" s="19" t="n"/>
      <c r="B296" s="19" t="n"/>
      <c r="C296" s="19" t="n"/>
      <c r="D296" s="19" t="n"/>
      <c r="E296" s="19" t="n"/>
      <c r="F296" s="19" t="n"/>
      <c r="G296" s="19" t="n"/>
      <c r="H296" s="19" t="n"/>
      <c r="I296" s="19" t="n"/>
      <c r="J296" s="19" t="n"/>
      <c r="K296" s="19" t="n"/>
      <c r="L296" s="19" t="n"/>
      <c r="M296" s="130">
        <f>IF($A296="","",AND('Task Finder'!$C$7&lt;&gt;"",OR(ISNUMBER(SEARCH('Task Finder'!$C$7,$A296)),ISNUMBER(SEARCH('Task Finder'!$C$7,$B296)),ISNUMBER(SEARCH('Task Finder'!$C$7,$C296)),ISNUMBER(SEARCH('Task Finder'!$C$7,$D296)),ISNUMBER(SEARCH('Task Finder'!$C$7,$K296)))))</f>
        <v/>
      </c>
    </row>
    <row r="297">
      <c r="A297" s="19" t="n"/>
      <c r="B297" s="19" t="n"/>
      <c r="C297" s="19" t="n"/>
      <c r="D297" s="19" t="n"/>
      <c r="E297" s="19" t="n"/>
      <c r="F297" s="19" t="n"/>
      <c r="G297" s="19" t="n"/>
      <c r="H297" s="19" t="n"/>
      <c r="I297" s="19" t="n"/>
      <c r="J297" s="19" t="n"/>
      <c r="K297" s="19" t="n"/>
      <c r="L297" s="19" t="n"/>
      <c r="M297" s="130">
        <f>IF($A297="","",AND('Task Finder'!$C$7&lt;&gt;"",OR(ISNUMBER(SEARCH('Task Finder'!$C$7,$A297)),ISNUMBER(SEARCH('Task Finder'!$C$7,$B297)),ISNUMBER(SEARCH('Task Finder'!$C$7,$C297)),ISNUMBER(SEARCH('Task Finder'!$C$7,$D297)),ISNUMBER(SEARCH('Task Finder'!$C$7,$K297)))))</f>
        <v/>
      </c>
    </row>
    <row r="298">
      <c r="A298" s="19" t="n"/>
      <c r="B298" s="19" t="n"/>
      <c r="C298" s="19" t="n"/>
      <c r="D298" s="19" t="n"/>
      <c r="E298" s="19" t="n"/>
      <c r="F298" s="19" t="n"/>
      <c r="G298" s="19" t="n"/>
      <c r="H298" s="19" t="n"/>
      <c r="I298" s="19" t="n"/>
      <c r="J298" s="19" t="n"/>
      <c r="K298" s="19" t="n"/>
      <c r="L298" s="19" t="n"/>
      <c r="M298" s="130">
        <f>IF($A298="","",AND('Task Finder'!$C$7&lt;&gt;"",OR(ISNUMBER(SEARCH('Task Finder'!$C$7,$A298)),ISNUMBER(SEARCH('Task Finder'!$C$7,$B298)),ISNUMBER(SEARCH('Task Finder'!$C$7,$C298)),ISNUMBER(SEARCH('Task Finder'!$C$7,$D298)),ISNUMBER(SEARCH('Task Finder'!$C$7,$K298)))))</f>
        <v/>
      </c>
    </row>
    <row r="299">
      <c r="A299" s="19" t="n"/>
      <c r="B299" s="19" t="n"/>
      <c r="C299" s="19" t="n"/>
      <c r="D299" s="19" t="n"/>
      <c r="E299" s="19" t="n"/>
      <c r="F299" s="19" t="n"/>
      <c r="G299" s="19" t="n"/>
      <c r="H299" s="19" t="n"/>
      <c r="I299" s="19" t="n"/>
      <c r="J299" s="19" t="n"/>
      <c r="K299" s="19" t="n"/>
      <c r="L299" s="19" t="n"/>
      <c r="M299" s="130">
        <f>IF($A299="","",AND('Task Finder'!$C$7&lt;&gt;"",OR(ISNUMBER(SEARCH('Task Finder'!$C$7,$A299)),ISNUMBER(SEARCH('Task Finder'!$C$7,$B299)),ISNUMBER(SEARCH('Task Finder'!$C$7,$C299)),ISNUMBER(SEARCH('Task Finder'!$C$7,$D299)),ISNUMBER(SEARCH('Task Finder'!$C$7,$K299)))))</f>
        <v/>
      </c>
    </row>
    <row r="300">
      <c r="A300" s="19" t="n"/>
      <c r="B300" s="19" t="n"/>
      <c r="C300" s="19" t="n"/>
      <c r="D300" s="19" t="n"/>
      <c r="E300" s="19" t="n"/>
      <c r="F300" s="19" t="n"/>
      <c r="G300" s="19" t="n"/>
      <c r="H300" s="19" t="n"/>
      <c r="I300" s="19" t="n"/>
      <c r="J300" s="19" t="n"/>
      <c r="K300" s="19" t="n"/>
      <c r="L300" s="19" t="n"/>
      <c r="M300" s="130">
        <f>IF($A300="","",AND('Task Finder'!$C$7&lt;&gt;"",OR(ISNUMBER(SEARCH('Task Finder'!$C$7,$A300)),ISNUMBER(SEARCH('Task Finder'!$C$7,$B300)),ISNUMBER(SEARCH('Task Finder'!$C$7,$C300)),ISNUMBER(SEARCH('Task Finder'!$C$7,$D300)),ISNUMBER(SEARCH('Task Finder'!$C$7,$K300)))))</f>
        <v/>
      </c>
    </row>
    <row r="301">
      <c r="A301" s="19" t="n"/>
      <c r="B301" s="19" t="n"/>
      <c r="C301" s="19" t="n"/>
      <c r="D301" s="19" t="n"/>
      <c r="E301" s="19" t="n"/>
      <c r="F301" s="19" t="n"/>
      <c r="G301" s="19" t="n"/>
      <c r="H301" s="19" t="n"/>
      <c r="I301" s="19" t="n"/>
      <c r="J301" s="19" t="n"/>
      <c r="K301" s="19" t="n"/>
      <c r="L301" s="19" t="n"/>
      <c r="M301" s="130">
        <f>IF($A301="","",AND('Task Finder'!$C$7&lt;&gt;"",OR(ISNUMBER(SEARCH('Task Finder'!$C$7,$A301)),ISNUMBER(SEARCH('Task Finder'!$C$7,$B301)),ISNUMBER(SEARCH('Task Finder'!$C$7,$C301)),ISNUMBER(SEARCH('Task Finder'!$C$7,$D301)),ISNUMBER(SEARCH('Task Finder'!$C$7,$K301)))))</f>
        <v/>
      </c>
    </row>
    <row r="302">
      <c r="A302" s="19" t="n"/>
      <c r="B302" s="19" t="n"/>
      <c r="C302" s="19" t="n"/>
      <c r="D302" s="19" t="n"/>
      <c r="E302" s="19" t="n"/>
      <c r="F302" s="19" t="n"/>
      <c r="G302" s="19" t="n"/>
      <c r="H302" s="19" t="n"/>
      <c r="I302" s="19" t="n"/>
      <c r="J302" s="19" t="n"/>
      <c r="K302" s="19" t="n"/>
      <c r="L302" s="19" t="n"/>
      <c r="M302" s="130">
        <f>IF($A302="","",AND('Task Finder'!$C$7&lt;&gt;"",OR(ISNUMBER(SEARCH('Task Finder'!$C$7,$A302)),ISNUMBER(SEARCH('Task Finder'!$C$7,$B302)),ISNUMBER(SEARCH('Task Finder'!$C$7,$C302)),ISNUMBER(SEARCH('Task Finder'!$C$7,$D302)),ISNUMBER(SEARCH('Task Finder'!$C$7,$K302)))))</f>
        <v/>
      </c>
    </row>
    <row r="303">
      <c r="A303" s="19" t="n"/>
      <c r="B303" s="19" t="n"/>
      <c r="C303" s="19" t="n"/>
      <c r="D303" s="19" t="n"/>
      <c r="E303" s="19" t="n"/>
      <c r="F303" s="19" t="n"/>
      <c r="G303" s="19" t="n"/>
      <c r="H303" s="19" t="n"/>
      <c r="I303" s="19" t="n"/>
      <c r="J303" s="19" t="n"/>
      <c r="K303" s="19" t="n"/>
      <c r="L303" s="19" t="n"/>
      <c r="M303" s="130">
        <f>IF($A303="","",AND('Task Finder'!$C$7&lt;&gt;"",OR(ISNUMBER(SEARCH('Task Finder'!$C$7,$A303)),ISNUMBER(SEARCH('Task Finder'!$C$7,$B303)),ISNUMBER(SEARCH('Task Finder'!$C$7,$C303)),ISNUMBER(SEARCH('Task Finder'!$C$7,$D303)),ISNUMBER(SEARCH('Task Finder'!$C$7,$K303)))))</f>
        <v/>
      </c>
    </row>
    <row r="304">
      <c r="A304" s="19" t="n"/>
      <c r="B304" s="19" t="n"/>
      <c r="C304" s="19" t="n"/>
      <c r="D304" s="19" t="n"/>
      <c r="E304" s="19" t="n"/>
      <c r="F304" s="19" t="n"/>
      <c r="G304" s="19" t="n"/>
      <c r="H304" s="19" t="n"/>
      <c r="I304" s="19" t="n"/>
      <c r="J304" s="19" t="n"/>
      <c r="K304" s="19" t="n"/>
      <c r="L304" s="19" t="n"/>
      <c r="M304" s="130">
        <f>IF($A304="","",AND('Task Finder'!$C$7&lt;&gt;"",OR(ISNUMBER(SEARCH('Task Finder'!$C$7,$A304)),ISNUMBER(SEARCH('Task Finder'!$C$7,$B304)),ISNUMBER(SEARCH('Task Finder'!$C$7,$C304)),ISNUMBER(SEARCH('Task Finder'!$C$7,$D304)),ISNUMBER(SEARCH('Task Finder'!$C$7,$K304)))))</f>
        <v/>
      </c>
    </row>
    <row r="305">
      <c r="A305" s="19" t="n"/>
      <c r="B305" s="19" t="n"/>
      <c r="C305" s="19" t="n"/>
      <c r="D305" s="19" t="n"/>
      <c r="E305" s="19" t="n"/>
      <c r="F305" s="19" t="n"/>
      <c r="G305" s="19" t="n"/>
      <c r="H305" s="19" t="n"/>
      <c r="I305" s="19" t="n"/>
      <c r="J305" s="19" t="n"/>
      <c r="K305" s="19" t="n"/>
      <c r="L305" s="19" t="n"/>
      <c r="M305" s="130">
        <f>IF($A305="","",AND('Task Finder'!$C$7&lt;&gt;"",OR(ISNUMBER(SEARCH('Task Finder'!$C$7,$A305)),ISNUMBER(SEARCH('Task Finder'!$C$7,$B305)),ISNUMBER(SEARCH('Task Finder'!$C$7,$C305)),ISNUMBER(SEARCH('Task Finder'!$C$7,$D305)),ISNUMBER(SEARCH('Task Finder'!$C$7,$K305)))))</f>
        <v/>
      </c>
    </row>
    <row r="306">
      <c r="A306" s="19" t="n"/>
      <c r="B306" s="19" t="n"/>
      <c r="C306" s="19" t="n"/>
      <c r="D306" s="19" t="n"/>
      <c r="E306" s="19" t="n"/>
      <c r="F306" s="19" t="n"/>
      <c r="G306" s="19" t="n"/>
      <c r="H306" s="19" t="n"/>
      <c r="I306" s="19" t="n"/>
      <c r="J306" s="19" t="n"/>
      <c r="K306" s="19" t="n"/>
      <c r="L306" s="19" t="n"/>
      <c r="M306" s="130">
        <f>IF($A306="","",AND('Task Finder'!$C$7&lt;&gt;"",OR(ISNUMBER(SEARCH('Task Finder'!$C$7,$A306)),ISNUMBER(SEARCH('Task Finder'!$C$7,$B306)),ISNUMBER(SEARCH('Task Finder'!$C$7,$C306)),ISNUMBER(SEARCH('Task Finder'!$C$7,$D306)),ISNUMBER(SEARCH('Task Finder'!$C$7,$K306)))))</f>
        <v/>
      </c>
    </row>
    <row r="307">
      <c r="A307" s="19" t="n"/>
      <c r="B307" s="19" t="n"/>
      <c r="C307" s="19" t="n"/>
      <c r="D307" s="19" t="n"/>
      <c r="E307" s="19" t="n"/>
      <c r="F307" s="19" t="n"/>
      <c r="G307" s="19" t="n"/>
      <c r="H307" s="19" t="n"/>
      <c r="I307" s="19" t="n"/>
      <c r="J307" s="19" t="n"/>
      <c r="K307" s="19" t="n"/>
      <c r="L307" s="19" t="n"/>
      <c r="M307" s="130">
        <f>IF($A307="","",AND('Task Finder'!$C$7&lt;&gt;"",OR(ISNUMBER(SEARCH('Task Finder'!$C$7,$A307)),ISNUMBER(SEARCH('Task Finder'!$C$7,$B307)),ISNUMBER(SEARCH('Task Finder'!$C$7,$C307)),ISNUMBER(SEARCH('Task Finder'!$C$7,$D307)),ISNUMBER(SEARCH('Task Finder'!$C$7,$K307)))))</f>
        <v/>
      </c>
    </row>
    <row r="308">
      <c r="A308" s="19" t="n"/>
      <c r="B308" s="19" t="n"/>
      <c r="C308" s="19" t="n"/>
      <c r="D308" s="19" t="n"/>
      <c r="E308" s="19" t="n"/>
      <c r="F308" s="19" t="n"/>
      <c r="G308" s="19" t="n"/>
      <c r="H308" s="19" t="n"/>
      <c r="I308" s="19" t="n"/>
      <c r="J308" s="19" t="n"/>
      <c r="K308" s="19" t="n"/>
      <c r="L308" s="19" t="n"/>
      <c r="M308" s="130">
        <f>IF($A308="","",AND('Task Finder'!$C$7&lt;&gt;"",OR(ISNUMBER(SEARCH('Task Finder'!$C$7,$A308)),ISNUMBER(SEARCH('Task Finder'!$C$7,$B308)),ISNUMBER(SEARCH('Task Finder'!$C$7,$C308)),ISNUMBER(SEARCH('Task Finder'!$C$7,$D308)),ISNUMBER(SEARCH('Task Finder'!$C$7,$K308)))))</f>
        <v/>
      </c>
    </row>
    <row r="309">
      <c r="A309" s="19" t="n"/>
      <c r="B309" s="19" t="n"/>
      <c r="C309" s="19" t="n"/>
      <c r="D309" s="19" t="n"/>
      <c r="E309" s="19" t="n"/>
      <c r="F309" s="19" t="n"/>
      <c r="G309" s="19" t="n"/>
      <c r="H309" s="19" t="n"/>
      <c r="I309" s="19" t="n"/>
      <c r="J309" s="19" t="n"/>
      <c r="K309" s="19" t="n"/>
      <c r="L309" s="19" t="n"/>
      <c r="M309" s="130">
        <f>IF($A309="","",AND('Task Finder'!$C$7&lt;&gt;"",OR(ISNUMBER(SEARCH('Task Finder'!$C$7,$A309)),ISNUMBER(SEARCH('Task Finder'!$C$7,$B309)),ISNUMBER(SEARCH('Task Finder'!$C$7,$C309)),ISNUMBER(SEARCH('Task Finder'!$C$7,$D309)),ISNUMBER(SEARCH('Task Finder'!$C$7,$K309)))))</f>
        <v/>
      </c>
    </row>
    <row r="310">
      <c r="A310" s="19" t="n"/>
      <c r="B310" s="19" t="n"/>
      <c r="C310" s="19" t="n"/>
      <c r="D310" s="19" t="n"/>
      <c r="E310" s="19" t="n"/>
      <c r="F310" s="19" t="n"/>
      <c r="G310" s="19" t="n"/>
      <c r="H310" s="19" t="n"/>
      <c r="I310" s="19" t="n"/>
      <c r="J310" s="19" t="n"/>
      <c r="K310" s="19" t="n"/>
      <c r="L310" s="19" t="n"/>
      <c r="M310" s="130">
        <f>IF($A310="","",AND('Task Finder'!$C$7&lt;&gt;"",OR(ISNUMBER(SEARCH('Task Finder'!$C$7,$A310)),ISNUMBER(SEARCH('Task Finder'!$C$7,$B310)),ISNUMBER(SEARCH('Task Finder'!$C$7,$C310)),ISNUMBER(SEARCH('Task Finder'!$C$7,$D310)),ISNUMBER(SEARCH('Task Finder'!$C$7,$K310)))))</f>
        <v/>
      </c>
    </row>
    <row r="311">
      <c r="A311" s="19" t="n"/>
      <c r="B311" s="19" t="n"/>
      <c r="C311" s="19" t="n"/>
      <c r="D311" s="19" t="n"/>
      <c r="E311" s="19" t="n"/>
      <c r="F311" s="19" t="n"/>
      <c r="G311" s="19" t="n"/>
      <c r="H311" s="19" t="n"/>
      <c r="I311" s="19" t="n"/>
      <c r="J311" s="19" t="n"/>
      <c r="K311" s="19" t="n"/>
      <c r="L311" s="19" t="n"/>
      <c r="M311" s="130">
        <f>IF($A311="","",AND('Task Finder'!$C$7&lt;&gt;"",OR(ISNUMBER(SEARCH('Task Finder'!$C$7,$A311)),ISNUMBER(SEARCH('Task Finder'!$C$7,$B311)),ISNUMBER(SEARCH('Task Finder'!$C$7,$C311)),ISNUMBER(SEARCH('Task Finder'!$C$7,$D311)),ISNUMBER(SEARCH('Task Finder'!$C$7,$K311)))))</f>
        <v/>
      </c>
    </row>
    <row r="312">
      <c r="A312" s="19" t="n"/>
      <c r="B312" s="19" t="n"/>
      <c r="C312" s="19" t="n"/>
      <c r="D312" s="19" t="n"/>
      <c r="E312" s="19" t="n"/>
      <c r="F312" s="19" t="n"/>
      <c r="G312" s="19" t="n"/>
      <c r="H312" s="19" t="n"/>
      <c r="I312" s="19" t="n"/>
      <c r="J312" s="19" t="n"/>
      <c r="K312" s="19" t="n"/>
      <c r="L312" s="19" t="n"/>
      <c r="M312" s="130">
        <f>IF($A312="","",AND('Task Finder'!$C$7&lt;&gt;"",OR(ISNUMBER(SEARCH('Task Finder'!$C$7,$A312)),ISNUMBER(SEARCH('Task Finder'!$C$7,$B312)),ISNUMBER(SEARCH('Task Finder'!$C$7,$C312)),ISNUMBER(SEARCH('Task Finder'!$C$7,$D312)),ISNUMBER(SEARCH('Task Finder'!$C$7,$K312)))))</f>
        <v/>
      </c>
    </row>
    <row r="313">
      <c r="A313" s="19" t="n"/>
      <c r="B313" s="19" t="n"/>
      <c r="C313" s="19" t="n"/>
      <c r="D313" s="19" t="n"/>
      <c r="E313" s="19" t="n"/>
      <c r="F313" s="19" t="n"/>
      <c r="G313" s="19" t="n"/>
      <c r="H313" s="19" t="n"/>
      <c r="I313" s="19" t="n"/>
      <c r="J313" s="19" t="n"/>
      <c r="K313" s="19" t="n"/>
      <c r="L313" s="19" t="n"/>
      <c r="M313" s="130">
        <f>IF($A313="","",AND('Task Finder'!$C$7&lt;&gt;"",OR(ISNUMBER(SEARCH('Task Finder'!$C$7,$A313)),ISNUMBER(SEARCH('Task Finder'!$C$7,$B313)),ISNUMBER(SEARCH('Task Finder'!$C$7,$C313)),ISNUMBER(SEARCH('Task Finder'!$C$7,$D313)),ISNUMBER(SEARCH('Task Finder'!$C$7,$K313)))))</f>
        <v/>
      </c>
    </row>
    <row r="314">
      <c r="A314" s="19" t="n"/>
      <c r="B314" s="19" t="n"/>
      <c r="C314" s="19" t="n"/>
      <c r="D314" s="19" t="n"/>
      <c r="E314" s="19" t="n"/>
      <c r="F314" s="19" t="n"/>
      <c r="G314" s="19" t="n"/>
      <c r="H314" s="19" t="n"/>
      <c r="I314" s="19" t="n"/>
      <c r="J314" s="19" t="n"/>
      <c r="K314" s="19" t="n"/>
      <c r="L314" s="19" t="n"/>
      <c r="M314" s="130">
        <f>IF($A314="","",AND('Task Finder'!$C$7&lt;&gt;"",OR(ISNUMBER(SEARCH('Task Finder'!$C$7,$A314)),ISNUMBER(SEARCH('Task Finder'!$C$7,$B314)),ISNUMBER(SEARCH('Task Finder'!$C$7,$C314)),ISNUMBER(SEARCH('Task Finder'!$C$7,$D314)),ISNUMBER(SEARCH('Task Finder'!$C$7,$K314)))))</f>
        <v/>
      </c>
    </row>
    <row r="315">
      <c r="A315" s="19" t="n"/>
      <c r="B315" s="19" t="n"/>
      <c r="C315" s="19" t="n"/>
      <c r="D315" s="19" t="n"/>
      <c r="E315" s="19" t="n"/>
      <c r="F315" s="19" t="n"/>
      <c r="G315" s="19" t="n"/>
      <c r="H315" s="19" t="n"/>
      <c r="I315" s="19" t="n"/>
      <c r="J315" s="19" t="n"/>
      <c r="K315" s="19" t="n"/>
      <c r="L315" s="19" t="n"/>
      <c r="M315" s="130">
        <f>IF($A315="","",AND('Task Finder'!$C$7&lt;&gt;"",OR(ISNUMBER(SEARCH('Task Finder'!$C$7,$A315)),ISNUMBER(SEARCH('Task Finder'!$C$7,$B315)),ISNUMBER(SEARCH('Task Finder'!$C$7,$C315)),ISNUMBER(SEARCH('Task Finder'!$C$7,$D315)),ISNUMBER(SEARCH('Task Finder'!$C$7,$K315)))))</f>
        <v/>
      </c>
    </row>
    <row r="316">
      <c r="A316" s="19" t="n"/>
      <c r="B316" s="19" t="n"/>
      <c r="C316" s="19" t="n"/>
      <c r="D316" s="19" t="n"/>
      <c r="E316" s="19" t="n"/>
      <c r="F316" s="19" t="n"/>
      <c r="G316" s="19" t="n"/>
      <c r="H316" s="19" t="n"/>
      <c r="I316" s="19" t="n"/>
      <c r="J316" s="19" t="n"/>
      <c r="K316" s="19" t="n"/>
      <c r="L316" s="19" t="n"/>
      <c r="M316" s="130">
        <f>IF($A316="","",AND('Task Finder'!$C$7&lt;&gt;"",OR(ISNUMBER(SEARCH('Task Finder'!$C$7,$A316)),ISNUMBER(SEARCH('Task Finder'!$C$7,$B316)),ISNUMBER(SEARCH('Task Finder'!$C$7,$C316)),ISNUMBER(SEARCH('Task Finder'!$C$7,$D316)),ISNUMBER(SEARCH('Task Finder'!$C$7,$K316)))))</f>
        <v/>
      </c>
    </row>
    <row r="317">
      <c r="A317" s="19" t="n"/>
      <c r="B317" s="19" t="n"/>
      <c r="C317" s="19" t="n"/>
      <c r="D317" s="19" t="n"/>
      <c r="E317" s="19" t="n"/>
      <c r="F317" s="19" t="n"/>
      <c r="G317" s="19" t="n"/>
      <c r="H317" s="19" t="n"/>
      <c r="I317" s="19" t="n"/>
      <c r="J317" s="19" t="n"/>
      <c r="K317" s="19" t="n"/>
      <c r="L317" s="19" t="n"/>
      <c r="M317" s="130">
        <f>IF($A317="","",AND('Task Finder'!$C$7&lt;&gt;"",OR(ISNUMBER(SEARCH('Task Finder'!$C$7,$A317)),ISNUMBER(SEARCH('Task Finder'!$C$7,$B317)),ISNUMBER(SEARCH('Task Finder'!$C$7,$C317)),ISNUMBER(SEARCH('Task Finder'!$C$7,$D317)),ISNUMBER(SEARCH('Task Finder'!$C$7,$K317)))))</f>
        <v/>
      </c>
    </row>
    <row r="318">
      <c r="A318" s="19" t="n"/>
      <c r="B318" s="19" t="n"/>
      <c r="C318" s="19" t="n"/>
      <c r="D318" s="19" t="n"/>
      <c r="E318" s="19" t="n"/>
      <c r="F318" s="19" t="n"/>
      <c r="G318" s="19" t="n"/>
      <c r="H318" s="19" t="n"/>
      <c r="I318" s="19" t="n"/>
      <c r="J318" s="19" t="n"/>
      <c r="K318" s="19" t="n"/>
      <c r="L318" s="19" t="n"/>
      <c r="M318" s="130">
        <f>IF($A318="","",AND('Task Finder'!$C$7&lt;&gt;"",OR(ISNUMBER(SEARCH('Task Finder'!$C$7,$A318)),ISNUMBER(SEARCH('Task Finder'!$C$7,$B318)),ISNUMBER(SEARCH('Task Finder'!$C$7,$C318)),ISNUMBER(SEARCH('Task Finder'!$C$7,$D318)),ISNUMBER(SEARCH('Task Finder'!$C$7,$K318)))))</f>
        <v/>
      </c>
    </row>
    <row r="319">
      <c r="A319" s="19" t="n"/>
      <c r="B319" s="19" t="n"/>
      <c r="C319" s="19" t="n"/>
      <c r="D319" s="19" t="n"/>
      <c r="E319" s="19" t="n"/>
      <c r="F319" s="19" t="n"/>
      <c r="G319" s="19" t="n"/>
      <c r="H319" s="19" t="n"/>
      <c r="I319" s="19" t="n"/>
      <c r="J319" s="19" t="n"/>
      <c r="K319" s="19" t="n"/>
      <c r="L319" s="19" t="n"/>
      <c r="M319" s="130">
        <f>IF($A319="","",AND('Task Finder'!$C$7&lt;&gt;"",OR(ISNUMBER(SEARCH('Task Finder'!$C$7,$A319)),ISNUMBER(SEARCH('Task Finder'!$C$7,$B319)),ISNUMBER(SEARCH('Task Finder'!$C$7,$C319)),ISNUMBER(SEARCH('Task Finder'!$C$7,$D319)),ISNUMBER(SEARCH('Task Finder'!$C$7,$K319)))))</f>
        <v/>
      </c>
    </row>
    <row r="320">
      <c r="A320" s="19" t="n"/>
      <c r="B320" s="19" t="n"/>
      <c r="C320" s="19" t="n"/>
      <c r="D320" s="19" t="n"/>
      <c r="E320" s="19" t="n"/>
      <c r="F320" s="19" t="n"/>
      <c r="G320" s="19" t="n"/>
      <c r="H320" s="19" t="n"/>
      <c r="I320" s="19" t="n"/>
      <c r="J320" s="19" t="n"/>
      <c r="K320" s="19" t="n"/>
      <c r="L320" s="19" t="n"/>
      <c r="M320" s="130">
        <f>IF($A320="","",AND('Task Finder'!$C$7&lt;&gt;"",OR(ISNUMBER(SEARCH('Task Finder'!$C$7,$A320)),ISNUMBER(SEARCH('Task Finder'!$C$7,$B320)),ISNUMBER(SEARCH('Task Finder'!$C$7,$C320)),ISNUMBER(SEARCH('Task Finder'!$C$7,$D320)),ISNUMBER(SEARCH('Task Finder'!$C$7,$K320)))))</f>
        <v/>
      </c>
    </row>
    <row r="321">
      <c r="A321" s="19" t="n"/>
      <c r="B321" s="19" t="n"/>
      <c r="C321" s="19" t="n"/>
      <c r="D321" s="19" t="n"/>
      <c r="E321" s="19" t="n"/>
      <c r="F321" s="19" t="n"/>
      <c r="G321" s="19" t="n"/>
      <c r="H321" s="19" t="n"/>
      <c r="I321" s="19" t="n"/>
      <c r="J321" s="19" t="n"/>
      <c r="K321" s="19" t="n"/>
      <c r="L321" s="19" t="n"/>
      <c r="M321" s="130">
        <f>IF($A321="","",AND('Task Finder'!$C$7&lt;&gt;"",OR(ISNUMBER(SEARCH('Task Finder'!$C$7,$A321)),ISNUMBER(SEARCH('Task Finder'!$C$7,$B321)),ISNUMBER(SEARCH('Task Finder'!$C$7,$C321)),ISNUMBER(SEARCH('Task Finder'!$C$7,$D321)),ISNUMBER(SEARCH('Task Finder'!$C$7,$K321)))))</f>
        <v/>
      </c>
    </row>
    <row r="322">
      <c r="A322" s="19" t="n"/>
      <c r="B322" s="19" t="n"/>
      <c r="C322" s="19" t="n"/>
      <c r="D322" s="19" t="n"/>
      <c r="E322" s="19" t="n"/>
      <c r="F322" s="19" t="n"/>
      <c r="G322" s="19" t="n"/>
      <c r="H322" s="19" t="n"/>
      <c r="I322" s="19" t="n"/>
      <c r="J322" s="19" t="n"/>
      <c r="K322" s="19" t="n"/>
      <c r="L322" s="19" t="n"/>
      <c r="M322" s="130">
        <f>IF($A322="","",AND('Task Finder'!$C$7&lt;&gt;"",OR(ISNUMBER(SEARCH('Task Finder'!$C$7,$A322)),ISNUMBER(SEARCH('Task Finder'!$C$7,$B322)),ISNUMBER(SEARCH('Task Finder'!$C$7,$C322)),ISNUMBER(SEARCH('Task Finder'!$C$7,$D322)),ISNUMBER(SEARCH('Task Finder'!$C$7,$K322)))))</f>
        <v/>
      </c>
    </row>
    <row r="323">
      <c r="A323" s="19" t="n"/>
      <c r="B323" s="19" t="n"/>
      <c r="C323" s="19" t="n"/>
      <c r="D323" s="19" t="n"/>
      <c r="E323" s="19" t="n"/>
      <c r="F323" s="19" t="n"/>
      <c r="G323" s="19" t="n"/>
      <c r="H323" s="19" t="n"/>
      <c r="I323" s="19" t="n"/>
      <c r="J323" s="19" t="n"/>
      <c r="K323" s="19" t="n"/>
      <c r="L323" s="19" t="n"/>
      <c r="M323" s="130">
        <f>IF($A323="","",AND('Task Finder'!$C$7&lt;&gt;"",OR(ISNUMBER(SEARCH('Task Finder'!$C$7,$A323)),ISNUMBER(SEARCH('Task Finder'!$C$7,$B323)),ISNUMBER(SEARCH('Task Finder'!$C$7,$C323)),ISNUMBER(SEARCH('Task Finder'!$C$7,$D323)),ISNUMBER(SEARCH('Task Finder'!$C$7,$K323)))))</f>
        <v/>
      </c>
    </row>
    <row r="324">
      <c r="A324" s="19" t="n"/>
      <c r="B324" s="19" t="n"/>
      <c r="C324" s="19" t="n"/>
      <c r="D324" s="19" t="n"/>
      <c r="E324" s="19" t="n"/>
      <c r="F324" s="19" t="n"/>
      <c r="G324" s="19" t="n"/>
      <c r="H324" s="19" t="n"/>
      <c r="I324" s="19" t="n"/>
      <c r="J324" s="19" t="n"/>
      <c r="K324" s="19" t="n"/>
      <c r="L324" s="19" t="n"/>
      <c r="M324" s="130">
        <f>IF($A324="","",AND('Task Finder'!$C$7&lt;&gt;"",OR(ISNUMBER(SEARCH('Task Finder'!$C$7,$A324)),ISNUMBER(SEARCH('Task Finder'!$C$7,$B324)),ISNUMBER(SEARCH('Task Finder'!$C$7,$C324)),ISNUMBER(SEARCH('Task Finder'!$C$7,$D324)),ISNUMBER(SEARCH('Task Finder'!$C$7,$K324)))))</f>
        <v/>
      </c>
    </row>
    <row r="325">
      <c r="A325" s="19" t="n"/>
      <c r="B325" s="19" t="n"/>
      <c r="C325" s="19" t="n"/>
      <c r="D325" s="19" t="n"/>
      <c r="E325" s="19" t="n"/>
      <c r="F325" s="19" t="n"/>
      <c r="G325" s="19" t="n"/>
      <c r="H325" s="19" t="n"/>
      <c r="I325" s="19" t="n"/>
      <c r="J325" s="19" t="n"/>
      <c r="K325" s="19" t="n"/>
      <c r="L325" s="19" t="n"/>
      <c r="M325" s="130">
        <f>IF($A325="","",AND('Task Finder'!$C$7&lt;&gt;"",OR(ISNUMBER(SEARCH('Task Finder'!$C$7,$A325)),ISNUMBER(SEARCH('Task Finder'!$C$7,$B325)),ISNUMBER(SEARCH('Task Finder'!$C$7,$C325)),ISNUMBER(SEARCH('Task Finder'!$C$7,$D325)),ISNUMBER(SEARCH('Task Finder'!$C$7,$K325)))))</f>
        <v/>
      </c>
    </row>
    <row r="326">
      <c r="A326" s="19" t="n"/>
      <c r="B326" s="19" t="n"/>
      <c r="C326" s="19" t="n"/>
      <c r="D326" s="19" t="n"/>
      <c r="E326" s="19" t="n"/>
      <c r="F326" s="19" t="n"/>
      <c r="G326" s="19" t="n"/>
      <c r="H326" s="19" t="n"/>
      <c r="I326" s="19" t="n"/>
      <c r="J326" s="19" t="n"/>
      <c r="K326" s="19" t="n"/>
      <c r="L326" s="19" t="n"/>
      <c r="M326" s="130">
        <f>IF($A326="","",AND('Task Finder'!$C$7&lt;&gt;"",OR(ISNUMBER(SEARCH('Task Finder'!$C$7,$A326)),ISNUMBER(SEARCH('Task Finder'!$C$7,$B326)),ISNUMBER(SEARCH('Task Finder'!$C$7,$C326)),ISNUMBER(SEARCH('Task Finder'!$C$7,$D326)),ISNUMBER(SEARCH('Task Finder'!$C$7,$K326)))))</f>
        <v/>
      </c>
    </row>
    <row r="327">
      <c r="A327" s="19" t="n"/>
      <c r="B327" s="19" t="n"/>
      <c r="C327" s="19" t="n"/>
      <c r="D327" s="19" t="n"/>
      <c r="E327" s="19" t="n"/>
      <c r="F327" s="19" t="n"/>
      <c r="G327" s="19" t="n"/>
      <c r="H327" s="19" t="n"/>
      <c r="I327" s="19" t="n"/>
      <c r="J327" s="19" t="n"/>
      <c r="K327" s="19" t="n"/>
      <c r="L327" s="19" t="n"/>
      <c r="M327" s="130">
        <f>IF($A327="","",AND('Task Finder'!$C$7&lt;&gt;"",OR(ISNUMBER(SEARCH('Task Finder'!$C$7,$A327)),ISNUMBER(SEARCH('Task Finder'!$C$7,$B327)),ISNUMBER(SEARCH('Task Finder'!$C$7,$C327)),ISNUMBER(SEARCH('Task Finder'!$C$7,$D327)),ISNUMBER(SEARCH('Task Finder'!$C$7,$K327)))))</f>
        <v/>
      </c>
    </row>
    <row r="328">
      <c r="A328" s="19" t="n"/>
      <c r="B328" s="19" t="n"/>
      <c r="C328" s="19" t="n"/>
      <c r="D328" s="19" t="n"/>
      <c r="E328" s="19" t="n"/>
      <c r="F328" s="19" t="n"/>
      <c r="G328" s="19" t="n"/>
      <c r="H328" s="19" t="n"/>
      <c r="I328" s="19" t="n"/>
      <c r="J328" s="19" t="n"/>
      <c r="K328" s="19" t="n"/>
      <c r="L328" s="19" t="n"/>
      <c r="M328" s="130">
        <f>IF($A328="","",AND('Task Finder'!$C$7&lt;&gt;"",OR(ISNUMBER(SEARCH('Task Finder'!$C$7,$A328)),ISNUMBER(SEARCH('Task Finder'!$C$7,$B328)),ISNUMBER(SEARCH('Task Finder'!$C$7,$C328)),ISNUMBER(SEARCH('Task Finder'!$C$7,$D328)),ISNUMBER(SEARCH('Task Finder'!$C$7,$K328)))))</f>
        <v/>
      </c>
    </row>
    <row r="329">
      <c r="A329" s="19" t="n"/>
      <c r="B329" s="19" t="n"/>
      <c r="C329" s="19" t="n"/>
      <c r="D329" s="19" t="n"/>
      <c r="E329" s="19" t="n"/>
      <c r="F329" s="19" t="n"/>
      <c r="G329" s="19" t="n"/>
      <c r="H329" s="19" t="n"/>
      <c r="I329" s="19" t="n"/>
      <c r="J329" s="19" t="n"/>
      <c r="K329" s="19" t="n"/>
      <c r="L329" s="19" t="n"/>
      <c r="M329" s="130">
        <f>IF($A329="","",AND('Task Finder'!$C$7&lt;&gt;"",OR(ISNUMBER(SEARCH('Task Finder'!$C$7,$A329)),ISNUMBER(SEARCH('Task Finder'!$C$7,$B329)),ISNUMBER(SEARCH('Task Finder'!$C$7,$C329)),ISNUMBER(SEARCH('Task Finder'!$C$7,$D329)),ISNUMBER(SEARCH('Task Finder'!$C$7,$K329)))))</f>
        <v/>
      </c>
    </row>
    <row r="330">
      <c r="A330" s="19" t="n"/>
      <c r="B330" s="19" t="n"/>
      <c r="C330" s="19" t="n"/>
      <c r="D330" s="19" t="n"/>
      <c r="E330" s="19" t="n"/>
      <c r="F330" s="19" t="n"/>
      <c r="G330" s="19" t="n"/>
      <c r="H330" s="19" t="n"/>
      <c r="I330" s="19" t="n"/>
      <c r="J330" s="19" t="n"/>
      <c r="K330" s="19" t="n"/>
      <c r="L330" s="19" t="n"/>
      <c r="M330" s="130">
        <f>IF($A330="","",AND('Task Finder'!$C$7&lt;&gt;"",OR(ISNUMBER(SEARCH('Task Finder'!$C$7,$A330)),ISNUMBER(SEARCH('Task Finder'!$C$7,$B330)),ISNUMBER(SEARCH('Task Finder'!$C$7,$C330)),ISNUMBER(SEARCH('Task Finder'!$C$7,$D330)),ISNUMBER(SEARCH('Task Finder'!$C$7,$K330)))))</f>
        <v/>
      </c>
    </row>
    <row r="331">
      <c r="A331" s="19" t="n"/>
      <c r="B331" s="19" t="n"/>
      <c r="C331" s="19" t="n"/>
      <c r="D331" s="19" t="n"/>
      <c r="E331" s="19" t="n"/>
      <c r="F331" s="19" t="n"/>
      <c r="G331" s="19" t="n"/>
      <c r="H331" s="19" t="n"/>
      <c r="I331" s="19" t="n"/>
      <c r="J331" s="19" t="n"/>
      <c r="K331" s="19" t="n"/>
      <c r="L331" s="19" t="n"/>
      <c r="M331" s="130">
        <f>IF($A331="","",AND('Task Finder'!$C$7&lt;&gt;"",OR(ISNUMBER(SEARCH('Task Finder'!$C$7,$A331)),ISNUMBER(SEARCH('Task Finder'!$C$7,$B331)),ISNUMBER(SEARCH('Task Finder'!$C$7,$C331)),ISNUMBER(SEARCH('Task Finder'!$C$7,$D331)),ISNUMBER(SEARCH('Task Finder'!$C$7,$K331)))))</f>
        <v/>
      </c>
    </row>
    <row r="332">
      <c r="A332" s="19" t="n"/>
      <c r="B332" s="19" t="n"/>
      <c r="C332" s="19" t="n"/>
      <c r="D332" s="19" t="n"/>
      <c r="E332" s="19" t="n"/>
      <c r="F332" s="19" t="n"/>
      <c r="G332" s="19" t="n"/>
      <c r="H332" s="19" t="n"/>
      <c r="I332" s="19" t="n"/>
      <c r="J332" s="19" t="n"/>
      <c r="K332" s="19" t="n"/>
      <c r="L332" s="19" t="n"/>
      <c r="M332" s="130">
        <f>IF($A332="","",AND('Task Finder'!$C$7&lt;&gt;"",OR(ISNUMBER(SEARCH('Task Finder'!$C$7,$A332)),ISNUMBER(SEARCH('Task Finder'!$C$7,$B332)),ISNUMBER(SEARCH('Task Finder'!$C$7,$C332)),ISNUMBER(SEARCH('Task Finder'!$C$7,$D332)),ISNUMBER(SEARCH('Task Finder'!$C$7,$K332)))))</f>
        <v/>
      </c>
    </row>
    <row r="333">
      <c r="A333" s="19" t="n"/>
      <c r="B333" s="19" t="n"/>
      <c r="C333" s="19" t="n"/>
      <c r="D333" s="19" t="n"/>
      <c r="E333" s="19" t="n"/>
      <c r="F333" s="19" t="n"/>
      <c r="G333" s="19" t="n"/>
      <c r="H333" s="19" t="n"/>
      <c r="I333" s="19" t="n"/>
      <c r="J333" s="19" t="n"/>
      <c r="K333" s="19" t="n"/>
      <c r="L333" s="19" t="n"/>
      <c r="M333" s="130">
        <f>IF($A333="","",AND('Task Finder'!$C$7&lt;&gt;"",OR(ISNUMBER(SEARCH('Task Finder'!$C$7,$A333)),ISNUMBER(SEARCH('Task Finder'!$C$7,$B333)),ISNUMBER(SEARCH('Task Finder'!$C$7,$C333)),ISNUMBER(SEARCH('Task Finder'!$C$7,$D333)),ISNUMBER(SEARCH('Task Finder'!$C$7,$K333)))))</f>
        <v/>
      </c>
    </row>
    <row r="334">
      <c r="A334" s="19" t="n"/>
      <c r="B334" s="19" t="n"/>
      <c r="C334" s="19" t="n"/>
      <c r="D334" s="19" t="n"/>
      <c r="E334" s="19" t="n"/>
      <c r="F334" s="19" t="n"/>
      <c r="G334" s="19" t="n"/>
      <c r="H334" s="19" t="n"/>
      <c r="I334" s="19" t="n"/>
      <c r="J334" s="19" t="n"/>
      <c r="K334" s="19" t="n"/>
      <c r="L334" s="19" t="n"/>
      <c r="M334" s="130">
        <f>IF($A334="","",AND('Task Finder'!$C$7&lt;&gt;"",OR(ISNUMBER(SEARCH('Task Finder'!$C$7,$A334)),ISNUMBER(SEARCH('Task Finder'!$C$7,$B334)),ISNUMBER(SEARCH('Task Finder'!$C$7,$C334)),ISNUMBER(SEARCH('Task Finder'!$C$7,$D334)),ISNUMBER(SEARCH('Task Finder'!$C$7,$K334)))))</f>
        <v/>
      </c>
    </row>
    <row r="335">
      <c r="A335" s="19" t="n"/>
      <c r="B335" s="19" t="n"/>
      <c r="C335" s="19" t="n"/>
      <c r="D335" s="19" t="n"/>
      <c r="E335" s="19" t="n"/>
      <c r="F335" s="19" t="n"/>
      <c r="G335" s="19" t="n"/>
      <c r="H335" s="19" t="n"/>
      <c r="I335" s="19" t="n"/>
      <c r="J335" s="19" t="n"/>
      <c r="K335" s="19" t="n"/>
      <c r="L335" s="19" t="n"/>
      <c r="M335" s="130">
        <f>IF($A335="","",AND('Task Finder'!$C$7&lt;&gt;"",OR(ISNUMBER(SEARCH('Task Finder'!$C$7,$A335)),ISNUMBER(SEARCH('Task Finder'!$C$7,$B335)),ISNUMBER(SEARCH('Task Finder'!$C$7,$C335)),ISNUMBER(SEARCH('Task Finder'!$C$7,$D335)),ISNUMBER(SEARCH('Task Finder'!$C$7,$K335)))))</f>
        <v/>
      </c>
    </row>
    <row r="336">
      <c r="A336" s="19" t="n"/>
      <c r="B336" s="19" t="n"/>
      <c r="C336" s="19" t="n"/>
      <c r="D336" s="19" t="n"/>
      <c r="E336" s="19" t="n"/>
      <c r="F336" s="19" t="n"/>
      <c r="G336" s="19" t="n"/>
      <c r="H336" s="19" t="n"/>
      <c r="I336" s="19" t="n"/>
      <c r="J336" s="19" t="n"/>
      <c r="K336" s="19" t="n"/>
      <c r="L336" s="19" t="n"/>
      <c r="M336" s="130">
        <f>IF($A336="","",AND('Task Finder'!$C$7&lt;&gt;"",OR(ISNUMBER(SEARCH('Task Finder'!$C$7,$A336)),ISNUMBER(SEARCH('Task Finder'!$C$7,$B336)),ISNUMBER(SEARCH('Task Finder'!$C$7,$C336)),ISNUMBER(SEARCH('Task Finder'!$C$7,$D336)),ISNUMBER(SEARCH('Task Finder'!$C$7,$K336)))))</f>
        <v/>
      </c>
    </row>
    <row r="337">
      <c r="A337" s="19" t="n"/>
      <c r="B337" s="19" t="n"/>
      <c r="C337" s="19" t="n"/>
      <c r="D337" s="19" t="n"/>
      <c r="E337" s="19" t="n"/>
      <c r="F337" s="19" t="n"/>
      <c r="G337" s="19" t="n"/>
      <c r="H337" s="19" t="n"/>
      <c r="I337" s="19" t="n"/>
      <c r="J337" s="19" t="n"/>
      <c r="K337" s="19" t="n"/>
      <c r="L337" s="19" t="n"/>
      <c r="M337" s="130">
        <f>IF($A337="","",AND('Task Finder'!$C$7&lt;&gt;"",OR(ISNUMBER(SEARCH('Task Finder'!$C$7,$A337)),ISNUMBER(SEARCH('Task Finder'!$C$7,$B337)),ISNUMBER(SEARCH('Task Finder'!$C$7,$C337)),ISNUMBER(SEARCH('Task Finder'!$C$7,$D337)),ISNUMBER(SEARCH('Task Finder'!$C$7,$K337)))))</f>
        <v/>
      </c>
    </row>
    <row r="338">
      <c r="A338" s="19" t="n"/>
      <c r="B338" s="19" t="n"/>
      <c r="C338" s="19" t="n"/>
      <c r="D338" s="19" t="n"/>
      <c r="E338" s="19" t="n"/>
      <c r="F338" s="19" t="n"/>
      <c r="G338" s="19" t="n"/>
      <c r="H338" s="19" t="n"/>
      <c r="I338" s="19" t="n"/>
      <c r="J338" s="19" t="n"/>
      <c r="K338" s="19" t="n"/>
      <c r="L338" s="19" t="n"/>
      <c r="M338" s="130">
        <f>IF($A338="","",AND('Task Finder'!$C$7&lt;&gt;"",OR(ISNUMBER(SEARCH('Task Finder'!$C$7,$A338)),ISNUMBER(SEARCH('Task Finder'!$C$7,$B338)),ISNUMBER(SEARCH('Task Finder'!$C$7,$C338)),ISNUMBER(SEARCH('Task Finder'!$C$7,$D338)),ISNUMBER(SEARCH('Task Finder'!$C$7,$K338)))))</f>
        <v/>
      </c>
    </row>
    <row r="339">
      <c r="A339" s="19" t="n"/>
      <c r="B339" s="19" t="n"/>
      <c r="C339" s="19" t="n"/>
      <c r="D339" s="19" t="n"/>
      <c r="E339" s="19" t="n"/>
      <c r="F339" s="19" t="n"/>
      <c r="G339" s="19" t="n"/>
      <c r="H339" s="19" t="n"/>
      <c r="I339" s="19" t="n"/>
      <c r="J339" s="19" t="n"/>
      <c r="K339" s="19" t="n"/>
      <c r="L339" s="19" t="n"/>
      <c r="M339" s="130">
        <f>IF($A339="","",AND('Task Finder'!$C$7&lt;&gt;"",OR(ISNUMBER(SEARCH('Task Finder'!$C$7,$A339)),ISNUMBER(SEARCH('Task Finder'!$C$7,$B339)),ISNUMBER(SEARCH('Task Finder'!$C$7,$C339)),ISNUMBER(SEARCH('Task Finder'!$C$7,$D339)),ISNUMBER(SEARCH('Task Finder'!$C$7,$K339)))))</f>
        <v/>
      </c>
    </row>
    <row r="340">
      <c r="A340" s="19" t="n"/>
      <c r="B340" s="19" t="n"/>
      <c r="C340" s="19" t="n"/>
      <c r="D340" s="19" t="n"/>
      <c r="E340" s="19" t="n"/>
      <c r="F340" s="19" t="n"/>
      <c r="G340" s="19" t="n"/>
      <c r="H340" s="19" t="n"/>
      <c r="I340" s="19" t="n"/>
      <c r="J340" s="19" t="n"/>
      <c r="K340" s="19" t="n"/>
      <c r="L340" s="19" t="n"/>
      <c r="M340" s="130">
        <f>IF($A340="","",AND('Task Finder'!$C$7&lt;&gt;"",OR(ISNUMBER(SEARCH('Task Finder'!$C$7,$A340)),ISNUMBER(SEARCH('Task Finder'!$C$7,$B340)),ISNUMBER(SEARCH('Task Finder'!$C$7,$C340)),ISNUMBER(SEARCH('Task Finder'!$C$7,$D340)),ISNUMBER(SEARCH('Task Finder'!$C$7,$K340)))))</f>
        <v/>
      </c>
    </row>
    <row r="341">
      <c r="A341" s="19" t="n"/>
      <c r="B341" s="19" t="n"/>
      <c r="C341" s="19" t="n"/>
      <c r="D341" s="19" t="n"/>
      <c r="E341" s="19" t="n"/>
      <c r="F341" s="19" t="n"/>
      <c r="G341" s="19" t="n"/>
      <c r="H341" s="19" t="n"/>
      <c r="I341" s="19" t="n"/>
      <c r="J341" s="19" t="n"/>
      <c r="K341" s="19" t="n"/>
      <c r="L341" s="19" t="n"/>
      <c r="M341" s="130">
        <f>IF($A341="","",AND('Task Finder'!$C$7&lt;&gt;"",OR(ISNUMBER(SEARCH('Task Finder'!$C$7,$A341)),ISNUMBER(SEARCH('Task Finder'!$C$7,$B341)),ISNUMBER(SEARCH('Task Finder'!$C$7,$C341)),ISNUMBER(SEARCH('Task Finder'!$C$7,$D341)),ISNUMBER(SEARCH('Task Finder'!$C$7,$K341)))))</f>
        <v/>
      </c>
    </row>
    <row r="342">
      <c r="A342" s="19" t="n"/>
      <c r="B342" s="19" t="n"/>
      <c r="C342" s="19" t="n"/>
      <c r="D342" s="19" t="n"/>
      <c r="E342" s="19" t="n"/>
      <c r="F342" s="19" t="n"/>
      <c r="G342" s="19" t="n"/>
      <c r="H342" s="19" t="n"/>
      <c r="I342" s="19" t="n"/>
      <c r="J342" s="19" t="n"/>
      <c r="K342" s="19" t="n"/>
      <c r="L342" s="19" t="n"/>
      <c r="M342" s="130">
        <f>IF($A342="","",AND('Task Finder'!$C$7&lt;&gt;"",OR(ISNUMBER(SEARCH('Task Finder'!$C$7,$A342)),ISNUMBER(SEARCH('Task Finder'!$C$7,$B342)),ISNUMBER(SEARCH('Task Finder'!$C$7,$C342)),ISNUMBER(SEARCH('Task Finder'!$C$7,$D342)),ISNUMBER(SEARCH('Task Finder'!$C$7,$K342)))))</f>
        <v/>
      </c>
    </row>
    <row r="343">
      <c r="A343" s="19" t="n"/>
      <c r="B343" s="19" t="n"/>
      <c r="C343" s="19" t="n"/>
      <c r="D343" s="19" t="n"/>
      <c r="E343" s="19" t="n"/>
      <c r="F343" s="19" t="n"/>
      <c r="G343" s="19" t="n"/>
      <c r="H343" s="19" t="n"/>
      <c r="I343" s="19" t="n"/>
      <c r="J343" s="19" t="n"/>
      <c r="K343" s="19" t="n"/>
      <c r="L343" s="19" t="n"/>
      <c r="M343" s="130">
        <f>IF($A343="","",AND('Task Finder'!$C$7&lt;&gt;"",OR(ISNUMBER(SEARCH('Task Finder'!$C$7,$A343)),ISNUMBER(SEARCH('Task Finder'!$C$7,$B343)),ISNUMBER(SEARCH('Task Finder'!$C$7,$C343)),ISNUMBER(SEARCH('Task Finder'!$C$7,$D343)),ISNUMBER(SEARCH('Task Finder'!$C$7,$K343)))))</f>
        <v/>
      </c>
    </row>
    <row r="344">
      <c r="A344" s="19" t="n"/>
      <c r="B344" s="19" t="n"/>
      <c r="C344" s="19" t="n"/>
      <c r="D344" s="19" t="n"/>
      <c r="E344" s="19" t="n"/>
      <c r="F344" s="19" t="n"/>
      <c r="G344" s="19" t="n"/>
      <c r="H344" s="19" t="n"/>
      <c r="I344" s="19" t="n"/>
      <c r="J344" s="19" t="n"/>
      <c r="K344" s="19" t="n"/>
      <c r="L344" s="19" t="n"/>
      <c r="M344" s="130">
        <f>IF($A344="","",AND('Task Finder'!$C$7&lt;&gt;"",OR(ISNUMBER(SEARCH('Task Finder'!$C$7,$A344)),ISNUMBER(SEARCH('Task Finder'!$C$7,$B344)),ISNUMBER(SEARCH('Task Finder'!$C$7,$C344)),ISNUMBER(SEARCH('Task Finder'!$C$7,$D344)),ISNUMBER(SEARCH('Task Finder'!$C$7,$K344)))))</f>
        <v/>
      </c>
    </row>
    <row r="345">
      <c r="A345" s="19" t="n"/>
      <c r="B345" s="19" t="n"/>
      <c r="C345" s="19" t="n"/>
      <c r="D345" s="19" t="n"/>
      <c r="E345" s="19" t="n"/>
      <c r="F345" s="19" t="n"/>
      <c r="G345" s="19" t="n"/>
      <c r="H345" s="19" t="n"/>
      <c r="I345" s="19" t="n"/>
      <c r="J345" s="19" t="n"/>
      <c r="K345" s="19" t="n"/>
      <c r="L345" s="19" t="n"/>
      <c r="M345" s="130">
        <f>IF($A345="","",AND('Task Finder'!$C$7&lt;&gt;"",OR(ISNUMBER(SEARCH('Task Finder'!$C$7,$A345)),ISNUMBER(SEARCH('Task Finder'!$C$7,$B345)),ISNUMBER(SEARCH('Task Finder'!$C$7,$C345)),ISNUMBER(SEARCH('Task Finder'!$C$7,$D345)),ISNUMBER(SEARCH('Task Finder'!$C$7,$K345)))))</f>
        <v/>
      </c>
    </row>
    <row r="346">
      <c r="A346" s="19" t="n"/>
      <c r="B346" s="19" t="n"/>
      <c r="C346" s="19" t="n"/>
      <c r="D346" s="19" t="n"/>
      <c r="E346" s="19" t="n"/>
      <c r="F346" s="19" t="n"/>
      <c r="G346" s="19" t="n"/>
      <c r="H346" s="19" t="n"/>
      <c r="I346" s="19" t="n"/>
      <c r="J346" s="19" t="n"/>
      <c r="K346" s="19" t="n"/>
      <c r="L346" s="19" t="n"/>
      <c r="M346" s="130">
        <f>IF($A346="","",AND('Task Finder'!$C$7&lt;&gt;"",OR(ISNUMBER(SEARCH('Task Finder'!$C$7,$A346)),ISNUMBER(SEARCH('Task Finder'!$C$7,$B346)),ISNUMBER(SEARCH('Task Finder'!$C$7,$C346)),ISNUMBER(SEARCH('Task Finder'!$C$7,$D346)),ISNUMBER(SEARCH('Task Finder'!$C$7,$K346)))))</f>
        <v/>
      </c>
    </row>
    <row r="347">
      <c r="A347" s="19" t="n"/>
      <c r="B347" s="19" t="n"/>
      <c r="C347" s="19" t="n"/>
      <c r="D347" s="19" t="n"/>
      <c r="E347" s="19" t="n"/>
      <c r="F347" s="19" t="n"/>
      <c r="G347" s="19" t="n"/>
      <c r="H347" s="19" t="n"/>
      <c r="I347" s="19" t="n"/>
      <c r="J347" s="19" t="n"/>
      <c r="K347" s="19" t="n"/>
      <c r="L347" s="19" t="n"/>
      <c r="M347" s="130">
        <f>IF($A347="","",AND('Task Finder'!$C$7&lt;&gt;"",OR(ISNUMBER(SEARCH('Task Finder'!$C$7,$A347)),ISNUMBER(SEARCH('Task Finder'!$C$7,$B347)),ISNUMBER(SEARCH('Task Finder'!$C$7,$C347)),ISNUMBER(SEARCH('Task Finder'!$C$7,$D347)),ISNUMBER(SEARCH('Task Finder'!$C$7,$K347)))))</f>
        <v/>
      </c>
    </row>
    <row r="348">
      <c r="A348" s="19" t="n"/>
      <c r="B348" s="19" t="n"/>
      <c r="C348" s="19" t="n"/>
      <c r="D348" s="19" t="n"/>
      <c r="E348" s="19" t="n"/>
      <c r="F348" s="19" t="n"/>
      <c r="G348" s="19" t="n"/>
      <c r="H348" s="19" t="n"/>
      <c r="I348" s="19" t="n"/>
      <c r="J348" s="19" t="n"/>
      <c r="K348" s="19" t="n"/>
      <c r="L348" s="19" t="n"/>
      <c r="M348" s="130">
        <f>IF($A348="","",AND('Task Finder'!$C$7&lt;&gt;"",OR(ISNUMBER(SEARCH('Task Finder'!$C$7,$A348)),ISNUMBER(SEARCH('Task Finder'!$C$7,$B348)),ISNUMBER(SEARCH('Task Finder'!$C$7,$C348)),ISNUMBER(SEARCH('Task Finder'!$C$7,$D348)),ISNUMBER(SEARCH('Task Finder'!$C$7,$K348)))))</f>
        <v/>
      </c>
    </row>
    <row r="349">
      <c r="A349" s="19" t="n"/>
      <c r="B349" s="19" t="n"/>
      <c r="C349" s="19" t="n"/>
      <c r="D349" s="19" t="n"/>
      <c r="E349" s="19" t="n"/>
      <c r="F349" s="19" t="n"/>
      <c r="G349" s="19" t="n"/>
      <c r="H349" s="19" t="n"/>
      <c r="I349" s="19" t="n"/>
      <c r="J349" s="19" t="n"/>
      <c r="K349" s="19" t="n"/>
      <c r="L349" s="19" t="n"/>
      <c r="M349" s="130">
        <f>IF($A349="","",AND('Task Finder'!$C$7&lt;&gt;"",OR(ISNUMBER(SEARCH('Task Finder'!$C$7,$A349)),ISNUMBER(SEARCH('Task Finder'!$C$7,$B349)),ISNUMBER(SEARCH('Task Finder'!$C$7,$C349)),ISNUMBER(SEARCH('Task Finder'!$C$7,$D349)),ISNUMBER(SEARCH('Task Finder'!$C$7,$K349)))))</f>
        <v/>
      </c>
    </row>
    <row r="350">
      <c r="A350" s="19" t="n"/>
      <c r="B350" s="19" t="n"/>
      <c r="C350" s="19" t="n"/>
      <c r="D350" s="19" t="n"/>
      <c r="E350" s="19" t="n"/>
      <c r="F350" s="19" t="n"/>
      <c r="G350" s="19" t="n"/>
      <c r="H350" s="19" t="n"/>
      <c r="I350" s="19" t="n"/>
      <c r="J350" s="19" t="n"/>
      <c r="K350" s="19" t="n"/>
      <c r="L350" s="19" t="n"/>
      <c r="M350" s="130">
        <f>IF($A350="","",AND('Task Finder'!$C$7&lt;&gt;"",OR(ISNUMBER(SEARCH('Task Finder'!$C$7,$A350)),ISNUMBER(SEARCH('Task Finder'!$C$7,$B350)),ISNUMBER(SEARCH('Task Finder'!$C$7,$C350)),ISNUMBER(SEARCH('Task Finder'!$C$7,$D350)),ISNUMBER(SEARCH('Task Finder'!$C$7,$K350)))))</f>
        <v/>
      </c>
    </row>
    <row r="351">
      <c r="A351" s="19" t="n"/>
      <c r="B351" s="19" t="n"/>
      <c r="C351" s="19" t="n"/>
      <c r="D351" s="19" t="n"/>
      <c r="E351" s="19" t="n"/>
      <c r="F351" s="19" t="n"/>
      <c r="G351" s="19" t="n"/>
      <c r="H351" s="19" t="n"/>
      <c r="I351" s="19" t="n"/>
      <c r="J351" s="19" t="n"/>
      <c r="K351" s="19" t="n"/>
      <c r="L351" s="19" t="n"/>
      <c r="M351" s="130">
        <f>IF($A351="","",AND('Task Finder'!$C$7&lt;&gt;"",OR(ISNUMBER(SEARCH('Task Finder'!$C$7,$A351)),ISNUMBER(SEARCH('Task Finder'!$C$7,$B351)),ISNUMBER(SEARCH('Task Finder'!$C$7,$C351)),ISNUMBER(SEARCH('Task Finder'!$C$7,$D351)),ISNUMBER(SEARCH('Task Finder'!$C$7,$K351)))))</f>
        <v/>
      </c>
    </row>
    <row r="352">
      <c r="A352" s="19" t="n"/>
      <c r="B352" s="19" t="n"/>
      <c r="C352" s="19" t="n"/>
      <c r="D352" s="19" t="n"/>
      <c r="E352" s="19" t="n"/>
      <c r="F352" s="19" t="n"/>
      <c r="G352" s="19" t="n"/>
      <c r="H352" s="19" t="n"/>
      <c r="I352" s="19" t="n"/>
      <c r="J352" s="19" t="n"/>
      <c r="K352" s="19" t="n"/>
      <c r="L352" s="19" t="n"/>
      <c r="M352" s="130">
        <f>IF($A352="","",AND('Task Finder'!$C$7&lt;&gt;"",OR(ISNUMBER(SEARCH('Task Finder'!$C$7,$A352)),ISNUMBER(SEARCH('Task Finder'!$C$7,$B352)),ISNUMBER(SEARCH('Task Finder'!$C$7,$C352)),ISNUMBER(SEARCH('Task Finder'!$C$7,$D352)),ISNUMBER(SEARCH('Task Finder'!$C$7,$K352)))))</f>
        <v/>
      </c>
    </row>
    <row r="353">
      <c r="A353" s="19" t="n"/>
      <c r="B353" s="19" t="n"/>
      <c r="C353" s="19" t="n"/>
      <c r="D353" s="19" t="n"/>
      <c r="E353" s="19" t="n"/>
      <c r="F353" s="19" t="n"/>
      <c r="G353" s="19" t="n"/>
      <c r="H353" s="19" t="n"/>
      <c r="I353" s="19" t="n"/>
      <c r="J353" s="19" t="n"/>
      <c r="K353" s="19" t="n"/>
      <c r="L353" s="19" t="n"/>
      <c r="M353" s="130">
        <f>IF($A353="","",AND('Task Finder'!$C$7&lt;&gt;"",OR(ISNUMBER(SEARCH('Task Finder'!$C$7,$A353)),ISNUMBER(SEARCH('Task Finder'!$C$7,$B353)),ISNUMBER(SEARCH('Task Finder'!$C$7,$C353)),ISNUMBER(SEARCH('Task Finder'!$C$7,$D353)),ISNUMBER(SEARCH('Task Finder'!$C$7,$K353)))))</f>
        <v/>
      </c>
    </row>
    <row r="354">
      <c r="A354" s="19" t="n"/>
      <c r="B354" s="19" t="n"/>
      <c r="C354" s="19" t="n"/>
      <c r="D354" s="19" t="n"/>
      <c r="E354" s="19" t="n"/>
      <c r="F354" s="19" t="n"/>
      <c r="G354" s="19" t="n"/>
      <c r="H354" s="19" t="n"/>
      <c r="I354" s="19" t="n"/>
      <c r="J354" s="19" t="n"/>
      <c r="K354" s="19" t="n"/>
      <c r="L354" s="19" t="n"/>
      <c r="M354" s="130">
        <f>IF($A354="","",AND('Task Finder'!$C$7&lt;&gt;"",OR(ISNUMBER(SEARCH('Task Finder'!$C$7,$A354)),ISNUMBER(SEARCH('Task Finder'!$C$7,$B354)),ISNUMBER(SEARCH('Task Finder'!$C$7,$C354)),ISNUMBER(SEARCH('Task Finder'!$C$7,$D354)),ISNUMBER(SEARCH('Task Finder'!$C$7,$K354)))))</f>
        <v/>
      </c>
    </row>
    <row r="355">
      <c r="A355" s="19" t="n"/>
      <c r="B355" s="19" t="n"/>
      <c r="C355" s="19" t="n"/>
      <c r="D355" s="19" t="n"/>
      <c r="E355" s="19" t="n"/>
      <c r="F355" s="19" t="n"/>
      <c r="G355" s="19" t="n"/>
      <c r="H355" s="19" t="n"/>
      <c r="I355" s="19" t="n"/>
      <c r="J355" s="19" t="n"/>
      <c r="K355" s="19" t="n"/>
      <c r="L355" s="19" t="n"/>
      <c r="M355" s="130">
        <f>IF($A355="","",AND('Task Finder'!$C$7&lt;&gt;"",OR(ISNUMBER(SEARCH('Task Finder'!$C$7,$A355)),ISNUMBER(SEARCH('Task Finder'!$C$7,$B355)),ISNUMBER(SEARCH('Task Finder'!$C$7,$C355)),ISNUMBER(SEARCH('Task Finder'!$C$7,$D355)),ISNUMBER(SEARCH('Task Finder'!$C$7,$K355)))))</f>
        <v/>
      </c>
    </row>
    <row r="356">
      <c r="A356" s="19" t="n"/>
      <c r="B356" s="19" t="n"/>
      <c r="C356" s="19" t="n"/>
      <c r="D356" s="19" t="n"/>
      <c r="E356" s="19" t="n"/>
      <c r="F356" s="19" t="n"/>
      <c r="G356" s="19" t="n"/>
      <c r="H356" s="19" t="n"/>
      <c r="I356" s="19" t="n"/>
      <c r="J356" s="19" t="n"/>
      <c r="K356" s="19" t="n"/>
      <c r="L356" s="19" t="n"/>
      <c r="M356" s="130">
        <f>IF($A356="","",AND('Task Finder'!$C$7&lt;&gt;"",OR(ISNUMBER(SEARCH('Task Finder'!$C$7,$A356)),ISNUMBER(SEARCH('Task Finder'!$C$7,$B356)),ISNUMBER(SEARCH('Task Finder'!$C$7,$C356)),ISNUMBER(SEARCH('Task Finder'!$C$7,$D356)),ISNUMBER(SEARCH('Task Finder'!$C$7,$K356)))))</f>
        <v/>
      </c>
    </row>
    <row r="357">
      <c r="A357" s="19" t="n"/>
      <c r="B357" s="19" t="n"/>
      <c r="C357" s="19" t="n"/>
      <c r="D357" s="19" t="n"/>
      <c r="E357" s="19" t="n"/>
      <c r="F357" s="19" t="n"/>
      <c r="G357" s="19" t="n"/>
      <c r="H357" s="19" t="n"/>
      <c r="I357" s="19" t="n"/>
      <c r="J357" s="19" t="n"/>
      <c r="K357" s="19" t="n"/>
      <c r="L357" s="19" t="n"/>
      <c r="M357" s="130">
        <f>IF($A357="","",AND('Task Finder'!$C$7&lt;&gt;"",OR(ISNUMBER(SEARCH('Task Finder'!$C$7,$A357)),ISNUMBER(SEARCH('Task Finder'!$C$7,$B357)),ISNUMBER(SEARCH('Task Finder'!$C$7,$C357)),ISNUMBER(SEARCH('Task Finder'!$C$7,$D357)),ISNUMBER(SEARCH('Task Finder'!$C$7,$K357)))))</f>
        <v/>
      </c>
    </row>
    <row r="358">
      <c r="A358" s="19" t="n"/>
      <c r="B358" s="19" t="n"/>
      <c r="C358" s="19" t="n"/>
      <c r="D358" s="19" t="n"/>
      <c r="E358" s="19" t="n"/>
      <c r="F358" s="19" t="n"/>
      <c r="G358" s="19" t="n"/>
      <c r="H358" s="19" t="n"/>
      <c r="I358" s="19" t="n"/>
      <c r="J358" s="19" t="n"/>
      <c r="K358" s="19" t="n"/>
      <c r="L358" s="19" t="n"/>
      <c r="M358" s="130">
        <f>IF($A358="","",AND('Task Finder'!$C$7&lt;&gt;"",OR(ISNUMBER(SEARCH('Task Finder'!$C$7,$A358)),ISNUMBER(SEARCH('Task Finder'!$C$7,$B358)),ISNUMBER(SEARCH('Task Finder'!$C$7,$C358)),ISNUMBER(SEARCH('Task Finder'!$C$7,$D358)),ISNUMBER(SEARCH('Task Finder'!$C$7,$K358)))))</f>
        <v/>
      </c>
    </row>
    <row r="359">
      <c r="A359" s="19" t="n"/>
      <c r="B359" s="19" t="n"/>
      <c r="C359" s="19" t="n"/>
      <c r="D359" s="19" t="n"/>
      <c r="E359" s="19" t="n"/>
      <c r="F359" s="19" t="n"/>
      <c r="G359" s="19" t="n"/>
      <c r="H359" s="19" t="n"/>
      <c r="I359" s="19" t="n"/>
      <c r="J359" s="19" t="n"/>
      <c r="K359" s="19" t="n"/>
      <c r="L359" s="19" t="n"/>
      <c r="M359" s="130">
        <f>IF($A359="","",AND('Task Finder'!$C$7&lt;&gt;"",OR(ISNUMBER(SEARCH('Task Finder'!$C$7,$A359)),ISNUMBER(SEARCH('Task Finder'!$C$7,$B359)),ISNUMBER(SEARCH('Task Finder'!$C$7,$C359)),ISNUMBER(SEARCH('Task Finder'!$C$7,$D359)),ISNUMBER(SEARCH('Task Finder'!$C$7,$K359)))))</f>
        <v/>
      </c>
    </row>
    <row r="360">
      <c r="A360" s="19" t="n"/>
      <c r="B360" s="19" t="n"/>
      <c r="C360" s="19" t="n"/>
      <c r="D360" s="19" t="n"/>
      <c r="E360" s="19" t="n"/>
      <c r="F360" s="19" t="n"/>
      <c r="G360" s="19" t="n"/>
      <c r="H360" s="19" t="n"/>
      <c r="I360" s="19" t="n"/>
      <c r="J360" s="19" t="n"/>
      <c r="K360" s="19" t="n"/>
      <c r="L360" s="19" t="n"/>
      <c r="M360" s="130">
        <f>IF($A360="","",AND('Task Finder'!$C$7&lt;&gt;"",OR(ISNUMBER(SEARCH('Task Finder'!$C$7,$A360)),ISNUMBER(SEARCH('Task Finder'!$C$7,$B360)),ISNUMBER(SEARCH('Task Finder'!$C$7,$C360)),ISNUMBER(SEARCH('Task Finder'!$C$7,$D360)),ISNUMBER(SEARCH('Task Finder'!$C$7,$K360)))))</f>
        <v/>
      </c>
    </row>
    <row r="361">
      <c r="A361" s="19" t="n"/>
      <c r="B361" s="19" t="n"/>
      <c r="C361" s="19" t="n"/>
      <c r="D361" s="19" t="n"/>
      <c r="E361" s="19" t="n"/>
      <c r="F361" s="19" t="n"/>
      <c r="G361" s="19" t="n"/>
      <c r="H361" s="19" t="n"/>
      <c r="I361" s="19" t="n"/>
      <c r="J361" s="19" t="n"/>
      <c r="K361" s="19" t="n"/>
      <c r="L361" s="19" t="n"/>
      <c r="M361" s="130">
        <f>IF($A361="","",AND('Task Finder'!$C$7&lt;&gt;"",OR(ISNUMBER(SEARCH('Task Finder'!$C$7,$A361)),ISNUMBER(SEARCH('Task Finder'!$C$7,$B361)),ISNUMBER(SEARCH('Task Finder'!$C$7,$C361)),ISNUMBER(SEARCH('Task Finder'!$C$7,$D361)),ISNUMBER(SEARCH('Task Finder'!$C$7,$K361)))))</f>
        <v/>
      </c>
    </row>
    <row r="362">
      <c r="A362" s="19" t="n"/>
      <c r="B362" s="19" t="n"/>
      <c r="C362" s="19" t="n"/>
      <c r="D362" s="19" t="n"/>
      <c r="E362" s="19" t="n"/>
      <c r="F362" s="19" t="n"/>
      <c r="G362" s="19" t="n"/>
      <c r="H362" s="19" t="n"/>
      <c r="I362" s="19" t="n"/>
      <c r="J362" s="19" t="n"/>
      <c r="K362" s="19" t="n"/>
      <c r="L362" s="19" t="n"/>
      <c r="M362" s="130">
        <f>IF($A362="","",AND('Task Finder'!$C$7&lt;&gt;"",OR(ISNUMBER(SEARCH('Task Finder'!$C$7,$A362)),ISNUMBER(SEARCH('Task Finder'!$C$7,$B362)),ISNUMBER(SEARCH('Task Finder'!$C$7,$C362)),ISNUMBER(SEARCH('Task Finder'!$C$7,$D362)),ISNUMBER(SEARCH('Task Finder'!$C$7,$K362)))))</f>
        <v/>
      </c>
    </row>
    <row r="363">
      <c r="A363" s="19" t="n"/>
      <c r="B363" s="19" t="n"/>
      <c r="C363" s="19" t="n"/>
      <c r="D363" s="19" t="n"/>
      <c r="E363" s="19" t="n"/>
      <c r="F363" s="19" t="n"/>
      <c r="G363" s="19" t="n"/>
      <c r="H363" s="19" t="n"/>
      <c r="I363" s="19" t="n"/>
      <c r="J363" s="19" t="n"/>
      <c r="K363" s="19" t="n"/>
      <c r="L363" s="19" t="n"/>
      <c r="M363" s="130">
        <f>IF($A363="","",AND('Task Finder'!$C$7&lt;&gt;"",OR(ISNUMBER(SEARCH('Task Finder'!$C$7,$A363)),ISNUMBER(SEARCH('Task Finder'!$C$7,$B363)),ISNUMBER(SEARCH('Task Finder'!$C$7,$C363)),ISNUMBER(SEARCH('Task Finder'!$C$7,$D363)),ISNUMBER(SEARCH('Task Finder'!$C$7,$K363)))))</f>
        <v/>
      </c>
    </row>
    <row r="364">
      <c r="A364" s="19" t="n"/>
      <c r="B364" s="19" t="n"/>
      <c r="C364" s="19" t="n"/>
      <c r="D364" s="19" t="n"/>
      <c r="E364" s="19" t="n"/>
      <c r="F364" s="19" t="n"/>
      <c r="G364" s="19" t="n"/>
      <c r="H364" s="19" t="n"/>
      <c r="I364" s="19" t="n"/>
      <c r="J364" s="19" t="n"/>
      <c r="K364" s="19" t="n"/>
      <c r="L364" s="19" t="n"/>
      <c r="M364" s="130">
        <f>IF($A364="","",AND('Task Finder'!$C$7&lt;&gt;"",OR(ISNUMBER(SEARCH('Task Finder'!$C$7,$A364)),ISNUMBER(SEARCH('Task Finder'!$C$7,$B364)),ISNUMBER(SEARCH('Task Finder'!$C$7,$C364)),ISNUMBER(SEARCH('Task Finder'!$C$7,$D364)),ISNUMBER(SEARCH('Task Finder'!$C$7,$K364)))))</f>
        <v/>
      </c>
    </row>
    <row r="365">
      <c r="A365" s="19" t="n"/>
      <c r="B365" s="19" t="n"/>
      <c r="C365" s="19" t="n"/>
      <c r="D365" s="19" t="n"/>
      <c r="E365" s="19" t="n"/>
      <c r="F365" s="19" t="n"/>
      <c r="G365" s="19" t="n"/>
      <c r="H365" s="19" t="n"/>
      <c r="I365" s="19" t="n"/>
      <c r="J365" s="19" t="n"/>
      <c r="K365" s="19" t="n"/>
      <c r="L365" s="19" t="n"/>
      <c r="M365" s="130">
        <f>IF($A365="","",AND('Task Finder'!$C$7&lt;&gt;"",OR(ISNUMBER(SEARCH('Task Finder'!$C$7,$A365)),ISNUMBER(SEARCH('Task Finder'!$C$7,$B365)),ISNUMBER(SEARCH('Task Finder'!$C$7,$C365)),ISNUMBER(SEARCH('Task Finder'!$C$7,$D365)),ISNUMBER(SEARCH('Task Finder'!$C$7,$K365)))))</f>
        <v/>
      </c>
    </row>
    <row r="366">
      <c r="A366" s="19" t="n"/>
      <c r="B366" s="19" t="n"/>
      <c r="C366" s="19" t="n"/>
      <c r="D366" s="19" t="n"/>
      <c r="E366" s="19" t="n"/>
      <c r="F366" s="19" t="n"/>
      <c r="G366" s="19" t="n"/>
      <c r="H366" s="19" t="n"/>
      <c r="I366" s="19" t="n"/>
      <c r="J366" s="19" t="n"/>
      <c r="K366" s="19" t="n"/>
      <c r="L366" s="19" t="n"/>
      <c r="M366" s="130">
        <f>IF($A366="","",AND('Task Finder'!$C$7&lt;&gt;"",OR(ISNUMBER(SEARCH('Task Finder'!$C$7,$A366)),ISNUMBER(SEARCH('Task Finder'!$C$7,$B366)),ISNUMBER(SEARCH('Task Finder'!$C$7,$C366)),ISNUMBER(SEARCH('Task Finder'!$C$7,$D366)),ISNUMBER(SEARCH('Task Finder'!$C$7,$K366)))))</f>
        <v/>
      </c>
    </row>
    <row r="367">
      <c r="A367" s="19" t="n"/>
      <c r="B367" s="19" t="n"/>
      <c r="C367" s="19" t="n"/>
      <c r="D367" s="19" t="n"/>
      <c r="E367" s="19" t="n"/>
      <c r="F367" s="19" t="n"/>
      <c r="G367" s="19" t="n"/>
      <c r="H367" s="19" t="n"/>
      <c r="I367" s="19" t="n"/>
      <c r="J367" s="19" t="n"/>
      <c r="K367" s="19" t="n"/>
      <c r="L367" s="19" t="n"/>
      <c r="M367" s="130">
        <f>IF($A367="","",AND('Task Finder'!$C$7&lt;&gt;"",OR(ISNUMBER(SEARCH('Task Finder'!$C$7,$A367)),ISNUMBER(SEARCH('Task Finder'!$C$7,$B367)),ISNUMBER(SEARCH('Task Finder'!$C$7,$C367)),ISNUMBER(SEARCH('Task Finder'!$C$7,$D367)),ISNUMBER(SEARCH('Task Finder'!$C$7,$K367)))))</f>
        <v/>
      </c>
    </row>
    <row r="368">
      <c r="A368" s="19" t="n"/>
      <c r="B368" s="19" t="n"/>
      <c r="C368" s="19" t="n"/>
      <c r="D368" s="19" t="n"/>
      <c r="E368" s="19" t="n"/>
      <c r="F368" s="19" t="n"/>
      <c r="G368" s="19" t="n"/>
      <c r="H368" s="19" t="n"/>
      <c r="I368" s="19" t="n"/>
      <c r="J368" s="19" t="n"/>
      <c r="K368" s="19" t="n"/>
      <c r="L368" s="19" t="n"/>
      <c r="M368" s="130">
        <f>IF($A368="","",AND('Task Finder'!$C$7&lt;&gt;"",OR(ISNUMBER(SEARCH('Task Finder'!$C$7,$A368)),ISNUMBER(SEARCH('Task Finder'!$C$7,$B368)),ISNUMBER(SEARCH('Task Finder'!$C$7,$C368)),ISNUMBER(SEARCH('Task Finder'!$C$7,$D368)),ISNUMBER(SEARCH('Task Finder'!$C$7,$K368)))))</f>
        <v/>
      </c>
    </row>
    <row r="369">
      <c r="A369" s="19" t="n"/>
      <c r="B369" s="19" t="n"/>
      <c r="C369" s="19" t="n"/>
      <c r="D369" s="19" t="n"/>
      <c r="E369" s="19" t="n"/>
      <c r="F369" s="19" t="n"/>
      <c r="G369" s="19" t="n"/>
      <c r="H369" s="19" t="n"/>
      <c r="I369" s="19" t="n"/>
      <c r="J369" s="19" t="n"/>
      <c r="K369" s="19" t="n"/>
      <c r="L369" s="19" t="n"/>
      <c r="M369" s="130">
        <f>IF($A369="","",AND('Task Finder'!$C$7&lt;&gt;"",OR(ISNUMBER(SEARCH('Task Finder'!$C$7,$A369)),ISNUMBER(SEARCH('Task Finder'!$C$7,$B369)),ISNUMBER(SEARCH('Task Finder'!$C$7,$C369)),ISNUMBER(SEARCH('Task Finder'!$C$7,$D369)),ISNUMBER(SEARCH('Task Finder'!$C$7,$K369)))))</f>
        <v/>
      </c>
    </row>
    <row r="370">
      <c r="A370" s="19" t="n"/>
      <c r="B370" s="19" t="n"/>
      <c r="C370" s="19" t="n"/>
      <c r="D370" s="19" t="n"/>
      <c r="E370" s="19" t="n"/>
      <c r="F370" s="19" t="n"/>
      <c r="G370" s="19" t="n"/>
      <c r="H370" s="19" t="n"/>
      <c r="I370" s="19" t="n"/>
      <c r="J370" s="19" t="n"/>
      <c r="K370" s="19" t="n"/>
      <c r="L370" s="19" t="n"/>
      <c r="M370" s="130">
        <f>IF($A370="","",AND('Task Finder'!$C$7&lt;&gt;"",OR(ISNUMBER(SEARCH('Task Finder'!$C$7,$A370)),ISNUMBER(SEARCH('Task Finder'!$C$7,$B370)),ISNUMBER(SEARCH('Task Finder'!$C$7,$C370)),ISNUMBER(SEARCH('Task Finder'!$C$7,$D370)),ISNUMBER(SEARCH('Task Finder'!$C$7,$K370)))))</f>
        <v/>
      </c>
    </row>
    <row r="371">
      <c r="A371" s="19" t="n"/>
      <c r="B371" s="19" t="n"/>
      <c r="C371" s="19" t="n"/>
      <c r="D371" s="19" t="n"/>
      <c r="E371" s="19" t="n"/>
      <c r="F371" s="19" t="n"/>
      <c r="G371" s="19" t="n"/>
      <c r="H371" s="19" t="n"/>
      <c r="I371" s="19" t="n"/>
      <c r="J371" s="19" t="n"/>
      <c r="K371" s="19" t="n"/>
      <c r="L371" s="19" t="n"/>
      <c r="M371" s="130">
        <f>IF($A371="","",AND('Task Finder'!$C$7&lt;&gt;"",OR(ISNUMBER(SEARCH('Task Finder'!$C$7,$A371)),ISNUMBER(SEARCH('Task Finder'!$C$7,$B371)),ISNUMBER(SEARCH('Task Finder'!$C$7,$C371)),ISNUMBER(SEARCH('Task Finder'!$C$7,$D371)),ISNUMBER(SEARCH('Task Finder'!$C$7,$K371)))))</f>
        <v/>
      </c>
    </row>
    <row r="372">
      <c r="A372" s="19" t="n"/>
      <c r="B372" s="19" t="n"/>
      <c r="C372" s="19" t="n"/>
      <c r="D372" s="19" t="n"/>
      <c r="E372" s="19" t="n"/>
      <c r="F372" s="19" t="n"/>
      <c r="G372" s="19" t="n"/>
      <c r="H372" s="19" t="n"/>
      <c r="I372" s="19" t="n"/>
      <c r="J372" s="19" t="n"/>
      <c r="K372" s="19" t="n"/>
      <c r="L372" s="19" t="n"/>
      <c r="M372" s="130">
        <f>IF($A372="","",AND('Task Finder'!$C$7&lt;&gt;"",OR(ISNUMBER(SEARCH('Task Finder'!$C$7,$A372)),ISNUMBER(SEARCH('Task Finder'!$C$7,$B372)),ISNUMBER(SEARCH('Task Finder'!$C$7,$C372)),ISNUMBER(SEARCH('Task Finder'!$C$7,$D372)),ISNUMBER(SEARCH('Task Finder'!$C$7,$K372)))))</f>
        <v/>
      </c>
    </row>
    <row r="373">
      <c r="A373" s="19" t="n"/>
      <c r="B373" s="19" t="n"/>
      <c r="C373" s="19" t="n"/>
      <c r="D373" s="19" t="n"/>
      <c r="E373" s="19" t="n"/>
      <c r="F373" s="19" t="n"/>
      <c r="G373" s="19" t="n"/>
      <c r="H373" s="19" t="n"/>
      <c r="I373" s="19" t="n"/>
      <c r="J373" s="19" t="n"/>
      <c r="K373" s="19" t="n"/>
      <c r="L373" s="19" t="n"/>
      <c r="M373" s="130">
        <f>IF($A373="","",AND('Task Finder'!$C$7&lt;&gt;"",OR(ISNUMBER(SEARCH('Task Finder'!$C$7,$A373)),ISNUMBER(SEARCH('Task Finder'!$C$7,$B373)),ISNUMBER(SEARCH('Task Finder'!$C$7,$C373)),ISNUMBER(SEARCH('Task Finder'!$C$7,$D373)),ISNUMBER(SEARCH('Task Finder'!$C$7,$K373)))))</f>
        <v/>
      </c>
    </row>
    <row r="374">
      <c r="A374" s="19" t="n"/>
      <c r="B374" s="19" t="n"/>
      <c r="C374" s="19" t="n"/>
      <c r="D374" s="19" t="n"/>
      <c r="E374" s="19" t="n"/>
      <c r="F374" s="19" t="n"/>
      <c r="G374" s="19" t="n"/>
      <c r="H374" s="19" t="n"/>
      <c r="I374" s="19" t="n"/>
      <c r="J374" s="19" t="n"/>
      <c r="K374" s="19" t="n"/>
      <c r="L374" s="19" t="n"/>
      <c r="M374" s="130">
        <f>IF($A374="","",AND('Task Finder'!$C$7&lt;&gt;"",OR(ISNUMBER(SEARCH('Task Finder'!$C$7,$A374)),ISNUMBER(SEARCH('Task Finder'!$C$7,$B374)),ISNUMBER(SEARCH('Task Finder'!$C$7,$C374)),ISNUMBER(SEARCH('Task Finder'!$C$7,$D374)),ISNUMBER(SEARCH('Task Finder'!$C$7,$K374)))))</f>
        <v/>
      </c>
    </row>
    <row r="375">
      <c r="A375" s="19" t="n"/>
      <c r="B375" s="19" t="n"/>
      <c r="C375" s="19" t="n"/>
      <c r="D375" s="19" t="n"/>
      <c r="E375" s="19" t="n"/>
      <c r="F375" s="19" t="n"/>
      <c r="G375" s="19" t="n"/>
      <c r="H375" s="19" t="n"/>
      <c r="I375" s="19" t="n"/>
      <c r="J375" s="19" t="n"/>
      <c r="K375" s="19" t="n"/>
      <c r="L375" s="19" t="n"/>
      <c r="M375" s="130">
        <f>IF($A375="","",AND('Task Finder'!$C$7&lt;&gt;"",OR(ISNUMBER(SEARCH('Task Finder'!$C$7,$A375)),ISNUMBER(SEARCH('Task Finder'!$C$7,$B375)),ISNUMBER(SEARCH('Task Finder'!$C$7,$C375)),ISNUMBER(SEARCH('Task Finder'!$C$7,$D375)),ISNUMBER(SEARCH('Task Finder'!$C$7,$K375)))))</f>
        <v/>
      </c>
    </row>
    <row r="376">
      <c r="A376" s="19" t="n"/>
      <c r="B376" s="19" t="n"/>
      <c r="C376" s="19" t="n"/>
      <c r="D376" s="19" t="n"/>
      <c r="E376" s="19" t="n"/>
      <c r="F376" s="19" t="n"/>
      <c r="G376" s="19" t="n"/>
      <c r="H376" s="19" t="n"/>
      <c r="I376" s="19" t="n"/>
      <c r="J376" s="19" t="n"/>
      <c r="K376" s="19" t="n"/>
      <c r="L376" s="19" t="n"/>
      <c r="M376" s="130">
        <f>IF($A376="","",AND('Task Finder'!$C$7&lt;&gt;"",OR(ISNUMBER(SEARCH('Task Finder'!$C$7,$A376)),ISNUMBER(SEARCH('Task Finder'!$C$7,$B376)),ISNUMBER(SEARCH('Task Finder'!$C$7,$C376)),ISNUMBER(SEARCH('Task Finder'!$C$7,$D376)),ISNUMBER(SEARCH('Task Finder'!$C$7,$K376)))))</f>
        <v/>
      </c>
    </row>
    <row r="377">
      <c r="A377" s="19" t="n"/>
      <c r="B377" s="19" t="n"/>
      <c r="C377" s="19" t="n"/>
      <c r="D377" s="19" t="n"/>
      <c r="E377" s="19" t="n"/>
      <c r="F377" s="19" t="n"/>
      <c r="G377" s="19" t="n"/>
      <c r="H377" s="19" t="n"/>
      <c r="I377" s="19" t="n"/>
      <c r="J377" s="19" t="n"/>
      <c r="K377" s="19" t="n"/>
      <c r="L377" s="19" t="n"/>
      <c r="M377" s="130">
        <f>IF($A377="","",AND('Task Finder'!$C$7&lt;&gt;"",OR(ISNUMBER(SEARCH('Task Finder'!$C$7,$A377)),ISNUMBER(SEARCH('Task Finder'!$C$7,$B377)),ISNUMBER(SEARCH('Task Finder'!$C$7,$C377)),ISNUMBER(SEARCH('Task Finder'!$C$7,$D377)),ISNUMBER(SEARCH('Task Finder'!$C$7,$K377)))))</f>
        <v/>
      </c>
    </row>
    <row r="378">
      <c r="A378" s="19" t="n"/>
      <c r="B378" s="19" t="n"/>
      <c r="C378" s="19" t="n"/>
      <c r="D378" s="19" t="n"/>
      <c r="E378" s="19" t="n"/>
      <c r="F378" s="19" t="n"/>
      <c r="G378" s="19" t="n"/>
      <c r="H378" s="19" t="n"/>
      <c r="I378" s="19" t="n"/>
      <c r="J378" s="19" t="n"/>
      <c r="K378" s="19" t="n"/>
      <c r="L378" s="19" t="n"/>
      <c r="M378" s="130">
        <f>IF($A378="","",AND('Task Finder'!$C$7&lt;&gt;"",OR(ISNUMBER(SEARCH('Task Finder'!$C$7,$A378)),ISNUMBER(SEARCH('Task Finder'!$C$7,$B378)),ISNUMBER(SEARCH('Task Finder'!$C$7,$C378)),ISNUMBER(SEARCH('Task Finder'!$C$7,$D378)),ISNUMBER(SEARCH('Task Finder'!$C$7,$K378)))))</f>
        <v/>
      </c>
    </row>
    <row r="379">
      <c r="A379" s="19" t="n"/>
      <c r="B379" s="19" t="n"/>
      <c r="C379" s="19" t="n"/>
      <c r="D379" s="19" t="n"/>
      <c r="E379" s="19" t="n"/>
      <c r="F379" s="19" t="n"/>
      <c r="G379" s="19" t="n"/>
      <c r="H379" s="19" t="n"/>
      <c r="I379" s="19" t="n"/>
      <c r="J379" s="19" t="n"/>
      <c r="K379" s="19" t="n"/>
      <c r="L379" s="19" t="n"/>
      <c r="M379" s="130">
        <f>IF($A379="","",AND('Task Finder'!$C$7&lt;&gt;"",OR(ISNUMBER(SEARCH('Task Finder'!$C$7,$A379)),ISNUMBER(SEARCH('Task Finder'!$C$7,$B379)),ISNUMBER(SEARCH('Task Finder'!$C$7,$C379)),ISNUMBER(SEARCH('Task Finder'!$C$7,$D379)),ISNUMBER(SEARCH('Task Finder'!$C$7,$K379)))))</f>
        <v/>
      </c>
    </row>
    <row r="380">
      <c r="A380" s="19" t="n"/>
      <c r="B380" s="19" t="n"/>
      <c r="C380" s="19" t="n"/>
      <c r="D380" s="19" t="n"/>
      <c r="E380" s="19" t="n"/>
      <c r="F380" s="19" t="n"/>
      <c r="G380" s="19" t="n"/>
      <c r="H380" s="19" t="n"/>
      <c r="I380" s="19" t="n"/>
      <c r="J380" s="19" t="n"/>
      <c r="K380" s="19" t="n"/>
      <c r="L380" s="19" t="n"/>
      <c r="M380" s="130">
        <f>IF($A380="","",AND('Task Finder'!$C$7&lt;&gt;"",OR(ISNUMBER(SEARCH('Task Finder'!$C$7,$A380)),ISNUMBER(SEARCH('Task Finder'!$C$7,$B380)),ISNUMBER(SEARCH('Task Finder'!$C$7,$C380)),ISNUMBER(SEARCH('Task Finder'!$C$7,$D380)),ISNUMBER(SEARCH('Task Finder'!$C$7,$K380)))))</f>
        <v/>
      </c>
    </row>
    <row r="381">
      <c r="A381" s="19" t="n"/>
      <c r="B381" s="19" t="n"/>
      <c r="C381" s="19" t="n"/>
      <c r="D381" s="19" t="n"/>
      <c r="E381" s="19" t="n"/>
      <c r="F381" s="19" t="n"/>
      <c r="G381" s="19" t="n"/>
      <c r="H381" s="19" t="n"/>
      <c r="I381" s="19" t="n"/>
      <c r="J381" s="19" t="n"/>
      <c r="K381" s="19" t="n"/>
      <c r="L381" s="19" t="n"/>
      <c r="M381" s="130">
        <f>IF($A381="","",AND('Task Finder'!$C$7&lt;&gt;"",OR(ISNUMBER(SEARCH('Task Finder'!$C$7,$A381)),ISNUMBER(SEARCH('Task Finder'!$C$7,$B381)),ISNUMBER(SEARCH('Task Finder'!$C$7,$C381)),ISNUMBER(SEARCH('Task Finder'!$C$7,$D381)),ISNUMBER(SEARCH('Task Finder'!$C$7,$K381)))))</f>
        <v/>
      </c>
    </row>
    <row r="382">
      <c r="A382" s="19" t="n"/>
      <c r="B382" s="19" t="n"/>
      <c r="C382" s="19" t="n"/>
      <c r="D382" s="19" t="n"/>
      <c r="E382" s="19" t="n"/>
      <c r="F382" s="19" t="n"/>
      <c r="G382" s="19" t="n"/>
      <c r="H382" s="19" t="n"/>
      <c r="I382" s="19" t="n"/>
      <c r="J382" s="19" t="n"/>
      <c r="K382" s="19" t="n"/>
      <c r="L382" s="19" t="n"/>
      <c r="M382" s="130">
        <f>IF($A382="","",AND('Task Finder'!$C$7&lt;&gt;"",OR(ISNUMBER(SEARCH('Task Finder'!$C$7,$A382)),ISNUMBER(SEARCH('Task Finder'!$C$7,$B382)),ISNUMBER(SEARCH('Task Finder'!$C$7,$C382)),ISNUMBER(SEARCH('Task Finder'!$C$7,$D382)),ISNUMBER(SEARCH('Task Finder'!$C$7,$K382)))))</f>
        <v/>
      </c>
    </row>
    <row r="383">
      <c r="A383" s="19" t="n"/>
      <c r="B383" s="19" t="n"/>
      <c r="C383" s="19" t="n"/>
      <c r="D383" s="19" t="n"/>
      <c r="E383" s="19" t="n"/>
      <c r="F383" s="19" t="n"/>
      <c r="G383" s="19" t="n"/>
      <c r="H383" s="19" t="n"/>
      <c r="I383" s="19" t="n"/>
      <c r="J383" s="19" t="n"/>
      <c r="K383" s="19" t="n"/>
      <c r="L383" s="19" t="n"/>
      <c r="M383" s="130">
        <f>IF($A383="","",AND('Task Finder'!$C$7&lt;&gt;"",OR(ISNUMBER(SEARCH('Task Finder'!$C$7,$A383)),ISNUMBER(SEARCH('Task Finder'!$C$7,$B383)),ISNUMBER(SEARCH('Task Finder'!$C$7,$C383)),ISNUMBER(SEARCH('Task Finder'!$C$7,$D383)),ISNUMBER(SEARCH('Task Finder'!$C$7,$K383)))))</f>
        <v/>
      </c>
    </row>
    <row r="384">
      <c r="A384" s="19" t="n"/>
      <c r="B384" s="19" t="n"/>
      <c r="C384" s="19" t="n"/>
      <c r="D384" s="19" t="n"/>
      <c r="E384" s="19" t="n"/>
      <c r="F384" s="19" t="n"/>
      <c r="G384" s="19" t="n"/>
      <c r="H384" s="19" t="n"/>
      <c r="I384" s="19" t="n"/>
      <c r="J384" s="19" t="n"/>
      <c r="K384" s="19" t="n"/>
      <c r="L384" s="19" t="n"/>
      <c r="M384" s="130">
        <f>IF($A384="","",AND('Task Finder'!$C$7&lt;&gt;"",OR(ISNUMBER(SEARCH('Task Finder'!$C$7,$A384)),ISNUMBER(SEARCH('Task Finder'!$C$7,$B384)),ISNUMBER(SEARCH('Task Finder'!$C$7,$C384)),ISNUMBER(SEARCH('Task Finder'!$C$7,$D384)),ISNUMBER(SEARCH('Task Finder'!$C$7,$K384)))))</f>
        <v/>
      </c>
    </row>
    <row r="385">
      <c r="A385" s="19" t="n"/>
      <c r="B385" s="19" t="n"/>
      <c r="C385" s="19" t="n"/>
      <c r="D385" s="19" t="n"/>
      <c r="E385" s="19" t="n"/>
      <c r="F385" s="19" t="n"/>
      <c r="G385" s="19" t="n"/>
      <c r="H385" s="19" t="n"/>
      <c r="I385" s="19" t="n"/>
      <c r="J385" s="19" t="n"/>
      <c r="K385" s="19" t="n"/>
      <c r="L385" s="19" t="n"/>
      <c r="M385" s="130">
        <f>IF($A385="","",AND('Task Finder'!$C$7&lt;&gt;"",OR(ISNUMBER(SEARCH('Task Finder'!$C$7,$A385)),ISNUMBER(SEARCH('Task Finder'!$C$7,$B385)),ISNUMBER(SEARCH('Task Finder'!$C$7,$C385)),ISNUMBER(SEARCH('Task Finder'!$C$7,$D385)),ISNUMBER(SEARCH('Task Finder'!$C$7,$K385)))))</f>
        <v/>
      </c>
    </row>
    <row r="386">
      <c r="A386" s="19" t="n"/>
      <c r="B386" s="19" t="n"/>
      <c r="C386" s="19" t="n"/>
      <c r="D386" s="19" t="n"/>
      <c r="E386" s="19" t="n"/>
      <c r="F386" s="19" t="n"/>
      <c r="G386" s="19" t="n"/>
      <c r="H386" s="19" t="n"/>
      <c r="I386" s="19" t="n"/>
      <c r="J386" s="19" t="n"/>
      <c r="K386" s="19" t="n"/>
      <c r="L386" s="19" t="n"/>
      <c r="M386" s="130">
        <f>IF($A386="","",AND('Task Finder'!$C$7&lt;&gt;"",OR(ISNUMBER(SEARCH('Task Finder'!$C$7,$A386)),ISNUMBER(SEARCH('Task Finder'!$C$7,$B386)),ISNUMBER(SEARCH('Task Finder'!$C$7,$C386)),ISNUMBER(SEARCH('Task Finder'!$C$7,$D386)),ISNUMBER(SEARCH('Task Finder'!$C$7,$K386)))))</f>
        <v/>
      </c>
    </row>
    <row r="387">
      <c r="A387" s="19" t="n"/>
      <c r="B387" s="19" t="n"/>
      <c r="C387" s="19" t="n"/>
      <c r="D387" s="19" t="n"/>
      <c r="E387" s="19" t="n"/>
      <c r="F387" s="19" t="n"/>
      <c r="G387" s="19" t="n"/>
      <c r="H387" s="19" t="n"/>
      <c r="I387" s="19" t="n"/>
      <c r="J387" s="19" t="n"/>
      <c r="K387" s="19" t="n"/>
      <c r="L387" s="19" t="n"/>
      <c r="M387" s="130">
        <f>IF($A387="","",AND('Task Finder'!$C$7&lt;&gt;"",OR(ISNUMBER(SEARCH('Task Finder'!$C$7,$A387)),ISNUMBER(SEARCH('Task Finder'!$C$7,$B387)),ISNUMBER(SEARCH('Task Finder'!$C$7,$C387)),ISNUMBER(SEARCH('Task Finder'!$C$7,$D387)),ISNUMBER(SEARCH('Task Finder'!$C$7,$K387)))))</f>
        <v/>
      </c>
    </row>
    <row r="388">
      <c r="A388" s="19" t="n"/>
      <c r="B388" s="19" t="n"/>
      <c r="C388" s="19" t="n"/>
      <c r="D388" s="19" t="n"/>
      <c r="E388" s="19" t="n"/>
      <c r="F388" s="19" t="n"/>
      <c r="G388" s="19" t="n"/>
      <c r="H388" s="19" t="n"/>
      <c r="I388" s="19" t="n"/>
      <c r="J388" s="19" t="n"/>
      <c r="K388" s="19" t="n"/>
      <c r="L388" s="19" t="n"/>
      <c r="M388" s="130">
        <f>IF($A388="","",AND('Task Finder'!$C$7&lt;&gt;"",OR(ISNUMBER(SEARCH('Task Finder'!$C$7,$A388)),ISNUMBER(SEARCH('Task Finder'!$C$7,$B388)),ISNUMBER(SEARCH('Task Finder'!$C$7,$C388)),ISNUMBER(SEARCH('Task Finder'!$C$7,$D388)),ISNUMBER(SEARCH('Task Finder'!$C$7,$K388)))))</f>
        <v/>
      </c>
    </row>
    <row r="389">
      <c r="A389" s="19" t="n"/>
      <c r="B389" s="19" t="n"/>
      <c r="C389" s="19" t="n"/>
      <c r="D389" s="19" t="n"/>
      <c r="E389" s="19" t="n"/>
      <c r="F389" s="19" t="n"/>
      <c r="G389" s="19" t="n"/>
      <c r="H389" s="19" t="n"/>
      <c r="I389" s="19" t="n"/>
      <c r="J389" s="19" t="n"/>
      <c r="K389" s="19" t="n"/>
      <c r="L389" s="19" t="n"/>
      <c r="M389" s="130">
        <f>IF($A389="","",AND('Task Finder'!$C$7&lt;&gt;"",OR(ISNUMBER(SEARCH('Task Finder'!$C$7,$A389)),ISNUMBER(SEARCH('Task Finder'!$C$7,$B389)),ISNUMBER(SEARCH('Task Finder'!$C$7,$C389)),ISNUMBER(SEARCH('Task Finder'!$C$7,$D389)),ISNUMBER(SEARCH('Task Finder'!$C$7,$K389)))))</f>
        <v/>
      </c>
    </row>
    <row r="390">
      <c r="A390" s="19" t="n"/>
      <c r="B390" s="19" t="n"/>
      <c r="C390" s="19" t="n"/>
      <c r="D390" s="19" t="n"/>
      <c r="E390" s="19" t="n"/>
      <c r="F390" s="19" t="n"/>
      <c r="G390" s="19" t="n"/>
      <c r="H390" s="19" t="n"/>
      <c r="I390" s="19" t="n"/>
      <c r="J390" s="19" t="n"/>
      <c r="K390" s="19" t="n"/>
      <c r="L390" s="19" t="n"/>
      <c r="M390" s="130">
        <f>IF($A390="","",AND('Task Finder'!$C$7&lt;&gt;"",OR(ISNUMBER(SEARCH('Task Finder'!$C$7,$A390)),ISNUMBER(SEARCH('Task Finder'!$C$7,$B390)),ISNUMBER(SEARCH('Task Finder'!$C$7,$C390)),ISNUMBER(SEARCH('Task Finder'!$C$7,$D390)),ISNUMBER(SEARCH('Task Finder'!$C$7,$K390)))))</f>
        <v/>
      </c>
    </row>
    <row r="391">
      <c r="A391" s="19" t="n"/>
      <c r="B391" s="19" t="n"/>
      <c r="C391" s="19" t="n"/>
      <c r="D391" s="19" t="n"/>
      <c r="E391" s="19" t="n"/>
      <c r="F391" s="19" t="n"/>
      <c r="G391" s="19" t="n"/>
      <c r="H391" s="19" t="n"/>
      <c r="I391" s="19" t="n"/>
      <c r="J391" s="19" t="n"/>
      <c r="K391" s="19" t="n"/>
      <c r="L391" s="19" t="n"/>
      <c r="M391" s="130">
        <f>IF($A391="","",AND('Task Finder'!$C$7&lt;&gt;"",OR(ISNUMBER(SEARCH('Task Finder'!$C$7,$A391)),ISNUMBER(SEARCH('Task Finder'!$C$7,$B391)),ISNUMBER(SEARCH('Task Finder'!$C$7,$C391)),ISNUMBER(SEARCH('Task Finder'!$C$7,$D391)),ISNUMBER(SEARCH('Task Finder'!$C$7,$K391)))))</f>
        <v/>
      </c>
    </row>
    <row r="392">
      <c r="A392" s="19" t="n"/>
      <c r="B392" s="19" t="n"/>
      <c r="C392" s="19" t="n"/>
      <c r="D392" s="19" t="n"/>
      <c r="E392" s="19" t="n"/>
      <c r="F392" s="19" t="n"/>
      <c r="G392" s="19" t="n"/>
      <c r="H392" s="19" t="n"/>
      <c r="I392" s="19" t="n"/>
      <c r="J392" s="19" t="n"/>
      <c r="K392" s="19" t="n"/>
      <c r="L392" s="19" t="n"/>
      <c r="M392" s="130">
        <f>IF($A392="","",AND('Task Finder'!$C$7&lt;&gt;"",OR(ISNUMBER(SEARCH('Task Finder'!$C$7,$A392)),ISNUMBER(SEARCH('Task Finder'!$C$7,$B392)),ISNUMBER(SEARCH('Task Finder'!$C$7,$C392)),ISNUMBER(SEARCH('Task Finder'!$C$7,$D392)),ISNUMBER(SEARCH('Task Finder'!$C$7,$K392)))))</f>
        <v/>
      </c>
    </row>
    <row r="393">
      <c r="A393" s="19" t="n"/>
      <c r="B393" s="19" t="n"/>
      <c r="C393" s="19" t="n"/>
      <c r="D393" s="19" t="n"/>
      <c r="E393" s="19" t="n"/>
      <c r="F393" s="19" t="n"/>
      <c r="G393" s="19" t="n"/>
      <c r="H393" s="19" t="n"/>
      <c r="I393" s="19" t="n"/>
      <c r="J393" s="19" t="n"/>
      <c r="K393" s="19" t="n"/>
      <c r="L393" s="19" t="n"/>
      <c r="M393" s="130">
        <f>IF($A393="","",AND('Task Finder'!$C$7&lt;&gt;"",OR(ISNUMBER(SEARCH('Task Finder'!$C$7,$A393)),ISNUMBER(SEARCH('Task Finder'!$C$7,$B393)),ISNUMBER(SEARCH('Task Finder'!$C$7,$C393)),ISNUMBER(SEARCH('Task Finder'!$C$7,$D393)),ISNUMBER(SEARCH('Task Finder'!$C$7,$K393)))))</f>
        <v/>
      </c>
    </row>
    <row r="394">
      <c r="A394" s="19" t="n"/>
      <c r="B394" s="19" t="n"/>
      <c r="C394" s="19" t="n"/>
      <c r="D394" s="19" t="n"/>
      <c r="E394" s="19" t="n"/>
      <c r="F394" s="19" t="n"/>
      <c r="G394" s="19" t="n"/>
      <c r="H394" s="19" t="n"/>
      <c r="I394" s="19" t="n"/>
      <c r="J394" s="19" t="n"/>
      <c r="K394" s="19" t="n"/>
      <c r="L394" s="19" t="n"/>
      <c r="M394" s="130">
        <f>IF($A394="","",AND('Task Finder'!$C$7&lt;&gt;"",OR(ISNUMBER(SEARCH('Task Finder'!$C$7,$A394)),ISNUMBER(SEARCH('Task Finder'!$C$7,$B394)),ISNUMBER(SEARCH('Task Finder'!$C$7,$C394)),ISNUMBER(SEARCH('Task Finder'!$C$7,$D394)),ISNUMBER(SEARCH('Task Finder'!$C$7,$K394)))))</f>
        <v/>
      </c>
    </row>
    <row r="395">
      <c r="A395" s="19" t="n"/>
      <c r="B395" s="19" t="n"/>
      <c r="C395" s="19" t="n"/>
      <c r="D395" s="19" t="n"/>
      <c r="E395" s="19" t="n"/>
      <c r="F395" s="19" t="n"/>
      <c r="G395" s="19" t="n"/>
      <c r="H395" s="19" t="n"/>
      <c r="I395" s="19" t="n"/>
      <c r="J395" s="19" t="n"/>
      <c r="K395" s="19" t="n"/>
      <c r="L395" s="19" t="n"/>
      <c r="M395" s="130">
        <f>IF($A395="","",AND('Task Finder'!$C$7&lt;&gt;"",OR(ISNUMBER(SEARCH('Task Finder'!$C$7,$A395)),ISNUMBER(SEARCH('Task Finder'!$C$7,$B395)),ISNUMBER(SEARCH('Task Finder'!$C$7,$C395)),ISNUMBER(SEARCH('Task Finder'!$C$7,$D395)),ISNUMBER(SEARCH('Task Finder'!$C$7,$K395)))))</f>
        <v/>
      </c>
    </row>
    <row r="396">
      <c r="A396" s="19" t="n"/>
      <c r="B396" s="19" t="n"/>
      <c r="C396" s="19" t="n"/>
      <c r="D396" s="19" t="n"/>
      <c r="E396" s="19" t="n"/>
      <c r="F396" s="19" t="n"/>
      <c r="G396" s="19" t="n"/>
      <c r="H396" s="19" t="n"/>
      <c r="I396" s="19" t="n"/>
      <c r="J396" s="19" t="n"/>
      <c r="K396" s="19" t="n"/>
      <c r="L396" s="19" t="n"/>
      <c r="M396" s="130">
        <f>IF($A396="","",AND('Task Finder'!$C$7&lt;&gt;"",OR(ISNUMBER(SEARCH('Task Finder'!$C$7,$A396)),ISNUMBER(SEARCH('Task Finder'!$C$7,$B396)),ISNUMBER(SEARCH('Task Finder'!$C$7,$C396)),ISNUMBER(SEARCH('Task Finder'!$C$7,$D396)),ISNUMBER(SEARCH('Task Finder'!$C$7,$K396)))))</f>
        <v/>
      </c>
    </row>
    <row r="397">
      <c r="A397" s="19" t="n"/>
      <c r="B397" s="19" t="n"/>
      <c r="C397" s="19" t="n"/>
      <c r="D397" s="19" t="n"/>
      <c r="E397" s="19" t="n"/>
      <c r="F397" s="19" t="n"/>
      <c r="G397" s="19" t="n"/>
      <c r="H397" s="19" t="n"/>
      <c r="I397" s="19" t="n"/>
      <c r="J397" s="19" t="n"/>
      <c r="K397" s="19" t="n"/>
      <c r="L397" s="19" t="n"/>
      <c r="M397" s="130">
        <f>IF($A397="","",AND('Task Finder'!$C$7&lt;&gt;"",OR(ISNUMBER(SEARCH('Task Finder'!$C$7,$A397)),ISNUMBER(SEARCH('Task Finder'!$C$7,$B397)),ISNUMBER(SEARCH('Task Finder'!$C$7,$C397)),ISNUMBER(SEARCH('Task Finder'!$C$7,$D397)),ISNUMBER(SEARCH('Task Finder'!$C$7,$K397)))))</f>
        <v/>
      </c>
    </row>
    <row r="398">
      <c r="A398" s="19" t="n"/>
      <c r="B398" s="19" t="n"/>
      <c r="C398" s="19" t="n"/>
      <c r="D398" s="19" t="n"/>
      <c r="E398" s="19" t="n"/>
      <c r="F398" s="19" t="n"/>
      <c r="G398" s="19" t="n"/>
      <c r="H398" s="19" t="n"/>
      <c r="I398" s="19" t="n"/>
      <c r="J398" s="19" t="n"/>
      <c r="K398" s="19" t="n"/>
      <c r="L398" s="19" t="n"/>
      <c r="M398" s="130">
        <f>IF($A398="","",AND('Task Finder'!$C$7&lt;&gt;"",OR(ISNUMBER(SEARCH('Task Finder'!$C$7,$A398)),ISNUMBER(SEARCH('Task Finder'!$C$7,$B398)),ISNUMBER(SEARCH('Task Finder'!$C$7,$C398)),ISNUMBER(SEARCH('Task Finder'!$C$7,$D398)),ISNUMBER(SEARCH('Task Finder'!$C$7,$K398)))))</f>
        <v/>
      </c>
    </row>
    <row r="399">
      <c r="A399" s="19" t="n"/>
      <c r="B399" s="19" t="n"/>
      <c r="C399" s="19" t="n"/>
      <c r="D399" s="19" t="n"/>
      <c r="E399" s="19" t="n"/>
      <c r="F399" s="19" t="n"/>
      <c r="G399" s="19" t="n"/>
      <c r="H399" s="19" t="n"/>
      <c r="I399" s="19" t="n"/>
      <c r="J399" s="19" t="n"/>
      <c r="K399" s="19" t="n"/>
      <c r="L399" s="19" t="n"/>
      <c r="M399" s="130">
        <f>IF($A399="","",AND('Task Finder'!$C$7&lt;&gt;"",OR(ISNUMBER(SEARCH('Task Finder'!$C$7,$A399)),ISNUMBER(SEARCH('Task Finder'!$C$7,$B399)),ISNUMBER(SEARCH('Task Finder'!$C$7,$C399)),ISNUMBER(SEARCH('Task Finder'!$C$7,$D399)),ISNUMBER(SEARCH('Task Finder'!$C$7,$K399)))))</f>
        <v/>
      </c>
    </row>
    <row r="400">
      <c r="A400" s="19" t="n"/>
      <c r="B400" s="19" t="n"/>
      <c r="C400" s="19" t="n"/>
      <c r="D400" s="19" t="n"/>
      <c r="E400" s="19" t="n"/>
      <c r="F400" s="19" t="n"/>
      <c r="G400" s="19" t="n"/>
      <c r="H400" s="19" t="n"/>
      <c r="I400" s="19" t="n"/>
      <c r="J400" s="19" t="n"/>
      <c r="K400" s="19" t="n"/>
      <c r="L400" s="19" t="n"/>
      <c r="M400" s="130">
        <f>IF($A400="","",AND('Task Finder'!$C$7&lt;&gt;"",OR(ISNUMBER(SEARCH('Task Finder'!$C$7,$A400)),ISNUMBER(SEARCH('Task Finder'!$C$7,$B400)),ISNUMBER(SEARCH('Task Finder'!$C$7,$C400)),ISNUMBER(SEARCH('Task Finder'!$C$7,$D400)),ISNUMBER(SEARCH('Task Finder'!$C$7,$K400)))))</f>
        <v/>
      </c>
    </row>
    <row r="401">
      <c r="A401" s="19" t="n"/>
      <c r="B401" s="19" t="n"/>
      <c r="C401" s="19" t="n"/>
      <c r="D401" s="19" t="n"/>
      <c r="E401" s="19" t="n"/>
      <c r="F401" s="19" t="n"/>
      <c r="G401" s="19" t="n"/>
      <c r="H401" s="19" t="n"/>
      <c r="I401" s="19" t="n"/>
      <c r="J401" s="19" t="n"/>
      <c r="K401" s="19" t="n"/>
      <c r="L401" s="19" t="n"/>
      <c r="M401" s="130">
        <f>IF($A401="","",AND('Task Finder'!$C$7&lt;&gt;"",OR(ISNUMBER(SEARCH('Task Finder'!$C$7,$A401)),ISNUMBER(SEARCH('Task Finder'!$C$7,$B401)),ISNUMBER(SEARCH('Task Finder'!$C$7,$C401)),ISNUMBER(SEARCH('Task Finder'!$C$7,$D401)),ISNUMBER(SEARCH('Task Finder'!$C$7,$K401)))))</f>
        <v/>
      </c>
    </row>
    <row r="402">
      <c r="A402" s="19" t="n"/>
      <c r="B402" s="19" t="n"/>
      <c r="C402" s="19" t="n"/>
      <c r="D402" s="19" t="n"/>
      <c r="E402" s="19" t="n"/>
      <c r="F402" s="19" t="n"/>
      <c r="G402" s="19" t="n"/>
      <c r="H402" s="19" t="n"/>
      <c r="I402" s="19" t="n"/>
      <c r="J402" s="19" t="n"/>
      <c r="K402" s="19" t="n"/>
      <c r="L402" s="19" t="n"/>
      <c r="M402" s="130">
        <f>IF($A402="","",AND('Task Finder'!$C$7&lt;&gt;"",OR(ISNUMBER(SEARCH('Task Finder'!$C$7,$A402)),ISNUMBER(SEARCH('Task Finder'!$C$7,$B402)),ISNUMBER(SEARCH('Task Finder'!$C$7,$C402)),ISNUMBER(SEARCH('Task Finder'!$C$7,$D402)),ISNUMBER(SEARCH('Task Finder'!$C$7,$K402)))))</f>
        <v/>
      </c>
    </row>
    <row r="403">
      <c r="A403" s="19" t="n"/>
      <c r="B403" s="19" t="n"/>
      <c r="C403" s="19" t="n"/>
      <c r="D403" s="19" t="n"/>
      <c r="E403" s="19" t="n"/>
      <c r="F403" s="19" t="n"/>
      <c r="G403" s="19" t="n"/>
      <c r="H403" s="19" t="n"/>
      <c r="I403" s="19" t="n"/>
      <c r="J403" s="19" t="n"/>
      <c r="K403" s="19" t="n"/>
      <c r="L403" s="19" t="n"/>
      <c r="M403" s="130">
        <f>IF($A403="","",AND('Task Finder'!$C$7&lt;&gt;"",OR(ISNUMBER(SEARCH('Task Finder'!$C$7,$A403)),ISNUMBER(SEARCH('Task Finder'!$C$7,$B403)),ISNUMBER(SEARCH('Task Finder'!$C$7,$C403)),ISNUMBER(SEARCH('Task Finder'!$C$7,$D403)),ISNUMBER(SEARCH('Task Finder'!$C$7,$K403)))))</f>
        <v/>
      </c>
    </row>
    <row r="404">
      <c r="A404" s="19" t="n"/>
      <c r="B404" s="19" t="n"/>
      <c r="C404" s="19" t="n"/>
      <c r="D404" s="19" t="n"/>
      <c r="E404" s="19" t="n"/>
      <c r="F404" s="19" t="n"/>
      <c r="G404" s="19" t="n"/>
      <c r="H404" s="19" t="n"/>
      <c r="I404" s="19" t="n"/>
      <c r="J404" s="19" t="n"/>
      <c r="K404" s="19" t="n"/>
      <c r="L404" s="19" t="n"/>
      <c r="M404" s="130">
        <f>IF($A404="","",AND('Task Finder'!$C$7&lt;&gt;"",OR(ISNUMBER(SEARCH('Task Finder'!$C$7,$A404)),ISNUMBER(SEARCH('Task Finder'!$C$7,$B404)),ISNUMBER(SEARCH('Task Finder'!$C$7,$C404)),ISNUMBER(SEARCH('Task Finder'!$C$7,$D404)),ISNUMBER(SEARCH('Task Finder'!$C$7,$K404)))))</f>
        <v/>
      </c>
    </row>
    <row r="405">
      <c r="A405" s="19" t="n"/>
      <c r="B405" s="19" t="n"/>
      <c r="C405" s="19" t="n"/>
      <c r="D405" s="19" t="n"/>
      <c r="E405" s="19" t="n"/>
      <c r="F405" s="19" t="n"/>
      <c r="G405" s="19" t="n"/>
      <c r="H405" s="19" t="n"/>
      <c r="I405" s="19" t="n"/>
      <c r="J405" s="19" t="n"/>
      <c r="K405" s="19" t="n"/>
      <c r="L405" s="19" t="n"/>
      <c r="M405" s="130">
        <f>IF($A405="","",AND('Task Finder'!$C$7&lt;&gt;"",OR(ISNUMBER(SEARCH('Task Finder'!$C$7,$A405)),ISNUMBER(SEARCH('Task Finder'!$C$7,$B405)),ISNUMBER(SEARCH('Task Finder'!$C$7,$C405)),ISNUMBER(SEARCH('Task Finder'!$C$7,$D405)),ISNUMBER(SEARCH('Task Finder'!$C$7,$K405)))))</f>
        <v/>
      </c>
    </row>
    <row r="406">
      <c r="A406" s="19" t="n"/>
      <c r="B406" s="19" t="n"/>
      <c r="C406" s="19" t="n"/>
      <c r="D406" s="19" t="n"/>
      <c r="E406" s="19" t="n"/>
      <c r="F406" s="19" t="n"/>
      <c r="G406" s="19" t="n"/>
      <c r="H406" s="19" t="n"/>
      <c r="I406" s="19" t="n"/>
      <c r="J406" s="19" t="n"/>
      <c r="K406" s="19" t="n"/>
      <c r="L406" s="19" t="n"/>
      <c r="M406" s="130">
        <f>IF($A406="","",AND('Task Finder'!$C$7&lt;&gt;"",OR(ISNUMBER(SEARCH('Task Finder'!$C$7,$A406)),ISNUMBER(SEARCH('Task Finder'!$C$7,$B406)),ISNUMBER(SEARCH('Task Finder'!$C$7,$C406)),ISNUMBER(SEARCH('Task Finder'!$C$7,$D406)),ISNUMBER(SEARCH('Task Finder'!$C$7,$K406)))))</f>
        <v/>
      </c>
    </row>
    <row r="407">
      <c r="A407" s="19" t="n"/>
      <c r="B407" s="19" t="n"/>
      <c r="C407" s="19" t="n"/>
      <c r="D407" s="19" t="n"/>
      <c r="E407" s="19" t="n"/>
      <c r="F407" s="19" t="n"/>
      <c r="G407" s="19" t="n"/>
      <c r="H407" s="19" t="n"/>
      <c r="I407" s="19" t="n"/>
      <c r="J407" s="19" t="n"/>
      <c r="K407" s="19" t="n"/>
      <c r="L407" s="19" t="n"/>
      <c r="M407" s="130">
        <f>IF($A407="","",AND('Task Finder'!$C$7&lt;&gt;"",OR(ISNUMBER(SEARCH('Task Finder'!$C$7,$A407)),ISNUMBER(SEARCH('Task Finder'!$C$7,$B407)),ISNUMBER(SEARCH('Task Finder'!$C$7,$C407)),ISNUMBER(SEARCH('Task Finder'!$C$7,$D407)),ISNUMBER(SEARCH('Task Finder'!$C$7,$K407)))))</f>
        <v/>
      </c>
    </row>
    <row r="408">
      <c r="A408" s="19" t="n"/>
      <c r="B408" s="19" t="n"/>
      <c r="C408" s="19" t="n"/>
      <c r="D408" s="19" t="n"/>
      <c r="E408" s="19" t="n"/>
      <c r="F408" s="19" t="n"/>
      <c r="G408" s="19" t="n"/>
      <c r="H408" s="19" t="n"/>
      <c r="I408" s="19" t="n"/>
      <c r="J408" s="19" t="n"/>
      <c r="K408" s="19" t="n"/>
      <c r="L408" s="19" t="n"/>
      <c r="M408" s="130">
        <f>IF($A408="","",AND('Task Finder'!$C$7&lt;&gt;"",OR(ISNUMBER(SEARCH('Task Finder'!$C$7,$A408)),ISNUMBER(SEARCH('Task Finder'!$C$7,$B408)),ISNUMBER(SEARCH('Task Finder'!$C$7,$C408)),ISNUMBER(SEARCH('Task Finder'!$C$7,$D408)),ISNUMBER(SEARCH('Task Finder'!$C$7,$K408)))))</f>
        <v/>
      </c>
    </row>
    <row r="409">
      <c r="A409" s="19" t="n"/>
      <c r="B409" s="19" t="n"/>
      <c r="C409" s="19" t="n"/>
      <c r="D409" s="19" t="n"/>
      <c r="E409" s="19" t="n"/>
      <c r="F409" s="19" t="n"/>
      <c r="G409" s="19" t="n"/>
      <c r="H409" s="19" t="n"/>
      <c r="I409" s="19" t="n"/>
      <c r="J409" s="19" t="n"/>
      <c r="K409" s="19" t="n"/>
      <c r="L409" s="19" t="n"/>
      <c r="M409" s="130">
        <f>IF($A409="","",AND('Task Finder'!$C$7&lt;&gt;"",OR(ISNUMBER(SEARCH('Task Finder'!$C$7,$A409)),ISNUMBER(SEARCH('Task Finder'!$C$7,$B409)),ISNUMBER(SEARCH('Task Finder'!$C$7,$C409)),ISNUMBER(SEARCH('Task Finder'!$C$7,$D409)),ISNUMBER(SEARCH('Task Finder'!$C$7,$K409)))))</f>
        <v/>
      </c>
    </row>
    <row r="410">
      <c r="A410" s="19" t="n"/>
      <c r="B410" s="19" t="n"/>
      <c r="C410" s="19" t="n"/>
      <c r="D410" s="19" t="n"/>
      <c r="E410" s="19" t="n"/>
      <c r="F410" s="19" t="n"/>
      <c r="G410" s="19" t="n"/>
      <c r="H410" s="19" t="n"/>
      <c r="I410" s="19" t="n"/>
      <c r="J410" s="19" t="n"/>
      <c r="K410" s="19" t="n"/>
      <c r="L410" s="19" t="n"/>
      <c r="M410" s="130">
        <f>IF($A410="","",AND('Task Finder'!$C$7&lt;&gt;"",OR(ISNUMBER(SEARCH('Task Finder'!$C$7,$A410)),ISNUMBER(SEARCH('Task Finder'!$C$7,$B410)),ISNUMBER(SEARCH('Task Finder'!$C$7,$C410)),ISNUMBER(SEARCH('Task Finder'!$C$7,$D410)),ISNUMBER(SEARCH('Task Finder'!$C$7,$K410)))))</f>
        <v/>
      </c>
    </row>
    <row r="411">
      <c r="A411" s="19" t="n"/>
      <c r="B411" s="19" t="n"/>
      <c r="C411" s="19" t="n"/>
      <c r="D411" s="19" t="n"/>
      <c r="E411" s="19" t="n"/>
      <c r="F411" s="19" t="n"/>
      <c r="G411" s="19" t="n"/>
      <c r="H411" s="19" t="n"/>
      <c r="I411" s="19" t="n"/>
      <c r="J411" s="19" t="n"/>
      <c r="K411" s="19" t="n"/>
      <c r="L411" s="19" t="n"/>
      <c r="M411" s="130">
        <f>IF($A411="","",AND('Task Finder'!$C$7&lt;&gt;"",OR(ISNUMBER(SEARCH('Task Finder'!$C$7,$A411)),ISNUMBER(SEARCH('Task Finder'!$C$7,$B411)),ISNUMBER(SEARCH('Task Finder'!$C$7,$C411)),ISNUMBER(SEARCH('Task Finder'!$C$7,$D411)),ISNUMBER(SEARCH('Task Finder'!$C$7,$K411)))))</f>
        <v/>
      </c>
    </row>
    <row r="412">
      <c r="A412" s="19" t="n"/>
      <c r="B412" s="19" t="n"/>
      <c r="C412" s="19" t="n"/>
      <c r="D412" s="19" t="n"/>
      <c r="E412" s="19" t="n"/>
      <c r="F412" s="19" t="n"/>
      <c r="G412" s="19" t="n"/>
      <c r="H412" s="19" t="n"/>
      <c r="I412" s="19" t="n"/>
      <c r="J412" s="19" t="n"/>
      <c r="K412" s="19" t="n"/>
      <c r="L412" s="19" t="n"/>
      <c r="M412" s="130">
        <f>IF($A412="","",AND('Task Finder'!$C$7&lt;&gt;"",OR(ISNUMBER(SEARCH('Task Finder'!$C$7,$A412)),ISNUMBER(SEARCH('Task Finder'!$C$7,$B412)),ISNUMBER(SEARCH('Task Finder'!$C$7,$C412)),ISNUMBER(SEARCH('Task Finder'!$C$7,$D412)),ISNUMBER(SEARCH('Task Finder'!$C$7,$K412)))))</f>
        <v/>
      </c>
    </row>
    <row r="413">
      <c r="A413" s="19" t="n"/>
      <c r="B413" s="19" t="n"/>
      <c r="C413" s="19" t="n"/>
      <c r="D413" s="19" t="n"/>
      <c r="E413" s="19" t="n"/>
      <c r="F413" s="19" t="n"/>
      <c r="G413" s="19" t="n"/>
      <c r="H413" s="19" t="n"/>
      <c r="I413" s="19" t="n"/>
      <c r="J413" s="19" t="n"/>
      <c r="K413" s="19" t="n"/>
      <c r="L413" s="19" t="n"/>
      <c r="M413" s="130">
        <f>IF($A413="","",AND('Task Finder'!$C$7&lt;&gt;"",OR(ISNUMBER(SEARCH('Task Finder'!$C$7,$A413)),ISNUMBER(SEARCH('Task Finder'!$C$7,$B413)),ISNUMBER(SEARCH('Task Finder'!$C$7,$C413)),ISNUMBER(SEARCH('Task Finder'!$C$7,$D413)),ISNUMBER(SEARCH('Task Finder'!$C$7,$K413)))))</f>
        <v/>
      </c>
    </row>
    <row r="414">
      <c r="A414" s="19" t="n"/>
      <c r="B414" s="19" t="n"/>
      <c r="C414" s="19" t="n"/>
      <c r="D414" s="19" t="n"/>
      <c r="E414" s="19" t="n"/>
      <c r="F414" s="19" t="n"/>
      <c r="G414" s="19" t="n"/>
      <c r="H414" s="19" t="n"/>
      <c r="I414" s="19" t="n"/>
      <c r="J414" s="19" t="n"/>
      <c r="K414" s="19" t="n"/>
      <c r="L414" s="19" t="n"/>
      <c r="M414" s="130">
        <f>IF($A414="","",AND('Task Finder'!$C$7&lt;&gt;"",OR(ISNUMBER(SEARCH('Task Finder'!$C$7,$A414)),ISNUMBER(SEARCH('Task Finder'!$C$7,$B414)),ISNUMBER(SEARCH('Task Finder'!$C$7,$C414)),ISNUMBER(SEARCH('Task Finder'!$C$7,$D414)),ISNUMBER(SEARCH('Task Finder'!$C$7,$K414)))))</f>
        <v/>
      </c>
    </row>
    <row r="415">
      <c r="A415" s="19" t="n"/>
      <c r="B415" s="19" t="n"/>
      <c r="C415" s="19" t="n"/>
      <c r="D415" s="19" t="n"/>
      <c r="E415" s="19" t="n"/>
      <c r="F415" s="19" t="n"/>
      <c r="G415" s="19" t="n"/>
      <c r="H415" s="19" t="n"/>
      <c r="I415" s="19" t="n"/>
      <c r="J415" s="19" t="n"/>
      <c r="K415" s="19" t="n"/>
      <c r="L415" s="19" t="n"/>
      <c r="M415" s="130">
        <f>IF($A415="","",AND('Task Finder'!$C$7&lt;&gt;"",OR(ISNUMBER(SEARCH('Task Finder'!$C$7,$A415)),ISNUMBER(SEARCH('Task Finder'!$C$7,$B415)),ISNUMBER(SEARCH('Task Finder'!$C$7,$C415)),ISNUMBER(SEARCH('Task Finder'!$C$7,$D415)),ISNUMBER(SEARCH('Task Finder'!$C$7,$K415)))))</f>
        <v/>
      </c>
    </row>
    <row r="416">
      <c r="A416" s="19" t="n"/>
      <c r="B416" s="19" t="n"/>
      <c r="C416" s="19" t="n"/>
      <c r="D416" s="19" t="n"/>
      <c r="E416" s="19" t="n"/>
      <c r="F416" s="19" t="n"/>
      <c r="G416" s="19" t="n"/>
      <c r="H416" s="19" t="n"/>
      <c r="I416" s="19" t="n"/>
      <c r="J416" s="19" t="n"/>
      <c r="K416" s="19" t="n"/>
      <c r="L416" s="19" t="n"/>
      <c r="M416" s="130">
        <f>IF($A416="","",AND('Task Finder'!$C$7&lt;&gt;"",OR(ISNUMBER(SEARCH('Task Finder'!$C$7,$A416)),ISNUMBER(SEARCH('Task Finder'!$C$7,$B416)),ISNUMBER(SEARCH('Task Finder'!$C$7,$C416)),ISNUMBER(SEARCH('Task Finder'!$C$7,$D416)),ISNUMBER(SEARCH('Task Finder'!$C$7,$K416)))))</f>
        <v/>
      </c>
    </row>
    <row r="417">
      <c r="A417" s="19" t="n"/>
      <c r="B417" s="19" t="n"/>
      <c r="C417" s="19" t="n"/>
      <c r="D417" s="19" t="n"/>
      <c r="E417" s="19" t="n"/>
      <c r="F417" s="19" t="n"/>
      <c r="G417" s="19" t="n"/>
      <c r="H417" s="19" t="n"/>
      <c r="I417" s="19" t="n"/>
      <c r="J417" s="19" t="n"/>
      <c r="K417" s="19" t="n"/>
      <c r="L417" s="19" t="n"/>
      <c r="M417" s="130">
        <f>IF($A417="","",AND('Task Finder'!$C$7&lt;&gt;"",OR(ISNUMBER(SEARCH('Task Finder'!$C$7,$A417)),ISNUMBER(SEARCH('Task Finder'!$C$7,$B417)),ISNUMBER(SEARCH('Task Finder'!$C$7,$C417)),ISNUMBER(SEARCH('Task Finder'!$C$7,$D417)),ISNUMBER(SEARCH('Task Finder'!$C$7,$K417)))))</f>
        <v/>
      </c>
    </row>
    <row r="418">
      <c r="A418" s="19" t="n"/>
      <c r="B418" s="19" t="n"/>
      <c r="C418" s="19" t="n"/>
      <c r="D418" s="19" t="n"/>
      <c r="E418" s="19" t="n"/>
      <c r="F418" s="19" t="n"/>
      <c r="G418" s="19" t="n"/>
      <c r="H418" s="19" t="n"/>
      <c r="I418" s="19" t="n"/>
      <c r="J418" s="19" t="n"/>
      <c r="K418" s="19" t="n"/>
      <c r="L418" s="19" t="n"/>
      <c r="M418" s="130">
        <f>IF($A418="","",AND('Task Finder'!$C$7&lt;&gt;"",OR(ISNUMBER(SEARCH('Task Finder'!$C$7,$A418)),ISNUMBER(SEARCH('Task Finder'!$C$7,$B418)),ISNUMBER(SEARCH('Task Finder'!$C$7,$C418)),ISNUMBER(SEARCH('Task Finder'!$C$7,$D418)),ISNUMBER(SEARCH('Task Finder'!$C$7,$K418)))))</f>
        <v/>
      </c>
    </row>
    <row r="419">
      <c r="A419" s="19" t="n"/>
      <c r="B419" s="19" t="n"/>
      <c r="C419" s="19" t="n"/>
      <c r="D419" s="19" t="n"/>
      <c r="E419" s="19" t="n"/>
      <c r="F419" s="19" t="n"/>
      <c r="G419" s="19" t="n"/>
      <c r="H419" s="19" t="n"/>
      <c r="I419" s="19" t="n"/>
      <c r="J419" s="19" t="n"/>
      <c r="K419" s="19" t="n"/>
      <c r="L419" s="19" t="n"/>
      <c r="M419" s="130">
        <f>IF($A419="","",AND('Task Finder'!$C$7&lt;&gt;"",OR(ISNUMBER(SEARCH('Task Finder'!$C$7,$A419)),ISNUMBER(SEARCH('Task Finder'!$C$7,$B419)),ISNUMBER(SEARCH('Task Finder'!$C$7,$C419)),ISNUMBER(SEARCH('Task Finder'!$C$7,$D419)),ISNUMBER(SEARCH('Task Finder'!$C$7,$K419)))))</f>
        <v/>
      </c>
    </row>
    <row r="420">
      <c r="A420" s="19" t="n"/>
      <c r="B420" s="19" t="n"/>
      <c r="C420" s="19" t="n"/>
      <c r="D420" s="19" t="n"/>
      <c r="E420" s="19" t="n"/>
      <c r="F420" s="19" t="n"/>
      <c r="G420" s="19" t="n"/>
      <c r="H420" s="19" t="n"/>
      <c r="I420" s="19" t="n"/>
      <c r="J420" s="19" t="n"/>
      <c r="K420" s="19" t="n"/>
      <c r="L420" s="19" t="n"/>
      <c r="M420" s="130">
        <f>IF($A420="","",AND('Task Finder'!$C$7&lt;&gt;"",OR(ISNUMBER(SEARCH('Task Finder'!$C$7,$A420)),ISNUMBER(SEARCH('Task Finder'!$C$7,$B420)),ISNUMBER(SEARCH('Task Finder'!$C$7,$C420)),ISNUMBER(SEARCH('Task Finder'!$C$7,$D420)),ISNUMBER(SEARCH('Task Finder'!$C$7,$K420)))))</f>
        <v/>
      </c>
    </row>
    <row r="421">
      <c r="A421" s="19" t="n"/>
      <c r="B421" s="19" t="n"/>
      <c r="C421" s="19" t="n"/>
      <c r="D421" s="19" t="n"/>
      <c r="E421" s="19" t="n"/>
      <c r="F421" s="19" t="n"/>
      <c r="G421" s="19" t="n"/>
      <c r="H421" s="19" t="n"/>
      <c r="I421" s="19" t="n"/>
      <c r="J421" s="19" t="n"/>
      <c r="K421" s="19" t="n"/>
      <c r="L421" s="19" t="n"/>
      <c r="M421" s="130">
        <f>IF($A421="","",AND('Task Finder'!$C$7&lt;&gt;"",OR(ISNUMBER(SEARCH('Task Finder'!$C$7,$A421)),ISNUMBER(SEARCH('Task Finder'!$C$7,$B421)),ISNUMBER(SEARCH('Task Finder'!$C$7,$C421)),ISNUMBER(SEARCH('Task Finder'!$C$7,$D421)),ISNUMBER(SEARCH('Task Finder'!$C$7,$K421)))))</f>
        <v/>
      </c>
    </row>
    <row r="422">
      <c r="A422" s="19" t="n"/>
      <c r="B422" s="19" t="n"/>
      <c r="C422" s="19" t="n"/>
      <c r="D422" s="19" t="n"/>
      <c r="E422" s="19" t="n"/>
      <c r="F422" s="19" t="n"/>
      <c r="G422" s="19" t="n"/>
      <c r="H422" s="19" t="n"/>
      <c r="I422" s="19" t="n"/>
      <c r="J422" s="19" t="n"/>
      <c r="K422" s="19" t="n"/>
      <c r="L422" s="19" t="n"/>
      <c r="M422" s="130">
        <f>IF($A422="","",AND('Task Finder'!$C$7&lt;&gt;"",OR(ISNUMBER(SEARCH('Task Finder'!$C$7,$A422)),ISNUMBER(SEARCH('Task Finder'!$C$7,$B422)),ISNUMBER(SEARCH('Task Finder'!$C$7,$C422)),ISNUMBER(SEARCH('Task Finder'!$C$7,$D422)),ISNUMBER(SEARCH('Task Finder'!$C$7,$K422)))))</f>
        <v/>
      </c>
    </row>
    <row r="423">
      <c r="A423" s="19" t="n"/>
      <c r="B423" s="19" t="n"/>
      <c r="C423" s="19" t="n"/>
      <c r="D423" s="19" t="n"/>
      <c r="E423" s="19" t="n"/>
      <c r="F423" s="19" t="n"/>
      <c r="G423" s="19" t="n"/>
      <c r="H423" s="19" t="n"/>
      <c r="I423" s="19" t="n"/>
      <c r="J423" s="19" t="n"/>
      <c r="K423" s="19" t="n"/>
      <c r="L423" s="19" t="n"/>
      <c r="M423" s="130">
        <f>IF($A423="","",AND('Task Finder'!$C$7&lt;&gt;"",OR(ISNUMBER(SEARCH('Task Finder'!$C$7,$A423)),ISNUMBER(SEARCH('Task Finder'!$C$7,$B423)),ISNUMBER(SEARCH('Task Finder'!$C$7,$C423)),ISNUMBER(SEARCH('Task Finder'!$C$7,$D423)),ISNUMBER(SEARCH('Task Finder'!$C$7,$K423)))))</f>
        <v/>
      </c>
    </row>
    <row r="424">
      <c r="A424" s="19" t="n"/>
      <c r="B424" s="19" t="n"/>
      <c r="C424" s="19" t="n"/>
      <c r="D424" s="19" t="n"/>
      <c r="E424" s="19" t="n"/>
      <c r="F424" s="19" t="n"/>
      <c r="G424" s="19" t="n"/>
      <c r="H424" s="19" t="n"/>
      <c r="I424" s="19" t="n"/>
      <c r="J424" s="19" t="n"/>
      <c r="K424" s="19" t="n"/>
      <c r="L424" s="19" t="n"/>
      <c r="M424" s="130">
        <f>IF($A424="","",AND('Task Finder'!$C$7&lt;&gt;"",OR(ISNUMBER(SEARCH('Task Finder'!$C$7,$A424)),ISNUMBER(SEARCH('Task Finder'!$C$7,$B424)),ISNUMBER(SEARCH('Task Finder'!$C$7,$C424)),ISNUMBER(SEARCH('Task Finder'!$C$7,$D424)),ISNUMBER(SEARCH('Task Finder'!$C$7,$K424)))))</f>
        <v/>
      </c>
    </row>
    <row r="425">
      <c r="A425" s="19" t="n"/>
      <c r="B425" s="19" t="n"/>
      <c r="C425" s="19" t="n"/>
      <c r="D425" s="19" t="n"/>
      <c r="E425" s="19" t="n"/>
      <c r="F425" s="19" t="n"/>
      <c r="G425" s="19" t="n"/>
      <c r="H425" s="19" t="n"/>
      <c r="I425" s="19" t="n"/>
      <c r="J425" s="19" t="n"/>
      <c r="K425" s="19" t="n"/>
      <c r="L425" s="19" t="n"/>
      <c r="M425" s="130">
        <f>IF($A425="","",AND('Task Finder'!$C$7&lt;&gt;"",OR(ISNUMBER(SEARCH('Task Finder'!$C$7,$A425)),ISNUMBER(SEARCH('Task Finder'!$C$7,$B425)),ISNUMBER(SEARCH('Task Finder'!$C$7,$C425)),ISNUMBER(SEARCH('Task Finder'!$C$7,$D425)),ISNUMBER(SEARCH('Task Finder'!$C$7,$K425)))))</f>
        <v/>
      </c>
    </row>
    <row r="426">
      <c r="A426" s="19" t="n"/>
      <c r="B426" s="19" t="n"/>
      <c r="C426" s="19" t="n"/>
      <c r="D426" s="19" t="n"/>
      <c r="E426" s="19" t="n"/>
      <c r="F426" s="19" t="n"/>
      <c r="G426" s="19" t="n"/>
      <c r="H426" s="19" t="n"/>
      <c r="I426" s="19" t="n"/>
      <c r="J426" s="19" t="n"/>
      <c r="K426" s="19" t="n"/>
      <c r="L426" s="19" t="n"/>
      <c r="M426" s="130">
        <f>IF($A426="","",AND('Task Finder'!$C$7&lt;&gt;"",OR(ISNUMBER(SEARCH('Task Finder'!$C$7,$A426)),ISNUMBER(SEARCH('Task Finder'!$C$7,$B426)),ISNUMBER(SEARCH('Task Finder'!$C$7,$C426)),ISNUMBER(SEARCH('Task Finder'!$C$7,$D426)),ISNUMBER(SEARCH('Task Finder'!$C$7,$K426)))))</f>
        <v/>
      </c>
    </row>
    <row r="427">
      <c r="A427" s="19" t="n"/>
      <c r="B427" s="19" t="n"/>
      <c r="C427" s="19" t="n"/>
      <c r="D427" s="19" t="n"/>
      <c r="E427" s="19" t="n"/>
      <c r="F427" s="19" t="n"/>
      <c r="G427" s="19" t="n"/>
      <c r="H427" s="19" t="n"/>
      <c r="I427" s="19" t="n"/>
      <c r="J427" s="19" t="n"/>
      <c r="K427" s="19" t="n"/>
      <c r="L427" s="19" t="n"/>
      <c r="M427" s="130">
        <f>IF($A427="","",AND('Task Finder'!$C$7&lt;&gt;"",OR(ISNUMBER(SEARCH('Task Finder'!$C$7,$A427)),ISNUMBER(SEARCH('Task Finder'!$C$7,$B427)),ISNUMBER(SEARCH('Task Finder'!$C$7,$C427)),ISNUMBER(SEARCH('Task Finder'!$C$7,$D427)),ISNUMBER(SEARCH('Task Finder'!$C$7,$K427)))))</f>
        <v/>
      </c>
    </row>
    <row r="428">
      <c r="A428" s="19" t="n"/>
      <c r="B428" s="19" t="n"/>
      <c r="C428" s="19" t="n"/>
      <c r="D428" s="19" t="n"/>
      <c r="E428" s="19" t="n"/>
      <c r="F428" s="19" t="n"/>
      <c r="G428" s="19" t="n"/>
      <c r="H428" s="19" t="n"/>
      <c r="I428" s="19" t="n"/>
      <c r="J428" s="19" t="n"/>
      <c r="K428" s="19" t="n"/>
      <c r="L428" s="19" t="n"/>
      <c r="M428" s="130">
        <f>IF($A428="","",AND('Task Finder'!$C$7&lt;&gt;"",OR(ISNUMBER(SEARCH('Task Finder'!$C$7,$A428)),ISNUMBER(SEARCH('Task Finder'!$C$7,$B428)),ISNUMBER(SEARCH('Task Finder'!$C$7,$C428)),ISNUMBER(SEARCH('Task Finder'!$C$7,$D428)),ISNUMBER(SEARCH('Task Finder'!$C$7,$K428)))))</f>
        <v/>
      </c>
    </row>
    <row r="429">
      <c r="A429" s="19" t="n"/>
      <c r="B429" s="19" t="n"/>
      <c r="C429" s="19" t="n"/>
      <c r="D429" s="19" t="n"/>
      <c r="E429" s="19" t="n"/>
      <c r="F429" s="19" t="n"/>
      <c r="G429" s="19" t="n"/>
      <c r="H429" s="19" t="n"/>
      <c r="I429" s="19" t="n"/>
      <c r="J429" s="19" t="n"/>
      <c r="K429" s="19" t="n"/>
      <c r="L429" s="19" t="n"/>
      <c r="M429" s="130">
        <f>IF($A429="","",AND('Task Finder'!$C$7&lt;&gt;"",OR(ISNUMBER(SEARCH('Task Finder'!$C$7,$A429)),ISNUMBER(SEARCH('Task Finder'!$C$7,$B429)),ISNUMBER(SEARCH('Task Finder'!$C$7,$C429)),ISNUMBER(SEARCH('Task Finder'!$C$7,$D429)),ISNUMBER(SEARCH('Task Finder'!$C$7,$K429)))))</f>
        <v/>
      </c>
    </row>
    <row r="430">
      <c r="A430" s="19" t="n"/>
      <c r="B430" s="19" t="n"/>
      <c r="C430" s="19" t="n"/>
      <c r="D430" s="19" t="n"/>
      <c r="E430" s="19" t="n"/>
      <c r="F430" s="19" t="n"/>
      <c r="G430" s="19" t="n"/>
      <c r="H430" s="19" t="n"/>
      <c r="I430" s="19" t="n"/>
      <c r="J430" s="19" t="n"/>
      <c r="K430" s="19" t="n"/>
      <c r="L430" s="19" t="n"/>
      <c r="M430" s="130">
        <f>IF($A430="","",AND('Task Finder'!$C$7&lt;&gt;"",OR(ISNUMBER(SEARCH('Task Finder'!$C$7,$A430)),ISNUMBER(SEARCH('Task Finder'!$C$7,$B430)),ISNUMBER(SEARCH('Task Finder'!$C$7,$C430)),ISNUMBER(SEARCH('Task Finder'!$C$7,$D430)),ISNUMBER(SEARCH('Task Finder'!$C$7,$K430)))))</f>
        <v/>
      </c>
    </row>
    <row r="431">
      <c r="A431" s="19" t="n"/>
      <c r="B431" s="19" t="n"/>
      <c r="C431" s="19" t="n"/>
      <c r="D431" s="19" t="n"/>
      <c r="E431" s="19" t="n"/>
      <c r="F431" s="19" t="n"/>
      <c r="G431" s="19" t="n"/>
      <c r="H431" s="19" t="n"/>
      <c r="I431" s="19" t="n"/>
      <c r="J431" s="19" t="n"/>
      <c r="K431" s="19" t="n"/>
      <c r="L431" s="19" t="n"/>
      <c r="M431" s="130">
        <f>IF($A431="","",AND('Task Finder'!$C$7&lt;&gt;"",OR(ISNUMBER(SEARCH('Task Finder'!$C$7,$A431)),ISNUMBER(SEARCH('Task Finder'!$C$7,$B431)),ISNUMBER(SEARCH('Task Finder'!$C$7,$C431)),ISNUMBER(SEARCH('Task Finder'!$C$7,$D431)),ISNUMBER(SEARCH('Task Finder'!$C$7,$K431)))))</f>
        <v/>
      </c>
    </row>
    <row r="432">
      <c r="A432" s="19" t="n"/>
      <c r="B432" s="19" t="n"/>
      <c r="C432" s="19" t="n"/>
      <c r="D432" s="19" t="n"/>
      <c r="E432" s="19" t="n"/>
      <c r="F432" s="19" t="n"/>
      <c r="G432" s="19" t="n"/>
      <c r="H432" s="19" t="n"/>
      <c r="I432" s="19" t="n"/>
      <c r="J432" s="19" t="n"/>
      <c r="K432" s="19" t="n"/>
      <c r="L432" s="19" t="n"/>
      <c r="M432" s="130">
        <f>IF($A432="","",AND('Task Finder'!$C$7&lt;&gt;"",OR(ISNUMBER(SEARCH('Task Finder'!$C$7,$A432)),ISNUMBER(SEARCH('Task Finder'!$C$7,$B432)),ISNUMBER(SEARCH('Task Finder'!$C$7,$C432)),ISNUMBER(SEARCH('Task Finder'!$C$7,$D432)),ISNUMBER(SEARCH('Task Finder'!$C$7,$K432)))))</f>
        <v/>
      </c>
    </row>
    <row r="433">
      <c r="A433" s="19" t="n"/>
      <c r="B433" s="19" t="n"/>
      <c r="C433" s="19" t="n"/>
      <c r="D433" s="19" t="n"/>
      <c r="E433" s="19" t="n"/>
      <c r="F433" s="19" t="n"/>
      <c r="G433" s="19" t="n"/>
      <c r="H433" s="19" t="n"/>
      <c r="I433" s="19" t="n"/>
      <c r="J433" s="19" t="n"/>
      <c r="K433" s="19" t="n"/>
      <c r="L433" s="19" t="n"/>
      <c r="M433" s="130">
        <f>IF($A433="","",AND('Task Finder'!$C$7&lt;&gt;"",OR(ISNUMBER(SEARCH('Task Finder'!$C$7,$A433)),ISNUMBER(SEARCH('Task Finder'!$C$7,$B433)),ISNUMBER(SEARCH('Task Finder'!$C$7,$C433)),ISNUMBER(SEARCH('Task Finder'!$C$7,$D433)),ISNUMBER(SEARCH('Task Finder'!$C$7,$K433)))))</f>
        <v/>
      </c>
    </row>
    <row r="434">
      <c r="A434" s="19" t="n"/>
      <c r="B434" s="19" t="n"/>
      <c r="C434" s="19" t="n"/>
      <c r="D434" s="19" t="n"/>
      <c r="E434" s="19" t="n"/>
      <c r="F434" s="19" t="n"/>
      <c r="G434" s="19" t="n"/>
      <c r="H434" s="19" t="n"/>
      <c r="I434" s="19" t="n"/>
      <c r="J434" s="19" t="n"/>
      <c r="K434" s="19" t="n"/>
      <c r="L434" s="19" t="n"/>
      <c r="M434" s="130">
        <f>IF($A434="","",AND('Task Finder'!$C$7&lt;&gt;"",OR(ISNUMBER(SEARCH('Task Finder'!$C$7,$A434)),ISNUMBER(SEARCH('Task Finder'!$C$7,$B434)),ISNUMBER(SEARCH('Task Finder'!$C$7,$C434)),ISNUMBER(SEARCH('Task Finder'!$C$7,$D434)),ISNUMBER(SEARCH('Task Finder'!$C$7,$K434)))))</f>
        <v/>
      </c>
    </row>
    <row r="435">
      <c r="A435" s="19" t="n"/>
      <c r="B435" s="19" t="n"/>
      <c r="C435" s="19" t="n"/>
      <c r="D435" s="19" t="n"/>
      <c r="E435" s="19" t="n"/>
      <c r="F435" s="19" t="n"/>
      <c r="G435" s="19" t="n"/>
      <c r="H435" s="19" t="n"/>
      <c r="I435" s="19" t="n"/>
      <c r="J435" s="19" t="n"/>
      <c r="K435" s="19" t="n"/>
      <c r="L435" s="19" t="n"/>
      <c r="M435" s="130">
        <f>IF($A435="","",AND('Task Finder'!$C$7&lt;&gt;"",OR(ISNUMBER(SEARCH('Task Finder'!$C$7,$A435)),ISNUMBER(SEARCH('Task Finder'!$C$7,$B435)),ISNUMBER(SEARCH('Task Finder'!$C$7,$C435)),ISNUMBER(SEARCH('Task Finder'!$C$7,$D435)),ISNUMBER(SEARCH('Task Finder'!$C$7,$K435)))))</f>
        <v/>
      </c>
    </row>
    <row r="436">
      <c r="A436" s="19" t="n"/>
      <c r="B436" s="19" t="n"/>
      <c r="C436" s="19" t="n"/>
      <c r="D436" s="19" t="n"/>
      <c r="E436" s="19" t="n"/>
      <c r="F436" s="19" t="n"/>
      <c r="G436" s="19" t="n"/>
      <c r="H436" s="19" t="n"/>
      <c r="I436" s="19" t="n"/>
      <c r="J436" s="19" t="n"/>
      <c r="K436" s="19" t="n"/>
      <c r="L436" s="19" t="n"/>
      <c r="M436" s="130">
        <f>IF($A436="","",AND('Task Finder'!$C$7&lt;&gt;"",OR(ISNUMBER(SEARCH('Task Finder'!$C$7,$A436)),ISNUMBER(SEARCH('Task Finder'!$C$7,$B436)),ISNUMBER(SEARCH('Task Finder'!$C$7,$C436)),ISNUMBER(SEARCH('Task Finder'!$C$7,$D436)),ISNUMBER(SEARCH('Task Finder'!$C$7,$K436)))))</f>
        <v/>
      </c>
    </row>
    <row r="437">
      <c r="A437" s="19" t="n"/>
      <c r="B437" s="19" t="n"/>
      <c r="C437" s="19" t="n"/>
      <c r="D437" s="19" t="n"/>
      <c r="E437" s="19" t="n"/>
      <c r="F437" s="19" t="n"/>
      <c r="G437" s="19" t="n"/>
      <c r="H437" s="19" t="n"/>
      <c r="I437" s="19" t="n"/>
      <c r="J437" s="19" t="n"/>
      <c r="K437" s="19" t="n"/>
      <c r="L437" s="19" t="n"/>
      <c r="M437" s="130">
        <f>IF($A437="","",AND('Task Finder'!$C$7&lt;&gt;"",OR(ISNUMBER(SEARCH('Task Finder'!$C$7,$A437)),ISNUMBER(SEARCH('Task Finder'!$C$7,$B437)),ISNUMBER(SEARCH('Task Finder'!$C$7,$C437)),ISNUMBER(SEARCH('Task Finder'!$C$7,$D437)),ISNUMBER(SEARCH('Task Finder'!$C$7,$K437)))))</f>
        <v/>
      </c>
    </row>
    <row r="438">
      <c r="A438" s="19" t="n"/>
      <c r="B438" s="19" t="n"/>
      <c r="C438" s="19" t="n"/>
      <c r="D438" s="19" t="n"/>
      <c r="E438" s="19" t="n"/>
      <c r="F438" s="19" t="n"/>
      <c r="G438" s="19" t="n"/>
      <c r="H438" s="19" t="n"/>
      <c r="I438" s="19" t="n"/>
      <c r="J438" s="19" t="n"/>
      <c r="K438" s="19" t="n"/>
      <c r="L438" s="19" t="n"/>
      <c r="M438" s="130">
        <f>IF($A438="","",AND('Task Finder'!$C$7&lt;&gt;"",OR(ISNUMBER(SEARCH('Task Finder'!$C$7,$A438)),ISNUMBER(SEARCH('Task Finder'!$C$7,$B438)),ISNUMBER(SEARCH('Task Finder'!$C$7,$C438)),ISNUMBER(SEARCH('Task Finder'!$C$7,$D438)),ISNUMBER(SEARCH('Task Finder'!$C$7,$K438)))))</f>
        <v/>
      </c>
    </row>
    <row r="439">
      <c r="A439" s="19" t="n"/>
      <c r="B439" s="19" t="n"/>
      <c r="C439" s="19" t="n"/>
      <c r="D439" s="19" t="n"/>
      <c r="E439" s="19" t="n"/>
      <c r="F439" s="19" t="n"/>
      <c r="G439" s="19" t="n"/>
      <c r="H439" s="19" t="n"/>
      <c r="I439" s="19" t="n"/>
      <c r="J439" s="19" t="n"/>
      <c r="K439" s="19" t="n"/>
      <c r="L439" s="19" t="n"/>
      <c r="M439" s="130">
        <f>IF($A439="","",AND('Task Finder'!$C$7&lt;&gt;"",OR(ISNUMBER(SEARCH('Task Finder'!$C$7,$A439)),ISNUMBER(SEARCH('Task Finder'!$C$7,$B439)),ISNUMBER(SEARCH('Task Finder'!$C$7,$C439)),ISNUMBER(SEARCH('Task Finder'!$C$7,$D439)),ISNUMBER(SEARCH('Task Finder'!$C$7,$K439)))))</f>
        <v/>
      </c>
    </row>
    <row r="440">
      <c r="A440" s="19" t="n"/>
      <c r="B440" s="19" t="n"/>
      <c r="C440" s="19" t="n"/>
      <c r="D440" s="19" t="n"/>
      <c r="E440" s="19" t="n"/>
      <c r="F440" s="19" t="n"/>
      <c r="G440" s="19" t="n"/>
      <c r="H440" s="19" t="n"/>
      <c r="I440" s="19" t="n"/>
      <c r="J440" s="19" t="n"/>
      <c r="K440" s="19" t="n"/>
      <c r="L440" s="19" t="n"/>
      <c r="M440" s="130">
        <f>IF($A440="","",AND('Task Finder'!$C$7&lt;&gt;"",OR(ISNUMBER(SEARCH('Task Finder'!$C$7,$A440)),ISNUMBER(SEARCH('Task Finder'!$C$7,$B440)),ISNUMBER(SEARCH('Task Finder'!$C$7,$C440)),ISNUMBER(SEARCH('Task Finder'!$C$7,$D440)),ISNUMBER(SEARCH('Task Finder'!$C$7,$K440)))))</f>
        <v/>
      </c>
    </row>
    <row r="441">
      <c r="A441" s="19" t="n"/>
      <c r="B441" s="19" t="n"/>
      <c r="C441" s="19" t="n"/>
      <c r="D441" s="19" t="n"/>
      <c r="E441" s="19" t="n"/>
      <c r="F441" s="19" t="n"/>
      <c r="G441" s="19" t="n"/>
      <c r="H441" s="19" t="n"/>
      <c r="I441" s="19" t="n"/>
      <c r="J441" s="19" t="n"/>
      <c r="K441" s="19" t="n"/>
      <c r="L441" s="19" t="n"/>
      <c r="M441" s="130">
        <f>IF($A441="","",AND('Task Finder'!$C$7&lt;&gt;"",OR(ISNUMBER(SEARCH('Task Finder'!$C$7,$A441)),ISNUMBER(SEARCH('Task Finder'!$C$7,$B441)),ISNUMBER(SEARCH('Task Finder'!$C$7,$C441)),ISNUMBER(SEARCH('Task Finder'!$C$7,$D441)),ISNUMBER(SEARCH('Task Finder'!$C$7,$K441)))))</f>
        <v/>
      </c>
    </row>
    <row r="442">
      <c r="A442" s="19" t="n"/>
      <c r="B442" s="19" t="n"/>
      <c r="C442" s="19" t="n"/>
      <c r="D442" s="19" t="n"/>
      <c r="E442" s="19" t="n"/>
      <c r="F442" s="19" t="n"/>
      <c r="G442" s="19" t="n"/>
      <c r="H442" s="19" t="n"/>
      <c r="I442" s="19" t="n"/>
      <c r="J442" s="19" t="n"/>
      <c r="K442" s="19" t="n"/>
      <c r="L442" s="19" t="n"/>
      <c r="M442" s="130">
        <f>IF($A442="","",AND('Task Finder'!$C$7&lt;&gt;"",OR(ISNUMBER(SEARCH('Task Finder'!$C$7,$A442)),ISNUMBER(SEARCH('Task Finder'!$C$7,$B442)),ISNUMBER(SEARCH('Task Finder'!$C$7,$C442)),ISNUMBER(SEARCH('Task Finder'!$C$7,$D442)),ISNUMBER(SEARCH('Task Finder'!$C$7,$K442)))))</f>
        <v/>
      </c>
    </row>
    <row r="443">
      <c r="A443" s="19" t="n"/>
      <c r="B443" s="19" t="n"/>
      <c r="C443" s="19" t="n"/>
      <c r="D443" s="19" t="n"/>
      <c r="E443" s="19" t="n"/>
      <c r="F443" s="19" t="n"/>
      <c r="G443" s="19" t="n"/>
      <c r="H443" s="19" t="n"/>
      <c r="I443" s="19" t="n"/>
      <c r="J443" s="19" t="n"/>
      <c r="K443" s="19" t="n"/>
      <c r="L443" s="19" t="n"/>
      <c r="M443" s="130">
        <f>IF($A443="","",AND('Task Finder'!$C$7&lt;&gt;"",OR(ISNUMBER(SEARCH('Task Finder'!$C$7,$A443)),ISNUMBER(SEARCH('Task Finder'!$C$7,$B443)),ISNUMBER(SEARCH('Task Finder'!$C$7,$C443)),ISNUMBER(SEARCH('Task Finder'!$C$7,$D443)),ISNUMBER(SEARCH('Task Finder'!$C$7,$K443)))))</f>
        <v/>
      </c>
    </row>
    <row r="444">
      <c r="A444" s="19" t="n"/>
      <c r="B444" s="19" t="n"/>
      <c r="C444" s="19" t="n"/>
      <c r="D444" s="19" t="n"/>
      <c r="E444" s="19" t="n"/>
      <c r="F444" s="19" t="n"/>
      <c r="G444" s="19" t="n"/>
      <c r="H444" s="19" t="n"/>
      <c r="I444" s="19" t="n"/>
      <c r="J444" s="19" t="n"/>
      <c r="K444" s="19" t="n"/>
      <c r="L444" s="19" t="n"/>
      <c r="M444" s="130">
        <f>IF($A444="","",AND('Task Finder'!$C$7&lt;&gt;"",OR(ISNUMBER(SEARCH('Task Finder'!$C$7,$A444)),ISNUMBER(SEARCH('Task Finder'!$C$7,$B444)),ISNUMBER(SEARCH('Task Finder'!$C$7,$C444)),ISNUMBER(SEARCH('Task Finder'!$C$7,$D444)),ISNUMBER(SEARCH('Task Finder'!$C$7,$K444)))))</f>
        <v/>
      </c>
    </row>
    <row r="445">
      <c r="A445" s="19" t="n"/>
      <c r="B445" s="19" t="n"/>
      <c r="C445" s="19" t="n"/>
      <c r="D445" s="19" t="n"/>
      <c r="E445" s="19" t="n"/>
      <c r="F445" s="19" t="n"/>
      <c r="G445" s="19" t="n"/>
      <c r="H445" s="19" t="n"/>
      <c r="I445" s="19" t="n"/>
      <c r="J445" s="19" t="n"/>
      <c r="K445" s="19" t="n"/>
      <c r="L445" s="19" t="n"/>
      <c r="M445" s="130">
        <f>IF($A445="","",AND('Task Finder'!$C$7&lt;&gt;"",OR(ISNUMBER(SEARCH('Task Finder'!$C$7,$A445)),ISNUMBER(SEARCH('Task Finder'!$C$7,$B445)),ISNUMBER(SEARCH('Task Finder'!$C$7,$C445)),ISNUMBER(SEARCH('Task Finder'!$C$7,$D445)),ISNUMBER(SEARCH('Task Finder'!$C$7,$K445)))))</f>
        <v/>
      </c>
    </row>
    <row r="446">
      <c r="A446" s="19" t="n"/>
      <c r="B446" s="19" t="n"/>
      <c r="C446" s="19" t="n"/>
      <c r="D446" s="19" t="n"/>
      <c r="E446" s="19" t="n"/>
      <c r="F446" s="19" t="n"/>
      <c r="G446" s="19" t="n"/>
      <c r="H446" s="19" t="n"/>
      <c r="I446" s="19" t="n"/>
      <c r="J446" s="19" t="n"/>
      <c r="K446" s="19" t="n"/>
      <c r="L446" s="19" t="n"/>
      <c r="M446" s="130">
        <f>IF($A446="","",AND('Task Finder'!$C$7&lt;&gt;"",OR(ISNUMBER(SEARCH('Task Finder'!$C$7,$A446)),ISNUMBER(SEARCH('Task Finder'!$C$7,$B446)),ISNUMBER(SEARCH('Task Finder'!$C$7,$C446)),ISNUMBER(SEARCH('Task Finder'!$C$7,$D446)),ISNUMBER(SEARCH('Task Finder'!$C$7,$K446)))))</f>
        <v/>
      </c>
    </row>
    <row r="447">
      <c r="A447" s="19" t="n"/>
      <c r="B447" s="19" t="n"/>
      <c r="C447" s="19" t="n"/>
      <c r="D447" s="19" t="n"/>
      <c r="E447" s="19" t="n"/>
      <c r="F447" s="19" t="n"/>
      <c r="G447" s="19" t="n"/>
      <c r="H447" s="19" t="n"/>
      <c r="I447" s="19" t="n"/>
      <c r="J447" s="19" t="n"/>
      <c r="K447" s="19" t="n"/>
      <c r="L447" s="19" t="n"/>
      <c r="M447" s="130">
        <f>IF($A447="","",AND('Task Finder'!$C$7&lt;&gt;"",OR(ISNUMBER(SEARCH('Task Finder'!$C$7,$A447)),ISNUMBER(SEARCH('Task Finder'!$C$7,$B447)),ISNUMBER(SEARCH('Task Finder'!$C$7,$C447)),ISNUMBER(SEARCH('Task Finder'!$C$7,$D447)),ISNUMBER(SEARCH('Task Finder'!$C$7,$K447)))))</f>
        <v/>
      </c>
    </row>
    <row r="448">
      <c r="A448" s="19" t="n"/>
      <c r="B448" s="19" t="n"/>
      <c r="C448" s="19" t="n"/>
      <c r="D448" s="19" t="n"/>
      <c r="E448" s="19" t="n"/>
      <c r="F448" s="19" t="n"/>
      <c r="G448" s="19" t="n"/>
      <c r="H448" s="19" t="n"/>
      <c r="I448" s="19" t="n"/>
      <c r="J448" s="19" t="n"/>
      <c r="K448" s="19" t="n"/>
      <c r="L448" s="19" t="n"/>
      <c r="M448" s="130">
        <f>IF($A448="","",AND('Task Finder'!$C$7&lt;&gt;"",OR(ISNUMBER(SEARCH('Task Finder'!$C$7,$A448)),ISNUMBER(SEARCH('Task Finder'!$C$7,$B448)),ISNUMBER(SEARCH('Task Finder'!$C$7,$C448)),ISNUMBER(SEARCH('Task Finder'!$C$7,$D448)),ISNUMBER(SEARCH('Task Finder'!$C$7,$K448)))))</f>
        <v/>
      </c>
    </row>
    <row r="449">
      <c r="A449" s="19" t="n"/>
      <c r="B449" s="19" t="n"/>
      <c r="C449" s="19" t="n"/>
      <c r="D449" s="19" t="n"/>
      <c r="E449" s="19" t="n"/>
      <c r="F449" s="19" t="n"/>
      <c r="G449" s="19" t="n"/>
      <c r="H449" s="19" t="n"/>
      <c r="I449" s="19" t="n"/>
      <c r="J449" s="19" t="n"/>
      <c r="K449" s="19" t="n"/>
      <c r="L449" s="19" t="n"/>
      <c r="M449" s="130">
        <f>IF($A449="","",AND('Task Finder'!$C$7&lt;&gt;"",OR(ISNUMBER(SEARCH('Task Finder'!$C$7,$A449)),ISNUMBER(SEARCH('Task Finder'!$C$7,$B449)),ISNUMBER(SEARCH('Task Finder'!$C$7,$C449)),ISNUMBER(SEARCH('Task Finder'!$C$7,$D449)),ISNUMBER(SEARCH('Task Finder'!$C$7,$K449)))))</f>
        <v/>
      </c>
    </row>
    <row r="450">
      <c r="A450" s="19" t="n"/>
      <c r="B450" s="19" t="n"/>
      <c r="C450" s="19" t="n"/>
      <c r="D450" s="19" t="n"/>
      <c r="E450" s="19" t="n"/>
      <c r="F450" s="19" t="n"/>
      <c r="G450" s="19" t="n"/>
      <c r="H450" s="19" t="n"/>
      <c r="I450" s="19" t="n"/>
      <c r="J450" s="19" t="n"/>
      <c r="K450" s="19" t="n"/>
      <c r="L450" s="19" t="n"/>
      <c r="M450" s="130">
        <f>IF($A450="","",AND('Task Finder'!$C$7&lt;&gt;"",OR(ISNUMBER(SEARCH('Task Finder'!$C$7,$A450)),ISNUMBER(SEARCH('Task Finder'!$C$7,$B450)),ISNUMBER(SEARCH('Task Finder'!$C$7,$C450)),ISNUMBER(SEARCH('Task Finder'!$C$7,$D450)),ISNUMBER(SEARCH('Task Finder'!$C$7,$K450)))))</f>
        <v/>
      </c>
    </row>
    <row r="451">
      <c r="A451" s="19" t="n"/>
      <c r="B451" s="19" t="n"/>
      <c r="C451" s="19" t="n"/>
      <c r="D451" s="19" t="n"/>
      <c r="E451" s="19" t="n"/>
      <c r="F451" s="19" t="n"/>
      <c r="G451" s="19" t="n"/>
      <c r="H451" s="19" t="n"/>
      <c r="I451" s="19" t="n"/>
      <c r="J451" s="19" t="n"/>
      <c r="K451" s="19" t="n"/>
      <c r="L451" s="19" t="n"/>
      <c r="M451" s="130">
        <f>IF($A451="","",AND('Task Finder'!$C$7&lt;&gt;"",OR(ISNUMBER(SEARCH('Task Finder'!$C$7,$A451)),ISNUMBER(SEARCH('Task Finder'!$C$7,$B451)),ISNUMBER(SEARCH('Task Finder'!$C$7,$C451)),ISNUMBER(SEARCH('Task Finder'!$C$7,$D451)),ISNUMBER(SEARCH('Task Finder'!$C$7,$K451)))))</f>
        <v/>
      </c>
    </row>
    <row r="452">
      <c r="A452" s="19" t="n"/>
      <c r="B452" s="19" t="n"/>
      <c r="C452" s="19" t="n"/>
      <c r="D452" s="19" t="n"/>
      <c r="E452" s="19" t="n"/>
      <c r="F452" s="19" t="n"/>
      <c r="G452" s="19" t="n"/>
      <c r="H452" s="19" t="n"/>
      <c r="I452" s="19" t="n"/>
      <c r="J452" s="19" t="n"/>
      <c r="K452" s="19" t="n"/>
      <c r="L452" s="19" t="n"/>
      <c r="M452" s="130">
        <f>IF($A452="","",AND('Task Finder'!$C$7&lt;&gt;"",OR(ISNUMBER(SEARCH('Task Finder'!$C$7,$A452)),ISNUMBER(SEARCH('Task Finder'!$C$7,$B452)),ISNUMBER(SEARCH('Task Finder'!$C$7,$C452)),ISNUMBER(SEARCH('Task Finder'!$C$7,$D452)),ISNUMBER(SEARCH('Task Finder'!$C$7,$K452)))))</f>
        <v/>
      </c>
    </row>
    <row r="453">
      <c r="A453" s="19" t="n"/>
      <c r="B453" s="19" t="n"/>
      <c r="C453" s="19" t="n"/>
      <c r="D453" s="19" t="n"/>
      <c r="E453" s="19" t="n"/>
      <c r="F453" s="19" t="n"/>
      <c r="G453" s="19" t="n"/>
      <c r="H453" s="19" t="n"/>
      <c r="I453" s="19" t="n"/>
      <c r="J453" s="19" t="n"/>
      <c r="K453" s="19" t="n"/>
      <c r="L453" s="19" t="n"/>
      <c r="M453" s="130">
        <f>IF($A453="","",AND('Task Finder'!$C$7&lt;&gt;"",OR(ISNUMBER(SEARCH('Task Finder'!$C$7,$A453)),ISNUMBER(SEARCH('Task Finder'!$C$7,$B453)),ISNUMBER(SEARCH('Task Finder'!$C$7,$C453)),ISNUMBER(SEARCH('Task Finder'!$C$7,$D453)),ISNUMBER(SEARCH('Task Finder'!$C$7,$K453)))))</f>
        <v/>
      </c>
    </row>
    <row r="454">
      <c r="A454" s="19" t="n"/>
      <c r="B454" s="19" t="n"/>
      <c r="C454" s="19" t="n"/>
      <c r="D454" s="19" t="n"/>
      <c r="E454" s="19" t="n"/>
      <c r="F454" s="19" t="n"/>
      <c r="G454" s="19" t="n"/>
      <c r="H454" s="19" t="n"/>
      <c r="I454" s="19" t="n"/>
      <c r="J454" s="19" t="n"/>
      <c r="K454" s="19" t="n"/>
      <c r="L454" s="19" t="n"/>
      <c r="M454" s="130">
        <f>IF($A454="","",AND('Task Finder'!$C$7&lt;&gt;"",OR(ISNUMBER(SEARCH('Task Finder'!$C$7,$A454)),ISNUMBER(SEARCH('Task Finder'!$C$7,$B454)),ISNUMBER(SEARCH('Task Finder'!$C$7,$C454)),ISNUMBER(SEARCH('Task Finder'!$C$7,$D454)),ISNUMBER(SEARCH('Task Finder'!$C$7,$K454)))))</f>
        <v/>
      </c>
    </row>
    <row r="455">
      <c r="A455" s="19" t="n"/>
      <c r="B455" s="19" t="n"/>
      <c r="C455" s="19" t="n"/>
      <c r="D455" s="19" t="n"/>
      <c r="E455" s="19" t="n"/>
      <c r="F455" s="19" t="n"/>
      <c r="G455" s="19" t="n"/>
      <c r="H455" s="19" t="n"/>
      <c r="I455" s="19" t="n"/>
      <c r="J455" s="19" t="n"/>
      <c r="K455" s="19" t="n"/>
      <c r="L455" s="19" t="n"/>
      <c r="M455" s="130">
        <f>IF($A455="","",AND('Task Finder'!$C$7&lt;&gt;"",OR(ISNUMBER(SEARCH('Task Finder'!$C$7,$A455)),ISNUMBER(SEARCH('Task Finder'!$C$7,$B455)),ISNUMBER(SEARCH('Task Finder'!$C$7,$C455)),ISNUMBER(SEARCH('Task Finder'!$C$7,$D455)),ISNUMBER(SEARCH('Task Finder'!$C$7,$K455)))))</f>
        <v/>
      </c>
    </row>
    <row r="456">
      <c r="A456" s="19" t="n"/>
      <c r="B456" s="19" t="n"/>
      <c r="C456" s="19" t="n"/>
      <c r="D456" s="19" t="n"/>
      <c r="E456" s="19" t="n"/>
      <c r="F456" s="19" t="n"/>
      <c r="G456" s="19" t="n"/>
      <c r="H456" s="19" t="n"/>
      <c r="I456" s="19" t="n"/>
      <c r="J456" s="19" t="n"/>
      <c r="K456" s="19" t="n"/>
      <c r="L456" s="19" t="n"/>
      <c r="M456" s="130">
        <f>IF($A456="","",AND('Task Finder'!$C$7&lt;&gt;"",OR(ISNUMBER(SEARCH('Task Finder'!$C$7,$A456)),ISNUMBER(SEARCH('Task Finder'!$C$7,$B456)),ISNUMBER(SEARCH('Task Finder'!$C$7,$C456)),ISNUMBER(SEARCH('Task Finder'!$C$7,$D456)),ISNUMBER(SEARCH('Task Finder'!$C$7,$K456)))))</f>
        <v/>
      </c>
    </row>
    <row r="457">
      <c r="A457" s="19" t="n"/>
      <c r="B457" s="19" t="n"/>
      <c r="C457" s="19" t="n"/>
      <c r="D457" s="19" t="n"/>
      <c r="E457" s="19" t="n"/>
      <c r="F457" s="19" t="n"/>
      <c r="G457" s="19" t="n"/>
      <c r="H457" s="19" t="n"/>
      <c r="I457" s="19" t="n"/>
      <c r="J457" s="19" t="n"/>
      <c r="K457" s="19" t="n"/>
      <c r="L457" s="19" t="n"/>
      <c r="M457" s="130">
        <f>IF($A457="","",AND('Task Finder'!$C$7&lt;&gt;"",OR(ISNUMBER(SEARCH('Task Finder'!$C$7,$A457)),ISNUMBER(SEARCH('Task Finder'!$C$7,$B457)),ISNUMBER(SEARCH('Task Finder'!$C$7,$C457)),ISNUMBER(SEARCH('Task Finder'!$C$7,$D457)),ISNUMBER(SEARCH('Task Finder'!$C$7,$K457)))))</f>
        <v/>
      </c>
    </row>
    <row r="458">
      <c r="A458" s="19" t="n"/>
      <c r="B458" s="19" t="n"/>
      <c r="C458" s="19" t="n"/>
      <c r="D458" s="19" t="n"/>
      <c r="E458" s="19" t="n"/>
      <c r="F458" s="19" t="n"/>
      <c r="G458" s="19" t="n"/>
      <c r="H458" s="19" t="n"/>
      <c r="I458" s="19" t="n"/>
      <c r="J458" s="19" t="n"/>
      <c r="K458" s="19" t="n"/>
      <c r="L458" s="19" t="n"/>
      <c r="M458" s="130">
        <f>IF($A458="","",AND('Task Finder'!$C$7&lt;&gt;"",OR(ISNUMBER(SEARCH('Task Finder'!$C$7,$A458)),ISNUMBER(SEARCH('Task Finder'!$C$7,$B458)),ISNUMBER(SEARCH('Task Finder'!$C$7,$C458)),ISNUMBER(SEARCH('Task Finder'!$C$7,$D458)),ISNUMBER(SEARCH('Task Finder'!$C$7,$K458)))))</f>
        <v/>
      </c>
    </row>
    <row r="459">
      <c r="A459" s="19" t="n"/>
      <c r="B459" s="19" t="n"/>
      <c r="C459" s="19" t="n"/>
      <c r="D459" s="19" t="n"/>
      <c r="E459" s="19" t="n"/>
      <c r="F459" s="19" t="n"/>
      <c r="G459" s="19" t="n"/>
      <c r="H459" s="19" t="n"/>
      <c r="I459" s="19" t="n"/>
      <c r="J459" s="19" t="n"/>
      <c r="K459" s="19" t="n"/>
      <c r="L459" s="19" t="n"/>
      <c r="M459" s="130">
        <f>IF($A459="","",AND('Task Finder'!$C$7&lt;&gt;"",OR(ISNUMBER(SEARCH('Task Finder'!$C$7,$A459)),ISNUMBER(SEARCH('Task Finder'!$C$7,$B459)),ISNUMBER(SEARCH('Task Finder'!$C$7,$C459)),ISNUMBER(SEARCH('Task Finder'!$C$7,$D459)),ISNUMBER(SEARCH('Task Finder'!$C$7,$K459)))))</f>
        <v/>
      </c>
    </row>
    <row r="460">
      <c r="A460" s="19" t="n"/>
      <c r="B460" s="19" t="n"/>
      <c r="C460" s="19" t="n"/>
      <c r="D460" s="19" t="n"/>
      <c r="E460" s="19" t="n"/>
      <c r="F460" s="19" t="n"/>
      <c r="G460" s="19" t="n"/>
      <c r="H460" s="19" t="n"/>
      <c r="I460" s="19" t="n"/>
      <c r="J460" s="19" t="n"/>
      <c r="K460" s="19" t="n"/>
      <c r="L460" s="19" t="n"/>
      <c r="M460" s="130">
        <f>IF($A460="","",AND('Task Finder'!$C$7&lt;&gt;"",OR(ISNUMBER(SEARCH('Task Finder'!$C$7,$A460)),ISNUMBER(SEARCH('Task Finder'!$C$7,$B460)),ISNUMBER(SEARCH('Task Finder'!$C$7,$C460)),ISNUMBER(SEARCH('Task Finder'!$C$7,$D460)),ISNUMBER(SEARCH('Task Finder'!$C$7,$K460)))))</f>
        <v/>
      </c>
    </row>
    <row r="461">
      <c r="A461" s="19" t="n"/>
      <c r="B461" s="19" t="n"/>
      <c r="C461" s="19" t="n"/>
      <c r="D461" s="19" t="n"/>
      <c r="E461" s="19" t="n"/>
      <c r="F461" s="19" t="n"/>
      <c r="G461" s="19" t="n"/>
      <c r="H461" s="19" t="n"/>
      <c r="I461" s="19" t="n"/>
      <c r="J461" s="19" t="n"/>
      <c r="K461" s="19" t="n"/>
      <c r="L461" s="19" t="n"/>
      <c r="M461" s="130">
        <f>IF($A461="","",AND('Task Finder'!$C$7&lt;&gt;"",OR(ISNUMBER(SEARCH('Task Finder'!$C$7,$A461)),ISNUMBER(SEARCH('Task Finder'!$C$7,$B461)),ISNUMBER(SEARCH('Task Finder'!$C$7,$C461)),ISNUMBER(SEARCH('Task Finder'!$C$7,$D461)),ISNUMBER(SEARCH('Task Finder'!$C$7,$K461)))))</f>
        <v/>
      </c>
    </row>
    <row r="462">
      <c r="A462" s="19" t="n"/>
      <c r="B462" s="19" t="n"/>
      <c r="C462" s="19" t="n"/>
      <c r="D462" s="19" t="n"/>
      <c r="E462" s="19" t="n"/>
      <c r="F462" s="19" t="n"/>
      <c r="G462" s="19" t="n"/>
      <c r="H462" s="19" t="n"/>
      <c r="I462" s="19" t="n"/>
      <c r="J462" s="19" t="n"/>
      <c r="K462" s="19" t="n"/>
      <c r="L462" s="19" t="n"/>
      <c r="M462" s="130">
        <f>IF($A462="","",AND('Task Finder'!$C$7&lt;&gt;"",OR(ISNUMBER(SEARCH('Task Finder'!$C$7,$A462)),ISNUMBER(SEARCH('Task Finder'!$C$7,$B462)),ISNUMBER(SEARCH('Task Finder'!$C$7,$C462)),ISNUMBER(SEARCH('Task Finder'!$C$7,$D462)),ISNUMBER(SEARCH('Task Finder'!$C$7,$K462)))))</f>
        <v/>
      </c>
    </row>
    <row r="463">
      <c r="A463" s="19" t="n"/>
      <c r="B463" s="19" t="n"/>
      <c r="C463" s="19" t="n"/>
      <c r="D463" s="19" t="n"/>
      <c r="E463" s="19" t="n"/>
      <c r="F463" s="19" t="n"/>
      <c r="G463" s="19" t="n"/>
      <c r="H463" s="19" t="n"/>
      <c r="I463" s="19" t="n"/>
      <c r="J463" s="19" t="n"/>
      <c r="K463" s="19" t="n"/>
      <c r="L463" s="19" t="n"/>
      <c r="M463" s="130">
        <f>IF($A463="","",AND('Task Finder'!$C$7&lt;&gt;"",OR(ISNUMBER(SEARCH('Task Finder'!$C$7,$A463)),ISNUMBER(SEARCH('Task Finder'!$C$7,$B463)),ISNUMBER(SEARCH('Task Finder'!$C$7,$C463)),ISNUMBER(SEARCH('Task Finder'!$C$7,$D463)),ISNUMBER(SEARCH('Task Finder'!$C$7,$K463)))))</f>
        <v/>
      </c>
    </row>
    <row r="464">
      <c r="A464" s="19" t="n"/>
      <c r="B464" s="19" t="n"/>
      <c r="C464" s="19" t="n"/>
      <c r="D464" s="19" t="n"/>
      <c r="E464" s="19" t="n"/>
      <c r="F464" s="19" t="n"/>
      <c r="G464" s="19" t="n"/>
      <c r="H464" s="19" t="n"/>
      <c r="I464" s="19" t="n"/>
      <c r="J464" s="19" t="n"/>
      <c r="K464" s="19" t="n"/>
      <c r="L464" s="19" t="n"/>
      <c r="M464" s="130">
        <f>IF($A464="","",AND('Task Finder'!$C$7&lt;&gt;"",OR(ISNUMBER(SEARCH('Task Finder'!$C$7,$A464)),ISNUMBER(SEARCH('Task Finder'!$C$7,$B464)),ISNUMBER(SEARCH('Task Finder'!$C$7,$C464)),ISNUMBER(SEARCH('Task Finder'!$C$7,$D464)),ISNUMBER(SEARCH('Task Finder'!$C$7,$K464)))))</f>
        <v/>
      </c>
    </row>
    <row r="465">
      <c r="A465" s="19" t="n"/>
      <c r="B465" s="19" t="n"/>
      <c r="C465" s="19" t="n"/>
      <c r="D465" s="19" t="n"/>
      <c r="E465" s="19" t="n"/>
      <c r="F465" s="19" t="n"/>
      <c r="G465" s="19" t="n"/>
      <c r="H465" s="19" t="n"/>
      <c r="I465" s="19" t="n"/>
      <c r="J465" s="19" t="n"/>
      <c r="K465" s="19" t="n"/>
      <c r="L465" s="19" t="n"/>
      <c r="M465" s="130">
        <f>IF($A465="","",AND('Task Finder'!$C$7&lt;&gt;"",OR(ISNUMBER(SEARCH('Task Finder'!$C$7,$A465)),ISNUMBER(SEARCH('Task Finder'!$C$7,$B465)),ISNUMBER(SEARCH('Task Finder'!$C$7,$C465)),ISNUMBER(SEARCH('Task Finder'!$C$7,$D465)),ISNUMBER(SEARCH('Task Finder'!$C$7,$K465)))))</f>
        <v/>
      </c>
    </row>
    <row r="466">
      <c r="A466" s="19" t="n"/>
      <c r="B466" s="19" t="n"/>
      <c r="C466" s="19" t="n"/>
      <c r="D466" s="19" t="n"/>
      <c r="E466" s="19" t="n"/>
      <c r="F466" s="19" t="n"/>
      <c r="G466" s="19" t="n"/>
      <c r="H466" s="19" t="n"/>
      <c r="I466" s="19" t="n"/>
      <c r="J466" s="19" t="n"/>
      <c r="K466" s="19" t="n"/>
      <c r="L466" s="19" t="n"/>
      <c r="M466" s="130">
        <f>IF($A466="","",AND('Task Finder'!$C$7&lt;&gt;"",OR(ISNUMBER(SEARCH('Task Finder'!$C$7,$A466)),ISNUMBER(SEARCH('Task Finder'!$C$7,$B466)),ISNUMBER(SEARCH('Task Finder'!$C$7,$C466)),ISNUMBER(SEARCH('Task Finder'!$C$7,$D466)),ISNUMBER(SEARCH('Task Finder'!$C$7,$K466)))))</f>
        <v/>
      </c>
    </row>
    <row r="467">
      <c r="A467" s="19" t="n"/>
      <c r="B467" s="19" t="n"/>
      <c r="C467" s="19" t="n"/>
      <c r="D467" s="19" t="n"/>
      <c r="E467" s="19" t="n"/>
      <c r="F467" s="19" t="n"/>
      <c r="G467" s="19" t="n"/>
      <c r="H467" s="19" t="n"/>
      <c r="I467" s="19" t="n"/>
      <c r="J467" s="19" t="n"/>
      <c r="K467" s="19" t="n"/>
      <c r="L467" s="19" t="n"/>
      <c r="M467" s="130">
        <f>IF($A467="","",AND('Task Finder'!$C$7&lt;&gt;"",OR(ISNUMBER(SEARCH('Task Finder'!$C$7,$A467)),ISNUMBER(SEARCH('Task Finder'!$C$7,$B467)),ISNUMBER(SEARCH('Task Finder'!$C$7,$C467)),ISNUMBER(SEARCH('Task Finder'!$C$7,$D467)),ISNUMBER(SEARCH('Task Finder'!$C$7,$K467)))))</f>
        <v/>
      </c>
    </row>
    <row r="468">
      <c r="A468" s="19" t="n"/>
      <c r="B468" s="19" t="n"/>
      <c r="C468" s="19" t="n"/>
      <c r="D468" s="19" t="n"/>
      <c r="E468" s="19" t="n"/>
      <c r="F468" s="19" t="n"/>
      <c r="G468" s="19" t="n"/>
      <c r="H468" s="19" t="n"/>
      <c r="I468" s="19" t="n"/>
      <c r="J468" s="19" t="n"/>
      <c r="K468" s="19" t="n"/>
      <c r="L468" s="19" t="n"/>
      <c r="M468" s="130">
        <f>IF($A468="","",AND('Task Finder'!$C$7&lt;&gt;"",OR(ISNUMBER(SEARCH('Task Finder'!$C$7,$A468)),ISNUMBER(SEARCH('Task Finder'!$C$7,$B468)),ISNUMBER(SEARCH('Task Finder'!$C$7,$C468)),ISNUMBER(SEARCH('Task Finder'!$C$7,$D468)),ISNUMBER(SEARCH('Task Finder'!$C$7,$K468)))))</f>
        <v/>
      </c>
    </row>
    <row r="469">
      <c r="A469" s="19" t="n"/>
      <c r="B469" s="19" t="n"/>
      <c r="C469" s="19" t="n"/>
      <c r="D469" s="19" t="n"/>
      <c r="E469" s="19" t="n"/>
      <c r="F469" s="19" t="n"/>
      <c r="G469" s="19" t="n"/>
      <c r="H469" s="19" t="n"/>
      <c r="I469" s="19" t="n"/>
      <c r="J469" s="19" t="n"/>
      <c r="K469" s="19" t="n"/>
      <c r="L469" s="19" t="n"/>
      <c r="M469" s="130">
        <f>IF($A469="","",AND('Task Finder'!$C$7&lt;&gt;"",OR(ISNUMBER(SEARCH('Task Finder'!$C$7,$A469)),ISNUMBER(SEARCH('Task Finder'!$C$7,$B469)),ISNUMBER(SEARCH('Task Finder'!$C$7,$C469)),ISNUMBER(SEARCH('Task Finder'!$C$7,$D469)),ISNUMBER(SEARCH('Task Finder'!$C$7,$K469)))))</f>
        <v/>
      </c>
    </row>
    <row r="470">
      <c r="A470" s="19" t="n"/>
      <c r="B470" s="19" t="n"/>
      <c r="C470" s="19" t="n"/>
      <c r="D470" s="19" t="n"/>
      <c r="E470" s="19" t="n"/>
      <c r="F470" s="19" t="n"/>
      <c r="G470" s="19" t="n"/>
      <c r="H470" s="19" t="n"/>
      <c r="I470" s="19" t="n"/>
      <c r="J470" s="19" t="n"/>
      <c r="K470" s="19" t="n"/>
      <c r="L470" s="19" t="n"/>
      <c r="M470" s="130">
        <f>IF($A470="","",AND('Task Finder'!$C$7&lt;&gt;"",OR(ISNUMBER(SEARCH('Task Finder'!$C$7,$A470)),ISNUMBER(SEARCH('Task Finder'!$C$7,$B470)),ISNUMBER(SEARCH('Task Finder'!$C$7,$C470)),ISNUMBER(SEARCH('Task Finder'!$C$7,$D470)),ISNUMBER(SEARCH('Task Finder'!$C$7,$K470)))))</f>
        <v/>
      </c>
    </row>
    <row r="471">
      <c r="A471" s="19" t="n"/>
      <c r="B471" s="19" t="n"/>
      <c r="C471" s="19" t="n"/>
      <c r="D471" s="19" t="n"/>
      <c r="E471" s="19" t="n"/>
      <c r="F471" s="19" t="n"/>
      <c r="G471" s="19" t="n"/>
      <c r="H471" s="19" t="n"/>
      <c r="I471" s="19" t="n"/>
      <c r="J471" s="19" t="n"/>
      <c r="K471" s="19" t="n"/>
      <c r="L471" s="19" t="n"/>
      <c r="M471" s="130">
        <f>IF($A471="","",AND('Task Finder'!$C$7&lt;&gt;"",OR(ISNUMBER(SEARCH('Task Finder'!$C$7,$A471)),ISNUMBER(SEARCH('Task Finder'!$C$7,$B471)),ISNUMBER(SEARCH('Task Finder'!$C$7,$C471)),ISNUMBER(SEARCH('Task Finder'!$C$7,$D471)),ISNUMBER(SEARCH('Task Finder'!$C$7,$K471)))))</f>
        <v/>
      </c>
    </row>
    <row r="472">
      <c r="A472" s="19" t="n"/>
      <c r="B472" s="19" t="n"/>
      <c r="C472" s="19" t="n"/>
      <c r="D472" s="19" t="n"/>
      <c r="E472" s="19" t="n"/>
      <c r="F472" s="19" t="n"/>
      <c r="G472" s="19" t="n"/>
      <c r="H472" s="19" t="n"/>
      <c r="I472" s="19" t="n"/>
      <c r="J472" s="19" t="n"/>
      <c r="K472" s="19" t="n"/>
      <c r="L472" s="19" t="n"/>
      <c r="M472" s="130">
        <f>IF($A472="","",AND('Task Finder'!$C$7&lt;&gt;"",OR(ISNUMBER(SEARCH('Task Finder'!$C$7,$A472)),ISNUMBER(SEARCH('Task Finder'!$C$7,$B472)),ISNUMBER(SEARCH('Task Finder'!$C$7,$C472)),ISNUMBER(SEARCH('Task Finder'!$C$7,$D472)),ISNUMBER(SEARCH('Task Finder'!$C$7,$K472)))))</f>
        <v/>
      </c>
    </row>
    <row r="473">
      <c r="A473" s="19" t="n"/>
      <c r="B473" s="19" t="n"/>
      <c r="C473" s="19" t="n"/>
      <c r="D473" s="19" t="n"/>
      <c r="E473" s="19" t="n"/>
      <c r="F473" s="19" t="n"/>
      <c r="G473" s="19" t="n"/>
      <c r="H473" s="19" t="n"/>
      <c r="I473" s="19" t="n"/>
      <c r="J473" s="19" t="n"/>
      <c r="K473" s="19" t="n"/>
      <c r="L473" s="19" t="n"/>
      <c r="M473" s="130">
        <f>IF($A473="","",AND('Task Finder'!$C$7&lt;&gt;"",OR(ISNUMBER(SEARCH('Task Finder'!$C$7,$A473)),ISNUMBER(SEARCH('Task Finder'!$C$7,$B473)),ISNUMBER(SEARCH('Task Finder'!$C$7,$C473)),ISNUMBER(SEARCH('Task Finder'!$C$7,$D473)),ISNUMBER(SEARCH('Task Finder'!$C$7,$K473)))))</f>
        <v/>
      </c>
    </row>
    <row r="474">
      <c r="A474" s="19" t="n"/>
      <c r="B474" s="19" t="n"/>
      <c r="C474" s="19" t="n"/>
      <c r="D474" s="19" t="n"/>
      <c r="E474" s="19" t="n"/>
      <c r="F474" s="19" t="n"/>
      <c r="G474" s="19" t="n"/>
      <c r="H474" s="19" t="n"/>
      <c r="I474" s="19" t="n"/>
      <c r="J474" s="19" t="n"/>
      <c r="K474" s="19" t="n"/>
      <c r="L474" s="19" t="n"/>
      <c r="M474" s="130">
        <f>IF($A474="","",AND('Task Finder'!$C$7&lt;&gt;"",OR(ISNUMBER(SEARCH('Task Finder'!$C$7,$A474)),ISNUMBER(SEARCH('Task Finder'!$C$7,$B474)),ISNUMBER(SEARCH('Task Finder'!$C$7,$C474)),ISNUMBER(SEARCH('Task Finder'!$C$7,$D474)),ISNUMBER(SEARCH('Task Finder'!$C$7,$K474)))))</f>
        <v/>
      </c>
    </row>
    <row r="475">
      <c r="A475" s="19" t="n"/>
      <c r="B475" s="19" t="n"/>
      <c r="C475" s="19" t="n"/>
      <c r="D475" s="19" t="n"/>
      <c r="E475" s="19" t="n"/>
      <c r="F475" s="19" t="n"/>
      <c r="G475" s="19" t="n"/>
      <c r="H475" s="19" t="n"/>
      <c r="I475" s="19" t="n"/>
      <c r="J475" s="19" t="n"/>
      <c r="K475" s="19" t="n"/>
      <c r="L475" s="19" t="n"/>
      <c r="M475" s="130">
        <f>IF($A475="","",AND('Task Finder'!$C$7&lt;&gt;"",OR(ISNUMBER(SEARCH('Task Finder'!$C$7,$A475)),ISNUMBER(SEARCH('Task Finder'!$C$7,$B475)),ISNUMBER(SEARCH('Task Finder'!$C$7,$C475)),ISNUMBER(SEARCH('Task Finder'!$C$7,$D475)),ISNUMBER(SEARCH('Task Finder'!$C$7,$K475)))))</f>
        <v/>
      </c>
    </row>
    <row r="476">
      <c r="A476" s="19" t="n"/>
      <c r="B476" s="19" t="n"/>
      <c r="C476" s="19" t="n"/>
      <c r="D476" s="19" t="n"/>
      <c r="E476" s="19" t="n"/>
      <c r="F476" s="19" t="n"/>
      <c r="G476" s="19" t="n"/>
      <c r="H476" s="19" t="n"/>
      <c r="I476" s="19" t="n"/>
      <c r="J476" s="19" t="n"/>
      <c r="K476" s="19" t="n"/>
      <c r="L476" s="19" t="n"/>
      <c r="M476" s="130">
        <f>IF($A476="","",AND('Task Finder'!$C$7&lt;&gt;"",OR(ISNUMBER(SEARCH('Task Finder'!$C$7,$A476)),ISNUMBER(SEARCH('Task Finder'!$C$7,$B476)),ISNUMBER(SEARCH('Task Finder'!$C$7,$C476)),ISNUMBER(SEARCH('Task Finder'!$C$7,$D476)),ISNUMBER(SEARCH('Task Finder'!$C$7,$K476)))))</f>
        <v/>
      </c>
    </row>
    <row r="477">
      <c r="A477" s="19" t="n"/>
      <c r="B477" s="19" t="n"/>
      <c r="C477" s="19" t="n"/>
      <c r="D477" s="19" t="n"/>
      <c r="E477" s="19" t="n"/>
      <c r="F477" s="19" t="n"/>
      <c r="G477" s="19" t="n"/>
      <c r="H477" s="19" t="n"/>
      <c r="I477" s="19" t="n"/>
      <c r="J477" s="19" t="n"/>
      <c r="K477" s="19" t="n"/>
      <c r="L477" s="19" t="n"/>
      <c r="M477" s="130">
        <f>IF($A477="","",AND('Task Finder'!$C$7&lt;&gt;"",OR(ISNUMBER(SEARCH('Task Finder'!$C$7,$A477)),ISNUMBER(SEARCH('Task Finder'!$C$7,$B477)),ISNUMBER(SEARCH('Task Finder'!$C$7,$C477)),ISNUMBER(SEARCH('Task Finder'!$C$7,$D477)),ISNUMBER(SEARCH('Task Finder'!$C$7,$K477)))))</f>
        <v/>
      </c>
    </row>
    <row r="478">
      <c r="A478" s="19" t="n"/>
      <c r="B478" s="19" t="n"/>
      <c r="C478" s="19" t="n"/>
      <c r="D478" s="19" t="n"/>
      <c r="E478" s="19" t="n"/>
      <c r="F478" s="19" t="n"/>
      <c r="G478" s="19" t="n"/>
      <c r="H478" s="19" t="n"/>
      <c r="I478" s="19" t="n"/>
      <c r="J478" s="19" t="n"/>
      <c r="K478" s="19" t="n"/>
      <c r="L478" s="19" t="n"/>
      <c r="M478" s="130">
        <f>IF($A478="","",AND('Task Finder'!$C$7&lt;&gt;"",OR(ISNUMBER(SEARCH('Task Finder'!$C$7,$A478)),ISNUMBER(SEARCH('Task Finder'!$C$7,$B478)),ISNUMBER(SEARCH('Task Finder'!$C$7,$C478)),ISNUMBER(SEARCH('Task Finder'!$C$7,$D478)),ISNUMBER(SEARCH('Task Finder'!$C$7,$K478)))))</f>
        <v/>
      </c>
    </row>
    <row r="479">
      <c r="A479" s="19" t="n"/>
      <c r="B479" s="19" t="n"/>
      <c r="C479" s="19" t="n"/>
      <c r="D479" s="19" t="n"/>
      <c r="E479" s="19" t="n"/>
      <c r="F479" s="19" t="n"/>
      <c r="G479" s="19" t="n"/>
      <c r="H479" s="19" t="n"/>
      <c r="I479" s="19" t="n"/>
      <c r="J479" s="19" t="n"/>
      <c r="K479" s="19" t="n"/>
      <c r="L479" s="19" t="n"/>
      <c r="M479" s="130">
        <f>IF($A479="","",AND('Task Finder'!$C$7&lt;&gt;"",OR(ISNUMBER(SEARCH('Task Finder'!$C$7,$A479)),ISNUMBER(SEARCH('Task Finder'!$C$7,$B479)),ISNUMBER(SEARCH('Task Finder'!$C$7,$C479)),ISNUMBER(SEARCH('Task Finder'!$C$7,$D479)),ISNUMBER(SEARCH('Task Finder'!$C$7,$K479)))))</f>
        <v/>
      </c>
    </row>
    <row r="480">
      <c r="A480" s="19" t="n"/>
      <c r="B480" s="19" t="n"/>
      <c r="C480" s="19" t="n"/>
      <c r="D480" s="19" t="n"/>
      <c r="E480" s="19" t="n"/>
      <c r="F480" s="19" t="n"/>
      <c r="G480" s="19" t="n"/>
      <c r="H480" s="19" t="n"/>
      <c r="I480" s="19" t="n"/>
      <c r="J480" s="19" t="n"/>
      <c r="K480" s="19" t="n"/>
      <c r="L480" s="19" t="n"/>
      <c r="M480" s="130">
        <f>IF($A480="","",AND('Task Finder'!$C$7&lt;&gt;"",OR(ISNUMBER(SEARCH('Task Finder'!$C$7,$A480)),ISNUMBER(SEARCH('Task Finder'!$C$7,$B480)),ISNUMBER(SEARCH('Task Finder'!$C$7,$C480)),ISNUMBER(SEARCH('Task Finder'!$C$7,$D480)),ISNUMBER(SEARCH('Task Finder'!$C$7,$K480)))))</f>
        <v/>
      </c>
    </row>
    <row r="481">
      <c r="A481" s="19" t="n"/>
      <c r="B481" s="19" t="n"/>
      <c r="C481" s="19" t="n"/>
      <c r="D481" s="19" t="n"/>
      <c r="E481" s="19" t="n"/>
      <c r="F481" s="19" t="n"/>
      <c r="G481" s="19" t="n"/>
      <c r="H481" s="19" t="n"/>
      <c r="I481" s="19" t="n"/>
      <c r="J481" s="19" t="n"/>
      <c r="K481" s="19" t="n"/>
      <c r="L481" s="19" t="n"/>
      <c r="M481" s="130">
        <f>IF($A481="","",AND('Task Finder'!$C$7&lt;&gt;"",OR(ISNUMBER(SEARCH('Task Finder'!$C$7,$A481)),ISNUMBER(SEARCH('Task Finder'!$C$7,$B481)),ISNUMBER(SEARCH('Task Finder'!$C$7,$C481)),ISNUMBER(SEARCH('Task Finder'!$C$7,$D481)),ISNUMBER(SEARCH('Task Finder'!$C$7,$K481)))))</f>
        <v/>
      </c>
    </row>
    <row r="482">
      <c r="A482" s="19" t="n"/>
      <c r="B482" s="19" t="n"/>
      <c r="C482" s="19" t="n"/>
      <c r="D482" s="19" t="n"/>
      <c r="E482" s="19" t="n"/>
      <c r="F482" s="19" t="n"/>
      <c r="G482" s="19" t="n"/>
      <c r="H482" s="19" t="n"/>
      <c r="I482" s="19" t="n"/>
      <c r="J482" s="19" t="n"/>
      <c r="K482" s="19" t="n"/>
      <c r="L482" s="19" t="n"/>
      <c r="M482" s="130">
        <f>IF($A482="","",AND('Task Finder'!$C$7&lt;&gt;"",OR(ISNUMBER(SEARCH('Task Finder'!$C$7,$A482)),ISNUMBER(SEARCH('Task Finder'!$C$7,$B482)),ISNUMBER(SEARCH('Task Finder'!$C$7,$C482)),ISNUMBER(SEARCH('Task Finder'!$C$7,$D482)),ISNUMBER(SEARCH('Task Finder'!$C$7,$K482)))))</f>
        <v/>
      </c>
    </row>
    <row r="483">
      <c r="A483" s="19" t="n"/>
      <c r="B483" s="19" t="n"/>
      <c r="C483" s="19" t="n"/>
      <c r="D483" s="19" t="n"/>
      <c r="E483" s="19" t="n"/>
      <c r="F483" s="19" t="n"/>
      <c r="G483" s="19" t="n"/>
      <c r="H483" s="19" t="n"/>
      <c r="I483" s="19" t="n"/>
      <c r="J483" s="19" t="n"/>
      <c r="K483" s="19" t="n"/>
      <c r="L483" s="19" t="n"/>
      <c r="M483" s="130">
        <f>IF($A483="","",AND('Task Finder'!$C$7&lt;&gt;"",OR(ISNUMBER(SEARCH('Task Finder'!$C$7,$A483)),ISNUMBER(SEARCH('Task Finder'!$C$7,$B483)),ISNUMBER(SEARCH('Task Finder'!$C$7,$C483)),ISNUMBER(SEARCH('Task Finder'!$C$7,$D483)),ISNUMBER(SEARCH('Task Finder'!$C$7,$K483)))))</f>
        <v/>
      </c>
    </row>
    <row r="484">
      <c r="A484" s="19" t="n"/>
      <c r="B484" s="19" t="n"/>
      <c r="C484" s="19" t="n"/>
      <c r="D484" s="19" t="n"/>
      <c r="E484" s="19" t="n"/>
      <c r="F484" s="19" t="n"/>
      <c r="G484" s="19" t="n"/>
      <c r="H484" s="19" t="n"/>
      <c r="I484" s="19" t="n"/>
      <c r="J484" s="19" t="n"/>
      <c r="K484" s="19" t="n"/>
      <c r="L484" s="19" t="n"/>
      <c r="M484" s="130">
        <f>IF($A484="","",AND('Task Finder'!$C$7&lt;&gt;"",OR(ISNUMBER(SEARCH('Task Finder'!$C$7,$A484)),ISNUMBER(SEARCH('Task Finder'!$C$7,$B484)),ISNUMBER(SEARCH('Task Finder'!$C$7,$C484)),ISNUMBER(SEARCH('Task Finder'!$C$7,$D484)),ISNUMBER(SEARCH('Task Finder'!$C$7,$K484)))))</f>
        <v/>
      </c>
    </row>
    <row r="485">
      <c r="A485" s="19" t="n"/>
      <c r="B485" s="19" t="n"/>
      <c r="C485" s="19" t="n"/>
      <c r="D485" s="19" t="n"/>
      <c r="E485" s="19" t="n"/>
      <c r="F485" s="19" t="n"/>
      <c r="G485" s="19" t="n"/>
      <c r="H485" s="19" t="n"/>
      <c r="I485" s="19" t="n"/>
      <c r="J485" s="19" t="n"/>
      <c r="K485" s="19" t="n"/>
      <c r="L485" s="19" t="n"/>
      <c r="M485" s="130">
        <f>IF($A485="","",AND('Task Finder'!$C$7&lt;&gt;"",OR(ISNUMBER(SEARCH('Task Finder'!$C$7,$A485)),ISNUMBER(SEARCH('Task Finder'!$C$7,$B485)),ISNUMBER(SEARCH('Task Finder'!$C$7,$C485)),ISNUMBER(SEARCH('Task Finder'!$C$7,$D485)),ISNUMBER(SEARCH('Task Finder'!$C$7,$K485)))))</f>
        <v/>
      </c>
    </row>
    <row r="486">
      <c r="A486" s="19" t="n"/>
      <c r="B486" s="19" t="n"/>
      <c r="C486" s="19" t="n"/>
      <c r="D486" s="19" t="n"/>
      <c r="E486" s="19" t="n"/>
      <c r="F486" s="19" t="n"/>
      <c r="G486" s="19" t="n"/>
      <c r="H486" s="19" t="n"/>
      <c r="I486" s="19" t="n"/>
      <c r="J486" s="19" t="n"/>
      <c r="K486" s="19" t="n"/>
      <c r="L486" s="19" t="n"/>
      <c r="M486" s="130">
        <f>IF($A486="","",AND('Task Finder'!$C$7&lt;&gt;"",OR(ISNUMBER(SEARCH('Task Finder'!$C$7,$A486)),ISNUMBER(SEARCH('Task Finder'!$C$7,$B486)),ISNUMBER(SEARCH('Task Finder'!$C$7,$C486)),ISNUMBER(SEARCH('Task Finder'!$C$7,$D486)),ISNUMBER(SEARCH('Task Finder'!$C$7,$K486)))))</f>
        <v/>
      </c>
    </row>
    <row r="487">
      <c r="A487" s="19" t="n"/>
      <c r="B487" s="19" t="n"/>
      <c r="C487" s="19" t="n"/>
      <c r="D487" s="19" t="n"/>
      <c r="E487" s="19" t="n"/>
      <c r="F487" s="19" t="n"/>
      <c r="G487" s="19" t="n"/>
      <c r="H487" s="19" t="n"/>
      <c r="I487" s="19" t="n"/>
      <c r="J487" s="19" t="n"/>
      <c r="K487" s="19" t="n"/>
      <c r="L487" s="19" t="n"/>
      <c r="M487" s="130">
        <f>IF($A487="","",AND('Task Finder'!$C$7&lt;&gt;"",OR(ISNUMBER(SEARCH('Task Finder'!$C$7,$A487)),ISNUMBER(SEARCH('Task Finder'!$C$7,$B487)),ISNUMBER(SEARCH('Task Finder'!$C$7,$C487)),ISNUMBER(SEARCH('Task Finder'!$C$7,$D487)),ISNUMBER(SEARCH('Task Finder'!$C$7,$K487)))))</f>
        <v/>
      </c>
    </row>
    <row r="488">
      <c r="A488" s="19" t="n"/>
      <c r="B488" s="19" t="n"/>
      <c r="C488" s="19" t="n"/>
      <c r="D488" s="19" t="n"/>
      <c r="E488" s="19" t="n"/>
      <c r="F488" s="19" t="n"/>
      <c r="G488" s="19" t="n"/>
      <c r="H488" s="19" t="n"/>
      <c r="I488" s="19" t="n"/>
      <c r="J488" s="19" t="n"/>
      <c r="K488" s="19" t="n"/>
      <c r="L488" s="19" t="n"/>
      <c r="M488" s="130">
        <f>IF($A488="","",AND('Task Finder'!$C$7&lt;&gt;"",OR(ISNUMBER(SEARCH('Task Finder'!$C$7,$A488)),ISNUMBER(SEARCH('Task Finder'!$C$7,$B488)),ISNUMBER(SEARCH('Task Finder'!$C$7,$C488)),ISNUMBER(SEARCH('Task Finder'!$C$7,$D488)),ISNUMBER(SEARCH('Task Finder'!$C$7,$K488)))))</f>
        <v/>
      </c>
    </row>
    <row r="489">
      <c r="A489" s="19" t="n"/>
      <c r="B489" s="19" t="n"/>
      <c r="C489" s="19" t="n"/>
      <c r="D489" s="19" t="n"/>
      <c r="E489" s="19" t="n"/>
      <c r="F489" s="19" t="n"/>
      <c r="G489" s="19" t="n"/>
      <c r="H489" s="19" t="n"/>
      <c r="I489" s="19" t="n"/>
      <c r="J489" s="19" t="n"/>
      <c r="K489" s="19" t="n"/>
      <c r="L489" s="19" t="n"/>
      <c r="M489" s="130">
        <f>IF($A489="","",AND('Task Finder'!$C$7&lt;&gt;"",OR(ISNUMBER(SEARCH('Task Finder'!$C$7,$A489)),ISNUMBER(SEARCH('Task Finder'!$C$7,$B489)),ISNUMBER(SEARCH('Task Finder'!$C$7,$C489)),ISNUMBER(SEARCH('Task Finder'!$C$7,$D489)),ISNUMBER(SEARCH('Task Finder'!$C$7,$K489)))))</f>
        <v/>
      </c>
    </row>
    <row r="490">
      <c r="A490" s="19" t="n"/>
      <c r="B490" s="19" t="n"/>
      <c r="C490" s="19" t="n"/>
      <c r="D490" s="19" t="n"/>
      <c r="E490" s="19" t="n"/>
      <c r="F490" s="19" t="n"/>
      <c r="G490" s="19" t="n"/>
      <c r="H490" s="19" t="n"/>
      <c r="I490" s="19" t="n"/>
      <c r="J490" s="19" t="n"/>
      <c r="K490" s="19" t="n"/>
      <c r="L490" s="19" t="n"/>
      <c r="M490" s="130">
        <f>IF($A490="","",AND('Task Finder'!$C$7&lt;&gt;"",OR(ISNUMBER(SEARCH('Task Finder'!$C$7,$A490)),ISNUMBER(SEARCH('Task Finder'!$C$7,$B490)),ISNUMBER(SEARCH('Task Finder'!$C$7,$C490)),ISNUMBER(SEARCH('Task Finder'!$C$7,$D490)),ISNUMBER(SEARCH('Task Finder'!$C$7,$K490)))))</f>
        <v/>
      </c>
    </row>
    <row r="491">
      <c r="A491" s="19" t="n"/>
      <c r="B491" s="19" t="n"/>
      <c r="C491" s="19" t="n"/>
      <c r="D491" s="19" t="n"/>
      <c r="E491" s="19" t="n"/>
      <c r="F491" s="19" t="n"/>
      <c r="G491" s="19" t="n"/>
      <c r="H491" s="19" t="n"/>
      <c r="I491" s="19" t="n"/>
      <c r="J491" s="19" t="n"/>
      <c r="K491" s="19" t="n"/>
      <c r="L491" s="19" t="n"/>
      <c r="M491" s="130">
        <f>IF($A491="","",AND('Task Finder'!$C$7&lt;&gt;"",OR(ISNUMBER(SEARCH('Task Finder'!$C$7,$A491)),ISNUMBER(SEARCH('Task Finder'!$C$7,$B491)),ISNUMBER(SEARCH('Task Finder'!$C$7,$C491)),ISNUMBER(SEARCH('Task Finder'!$C$7,$D491)),ISNUMBER(SEARCH('Task Finder'!$C$7,$K491)))))</f>
        <v/>
      </c>
    </row>
    <row r="492">
      <c r="A492" s="19" t="n"/>
      <c r="B492" s="19" t="n"/>
      <c r="C492" s="19" t="n"/>
      <c r="D492" s="19" t="n"/>
      <c r="E492" s="19" t="n"/>
      <c r="F492" s="19" t="n"/>
      <c r="G492" s="19" t="n"/>
      <c r="H492" s="19" t="n"/>
      <c r="I492" s="19" t="n"/>
      <c r="J492" s="19" t="n"/>
      <c r="K492" s="19" t="n"/>
      <c r="L492" s="19" t="n"/>
      <c r="M492" s="130">
        <f>IF($A492="","",AND('Task Finder'!$C$7&lt;&gt;"",OR(ISNUMBER(SEARCH('Task Finder'!$C$7,$A492)),ISNUMBER(SEARCH('Task Finder'!$C$7,$B492)),ISNUMBER(SEARCH('Task Finder'!$C$7,$C492)),ISNUMBER(SEARCH('Task Finder'!$C$7,$D492)),ISNUMBER(SEARCH('Task Finder'!$C$7,$K492)))))</f>
        <v/>
      </c>
    </row>
    <row r="493">
      <c r="A493" s="19" t="n"/>
      <c r="B493" s="19" t="n"/>
      <c r="C493" s="19" t="n"/>
      <c r="D493" s="19" t="n"/>
      <c r="E493" s="19" t="n"/>
      <c r="F493" s="19" t="n"/>
      <c r="G493" s="19" t="n"/>
      <c r="H493" s="19" t="n"/>
      <c r="I493" s="19" t="n"/>
      <c r="J493" s="19" t="n"/>
      <c r="K493" s="19" t="n"/>
      <c r="L493" s="19" t="n"/>
      <c r="M493" s="130">
        <f>IF($A493="","",AND('Task Finder'!$C$7&lt;&gt;"",OR(ISNUMBER(SEARCH('Task Finder'!$C$7,$A493)),ISNUMBER(SEARCH('Task Finder'!$C$7,$B493)),ISNUMBER(SEARCH('Task Finder'!$C$7,$C493)),ISNUMBER(SEARCH('Task Finder'!$C$7,$D493)),ISNUMBER(SEARCH('Task Finder'!$C$7,$K493)))))</f>
        <v/>
      </c>
    </row>
    <row r="494">
      <c r="A494" s="19" t="n"/>
      <c r="B494" s="19" t="n"/>
      <c r="C494" s="19" t="n"/>
      <c r="D494" s="19" t="n"/>
      <c r="E494" s="19" t="n"/>
      <c r="F494" s="19" t="n"/>
      <c r="G494" s="19" t="n"/>
      <c r="H494" s="19" t="n"/>
      <c r="I494" s="19" t="n"/>
      <c r="J494" s="19" t="n"/>
      <c r="K494" s="19" t="n"/>
      <c r="L494" s="19" t="n"/>
      <c r="M494" s="130">
        <f>IF($A494="","",AND('Task Finder'!$C$7&lt;&gt;"",OR(ISNUMBER(SEARCH('Task Finder'!$C$7,$A494)),ISNUMBER(SEARCH('Task Finder'!$C$7,$B494)),ISNUMBER(SEARCH('Task Finder'!$C$7,$C494)),ISNUMBER(SEARCH('Task Finder'!$C$7,$D494)),ISNUMBER(SEARCH('Task Finder'!$C$7,$K494)))))</f>
        <v/>
      </c>
    </row>
    <row r="495">
      <c r="A495" s="19" t="n"/>
      <c r="B495" s="19" t="n"/>
      <c r="C495" s="19" t="n"/>
      <c r="D495" s="19" t="n"/>
      <c r="E495" s="19" t="n"/>
      <c r="F495" s="19" t="n"/>
      <c r="G495" s="19" t="n"/>
      <c r="H495" s="19" t="n"/>
      <c r="I495" s="19" t="n"/>
      <c r="J495" s="19" t="n"/>
      <c r="K495" s="19" t="n"/>
      <c r="L495" s="19" t="n"/>
      <c r="M495" s="130">
        <f>IF($A495="","",AND('Task Finder'!$C$7&lt;&gt;"",OR(ISNUMBER(SEARCH('Task Finder'!$C$7,$A495)),ISNUMBER(SEARCH('Task Finder'!$C$7,$B495)),ISNUMBER(SEARCH('Task Finder'!$C$7,$C495)),ISNUMBER(SEARCH('Task Finder'!$C$7,$D495)),ISNUMBER(SEARCH('Task Finder'!$C$7,$K495)))))</f>
        <v/>
      </c>
    </row>
    <row r="496">
      <c r="A496" s="19" t="n"/>
      <c r="B496" s="19" t="n"/>
      <c r="C496" s="19" t="n"/>
      <c r="D496" s="19" t="n"/>
      <c r="E496" s="19" t="n"/>
      <c r="F496" s="19" t="n"/>
      <c r="G496" s="19" t="n"/>
      <c r="H496" s="19" t="n"/>
      <c r="I496" s="19" t="n"/>
      <c r="J496" s="19" t="n"/>
      <c r="K496" s="19" t="n"/>
      <c r="L496" s="19" t="n"/>
      <c r="M496" s="130">
        <f>IF($A496="","",AND('Task Finder'!$C$7&lt;&gt;"",OR(ISNUMBER(SEARCH('Task Finder'!$C$7,$A496)),ISNUMBER(SEARCH('Task Finder'!$C$7,$B496)),ISNUMBER(SEARCH('Task Finder'!$C$7,$C496)),ISNUMBER(SEARCH('Task Finder'!$C$7,$D496)),ISNUMBER(SEARCH('Task Finder'!$C$7,$K496)))))</f>
        <v/>
      </c>
    </row>
    <row r="497">
      <c r="A497" s="19" t="n"/>
      <c r="B497" s="19" t="n"/>
      <c r="C497" s="19" t="n"/>
      <c r="D497" s="19" t="n"/>
      <c r="E497" s="19" t="n"/>
      <c r="F497" s="19" t="n"/>
      <c r="G497" s="19" t="n"/>
      <c r="H497" s="19" t="n"/>
      <c r="I497" s="19" t="n"/>
      <c r="J497" s="19" t="n"/>
      <c r="K497" s="19" t="n"/>
      <c r="L497" s="19" t="n"/>
      <c r="M497" s="130">
        <f>IF($A497="","",AND('Task Finder'!$C$7&lt;&gt;"",OR(ISNUMBER(SEARCH('Task Finder'!$C$7,$A497)),ISNUMBER(SEARCH('Task Finder'!$C$7,$B497)),ISNUMBER(SEARCH('Task Finder'!$C$7,$C497)),ISNUMBER(SEARCH('Task Finder'!$C$7,$D497)),ISNUMBER(SEARCH('Task Finder'!$C$7,$K497)))))</f>
        <v/>
      </c>
    </row>
    <row r="498">
      <c r="A498" s="19" t="n"/>
      <c r="B498" s="19" t="n"/>
      <c r="C498" s="19" t="n"/>
      <c r="D498" s="19" t="n"/>
      <c r="E498" s="19" t="n"/>
      <c r="F498" s="19" t="n"/>
      <c r="G498" s="19" t="n"/>
      <c r="H498" s="19" t="n"/>
      <c r="I498" s="19" t="n"/>
      <c r="J498" s="19" t="n"/>
      <c r="K498" s="19" t="n"/>
      <c r="L498" s="19" t="n"/>
      <c r="M498" s="130">
        <f>IF($A498="","",AND('Task Finder'!$C$7&lt;&gt;"",OR(ISNUMBER(SEARCH('Task Finder'!$C$7,$A498)),ISNUMBER(SEARCH('Task Finder'!$C$7,$B498)),ISNUMBER(SEARCH('Task Finder'!$C$7,$C498)),ISNUMBER(SEARCH('Task Finder'!$C$7,$D498)),ISNUMBER(SEARCH('Task Finder'!$C$7,$K498)))))</f>
        <v/>
      </c>
    </row>
    <row r="499">
      <c r="A499" s="19" t="n"/>
      <c r="B499" s="19" t="n"/>
      <c r="C499" s="19" t="n"/>
      <c r="D499" s="19" t="n"/>
      <c r="E499" s="19" t="n"/>
      <c r="F499" s="19" t="n"/>
      <c r="G499" s="19" t="n"/>
      <c r="H499" s="19" t="n"/>
      <c r="I499" s="19" t="n"/>
      <c r="J499" s="19" t="n"/>
      <c r="K499" s="19" t="n"/>
      <c r="L499" s="19" t="n"/>
      <c r="M499" s="130">
        <f>IF($A499="","",AND('Task Finder'!$C$7&lt;&gt;"",OR(ISNUMBER(SEARCH('Task Finder'!$C$7,$A499)),ISNUMBER(SEARCH('Task Finder'!$C$7,$B499)),ISNUMBER(SEARCH('Task Finder'!$C$7,$C499)),ISNUMBER(SEARCH('Task Finder'!$C$7,$D499)),ISNUMBER(SEARCH('Task Finder'!$C$7,$K499)))))</f>
        <v/>
      </c>
    </row>
    <row r="500">
      <c r="A500" s="19" t="n"/>
      <c r="B500" s="19" t="n"/>
      <c r="C500" s="19" t="n"/>
      <c r="D500" s="19" t="n"/>
      <c r="E500" s="19" t="n"/>
      <c r="F500" s="19" t="n"/>
      <c r="G500" s="19" t="n"/>
      <c r="H500" s="19" t="n"/>
      <c r="I500" s="19" t="n"/>
      <c r="J500" s="19" t="n"/>
      <c r="K500" s="19" t="n"/>
      <c r="L500" s="19" t="n"/>
      <c r="M500" s="130">
        <f>IF($A500="","",AND('Task Finder'!$C$7&lt;&gt;"",OR(ISNUMBER(SEARCH('Task Finder'!$C$7,$A500)),ISNUMBER(SEARCH('Task Finder'!$C$7,$B500)),ISNUMBER(SEARCH('Task Finder'!$C$7,$C500)),ISNUMBER(SEARCH('Task Finder'!$C$7,$D500)),ISNUMBER(SEARCH('Task Finder'!$C$7,$K500)))))</f>
        <v/>
      </c>
    </row>
  </sheetData>
  <sheetProtection selectLockedCells="0" selectUnlockedCells="0" sheet="1" objects="0" insertRows="1" insertHyperlinks="1" autoFilter="1" scenarios="0" formatColumns="1" deleteColumns="1" insertColumns="1" pivotTables="1" deleteRows="1" formatCells="1" formatRows="1" sort="1"/>
  <mergeCells count="1">
    <mergeCell ref="A4:L4"/>
  </mergeCells>
  <conditionalFormatting sqref="A6:L500">
    <cfRule type="expression" priority="1" dxfId="5">
      <formula>AND($A6&lt;&gt;"",$F6&lt;&gt;"Done")</formula>
    </cfRule>
  </conditionalFormatting>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2026-08-06T05:34:33Z</dcterms:created>
  <dcterms:modified xsi:type="dcterms:W3CDTF">2026-08-07T04:45:10Z</dcterms:modified>
</cp:coreProperties>
</file>